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Executive Dashboard" sheetId="1" state="visible" r:id="rId1"/>
    <sheet name="Calendar Engine" sheetId="2" state="hidden" r:id="rId2"/>
    <sheet name="AOP Plan Master" sheetId="3" state="hidden" r:id="rId3"/>
    <sheet name="Forecast Engine" sheetId="4" state="hidden" r:id="rId4"/>
    <sheet name="Labor Engine" sheetId="5" state="hidden" r:id="rId5"/>
    <sheet name="Buffer Engine" sheetId="6" state="hidden" r:id="rId6"/>
    <sheet name="Alert Engine" sheetId="7" state="hidden" r:id="rId7"/>
    <sheet name="Floor Hours Engine" sheetId="8" state="hidden" r:id="rId8"/>
    <sheet name="Weeks Engine" sheetId="9" state="hidden" r:id="rId9"/>
    <sheet name="Labor Actuals DB" sheetId="10" state="hidden" r:id="rId10"/>
  </sheets>
  <definedNames>
    <definedName name="_xlnm._FilterDatabase" localSheetId="2" hidden="1">'AOP Plan Master'!$A$4:$I$196</definedName>
    <definedName name="_xlnm._FilterDatabase" localSheetId="9" hidden="1">'Labor Actuals DB'!$A$1:$N$1688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.0"/>
    <numFmt numFmtId="166" formatCode="+#,##0.0;-#,##0.0;0.0"/>
    <numFmt numFmtId="167" formatCode="YYYY-MM-DD"/>
    <numFmt numFmtId="168" formatCode="+0.0%;-0.0%;0.0%"/>
  </numFmts>
  <fonts count="43">
    <font>
      <name val="Calibri"/>
      <family val="2"/>
      <color theme="1"/>
      <sz val="11"/>
      <scheme val="minor"/>
    </font>
    <font>
      <name val="Segoe UI"/>
      <family val="2"/>
      <color rgb="FF1e395b"/>
      <sz val="14"/>
    </font>
    <font>
      <name val="Segoe UI"/>
      <family val="2"/>
      <color rgb="FFffffff"/>
      <sz val="11"/>
    </font>
    <font>
      <name val="Segoe UI"/>
      <family val="2"/>
      <color theme="1"/>
      <sz val="11"/>
    </font>
    <font>
      <name val="Segoe UI"/>
      <family val="2"/>
      <color rgb="FF1e395b"/>
      <sz val="11"/>
    </font>
    <font>
      <name val="Calibri"/>
      <family val="2"/>
      <color theme="1"/>
      <sz val="11"/>
    </font>
    <font>
      <name val="Segoe UI"/>
      <family val="2"/>
      <color rgb="FF1e395b"/>
      <sz val="12"/>
    </font>
    <font>
      <name val="Segoe UI"/>
      <family val="2"/>
      <color theme="1"/>
      <sz val="10"/>
    </font>
    <font>
      <name val="Segoe UI"/>
      <family val="2"/>
      <color rgb="FF1e395b"/>
      <sz val="13"/>
    </font>
    <font>
      <name val="Segoe UI"/>
      <family val="2"/>
      <color rgb="FFc00000"/>
      <sz val="12"/>
    </font>
    <font>
      <name val="Segoe UI"/>
      <b val="1"/>
      <color rgb="00FFFFFF"/>
      <sz val="15"/>
    </font>
    <font>
      <name val="Segoe UI"/>
      <i val="1"/>
      <color rgb="00E0E0E0"/>
      <sz val="9"/>
    </font>
    <font>
      <name val="Segoe UI"/>
      <b val="1"/>
      <color rgb="00FFFFFF"/>
      <sz val="9"/>
    </font>
    <font>
      <name val="Segoe UI"/>
      <b val="1"/>
      <color rgb="00404040"/>
      <sz val="9"/>
    </font>
    <font>
      <name val="Segoe UI"/>
      <b val="1"/>
      <color rgb="00006241"/>
      <sz val="12"/>
    </font>
    <font>
      <name val="Segoe UI"/>
      <b val="1"/>
      <color rgb="001E395B"/>
      <sz val="13"/>
    </font>
    <font>
      <name val="Segoe UI"/>
      <b val="1"/>
      <color rgb="00C00000"/>
      <sz val="12"/>
    </font>
    <font>
      <name val="Segoe UI"/>
      <b val="1"/>
      <color rgb="00006241"/>
      <sz val="14"/>
    </font>
    <font>
      <name val="Segoe UI"/>
      <b val="1"/>
      <color rgb="00C00000"/>
      <sz val="11"/>
    </font>
    <font>
      <name val="Segoe UI"/>
      <b val="1"/>
      <color rgb="00008000"/>
      <sz val="11"/>
    </font>
    <font>
      <name val="Segoe UI"/>
      <b val="1"/>
      <sz val="10"/>
    </font>
    <font>
      <name val="Segoe UI"/>
      <b val="1"/>
      <color rgb="001E395B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000000"/>
      <sz val="11"/>
    </font>
    <font>
      <name val="Segoe UI"/>
      <b val="1"/>
      <color rgb="00006241"/>
      <sz val="10"/>
    </font>
    <font>
      <name val="Segoe UI"/>
      <b val="1"/>
      <color rgb="001E395B"/>
      <sz val="10"/>
    </font>
    <font>
      <name val="Segoe UI"/>
      <b val="1"/>
      <i val="1"/>
      <color rgb="001E395B"/>
      <sz val="11"/>
    </font>
    <font>
      <name val="Segoe UI"/>
      <b val="1"/>
      <color rgb="00FFFFFF"/>
      <sz val="13"/>
    </font>
    <font>
      <name val="Segoe UI"/>
      <i val="1"/>
      <color rgb="00E0F2E9"/>
      <sz val="8"/>
    </font>
    <font>
      <name val="Segoe UI"/>
      <color rgb="00666666"/>
      <sz val="8"/>
    </font>
    <font>
      <name val="Segoe UI"/>
      <b val="1"/>
      <color rgb="00212121"/>
      <sz val="11"/>
    </font>
    <font>
      <name val="Segoe UI"/>
      <b val="1"/>
      <color rgb="00006241"/>
      <sz val="11"/>
    </font>
    <font>
      <name val="Segoe UI"/>
      <color rgb="00212121"/>
      <sz val="10"/>
    </font>
    <font>
      <name val="Segoe UI"/>
      <b val="1"/>
      <color rgb="00212121"/>
      <sz val="10"/>
    </font>
    <font>
      <name val="Segoe UI"/>
      <b val="1"/>
      <color rgb="00000000"/>
      <sz val="10"/>
    </font>
    <font>
      <name val="Segoe UI"/>
      <b val="1"/>
      <color rgb="001E395B"/>
      <sz val="9"/>
    </font>
    <font>
      <name val="Segoe UI"/>
      <b val="1"/>
      <sz val="11"/>
    </font>
    <font>
      <name val="Segoe UI"/>
      <b val="1"/>
      <color rgb="00006241"/>
      <sz val="13"/>
    </font>
    <font>
      <name val="Segoe UI"/>
      <b val="1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E3932"/>
      <sz val="10"/>
    </font>
  </fonts>
  <fills count="16">
    <fill>
      <patternFill/>
    </fill>
    <fill>
      <patternFill patternType="gray125"/>
    </fill>
    <fill>
      <patternFill patternType="solid">
        <fgColor rgb="FF1e395b"/>
      </patternFill>
    </fill>
    <fill>
      <patternFill patternType="solid">
        <fgColor rgb="FFebf1de"/>
      </patternFill>
    </fill>
    <fill>
      <patternFill patternType="solid">
        <fgColor rgb="FFdce6f1"/>
      </patternFill>
    </fill>
    <fill>
      <patternFill patternType="solid">
        <fgColor rgb="00006241"/>
        <bgColor rgb="00006241"/>
      </patternFill>
    </fill>
    <fill>
      <patternFill patternType="solid">
        <fgColor rgb="001E395B"/>
        <bgColor rgb="001E395B"/>
      </patternFill>
    </fill>
    <fill>
      <patternFill patternType="solid">
        <fgColor rgb="00EBF1DE"/>
        <bgColor rgb="00EBF1DE"/>
      </patternFill>
    </fill>
    <fill>
      <patternFill patternType="solid">
        <fgColor rgb="00DCE6F1"/>
        <bgColor rgb="00DCE6F1"/>
      </patternFill>
    </fill>
    <fill>
      <patternFill patternType="solid">
        <fgColor rgb="00F8F9FA"/>
        <bgColor rgb="00F8F9FA"/>
      </patternFill>
    </fill>
    <fill>
      <patternFill patternType="solid">
        <fgColor rgb="00F9F9F9"/>
        <bgColor rgb="00F9F9F9"/>
      </patternFill>
    </fill>
    <fill>
      <patternFill patternType="solid">
        <fgColor rgb="00D4E9E2"/>
        <bgColor rgb="00D4E9E2"/>
      </patternFill>
    </fill>
    <fill>
      <patternFill patternType="solid">
        <fgColor rgb="001E3932"/>
        <bgColor rgb="001E3932"/>
      </patternFill>
    </fill>
    <fill>
      <patternFill patternType="solid">
        <fgColor rgb="002D4F41"/>
        <bgColor rgb="002D4F41"/>
      </patternFill>
    </fill>
    <fill>
      <patternFill patternType="solid">
        <fgColor rgb="003D5C50"/>
        <bgColor rgb="003D5C50"/>
      </patternFill>
    </fill>
    <fill>
      <patternFill patternType="solid">
        <fgColor rgb="00CBA258"/>
        <bgColor rgb="00CBA258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double">
        <color rgb="FF000000"/>
      </bottom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right/>
      <bottom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006241"/>
      </bottom>
    </border>
    <border>
      <top style="thin">
        <color rgb="00CCCCCC"/>
      </top>
      <bottom style="double">
        <color rgb="00000000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</borders>
  <cellStyleXfs count="1">
    <xf numFmtId="0" fontId="0" fillId="0" borderId="1"/>
  </cellStyleXfs>
  <cellXfs count="198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2" fillId="2" borderId="2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3" fontId="2" fillId="2" borderId="2" applyAlignment="1" pivotButton="0" quotePrefix="0" xfId="0">
      <alignment horizontal="center"/>
    </xf>
    <xf numFmtId="3" fontId="3" fillId="0" borderId="3" applyAlignment="1" pivotButton="0" quotePrefix="0" xfId="0">
      <alignment horizontal="right"/>
    </xf>
    <xf numFmtId="3" fontId="3" fillId="3" borderId="3" applyAlignment="1" pivotButton="0" quotePrefix="0" xfId="0">
      <alignment horizontal="right"/>
    </xf>
    <xf numFmtId="0" fontId="4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0" fontId="6" fillId="4" borderId="5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6" fillId="4" borderId="2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3" fillId="3" borderId="3" applyAlignment="1" pivotButton="0" quotePrefix="0" xfId="0">
      <alignment horizontal="left"/>
    </xf>
    <xf numFmtId="0" fontId="3" fillId="4" borderId="3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4" fillId="4" borderId="5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general"/>
    </xf>
    <xf numFmtId="4" fontId="2" fillId="2" borderId="2" applyAlignment="1" pivotButton="0" quotePrefix="0" xfId="0">
      <alignment horizontal="center"/>
    </xf>
    <xf numFmtId="0" fontId="4" fillId="4" borderId="3" applyAlignment="1" pivotButton="0" quotePrefix="0" xfId="0">
      <alignment horizontal="left"/>
    </xf>
    <xf numFmtId="4" fontId="3" fillId="3" borderId="3" applyAlignment="1" pivotButton="0" quotePrefix="0" xfId="0">
      <alignment horizontal="right"/>
    </xf>
    <xf numFmtId="3" fontId="3" fillId="0" borderId="4" applyAlignment="1" pivotButton="0" quotePrefix="0" xfId="0">
      <alignment horizontal="left"/>
    </xf>
    <xf numFmtId="4" fontId="3" fillId="0" borderId="4" applyAlignment="1" pivotButton="0" quotePrefix="0" xfId="0">
      <alignment horizontal="left"/>
    </xf>
    <xf numFmtId="4" fontId="0" fillId="0" borderId="0" applyAlignment="1" pivotButton="0" quotePrefix="0" xfId="0">
      <alignment horizontal="general"/>
    </xf>
    <xf numFmtId="164" fontId="0" fillId="0" borderId="0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8" fillId="3" borderId="2" applyAlignment="1" pivotButton="0" quotePrefix="0" xfId="0">
      <alignment horizontal="center"/>
    </xf>
    <xf numFmtId="4" fontId="3" fillId="3" borderId="3" applyAlignment="1" pivotButton="0" quotePrefix="0" xfId="0">
      <alignment horizontal="left"/>
    </xf>
    <xf numFmtId="0" fontId="3" fillId="4" borderId="2" applyAlignment="1" pivotButton="0" quotePrefix="0" xfId="0">
      <alignment horizontal="left"/>
    </xf>
    <xf numFmtId="0" fontId="1" fillId="4" borderId="2" applyAlignment="1" pivotButton="0" quotePrefix="0" xfId="0">
      <alignment horizontal="left"/>
    </xf>
    <xf numFmtId="0" fontId="9" fillId="0" borderId="1" applyAlignment="1" pivotButton="0" quotePrefix="0" xfId="0">
      <alignment horizontal="left"/>
    </xf>
    <xf numFmtId="0" fontId="1" fillId="0" borderId="6" applyAlignment="1" pivotButton="0" quotePrefix="0" xfId="0">
      <alignment horizontal="left"/>
    </xf>
    <xf numFmtId="0" fontId="10" fillId="5" borderId="6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general"/>
    </xf>
    <xf numFmtId="0" fontId="11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/>
    </xf>
    <xf numFmtId="0" fontId="8" fillId="0" borderId="6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4" fontId="2" fillId="0" borderId="6" applyAlignment="1" pivotButton="0" quotePrefix="0" xfId="0">
      <alignment horizontal="center"/>
    </xf>
    <xf numFmtId="0" fontId="3" fillId="0" borderId="6" applyAlignment="1" pivotButton="0" quotePrefix="0" xfId="0">
      <alignment horizontal="left"/>
    </xf>
    <xf numFmtId="0" fontId="12" fillId="6" borderId="7" applyAlignment="1" pivotButton="0" quotePrefix="0" xfId="0">
      <alignment horizontal="center" vertical="center"/>
    </xf>
    <xf numFmtId="0" fontId="0" fillId="0" borderId="7" pivotButton="0" quotePrefix="0" xfId="0"/>
    <xf numFmtId="4" fontId="12" fillId="6" borderId="7" applyAlignment="1" pivotButton="0" quotePrefix="0" xfId="0">
      <alignment horizontal="center" vertical="center"/>
    </xf>
    <xf numFmtId="0" fontId="13" fillId="9" borderId="7" applyAlignment="1" pivotButton="0" quotePrefix="0" xfId="0">
      <alignment horizontal="left"/>
    </xf>
    <xf numFmtId="0" fontId="14" fillId="7" borderId="7" applyAlignment="1" applyProtection="1" pivotButton="0" quotePrefix="0" xfId="0">
      <alignment horizontal="center" vertical="center"/>
      <protection locked="0" hidden="0"/>
    </xf>
    <xf numFmtId="0" fontId="0" fillId="9" borderId="7" applyAlignment="1" pivotButton="0" quotePrefix="0" xfId="0">
      <alignment horizontal="general"/>
    </xf>
    <xf numFmtId="0" fontId="15" fillId="9" borderId="7" applyAlignment="1" pivotButton="0" quotePrefix="0" xfId="0">
      <alignment horizontal="left"/>
    </xf>
    <xf numFmtId="4" fontId="13" fillId="9" borderId="7" applyAlignment="1" pivotButton="0" quotePrefix="0" xfId="0">
      <alignment horizontal="left"/>
    </xf>
    <xf numFmtId="0" fontId="17" fillId="8" borderId="7" applyAlignment="1" pivotButton="0" quotePrefix="0" xfId="0">
      <alignment horizontal="left"/>
    </xf>
    <xf numFmtId="0" fontId="15" fillId="9" borderId="7" pivotButton="0" quotePrefix="0" xfId="0"/>
    <xf numFmtId="0" fontId="0" fillId="9" borderId="7" pivotButton="0" quotePrefix="0" xfId="0"/>
    <xf numFmtId="0" fontId="15" fillId="9" borderId="7" applyAlignment="1" pivotButton="0" quotePrefix="0" xfId="0">
      <alignment horizontal="general"/>
    </xf>
    <xf numFmtId="0" fontId="16" fillId="9" borderId="7" applyAlignment="1" pivotButton="0" quotePrefix="0" xfId="0">
      <alignment horizontal="left"/>
    </xf>
    <xf numFmtId="0" fontId="18" fillId="9" borderId="7" applyAlignment="1" pivotButton="0" quotePrefix="0" xfId="0">
      <alignment horizontal="left"/>
    </xf>
    <xf numFmtId="0" fontId="19" fillId="9" borderId="7" pivotButton="0" quotePrefix="0" xfId="0"/>
    <xf numFmtId="0" fontId="20" fillId="9" borderId="7" pivotButton="0" quotePrefix="0" xfId="0"/>
    <xf numFmtId="4" fontId="3" fillId="0" borderId="6" applyAlignment="1" pivotButton="0" quotePrefix="0" xfId="0">
      <alignment horizontal="left"/>
    </xf>
    <xf numFmtId="0" fontId="4" fillId="0" borderId="6" applyAlignment="1" pivotButton="0" quotePrefix="0" xfId="0">
      <alignment horizontal="left"/>
    </xf>
    <xf numFmtId="0" fontId="21" fillId="0" borderId="6" applyAlignment="1" pivotButton="0" quotePrefix="0" xfId="0">
      <alignment horizontal="left"/>
    </xf>
    <xf numFmtId="0" fontId="22" fillId="5" borderId="6" applyAlignment="1" pivotButton="0" quotePrefix="0" xfId="0">
      <alignment horizontal="center" vertical="center" wrapText="1"/>
    </xf>
    <xf numFmtId="4" fontId="22" fillId="5" borderId="6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/>
    </xf>
    <xf numFmtId="0" fontId="23" fillId="0" borderId="7" applyAlignment="1" pivotButton="0" quotePrefix="0" xfId="0">
      <alignment horizontal="center"/>
    </xf>
    <xf numFmtId="0" fontId="23" fillId="0" borderId="7" applyAlignment="1" pivotButton="0" quotePrefix="0" xfId="0">
      <alignment horizontal="left"/>
    </xf>
    <xf numFmtId="3" fontId="23" fillId="0" borderId="7" applyAlignment="1" pivotButton="0" quotePrefix="0" xfId="0">
      <alignment horizontal="general"/>
    </xf>
    <xf numFmtId="165" fontId="20" fillId="0" borderId="7" applyAlignment="1" pivotButton="0" quotePrefix="0" xfId="0">
      <alignment horizontal="general"/>
    </xf>
    <xf numFmtId="2" fontId="20" fillId="0" borderId="7" applyAlignment="1" pivotButton="0" quotePrefix="0" xfId="0">
      <alignment horizontal="general"/>
    </xf>
    <xf numFmtId="165" fontId="24" fillId="7" borderId="7" applyAlignment="1" applyProtection="1" pivotButton="0" quotePrefix="0" xfId="0">
      <alignment horizontal="general"/>
      <protection locked="0" hidden="0"/>
    </xf>
    <xf numFmtId="2" fontId="25" fillId="0" borderId="7" applyAlignment="1" pivotButton="0" quotePrefix="0" xfId="0">
      <alignment horizontal="general"/>
    </xf>
    <xf numFmtId="166" fontId="20" fillId="0" borderId="7" applyAlignment="1" pivotButton="0" quotePrefix="0" xfId="0">
      <alignment horizontal="general"/>
    </xf>
    <xf numFmtId="165" fontId="26" fillId="0" borderId="7" applyAlignment="1" pivotButton="0" quotePrefix="0" xfId="0">
      <alignment horizontal="general"/>
    </xf>
    <xf numFmtId="165" fontId="23" fillId="0" borderId="7" pivotButton="0" quotePrefix="0" xfId="0"/>
    <xf numFmtId="0" fontId="20" fillId="0" borderId="7" pivotButton="0" quotePrefix="0" xfId="0"/>
    <xf numFmtId="0" fontId="23" fillId="0" borderId="7" applyAlignment="1" pivotButton="0" quotePrefix="0" xfId="0">
      <alignment horizontal="general"/>
    </xf>
    <xf numFmtId="0" fontId="2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general"/>
    </xf>
    <xf numFmtId="0" fontId="20" fillId="0" borderId="8" applyAlignment="1" pivotButton="0" quotePrefix="0" xfId="0">
      <alignment horizontal="center"/>
    </xf>
    <xf numFmtId="3" fontId="20" fillId="0" borderId="8" applyAlignment="1" pivotButton="0" quotePrefix="0" xfId="0">
      <alignment horizontal="general"/>
    </xf>
    <xf numFmtId="165" fontId="20" fillId="0" borderId="8" applyAlignment="1" pivotButton="0" quotePrefix="0" xfId="0">
      <alignment horizontal="general"/>
    </xf>
    <xf numFmtId="2" fontId="20" fillId="0" borderId="8" applyAlignment="1" pivotButton="0" quotePrefix="0" xfId="0">
      <alignment horizontal="general"/>
    </xf>
    <xf numFmtId="2" fontId="25" fillId="0" borderId="8" applyAlignment="1" pivotButton="0" quotePrefix="0" xfId="0">
      <alignment horizontal="general"/>
    </xf>
    <xf numFmtId="166" fontId="20" fillId="0" borderId="8" applyAlignment="1" pivotButton="0" quotePrefix="0" xfId="0">
      <alignment horizontal="general"/>
    </xf>
    <xf numFmtId="165" fontId="26" fillId="8" borderId="8" applyAlignment="1" pivotButton="0" quotePrefix="0" xfId="0">
      <alignment horizontal="general"/>
    </xf>
    <xf numFmtId="165" fontId="20" fillId="0" borderId="8" pivotButton="0" quotePrefix="0" xfId="0"/>
    <xf numFmtId="0" fontId="0" fillId="0" borderId="8" pivotButton="0" quotePrefix="0" xfId="0"/>
    <xf numFmtId="0" fontId="26" fillId="0" borderId="6" pivotButton="0" quotePrefix="0" xfId="0"/>
    <xf numFmtId="0" fontId="27" fillId="8" borderId="7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/>
    </xf>
    <xf numFmtId="0" fontId="20" fillId="0" borderId="3" applyAlignment="1" pivotButton="0" quotePrefix="0" xfId="0">
      <alignment horizontal="left"/>
    </xf>
    <xf numFmtId="0" fontId="20" fillId="0" borderId="0" pivotButton="0" quotePrefix="0" xfId="0"/>
    <xf numFmtId="0" fontId="20" fillId="0" borderId="4" applyAlignment="1" pivotButton="0" quotePrefix="0" xfId="0">
      <alignment horizontal="left"/>
    </xf>
    <xf numFmtId="0" fontId="20" fillId="4" borderId="5" applyAlignment="1" pivotButton="0" quotePrefix="0" xfId="0">
      <alignment horizontal="left"/>
    </xf>
    <xf numFmtId="0" fontId="10" fillId="5" borderId="13" applyAlignment="1" pivotButton="0" quotePrefix="0" xfId="0">
      <alignment horizontal="center" vertical="center"/>
    </xf>
    <xf numFmtId="0" fontId="11" fillId="5" borderId="13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167" fontId="5" fillId="0" borderId="1" applyAlignment="1" pivotButton="0" quotePrefix="0" xfId="0">
      <alignment horizontal="right"/>
    </xf>
    <xf numFmtId="0" fontId="28" fillId="5" borderId="13" applyAlignment="1" pivotButton="0" quotePrefix="0" xfId="0">
      <alignment horizontal="center" vertical="center"/>
    </xf>
    <xf numFmtId="0" fontId="29" fillId="5" borderId="13" applyAlignment="1" pivotButton="0" quotePrefix="0" xfId="0">
      <alignment horizontal="center" vertical="center"/>
    </xf>
    <xf numFmtId="0" fontId="12" fillId="6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4" fontId="12" fillId="0" borderId="6" applyAlignment="1" pivotButton="0" quotePrefix="0" xfId="0">
      <alignment horizontal="center" vertical="center"/>
    </xf>
    <xf numFmtId="0" fontId="30" fillId="10" borderId="14" applyAlignment="1" pivotButton="0" quotePrefix="0" xfId="0">
      <alignment horizontal="left"/>
    </xf>
    <xf numFmtId="0" fontId="32" fillId="11" borderId="14" applyAlignment="1" applyProtection="1" pivotButton="0" quotePrefix="0" xfId="0">
      <alignment horizontal="center" vertical="center"/>
      <protection locked="0" hidden="0"/>
    </xf>
    <xf numFmtId="0" fontId="30" fillId="10" borderId="14" applyAlignment="1" pivotButton="0" quotePrefix="0" xfId="0">
      <alignment horizontal="general"/>
    </xf>
    <xf numFmtId="165" fontId="31" fillId="10" borderId="14" applyAlignment="1" pivotButton="0" quotePrefix="0" xfId="0">
      <alignment horizontal="right" vertical="center"/>
    </xf>
    <xf numFmtId="4" fontId="13" fillId="0" borderId="6" applyAlignment="1" pivotButton="0" quotePrefix="0" xfId="0">
      <alignment horizontal="left"/>
    </xf>
    <xf numFmtId="0" fontId="30" fillId="10" borderId="14" pivotButton="0" quotePrefix="0" xfId="0"/>
    <xf numFmtId="2" fontId="31" fillId="10" borderId="14" applyAlignment="1" pivotButton="0" quotePrefix="0" xfId="0">
      <alignment horizontal="right" vertical="center"/>
    </xf>
    <xf numFmtId="166" fontId="31" fillId="10" borderId="14" applyAlignment="1" pivotButton="0" quotePrefix="0" xfId="0">
      <alignment horizontal="right" vertical="center"/>
    </xf>
    <xf numFmtId="0" fontId="31" fillId="10" borderId="14" applyAlignment="1" pivotButton="0" quotePrefix="0" xfId="0">
      <alignment horizontal="right" vertical="center"/>
    </xf>
    <xf numFmtId="3" fontId="31" fillId="10" borderId="14" applyAlignment="1" pivotButton="0" quotePrefix="0" xfId="0">
      <alignment horizontal="right" vertical="center"/>
    </xf>
    <xf numFmtId="168" fontId="31" fillId="10" borderId="14" applyAlignment="1" pivotButton="0" quotePrefix="0" xfId="0">
      <alignment horizontal="right" vertical="center"/>
    </xf>
    <xf numFmtId="0" fontId="26" fillId="0" borderId="6" applyAlignment="1" pivotButton="0" quotePrefix="0" xfId="0">
      <alignment horizontal="left" vertical="center"/>
    </xf>
    <xf numFmtId="0" fontId="12" fillId="5" borderId="19" applyAlignment="1" pivotButton="0" quotePrefix="0" xfId="0">
      <alignment horizontal="center" vertical="center"/>
    </xf>
    <xf numFmtId="4" fontId="12" fillId="5" borderId="19" applyAlignment="1" pivotButton="0" quotePrefix="0" xfId="0">
      <alignment horizontal="center" vertical="center"/>
    </xf>
    <xf numFmtId="0" fontId="34" fillId="0" borderId="14" applyAlignment="1" pivotButton="0" quotePrefix="0" xfId="0">
      <alignment horizontal="center" vertical="center"/>
    </xf>
    <xf numFmtId="0" fontId="33" fillId="0" borderId="14" applyAlignment="1" pivotButton="0" quotePrefix="0" xfId="0">
      <alignment horizontal="center" vertical="center"/>
    </xf>
    <xf numFmtId="0" fontId="33" fillId="0" borderId="14" applyAlignment="1" pivotButton="0" quotePrefix="0" xfId="0">
      <alignment horizontal="left" vertical="center"/>
    </xf>
    <xf numFmtId="3" fontId="33" fillId="0" borderId="14" applyAlignment="1" pivotButton="0" quotePrefix="0" xfId="0">
      <alignment horizontal="right" vertical="center"/>
    </xf>
    <xf numFmtId="3" fontId="34" fillId="11" borderId="14" applyAlignment="1" applyProtection="1" pivotButton="0" quotePrefix="0" xfId="0">
      <alignment horizontal="right" vertical="center"/>
      <protection locked="0" hidden="0"/>
    </xf>
    <xf numFmtId="168" fontId="33" fillId="0" borderId="14" applyAlignment="1" pivotButton="0" quotePrefix="0" xfId="0">
      <alignment horizontal="right" vertical="center"/>
    </xf>
    <xf numFmtId="165" fontId="33" fillId="7" borderId="14" applyAlignment="1" pivotButton="0" quotePrefix="0" xfId="0">
      <alignment horizontal="right" vertical="center"/>
    </xf>
    <xf numFmtId="165" fontId="34" fillId="11" borderId="14" applyAlignment="1" applyProtection="1" pivotButton="0" quotePrefix="0" xfId="0">
      <alignment horizontal="right" vertical="center"/>
      <protection locked="0" hidden="0"/>
    </xf>
    <xf numFmtId="2" fontId="33" fillId="0" borderId="14" applyAlignment="1" pivotButton="0" quotePrefix="0" xfId="0">
      <alignment horizontal="center" vertical="center"/>
    </xf>
    <xf numFmtId="2" fontId="33" fillId="0" borderId="14" applyAlignment="1" pivotButton="0" quotePrefix="0" xfId="0">
      <alignment horizontal="right" vertical="center"/>
    </xf>
    <xf numFmtId="166" fontId="33" fillId="0" borderId="14" applyAlignment="1" pivotButton="0" quotePrefix="0" xfId="0">
      <alignment horizontal="right" vertical="center"/>
    </xf>
    <xf numFmtId="165" fontId="26" fillId="0" borderId="14" applyAlignment="1" pivotButton="0" quotePrefix="0" xfId="0">
      <alignment horizontal="right" vertical="center"/>
    </xf>
    <xf numFmtId="165" fontId="33" fillId="0" borderId="14" applyAlignment="1" pivotButton="0" quotePrefix="0" xfId="0">
      <alignment horizontal="right" vertical="center"/>
    </xf>
    <xf numFmtId="0" fontId="35" fillId="0" borderId="20" applyAlignment="1" pivotButton="0" quotePrefix="0" xfId="0">
      <alignment horizontal="left" vertical="center"/>
    </xf>
    <xf numFmtId="0" fontId="35" fillId="0" borderId="20" applyAlignment="1" pivotButton="0" quotePrefix="0" xfId="0">
      <alignment horizontal="right" vertical="center"/>
    </xf>
    <xf numFmtId="0" fontId="35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horizontal="right" vertical="center"/>
    </xf>
    <xf numFmtId="168" fontId="35" fillId="0" borderId="20" applyAlignment="1" pivotButton="0" quotePrefix="0" xfId="0">
      <alignment horizontal="right" vertical="center"/>
    </xf>
    <xf numFmtId="165" fontId="35" fillId="0" borderId="20" applyAlignment="1" pivotButton="0" quotePrefix="0" xfId="0">
      <alignment horizontal="right" vertical="center"/>
    </xf>
    <xf numFmtId="2" fontId="35" fillId="0" borderId="20" applyAlignment="1" pivotButton="0" quotePrefix="0" xfId="0">
      <alignment horizontal="right" vertical="center"/>
    </xf>
    <xf numFmtId="2" fontId="35" fillId="8" borderId="20" applyAlignment="1" pivotButton="0" quotePrefix="0" xfId="0">
      <alignment horizontal="right" vertical="center"/>
    </xf>
    <xf numFmtId="166" fontId="35" fillId="0" borderId="20" applyAlignment="1" pivotButton="0" quotePrefix="0" xfId="0">
      <alignment horizontal="right" vertical="center"/>
    </xf>
    <xf numFmtId="0" fontId="36" fillId="8" borderId="14" applyAlignment="1" pivotButton="0" quotePrefix="0" xfId="0">
      <alignment horizontal="left" vertical="center"/>
    </xf>
    <xf numFmtId="0" fontId="26" fillId="8" borderId="14" applyAlignment="1" pivotButton="0" quotePrefix="0" xfId="0">
      <alignment horizontal="left" vertical="center"/>
    </xf>
    <xf numFmtId="165" fontId="34" fillId="10" borderId="14" applyAlignment="1" pivotButton="0" quotePrefix="0" xfId="0">
      <alignment horizontal="right" vertical="center"/>
    </xf>
    <xf numFmtId="2" fontId="32" fillId="11" borderId="14" applyAlignment="1" applyProtection="1" pivotButton="0" quotePrefix="0" xfId="0">
      <alignment horizontal="center" vertical="center"/>
      <protection locked="0" hidden="0"/>
    </xf>
    <xf numFmtId="166" fontId="34" fillId="10" borderId="14" applyAlignment="1" pivotButton="0" quotePrefix="0" xfId="0">
      <alignment horizontal="right" vertical="center"/>
    </xf>
    <xf numFmtId="2" fontId="34" fillId="10" borderId="14" applyAlignment="1" pivotButton="0" quotePrefix="0" xfId="0">
      <alignment horizontal="right" vertical="center"/>
    </xf>
    <xf numFmtId="0" fontId="34" fillId="10" borderId="14" applyAlignment="1" pivotButton="0" quotePrefix="0" xfId="0">
      <alignment horizontal="right" vertical="center"/>
    </xf>
    <xf numFmtId="168" fontId="34" fillId="10" borderId="14" applyAlignment="1" pivotButton="0" quotePrefix="0" xfId="0">
      <alignment horizontal="right" vertical="center"/>
    </xf>
    <xf numFmtId="0" fontId="30" fillId="10" borderId="14" applyAlignment="1" pivotButton="0" quotePrefix="0" xfId="0">
      <alignment horizontal="left" vertical="center"/>
    </xf>
    <xf numFmtId="3" fontId="34" fillId="10" borderId="14" applyAlignment="1" pivotButton="0" quotePrefix="0" xfId="0">
      <alignment horizontal="right" vertical="center"/>
    </xf>
    <xf numFmtId="0" fontId="26" fillId="5" borderId="19" applyAlignment="1" pivotButton="0" quotePrefix="0" xfId="0">
      <alignment horizontal="left" vertical="center"/>
    </xf>
    <xf numFmtId="0" fontId="12" fillId="5" borderId="14" applyAlignment="1" pivotButton="0" quotePrefix="0" xfId="0">
      <alignment horizontal="center" vertical="center"/>
    </xf>
    <xf numFmtId="3" fontId="12" fillId="5" borderId="14" applyAlignment="1" pivotButton="0" quotePrefix="0" xfId="0">
      <alignment horizontal="center" vertical="center"/>
    </xf>
    <xf numFmtId="168" fontId="12" fillId="5" borderId="14" applyAlignment="1" pivotButton="0" quotePrefix="0" xfId="0">
      <alignment horizontal="center" vertical="center"/>
    </xf>
    <xf numFmtId="165" fontId="12" fillId="5" borderId="14" applyAlignment="1" pivotButton="0" quotePrefix="0" xfId="0">
      <alignment horizontal="center" vertical="center"/>
    </xf>
    <xf numFmtId="2" fontId="12" fillId="5" borderId="14" applyAlignment="1" pivotButton="0" quotePrefix="0" xfId="0">
      <alignment horizontal="center" vertical="center"/>
    </xf>
    <xf numFmtId="166" fontId="12" fillId="5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3" fontId="25" fillId="11" borderId="14" applyAlignment="1" applyProtection="1" pivotButton="0" quotePrefix="0" xfId="0">
      <alignment horizontal="right" vertical="center"/>
      <protection locked="0" hidden="0"/>
    </xf>
    <xf numFmtId="165" fontId="25" fillId="11" borderId="14" applyAlignment="1" applyProtection="1" pivotButton="0" quotePrefix="0" xfId="0">
      <alignment horizontal="right" vertical="center"/>
      <protection locked="0" hidden="0"/>
    </xf>
    <xf numFmtId="2" fontId="33" fillId="8" borderId="14" applyAlignment="1" pivotButton="0" quotePrefix="0" xfId="0">
      <alignment horizontal="right" vertical="center"/>
    </xf>
    <xf numFmtId="167" fontId="0" fillId="0" borderId="0" pivotButton="0" quotePrefix="0" xfId="0"/>
    <xf numFmtId="0" fontId="38" fillId="0" borderId="0" pivotButton="0" quotePrefix="0" xfId="0"/>
    <xf numFmtId="0" fontId="32" fillId="11" borderId="0" applyAlignment="1" pivotButton="0" quotePrefix="0" xfId="0">
      <alignment horizontal="center"/>
    </xf>
    <xf numFmtId="0" fontId="39" fillId="0" borderId="0" pivotButton="0" quotePrefix="0" xfId="0"/>
    <xf numFmtId="3" fontId="20" fillId="0" borderId="0" pivotButton="0" quotePrefix="0" xfId="0"/>
    <xf numFmtId="165" fontId="20" fillId="0" borderId="0" pivotButton="0" quotePrefix="0" xfId="0"/>
    <xf numFmtId="0" fontId="12" fillId="5" borderId="0" applyAlignment="1" pivotButton="0" quotePrefix="0" xfId="0">
      <alignment horizontal="center" vertical="center"/>
    </xf>
    <xf numFmtId="3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37" fillId="0" borderId="0" pivotButton="0" quotePrefix="0" xfId="0"/>
    <xf numFmtId="0" fontId="12" fillId="0" borderId="6" applyAlignment="1" pivotButton="0" quotePrefix="0" xfId="0">
      <alignment horizontal="center" vertical="center"/>
    </xf>
    <xf numFmtId="0" fontId="36" fillId="0" borderId="6" applyAlignment="1" pivotButton="0" quotePrefix="0" xfId="0">
      <alignment horizontal="left" vertical="center"/>
    </xf>
    <xf numFmtId="0" fontId="0" fillId="0" borderId="18" applyProtection="1" pivotButton="0" quotePrefix="0" xfId="0">
      <protection locked="0" hidden="0"/>
    </xf>
    <xf numFmtId="0" fontId="40" fillId="12" borderId="0" applyAlignment="1" pivotButton="0" quotePrefix="0" xfId="0">
      <alignment horizontal="center" vertical="center"/>
    </xf>
    <xf numFmtId="0" fontId="40" fillId="5" borderId="21" applyAlignment="1" pivotButton="0" quotePrefix="0" xfId="0">
      <alignment horizontal="center" vertical="center"/>
    </xf>
    <xf numFmtId="0" fontId="41" fillId="13" borderId="21" applyAlignment="1" pivotButton="0" quotePrefix="0" xfId="0">
      <alignment horizontal="center" vertical="center"/>
    </xf>
    <xf numFmtId="0" fontId="41" fillId="14" borderId="21" applyAlignment="1" pivotButton="0" quotePrefix="0" xfId="0">
      <alignment horizontal="center" vertical="center"/>
    </xf>
    <xf numFmtId="0" fontId="42" fillId="15" borderId="21" applyAlignment="1" pivotButton="0" quotePrefix="0" xfId="0">
      <alignment horizontal="center" vertical="center"/>
    </xf>
    <xf numFmtId="0" fontId="40" fillId="5" borderId="0" applyAlignment="1" pivotButton="0" quotePrefix="0" xfId="0">
      <alignment horizontal="center" vertical="center"/>
    </xf>
    <xf numFmtId="3" fontId="40" fillId="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TPLH: Cel AOP vs Wykonanie Rzeczywiste (Rozbicie Tygodniowe)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Dashboard'!K11</f>
            </strRef>
          </tx>
          <spPr>
            <a:ln>
              <a:prstDash val="solid"/>
            </a:ln>
          </spPr>
          <cat>
            <numRef>
              <f>'Executive Dashboard'!$B$12:$B$17</f>
            </numRef>
          </cat>
          <val>
            <numRef>
              <f>'Executive Dashboard'!$K$12:$K$17</f>
            </numRef>
          </val>
        </ser>
        <ser>
          <idx val="1"/>
          <order val="1"/>
          <tx>
            <strRef>
              <f>'Executive Dashboard'!L11</f>
            </strRef>
          </tx>
          <spPr>
            <a:ln>
              <a:prstDash val="solid"/>
            </a:ln>
          </spPr>
          <cat>
            <numRef>
              <f>'Executive Dashboard'!$B$12:$B$17</f>
            </numRef>
          </cat>
          <val>
            <numRef>
              <f>'Executive Dashboard'!$L$12:$L$17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Tydzień Rozliczeniowy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Wskaźnik TPLH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S44"/>
  <sheetViews>
    <sheetView tabSelected="1" workbookViewId="0">
      <selection activeCell="A1" sqref="A1"/>
    </sheetView>
  </sheetViews>
  <sheetFormatPr baseColWidth="8" defaultRowHeight="15"/>
  <cols>
    <col width="3" bestFit="1" customWidth="1" style="19" min="1" max="1"/>
    <col width="8" bestFit="1" customWidth="1" style="19" min="2" max="2"/>
    <col width="15" bestFit="1" customWidth="1" style="19" min="3" max="3"/>
    <col width="6" bestFit="1" customWidth="1" style="19" min="4" max="4"/>
    <col width="15" bestFit="1" customWidth="1" style="19" min="5" max="5"/>
    <col width="12" bestFit="1" customWidth="1" style="19" min="6" max="6"/>
    <col width="13" bestFit="1" customWidth="1" style="19" min="7" max="7"/>
    <col width="11" bestFit="1" customWidth="1" style="19" min="8" max="8"/>
    <col width="13" bestFit="1" customWidth="1" style="36" min="9" max="9"/>
    <col width="14" bestFit="1" customWidth="1" style="19" min="10" max="10"/>
    <col width="11" bestFit="1" customWidth="1" style="19" min="11" max="11"/>
    <col width="12" bestFit="1" customWidth="1" style="19" min="12" max="12"/>
    <col width="14" customWidth="1" min="13" max="13"/>
    <col width="13" customWidth="1" min="14" max="14"/>
    <col width="17" customWidth="1" min="15" max="15"/>
    <col width="12" customWidth="1" min="16" max="16"/>
    <col width="15" customWidth="1" min="17" max="17"/>
  </cols>
  <sheetData>
    <row r="1" ht="28" customHeight="1">
      <c r="A1" s="46" t="n"/>
      <c r="B1" s="114" t="inlineStr">
        <is>
          <t>STARBUCKS COFFEE COMPANY — TPLH FORECAST &amp; LABOR BALANCING (2021–2036)</t>
        </is>
      </c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9" t="n"/>
      <c r="S1" s="49" t="n"/>
    </row>
    <row r="2" ht="18" customHeight="1">
      <c r="A2" s="50" t="n"/>
      <c r="B2" s="115" t="inlineStr">
        <is>
          <t>Baza Wieloletnia • Silnik Predykcyjny Trendów Transakcji (Trend Velocity) • Dynamiczne Bilansowanie Grafiku (HANW) • Ochrona Floor Hours</t>
        </is>
      </c>
      <c r="C2" s="48" t="n"/>
      <c r="D2" s="48" t="n"/>
      <c r="E2" s="48" t="n"/>
      <c r="F2" s="48" t="n"/>
      <c r="G2" s="48" t="n"/>
      <c r="H2" s="48" t="n"/>
      <c r="I2" s="48" t="n"/>
      <c r="J2" s="48" t="n"/>
      <c r="K2" s="48" t="n"/>
      <c r="L2" s="48" t="n"/>
      <c r="M2" s="48" t="n"/>
      <c r="N2" s="48" t="n"/>
      <c r="O2" s="48" t="n"/>
      <c r="P2" s="48" t="n"/>
      <c r="Q2" s="48" t="n"/>
      <c r="R2" s="49" t="n"/>
      <c r="S2" s="49" t="n"/>
    </row>
    <row r="3" ht="28" customHeight="1">
      <c r="A3" s="52" t="n"/>
      <c r="B3" s="192" t="inlineStr">
        <is>
          <t>📥 IMPORTUJ LOGOWANIA (MAPAL)</t>
        </is>
      </c>
      <c r="C3" s="192" t="n"/>
      <c r="D3" s="50" t="n"/>
      <c r="E3" s="54" t="n"/>
      <c r="F3" s="193" t="inlineStr">
        <is>
          <t>📊 EDYTUJ BAZĘ AOP (PLAN)</t>
        </is>
      </c>
      <c r="G3" s="193" t="n"/>
      <c r="H3" s="54" t="n"/>
      <c r="I3" s="55" t="n"/>
      <c r="J3" s="193" t="inlineStr">
        <is>
          <t>📋 POKAŻ BAZĘ LOGOWAŃ (RCP DB)</t>
        </is>
      </c>
      <c r="K3" s="193" t="n"/>
      <c r="L3" s="193" t="n"/>
      <c r="M3" s="49" t="n"/>
      <c r="N3" s="49" t="n"/>
      <c r="O3" s="194" t="inlineStr">
        <is>
          <t>⚙️ FLOOR HOURS ENGINE</t>
        </is>
      </c>
      <c r="P3" s="194" t="n"/>
      <c r="Q3" s="195" t="inlineStr">
        <is>
          <t>🔒 UKRYJ ARKUSZE</t>
        </is>
      </c>
      <c r="R3" s="49" t="n"/>
      <c r="S3" s="49" t="n"/>
    </row>
    <row r="4" ht="19.5" customHeight="1">
      <c r="A4" s="56" t="n"/>
      <c r="B4" s="116" t="inlineStr">
        <is>
          <t>1. PLAN AOP NA MIESIĄC</t>
        </is>
      </c>
      <c r="C4" s="117" t="n"/>
      <c r="D4" s="118" t="n"/>
      <c r="E4" s="56" t="n"/>
      <c r="F4" s="116" t="inlineStr">
        <is>
          <t>2. WYKONANIE MTD &amp; TREND</t>
        </is>
      </c>
      <c r="G4" s="117" t="n"/>
      <c r="H4" s="118" t="n"/>
      <c r="I4" s="119" t="n"/>
      <c r="J4" s="116" t="inlineStr">
        <is>
          <t>3. LIMIT NA KOLEJNY GRAFIK (HANW)</t>
        </is>
      </c>
      <c r="K4" s="117" t="n"/>
      <c r="L4" s="117" t="n"/>
      <c r="M4" s="118" t="n"/>
      <c r="N4" s="49" t="n"/>
      <c r="O4" s="116" t="inlineStr">
        <is>
          <t>4. OCHRONA MINIMUM (FLOOR HOURS)</t>
        </is>
      </c>
      <c r="P4" s="117" t="n"/>
      <c r="Q4" s="118" t="n"/>
      <c r="R4" s="49" t="n"/>
      <c r="S4" s="49" t="n"/>
    </row>
    <row r="5" ht="19.5" customHeight="1">
      <c r="A5" s="56" t="n"/>
      <c r="B5" s="120" t="inlineStr">
        <is>
          <t>Wybierz Rok:</t>
        </is>
      </c>
      <c r="C5" s="121" t="n">
        <v>2026</v>
      </c>
      <c r="D5" s="190" t="n"/>
      <c r="E5" s="56" t="n"/>
      <c r="F5" s="120" t="inlineStr">
        <is>
          <t>Godziny Przepracowane:</t>
        </is>
      </c>
      <c r="G5" s="158">
        <f>J18</f>
        <v/>
      </c>
      <c r="H5" s="118" t="n"/>
      <c r="I5" s="124" t="n"/>
      <c r="J5" s="120" t="inlineStr">
        <is>
          <t>HANW na Kolejny Tydzień:</t>
        </is>
      </c>
      <c r="K5" s="118" t="n"/>
      <c r="L5" s="158">
        <f>'Buffer Engine'!B3</f>
        <v/>
      </c>
      <c r="M5" s="118" t="n"/>
      <c r="N5" s="49" t="n"/>
      <c r="O5" s="125" t="inlineStr">
        <is>
          <t>Floor Hours Tygodnia:</t>
        </is>
      </c>
      <c r="P5" s="158">
        <f>'Buffer Engine'!B5</f>
        <v/>
      </c>
      <c r="Q5" s="118" t="n"/>
      <c r="R5" s="49" t="n"/>
      <c r="S5" s="49" t="n"/>
    </row>
    <row r="6" ht="19.5" customHeight="1">
      <c r="A6" s="56" t="n"/>
      <c r="B6" s="120" t="inlineStr">
        <is>
          <t>Wybierz Miesiąc:</t>
        </is>
      </c>
      <c r="C6" s="159" t="inlineStr">
        <is>
          <t>Wrzesień</t>
        </is>
      </c>
      <c r="D6" s="190" t="n"/>
      <c r="E6" s="56" t="n"/>
      <c r="F6" s="120" t="inlineStr">
        <is>
          <t>Odchylenie Godzin (+/-):</t>
        </is>
      </c>
      <c r="G6" s="160">
        <f>M18</f>
        <v/>
      </c>
      <c r="H6" s="118" t="n"/>
      <c r="I6" s="124" t="n"/>
      <c r="J6" s="120" t="inlineStr">
        <is>
          <t>Wymagana Zmiana vs Plan:</t>
        </is>
      </c>
      <c r="K6" s="118" t="n"/>
      <c r="L6" s="160">
        <f>'Buffer Engine'!B4</f>
        <v/>
      </c>
      <c r="M6" s="118" t="n"/>
      <c r="N6" s="49" t="n"/>
      <c r="O6" s="125" t="inlineStr">
        <is>
          <t>Margines nad Floor:</t>
        </is>
      </c>
      <c r="P6" s="160">
        <f>'Buffer Engine'!B6</f>
        <v/>
      </c>
      <c r="Q6" s="118" t="n"/>
      <c r="R6" s="49" t="n"/>
      <c r="S6" s="49" t="n"/>
    </row>
    <row r="7" ht="19.5" customHeight="1">
      <c r="A7" s="56" t="n"/>
      <c r="B7" s="120" t="inlineStr">
        <is>
          <t>Cel TPLH AOP:</t>
        </is>
      </c>
      <c r="C7" s="161">
        <f>'Labor Engine'!E4</f>
        <v/>
      </c>
      <c r="D7" s="118" t="n"/>
      <c r="E7" s="56" t="n"/>
      <c r="F7" s="120" t="inlineStr">
        <is>
          <t>Rzeczywisty TPLH MTD:</t>
        </is>
      </c>
      <c r="G7" s="161">
        <f>L18</f>
        <v/>
      </c>
      <c r="H7" s="118" t="n"/>
      <c r="I7" s="124" t="n"/>
      <c r="J7" s="120" t="inlineStr">
        <is>
          <t>Wypracowany Budżet Mies.:</t>
        </is>
      </c>
      <c r="K7" s="118" t="n"/>
      <c r="L7" s="158">
        <f>'Forecast Engine'!$B$10</f>
        <v/>
      </c>
      <c r="M7" s="118" t="n"/>
      <c r="N7" s="49" t="n"/>
      <c r="O7" s="125" t="inlineStr">
        <is>
          <t>Status Bezpieczeństwa:</t>
        </is>
      </c>
      <c r="P7" s="162">
        <f>'Alert Engine'!B1</f>
        <v/>
      </c>
      <c r="Q7" s="118" t="n"/>
      <c r="R7" s="49" t="n"/>
      <c r="S7" s="49" t="n"/>
    </row>
    <row r="8" ht="19.5" customHeight="1">
      <c r="A8" s="56" t="n"/>
      <c r="B8" s="120" t="inlineStr">
        <is>
          <t>Budżet Godzin AOP:</t>
        </is>
      </c>
      <c r="C8" s="158">
        <f>'Labor Engine'!E3</f>
        <v/>
      </c>
      <c r="D8" s="118" t="n"/>
      <c r="E8" s="56" t="n"/>
      <c r="F8" s="120" t="inlineStr">
        <is>
          <t>Trend Transakcji MTD:</t>
        </is>
      </c>
      <c r="G8" s="163">
        <f>'Forecast Engine'!$B$8 - 1</f>
        <v/>
      </c>
      <c r="H8" s="118" t="n"/>
      <c r="I8" s="73" t="n"/>
      <c r="J8" s="120" t="inlineStr">
        <is>
          <t>Wpływ Trendu na Budżet:</t>
        </is>
      </c>
      <c r="K8" s="118" t="n"/>
      <c r="L8" s="160">
        <f>'Forecast Engine'!$B$11</f>
        <v/>
      </c>
      <c r="M8" s="118" t="n"/>
      <c r="N8" s="49" t="n"/>
      <c r="O8" s="125" t="inlineStr">
        <is>
          <t>Floor Hours Miesiąca:</t>
        </is>
      </c>
      <c r="P8" s="158">
        <f>P18</f>
        <v/>
      </c>
      <c r="Q8" s="118" t="n"/>
      <c r="R8" s="49" t="n"/>
      <c r="S8" s="49" t="n"/>
    </row>
    <row r="9" ht="19.5" customHeight="1">
      <c r="A9" s="56" t="n"/>
      <c r="B9" s="164" t="inlineStr">
        <is>
          <t>Plan TRX AOP:</t>
        </is>
      </c>
      <c r="C9" s="165">
        <f>'Labor Engine'!H3</f>
        <v/>
      </c>
      <c r="D9" s="118" t="n"/>
      <c r="E9" s="56" t="n"/>
      <c r="F9" s="120" t="inlineStr">
        <is>
          <t>Zamknięte Tygodnie:</t>
        </is>
      </c>
      <c r="G9" s="162">
        <f>'Forecast Engine'!$B$5</f>
        <v/>
      </c>
      <c r="H9" s="118" t="n"/>
      <c r="I9" s="73" t="n"/>
      <c r="J9" s="120" t="inlineStr">
        <is>
          <t>Pozostały Budżet Earned:</t>
        </is>
      </c>
      <c r="K9" s="118" t="n"/>
      <c r="L9" s="158">
        <f>'Forecast Engine'!$B$12</f>
        <v/>
      </c>
      <c r="M9" s="118" t="n"/>
      <c r="N9" s="49" t="n"/>
      <c r="O9" s="125" t="inlineStr">
        <is>
          <t>Liczba Tygodni w Miesiącu:</t>
        </is>
      </c>
      <c r="P9" s="162">
        <f>'Labor Engine'!B5</f>
        <v/>
      </c>
      <c r="Q9" s="118" t="n"/>
      <c r="R9" s="49" t="n"/>
      <c r="S9" s="49" t="n"/>
    </row>
    <row r="10" ht="26" customHeight="1">
      <c r="A10" s="56" t="n"/>
      <c r="B10" s="131" t="inlineStr">
        <is>
          <t>TABELA TYGODNIOWA — PLAN AOP, WYKONANIE RZECZYWISTE I PREDYKCJA NA KOLEJNY GRAFIK</t>
        </is>
      </c>
      <c r="C10" s="188" t="n"/>
      <c r="D10" s="188" t="n"/>
      <c r="E10" s="188" t="n"/>
      <c r="F10" s="188" t="n"/>
      <c r="G10" s="188" t="n"/>
      <c r="H10" s="188" t="n"/>
      <c r="I10" s="119" t="n"/>
      <c r="J10" s="188" t="n"/>
      <c r="K10" s="188" t="n"/>
      <c r="L10" s="188" t="n"/>
      <c r="M10" s="188" t="n"/>
      <c r="N10" s="188" t="n"/>
      <c r="O10" s="188" t="n"/>
      <c r="P10" s="188" t="n"/>
      <c r="Q10" s="188" t="n"/>
      <c r="R10" s="49" t="n"/>
      <c r="S10" s="49" t="n"/>
    </row>
    <row r="11" ht="20" customHeight="1">
      <c r="A11" s="56" t="n"/>
      <c r="B11" s="167" t="inlineStr">
        <is>
          <t>Tydzień</t>
        </is>
      </c>
      <c r="C11" s="167" t="inlineStr">
        <is>
          <t>Zakres Dat</t>
        </is>
      </c>
      <c r="D11" s="167" t="inlineStr">
        <is>
          <t>Dni</t>
        </is>
      </c>
      <c r="E11" s="167" t="inlineStr">
        <is>
          <t>Typ Tygodnia</t>
        </is>
      </c>
      <c r="F11" s="168" t="inlineStr">
        <is>
          <t>Plan TRX</t>
        </is>
      </c>
      <c r="G11" s="168" t="inlineStr">
        <is>
          <t>Actual TRX</t>
        </is>
      </c>
      <c r="H11" s="169" t="inlineStr">
        <is>
          <t>Trend TRX</t>
        </is>
      </c>
      <c r="I11" s="170" t="inlineStr">
        <is>
          <t>Plan Godziny</t>
        </is>
      </c>
      <c r="J11" s="170" t="inlineStr">
        <is>
          <t>Actual Godziny</t>
        </is>
      </c>
      <c r="K11" s="171" t="inlineStr">
        <is>
          <t>Cel TPLH</t>
        </is>
      </c>
      <c r="L11" s="171" t="inlineStr">
        <is>
          <t>Actual TPLH</t>
        </is>
      </c>
      <c r="M11" s="172" t="inlineStr">
        <is>
          <t>Odchylenie (+/-)</t>
        </is>
      </c>
      <c r="N11" s="168" t="inlineStr">
        <is>
          <t>Prognoza TRX</t>
        </is>
      </c>
      <c r="O11" s="170" t="inlineStr">
        <is>
          <t>HANW Predykcyjny</t>
        </is>
      </c>
      <c r="P11" s="170" t="inlineStr">
        <is>
          <t>Floor Hours</t>
        </is>
      </c>
      <c r="Q11" s="167" t="inlineStr">
        <is>
          <t>Status Floor</t>
        </is>
      </c>
      <c r="R11" s="49" t="n"/>
      <c r="S11" s="49" t="n"/>
    </row>
    <row r="12" ht="20" customHeight="1">
      <c r="A12" s="56" t="n"/>
      <c r="B12" s="173">
        <f>'Forecast Engine'!A15</f>
        <v/>
      </c>
      <c r="C12" s="135">
        <f>'Labor Engine'!B10</f>
        <v/>
      </c>
      <c r="D12" s="135">
        <f>'Forecast Engine'!B15</f>
        <v/>
      </c>
      <c r="E12" s="136">
        <f>'Forecast Engine'!C15</f>
        <v/>
      </c>
      <c r="F12" s="137">
        <f>'Forecast Engine'!D15</f>
        <v/>
      </c>
      <c r="G12" s="174" t="n">
        <v>2050</v>
      </c>
      <c r="H12" s="139">
        <f>'Forecast Engine'!F15</f>
        <v/>
      </c>
      <c r="I12" s="140">
        <f>'Forecast Engine'!G15</f>
        <v/>
      </c>
      <c r="J12" s="175">
        <f>IF(SUMIFS('Labor Actuals DB'!$K:$K, 'Labor Actuals DB'!$F:$F, $C$5 &amp; "_" &amp; $C$6 &amp; "_W1")&gt;0, ROUND(SUMIFS('Labor Actuals DB'!$K:$K, 'Labor Actuals DB'!$F:$F, $C$5 &amp; "_" &amp; $C$6 &amp; "_W1"), 1), "")</f>
        <v/>
      </c>
      <c r="K12" s="142">
        <f>'Forecast Engine'!I15</f>
        <v/>
      </c>
      <c r="L12" s="143">
        <f>'Forecast Engine'!J15</f>
        <v/>
      </c>
      <c r="M12" s="144">
        <f>'Forecast Engine'!K15</f>
        <v/>
      </c>
      <c r="N12" s="137">
        <f>'Forecast Engine'!M15</f>
        <v/>
      </c>
      <c r="O12" s="145">
        <f>'Forecast Engine'!Q15</f>
        <v/>
      </c>
      <c r="P12" s="146">
        <f>'Forecast Engine'!P15</f>
        <v/>
      </c>
      <c r="Q12" s="135">
        <f>'Forecast Engine'!R15</f>
        <v/>
      </c>
      <c r="R12" s="49" t="n"/>
      <c r="S12" s="49" t="n"/>
    </row>
    <row r="13" ht="20" customHeight="1">
      <c r="A13" s="56" t="n"/>
      <c r="B13" s="173">
        <f>'Forecast Engine'!A16</f>
        <v/>
      </c>
      <c r="C13" s="135">
        <f>'Labor Engine'!B11</f>
        <v/>
      </c>
      <c r="D13" s="135">
        <f>'Forecast Engine'!B16</f>
        <v/>
      </c>
      <c r="E13" s="136">
        <f>'Forecast Engine'!C16</f>
        <v/>
      </c>
      <c r="F13" s="137">
        <f>'Forecast Engine'!D16</f>
        <v/>
      </c>
      <c r="G13" s="174" t="n"/>
      <c r="H13" s="139">
        <f>'Forecast Engine'!F16</f>
        <v/>
      </c>
      <c r="I13" s="140">
        <f>'Forecast Engine'!G16</f>
        <v/>
      </c>
      <c r="J13" s="175">
        <f>IF(SUMIFS('Labor Actuals DB'!$K:$K, 'Labor Actuals DB'!$F:$F, $C$5 &amp; "_" &amp; $C$6 &amp; "_W2")&gt;0, ROUND(SUMIFS('Labor Actuals DB'!$K:$K, 'Labor Actuals DB'!$F:$F, $C$5 &amp; "_" &amp; $C$6 &amp; "_W2"), 1), "")</f>
        <v/>
      </c>
      <c r="K13" s="142">
        <f>'Forecast Engine'!I16</f>
        <v/>
      </c>
      <c r="L13" s="143">
        <f>'Forecast Engine'!J16</f>
        <v/>
      </c>
      <c r="M13" s="144">
        <f>'Forecast Engine'!K16</f>
        <v/>
      </c>
      <c r="N13" s="137">
        <f>'Forecast Engine'!M16</f>
        <v/>
      </c>
      <c r="O13" s="145">
        <f>'Forecast Engine'!Q16</f>
        <v/>
      </c>
      <c r="P13" s="146">
        <f>'Forecast Engine'!P16</f>
        <v/>
      </c>
      <c r="Q13" s="135">
        <f>'Forecast Engine'!R16</f>
        <v/>
      </c>
      <c r="R13" s="49" t="n"/>
      <c r="S13" s="49" t="n"/>
    </row>
    <row r="14" ht="20" customHeight="1">
      <c r="A14" s="56" t="n"/>
      <c r="B14" s="173">
        <f>'Forecast Engine'!A17</f>
        <v/>
      </c>
      <c r="C14" s="135">
        <f>'Labor Engine'!B12</f>
        <v/>
      </c>
      <c r="D14" s="135">
        <f>'Forecast Engine'!B17</f>
        <v/>
      </c>
      <c r="E14" s="136">
        <f>'Forecast Engine'!C17</f>
        <v/>
      </c>
      <c r="F14" s="137">
        <f>'Forecast Engine'!D17</f>
        <v/>
      </c>
      <c r="G14" s="174" t="n"/>
      <c r="H14" s="139">
        <f>'Forecast Engine'!F17</f>
        <v/>
      </c>
      <c r="I14" s="140">
        <f>'Forecast Engine'!G17</f>
        <v/>
      </c>
      <c r="J14" s="175">
        <f>IF(SUMIFS('Labor Actuals DB'!$K:$K, 'Labor Actuals DB'!$F:$F, $C$5 &amp; "_" &amp; $C$6 &amp; "_W3")&gt;0, ROUND(SUMIFS('Labor Actuals DB'!$K:$K, 'Labor Actuals DB'!$F:$F, $C$5 &amp; "_" &amp; $C$6 &amp; "_W3"), 1), "")</f>
        <v/>
      </c>
      <c r="K14" s="142">
        <f>'Forecast Engine'!I17</f>
        <v/>
      </c>
      <c r="L14" s="143">
        <f>'Forecast Engine'!J17</f>
        <v/>
      </c>
      <c r="M14" s="144">
        <f>'Forecast Engine'!K17</f>
        <v/>
      </c>
      <c r="N14" s="137">
        <f>'Forecast Engine'!M17</f>
        <v/>
      </c>
      <c r="O14" s="145">
        <f>'Forecast Engine'!Q17</f>
        <v/>
      </c>
      <c r="P14" s="146">
        <f>'Forecast Engine'!P17</f>
        <v/>
      </c>
      <c r="Q14" s="135">
        <f>'Forecast Engine'!R17</f>
        <v/>
      </c>
      <c r="R14" s="49" t="n"/>
      <c r="S14" s="49" t="n"/>
    </row>
    <row r="15" ht="20" customHeight="1">
      <c r="A15" s="56" t="n"/>
      <c r="B15" s="173">
        <f>'Forecast Engine'!A18</f>
        <v/>
      </c>
      <c r="C15" s="135">
        <f>'Labor Engine'!B13</f>
        <v/>
      </c>
      <c r="D15" s="135">
        <f>'Forecast Engine'!B18</f>
        <v/>
      </c>
      <c r="E15" s="136">
        <f>'Forecast Engine'!C18</f>
        <v/>
      </c>
      <c r="F15" s="137">
        <f>'Forecast Engine'!D18</f>
        <v/>
      </c>
      <c r="G15" s="174" t="n"/>
      <c r="H15" s="139">
        <f>'Forecast Engine'!F18</f>
        <v/>
      </c>
      <c r="I15" s="140">
        <f>'Forecast Engine'!G18</f>
        <v/>
      </c>
      <c r="J15" s="175">
        <f>IF(SUMIFS('Labor Actuals DB'!$K:$K, 'Labor Actuals DB'!$F:$F, $C$5 &amp; "_" &amp; $C$6 &amp; "_W4")&gt;0, ROUND(SUMIFS('Labor Actuals DB'!$K:$K, 'Labor Actuals DB'!$F:$F, $C$5 &amp; "_" &amp; $C$6 &amp; "_W4"), 1), "")</f>
        <v/>
      </c>
      <c r="K15" s="142">
        <f>'Forecast Engine'!I18</f>
        <v/>
      </c>
      <c r="L15" s="143">
        <f>'Forecast Engine'!J18</f>
        <v/>
      </c>
      <c r="M15" s="144">
        <f>'Forecast Engine'!K18</f>
        <v/>
      </c>
      <c r="N15" s="137">
        <f>'Forecast Engine'!M18</f>
        <v/>
      </c>
      <c r="O15" s="145">
        <f>'Forecast Engine'!Q18</f>
        <v/>
      </c>
      <c r="P15" s="146">
        <f>'Forecast Engine'!P18</f>
        <v/>
      </c>
      <c r="Q15" s="135">
        <f>'Forecast Engine'!R18</f>
        <v/>
      </c>
      <c r="R15" s="49" t="n"/>
      <c r="S15" s="49" t="n"/>
    </row>
    <row r="16" ht="20" customHeight="1">
      <c r="A16" s="56" t="n"/>
      <c r="B16" s="173">
        <f>'Forecast Engine'!A19</f>
        <v/>
      </c>
      <c r="C16" s="135">
        <f>'Labor Engine'!B14</f>
        <v/>
      </c>
      <c r="D16" s="135">
        <f>'Forecast Engine'!B19</f>
        <v/>
      </c>
      <c r="E16" s="136">
        <f>'Forecast Engine'!C19</f>
        <v/>
      </c>
      <c r="F16" s="137">
        <f>'Forecast Engine'!D19</f>
        <v/>
      </c>
      <c r="G16" s="174" t="n"/>
      <c r="H16" s="139">
        <f>'Forecast Engine'!F19</f>
        <v/>
      </c>
      <c r="I16" s="140">
        <f>'Forecast Engine'!G19</f>
        <v/>
      </c>
      <c r="J16" s="175">
        <f>IF(SUMIFS('Labor Actuals DB'!$K:$K, 'Labor Actuals DB'!$F:$F, $C$5 &amp; "_" &amp; $C$6 &amp; "_W5")&gt;0, ROUND(SUMIFS('Labor Actuals DB'!$K:$K, 'Labor Actuals DB'!$F:$F, $C$5 &amp; "_" &amp; $C$6 &amp; "_W5"), 1), "")</f>
        <v/>
      </c>
      <c r="K16" s="142">
        <f>'Forecast Engine'!I19</f>
        <v/>
      </c>
      <c r="L16" s="143">
        <f>'Forecast Engine'!J19</f>
        <v/>
      </c>
      <c r="M16" s="144">
        <f>'Forecast Engine'!K19</f>
        <v/>
      </c>
      <c r="N16" s="137">
        <f>'Forecast Engine'!M19</f>
        <v/>
      </c>
      <c r="O16" s="145">
        <f>'Forecast Engine'!Q19</f>
        <v/>
      </c>
      <c r="P16" s="146">
        <f>'Forecast Engine'!P19</f>
        <v/>
      </c>
      <c r="Q16" s="135">
        <f>'Forecast Engine'!R19</f>
        <v/>
      </c>
      <c r="R16" s="49" t="n"/>
      <c r="S16" s="49" t="n"/>
    </row>
    <row r="17" ht="22" customHeight="1">
      <c r="A17" s="56" t="n"/>
      <c r="B17" s="173">
        <f>'Forecast Engine'!A20</f>
        <v/>
      </c>
      <c r="C17" s="135">
        <f>'Labor Engine'!B15</f>
        <v/>
      </c>
      <c r="D17" s="135">
        <f>'Forecast Engine'!B20</f>
        <v/>
      </c>
      <c r="E17" s="136">
        <f>'Forecast Engine'!C20</f>
        <v/>
      </c>
      <c r="F17" s="137">
        <f>'Forecast Engine'!D20</f>
        <v/>
      </c>
      <c r="G17" s="174" t="n"/>
      <c r="H17" s="139">
        <f>'Forecast Engine'!F20</f>
        <v/>
      </c>
      <c r="I17" s="146">
        <f>'Forecast Engine'!G20</f>
        <v/>
      </c>
      <c r="J17" s="175">
        <f>IF(SUMIFS('Labor Actuals DB'!$K:$K, 'Labor Actuals DB'!$F:$F, $C$5 &amp; "_" &amp; $C$6 &amp; "_W6")&gt;0, ROUND(SUMIFS('Labor Actuals DB'!$K:$K, 'Labor Actuals DB'!$F:$F, $C$5 &amp; "_" &amp; $C$6 &amp; "_W6"), 1), "")</f>
        <v/>
      </c>
      <c r="K17" s="142">
        <f>'Forecast Engine'!I20</f>
        <v/>
      </c>
      <c r="L17" s="176">
        <f>'Forecast Engine'!J20</f>
        <v/>
      </c>
      <c r="M17" s="144">
        <f>'Forecast Engine'!K20</f>
        <v/>
      </c>
      <c r="N17" s="137">
        <f>'Forecast Engine'!M20</f>
        <v/>
      </c>
      <c r="O17" s="145">
        <f>'Forecast Engine'!Q20</f>
        <v/>
      </c>
      <c r="P17" s="146">
        <f>'Forecast Engine'!P20</f>
        <v/>
      </c>
      <c r="Q17" s="135">
        <f>'Forecast Engine'!R20</f>
        <v/>
      </c>
      <c r="R17" s="49" t="n"/>
      <c r="S17" s="49" t="n"/>
    </row>
    <row r="18">
      <c r="A18" s="49" t="n"/>
      <c r="B18" s="147" t="inlineStr">
        <is>
          <t>SUMA MIESIĄCA</t>
        </is>
      </c>
      <c r="C18" s="148" t="n"/>
      <c r="D18" s="149">
        <f>SUM(D12:D17)</f>
        <v/>
      </c>
      <c r="E18" s="148" t="n"/>
      <c r="F18" s="150">
        <f>SUM(F12:F17)</f>
        <v/>
      </c>
      <c r="G18" s="150">
        <f>SUM(G12:G17)</f>
        <v/>
      </c>
      <c r="H18" s="151">
        <f>'Forecast Engine'!$B$8 - 1</f>
        <v/>
      </c>
      <c r="I18" s="152">
        <f>SUM(I12:I17)</f>
        <v/>
      </c>
      <c r="J18" s="152">
        <f>SUM(J12:J17)</f>
        <v/>
      </c>
      <c r="K18" s="153">
        <f>'Labor Engine'!E4</f>
        <v/>
      </c>
      <c r="L18" s="153">
        <f>IF(J18=0, "", ROUND(G18/J18, 2))</f>
        <v/>
      </c>
      <c r="M18" s="155">
        <f>SUM(M12:M17)</f>
        <v/>
      </c>
      <c r="N18" s="150">
        <f>'Forecast Engine'!$B$9</f>
        <v/>
      </c>
      <c r="O18" s="152">
        <f>SUM(O12:O17)</f>
        <v/>
      </c>
      <c r="P18" s="152">
        <f>SUM(P12:P17)</f>
        <v/>
      </c>
      <c r="Q18" s="148" t="n"/>
      <c r="R18" s="49" t="n"/>
      <c r="S18" s="49" t="n"/>
    </row>
    <row r="19" ht="8" customHeight="1">
      <c r="A19" s="49" t="n"/>
      <c r="B19" s="189" t="n"/>
      <c r="C19" s="49" t="n"/>
      <c r="D19" s="49" t="n"/>
      <c r="E19" s="131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</row>
    <row r="20">
      <c r="A20" s="49" t="n"/>
      <c r="B20" s="156" t="inlineStr">
        <is>
          <t>REKOMENDACJA OPERACYJNA DLA STORE MANAGERA:</t>
        </is>
      </c>
      <c r="C20" s="117" t="n"/>
      <c r="D20" s="118" t="n"/>
      <c r="E20" s="157">
        <f>'Alert Engine'!B2</f>
        <v/>
      </c>
      <c r="F20" s="117" t="n"/>
      <c r="G20" s="117" t="n"/>
      <c r="H20" s="117" t="n"/>
      <c r="I20" s="117" t="n"/>
      <c r="J20" s="117" t="n"/>
      <c r="K20" s="117" t="n"/>
      <c r="L20" s="117" t="n"/>
      <c r="M20" s="117" t="n"/>
      <c r="N20" s="117" t="n"/>
      <c r="O20" s="117" t="n"/>
      <c r="P20" s="117" t="n"/>
      <c r="Q20" s="118" t="n"/>
      <c r="R20" s="49" t="n"/>
      <c r="S20" s="49" t="n"/>
    </row>
    <row r="21" ht="10" customHeight="1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</row>
    <row r="22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</row>
    <row r="23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</row>
    <row r="24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</row>
    <row r="2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</row>
    <row r="26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</row>
    <row r="27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</row>
    <row r="28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</row>
    <row r="29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</row>
    <row r="30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</row>
    <row r="31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</row>
    <row r="32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</row>
    <row r="33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</row>
    <row r="34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</row>
    <row r="3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</row>
    <row r="36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</row>
    <row r="37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</row>
    <row r="38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</row>
    <row r="39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</row>
    <row r="40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</row>
    <row r="41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</row>
    <row r="42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</row>
    <row r="43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</row>
    <row r="44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3">
    <mergeCell ref="C6:D6"/>
    <mergeCell ref="L7:M7"/>
    <mergeCell ref="J5:K5"/>
    <mergeCell ref="O4:Q4"/>
    <mergeCell ref="C5:D5"/>
    <mergeCell ref="G8:H8"/>
    <mergeCell ref="J9:K9"/>
    <mergeCell ref="P9:Q9"/>
    <mergeCell ref="G7:H7"/>
    <mergeCell ref="J6:K6"/>
    <mergeCell ref="P6:Q6"/>
    <mergeCell ref="P8:Q8"/>
    <mergeCell ref="L5:M5"/>
    <mergeCell ref="G6:H6"/>
    <mergeCell ref="C9:D9"/>
    <mergeCell ref="L8:M8"/>
    <mergeCell ref="B20:D20"/>
    <mergeCell ref="P7:Q7"/>
    <mergeCell ref="B4:D4"/>
    <mergeCell ref="J7:K7"/>
    <mergeCell ref="G5:H5"/>
    <mergeCell ref="F4:H4"/>
    <mergeCell ref="E20:Q20"/>
    <mergeCell ref="B2:Q2"/>
    <mergeCell ref="C8:D8"/>
    <mergeCell ref="L9:M9"/>
    <mergeCell ref="C7:D7"/>
    <mergeCell ref="L6:M6"/>
    <mergeCell ref="B1:Q1"/>
    <mergeCell ref="J4:M4"/>
    <mergeCell ref="P5:Q5"/>
    <mergeCell ref="G9:H9"/>
    <mergeCell ref="J8:K8"/>
  </mergeCells>
  <dataValidations count="2">
    <dataValidation sqref="C5" showDropDown="0" showInputMessage="0" showErrorMessage="0" allowBlank="0" type="list">
      <formula1>"2021,2022,2023,2024,2025,2026,2027,2028,2029,2030,2031,2032,2033,2034,2035,2036"</formula1>
    </dataValidation>
    <dataValidation sqref="C6" showDropDown="0" showInputMessage="0" showErrorMessage="0" allowBlank="0" type="list">
      <formula1>"Styczeń,Luty,Marzec,Kwiecień,Maj,Czerwiec,Lipiec,Sierpień,Wrzesień,Październik,Listopad,Grudzień"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/>
    <pageSetUpPr/>
  </sheetPr>
  <dimension ref="A1:J5845"/>
  <sheetViews>
    <sheetView workbookViewId="0">
      <selection activeCell="A1" sqref="A1"/>
    </sheetView>
  </sheetViews>
  <sheetFormatPr baseColWidth="8" defaultRowHeight="15"/>
  <cols>
    <col width="15.005" bestFit="1" customWidth="1" style="39" min="1" max="1"/>
    <col width="15.005" bestFit="1" customWidth="1" style="39" min="2" max="2"/>
    <col width="15.005" bestFit="1" customWidth="1" style="39" min="3" max="3"/>
    <col width="15.005" bestFit="1" customWidth="1" style="19" min="4" max="4"/>
    <col width="15.005" bestFit="1" customWidth="1" style="19" min="5" max="5"/>
    <col width="15.005" bestFit="1" customWidth="1" style="19" min="6" max="6"/>
    <col width="15.005" bestFit="1" customWidth="1" style="19" min="7" max="7"/>
    <col width="15.005" bestFit="1" customWidth="1" style="19" min="8" max="8"/>
    <col width="15.005" bestFit="1" customWidth="1" style="19" min="9" max="9"/>
  </cols>
  <sheetData>
    <row r="1" ht="17.25" customHeight="1">
      <c r="A1" t="inlineStr">
        <is>
          <t>Date</t>
        </is>
      </c>
      <c r="B1" t="inlineStr">
        <is>
          <t>Week Start</t>
        </is>
      </c>
      <c r="C1" t="inlineStr">
        <is>
          <t>Week End</t>
        </is>
      </c>
      <c r="D1" t="inlineStr">
        <is>
          <t>Business Week</t>
        </is>
      </c>
      <c r="E1" t="inlineStr">
        <is>
          <t>Rok</t>
        </is>
      </c>
      <c r="F1" t="inlineStr">
        <is>
          <t>Miesiąc</t>
        </is>
      </c>
      <c r="G1" t="inlineStr">
        <is>
          <t>Dzień Tygodnia</t>
        </is>
      </c>
      <c r="H1" t="inlineStr">
        <is>
          <t>Floor Hours Dnia</t>
        </is>
      </c>
      <c r="I1" t="inlineStr">
        <is>
          <t>Tydzień w Miesiącu</t>
        </is>
      </c>
      <c r="J1" t="inlineStr">
        <is>
          <t>Klucz Tygodnia (Y_M_W)</t>
        </is>
      </c>
    </row>
    <row r="2" ht="17.25" customHeight="1">
      <c r="A2" s="177" t="n">
        <v>44197</v>
      </c>
      <c r="B2" s="177" t="n">
        <v>44194</v>
      </c>
      <c r="C2" s="177" t="n">
        <v>44200</v>
      </c>
      <c r="D2" t="inlineStr">
        <is>
          <t>BW20201229</t>
        </is>
      </c>
      <c r="E2" t="n">
        <v>2021</v>
      </c>
      <c r="F2" t="inlineStr">
        <is>
          <t>Styczeń</t>
        </is>
      </c>
      <c r="G2" t="inlineStr">
        <is>
          <t>Pt</t>
        </is>
      </c>
      <c r="H2">
        <f>'Floor Hours Engine'!$E$5</f>
        <v/>
      </c>
      <c r="I2" t="inlineStr">
        <is>
          <t>W1</t>
        </is>
      </c>
      <c r="J2" t="inlineStr">
        <is>
          <t>2021_Styczeń_W1</t>
        </is>
      </c>
    </row>
    <row r="3" ht="17.25" customHeight="1">
      <c r="A3" s="177" t="n">
        <v>44198</v>
      </c>
      <c r="B3" s="177" t="n">
        <v>44194</v>
      </c>
      <c r="C3" s="177" t="n">
        <v>44200</v>
      </c>
      <c r="D3" t="inlineStr">
        <is>
          <t>BW20201229</t>
        </is>
      </c>
      <c r="E3" t="n">
        <v>2021</v>
      </c>
      <c r="F3" t="inlineStr">
        <is>
          <t>Styczeń</t>
        </is>
      </c>
      <c r="G3" t="inlineStr">
        <is>
          <t>Sob</t>
        </is>
      </c>
      <c r="H3">
        <f>'Floor Hours Engine'!$E$5</f>
        <v/>
      </c>
      <c r="I3" t="inlineStr">
        <is>
          <t>W1</t>
        </is>
      </c>
      <c r="J3" t="inlineStr">
        <is>
          <t>2021_Styczeń_W1</t>
        </is>
      </c>
    </row>
    <row r="4" ht="17.25" customHeight="1">
      <c r="A4" s="177" t="n">
        <v>44199</v>
      </c>
      <c r="B4" s="177" t="n">
        <v>44194</v>
      </c>
      <c r="C4" s="177" t="n">
        <v>44200</v>
      </c>
      <c r="D4" t="inlineStr">
        <is>
          <t>BW20201229</t>
        </is>
      </c>
      <c r="E4" t="n">
        <v>2021</v>
      </c>
      <c r="F4" t="inlineStr">
        <is>
          <t>Styczeń</t>
        </is>
      </c>
      <c r="G4" t="inlineStr">
        <is>
          <t>Nd</t>
        </is>
      </c>
      <c r="H4">
        <f>'Floor Hours Engine'!$E$6</f>
        <v/>
      </c>
      <c r="I4" t="inlineStr">
        <is>
          <t>W1</t>
        </is>
      </c>
      <c r="J4" t="inlineStr">
        <is>
          <t>2021_Styczeń_W1</t>
        </is>
      </c>
    </row>
    <row r="5" ht="17.25" customHeight="1">
      <c r="A5" s="177" t="n">
        <v>44200</v>
      </c>
      <c r="B5" s="177" t="n">
        <v>44194</v>
      </c>
      <c r="C5" s="177" t="n">
        <v>44200</v>
      </c>
      <c r="D5" t="inlineStr">
        <is>
          <t>BW20201229</t>
        </is>
      </c>
      <c r="E5" t="n">
        <v>2021</v>
      </c>
      <c r="F5" t="inlineStr">
        <is>
          <t>Styczeń</t>
        </is>
      </c>
      <c r="G5" t="inlineStr">
        <is>
          <t>Pn</t>
        </is>
      </c>
      <c r="H5">
        <f>'Floor Hours Engine'!$E$4</f>
        <v/>
      </c>
      <c r="I5" t="inlineStr">
        <is>
          <t>W1</t>
        </is>
      </c>
      <c r="J5" t="inlineStr">
        <is>
          <t>2021_Styczeń_W1</t>
        </is>
      </c>
    </row>
    <row r="6" ht="17.25" customHeight="1">
      <c r="A6" s="177" t="n">
        <v>44201</v>
      </c>
      <c r="B6" s="177" t="n">
        <v>44201</v>
      </c>
      <c r="C6" s="177" t="n">
        <v>44207</v>
      </c>
      <c r="D6" t="inlineStr">
        <is>
          <t>BW20210105</t>
        </is>
      </c>
      <c r="E6" t="n">
        <v>2021</v>
      </c>
      <c r="F6" t="inlineStr">
        <is>
          <t>Styczeń</t>
        </is>
      </c>
      <c r="G6" t="inlineStr">
        <is>
          <t>Wt</t>
        </is>
      </c>
      <c r="H6">
        <f>'Floor Hours Engine'!$E$4</f>
        <v/>
      </c>
      <c r="I6" t="inlineStr">
        <is>
          <t>W2</t>
        </is>
      </c>
      <c r="J6" t="inlineStr">
        <is>
          <t>2021_Styczeń_W2</t>
        </is>
      </c>
    </row>
    <row r="7" ht="17.25" customHeight="1">
      <c r="A7" s="177" t="n">
        <v>44202</v>
      </c>
      <c r="B7" s="177" t="n">
        <v>44201</v>
      </c>
      <c r="C7" s="177" t="n">
        <v>44207</v>
      </c>
      <c r="D7" t="inlineStr">
        <is>
          <t>BW20210105</t>
        </is>
      </c>
      <c r="E7" t="n">
        <v>2021</v>
      </c>
      <c r="F7" t="inlineStr">
        <is>
          <t>Styczeń</t>
        </is>
      </c>
      <c r="G7" t="inlineStr">
        <is>
          <t>Śr</t>
        </is>
      </c>
      <c r="H7">
        <f>'Floor Hours Engine'!$E$4</f>
        <v/>
      </c>
      <c r="I7" t="inlineStr">
        <is>
          <t>W2</t>
        </is>
      </c>
      <c r="J7" t="inlineStr">
        <is>
          <t>2021_Styczeń_W2</t>
        </is>
      </c>
    </row>
    <row r="8" ht="17.25" customHeight="1">
      <c r="A8" s="177" t="n">
        <v>44203</v>
      </c>
      <c r="B8" s="177" t="n">
        <v>44201</v>
      </c>
      <c r="C8" s="177" t="n">
        <v>44207</v>
      </c>
      <c r="D8" t="inlineStr">
        <is>
          <t>BW20210105</t>
        </is>
      </c>
      <c r="E8" t="n">
        <v>2021</v>
      </c>
      <c r="F8" t="inlineStr">
        <is>
          <t>Styczeń</t>
        </is>
      </c>
      <c r="G8" t="inlineStr">
        <is>
          <t>Czw</t>
        </is>
      </c>
      <c r="H8">
        <f>'Floor Hours Engine'!$E$4</f>
        <v/>
      </c>
      <c r="I8" t="inlineStr">
        <is>
          <t>W2</t>
        </is>
      </c>
      <c r="J8" t="inlineStr">
        <is>
          <t>2021_Styczeń_W2</t>
        </is>
      </c>
    </row>
    <row r="9" ht="17.25" customHeight="1">
      <c r="A9" s="177" t="n">
        <v>44204</v>
      </c>
      <c r="B9" s="177" t="n">
        <v>44201</v>
      </c>
      <c r="C9" s="177" t="n">
        <v>44207</v>
      </c>
      <c r="D9" t="inlineStr">
        <is>
          <t>BW20210105</t>
        </is>
      </c>
      <c r="E9" t="n">
        <v>2021</v>
      </c>
      <c r="F9" t="inlineStr">
        <is>
          <t>Styczeń</t>
        </is>
      </c>
      <c r="G9" t="inlineStr">
        <is>
          <t>Pt</t>
        </is>
      </c>
      <c r="H9">
        <f>'Floor Hours Engine'!$E$5</f>
        <v/>
      </c>
      <c r="I9" t="inlineStr">
        <is>
          <t>W2</t>
        </is>
      </c>
      <c r="J9" t="inlineStr">
        <is>
          <t>2021_Styczeń_W2</t>
        </is>
      </c>
    </row>
    <row r="10" ht="17.25" customHeight="1">
      <c r="A10" s="177" t="n">
        <v>44205</v>
      </c>
      <c r="B10" s="177" t="n">
        <v>44201</v>
      </c>
      <c r="C10" s="177" t="n">
        <v>44207</v>
      </c>
      <c r="D10" t="inlineStr">
        <is>
          <t>BW20210105</t>
        </is>
      </c>
      <c r="E10" t="n">
        <v>2021</v>
      </c>
      <c r="F10" t="inlineStr">
        <is>
          <t>Styczeń</t>
        </is>
      </c>
      <c r="G10" t="inlineStr">
        <is>
          <t>Sob</t>
        </is>
      </c>
      <c r="H10">
        <f>'Floor Hours Engine'!$E$5</f>
        <v/>
      </c>
      <c r="I10" t="inlineStr">
        <is>
          <t>W2</t>
        </is>
      </c>
      <c r="J10" t="inlineStr">
        <is>
          <t>2021_Styczeń_W2</t>
        </is>
      </c>
    </row>
    <row r="11" ht="17.25" customHeight="1">
      <c r="A11" s="177" t="n">
        <v>44206</v>
      </c>
      <c r="B11" s="177" t="n">
        <v>44201</v>
      </c>
      <c r="C11" s="177" t="n">
        <v>44207</v>
      </c>
      <c r="D11" t="inlineStr">
        <is>
          <t>BW20210105</t>
        </is>
      </c>
      <c r="E11" t="n">
        <v>2021</v>
      </c>
      <c r="F11" t="inlineStr">
        <is>
          <t>Styczeń</t>
        </is>
      </c>
      <c r="G11" t="inlineStr">
        <is>
          <t>Nd</t>
        </is>
      </c>
      <c r="H11">
        <f>'Floor Hours Engine'!$E$6</f>
        <v/>
      </c>
      <c r="I11" t="inlineStr">
        <is>
          <t>W2</t>
        </is>
      </c>
      <c r="J11" t="inlineStr">
        <is>
          <t>2021_Styczeń_W2</t>
        </is>
      </c>
    </row>
    <row r="12" ht="17.25" customHeight="1">
      <c r="A12" s="177" t="n">
        <v>44207</v>
      </c>
      <c r="B12" s="177" t="n">
        <v>44201</v>
      </c>
      <c r="C12" s="177" t="n">
        <v>44207</v>
      </c>
      <c r="D12" t="inlineStr">
        <is>
          <t>BW20210105</t>
        </is>
      </c>
      <c r="E12" t="n">
        <v>2021</v>
      </c>
      <c r="F12" t="inlineStr">
        <is>
          <t>Styczeń</t>
        </is>
      </c>
      <c r="G12" t="inlineStr">
        <is>
          <t>Pn</t>
        </is>
      </c>
      <c r="H12">
        <f>'Floor Hours Engine'!$E$4</f>
        <v/>
      </c>
      <c r="I12" t="inlineStr">
        <is>
          <t>W2</t>
        </is>
      </c>
      <c r="J12" t="inlineStr">
        <is>
          <t>2021_Styczeń_W2</t>
        </is>
      </c>
    </row>
    <row r="13" ht="17.25" customHeight="1">
      <c r="A13" s="177" t="n">
        <v>44208</v>
      </c>
      <c r="B13" s="177" t="n">
        <v>44208</v>
      </c>
      <c r="C13" s="177" t="n">
        <v>44214</v>
      </c>
      <c r="D13" t="inlineStr">
        <is>
          <t>BW20210112</t>
        </is>
      </c>
      <c r="E13" t="n">
        <v>2021</v>
      </c>
      <c r="F13" t="inlineStr">
        <is>
          <t>Styczeń</t>
        </is>
      </c>
      <c r="G13" t="inlineStr">
        <is>
          <t>Wt</t>
        </is>
      </c>
      <c r="H13">
        <f>'Floor Hours Engine'!$E$4</f>
        <v/>
      </c>
      <c r="I13" t="inlineStr">
        <is>
          <t>W3</t>
        </is>
      </c>
      <c r="J13" t="inlineStr">
        <is>
          <t>2021_Styczeń_W3</t>
        </is>
      </c>
    </row>
    <row r="14" ht="17.25" customHeight="1">
      <c r="A14" s="177" t="n">
        <v>44209</v>
      </c>
      <c r="B14" s="177" t="n">
        <v>44208</v>
      </c>
      <c r="C14" s="177" t="n">
        <v>44214</v>
      </c>
      <c r="D14" t="inlineStr">
        <is>
          <t>BW20210112</t>
        </is>
      </c>
      <c r="E14" t="n">
        <v>2021</v>
      </c>
      <c r="F14" t="inlineStr">
        <is>
          <t>Styczeń</t>
        </is>
      </c>
      <c r="G14" t="inlineStr">
        <is>
          <t>Śr</t>
        </is>
      </c>
      <c r="H14">
        <f>'Floor Hours Engine'!$E$4</f>
        <v/>
      </c>
      <c r="I14" t="inlineStr">
        <is>
          <t>W3</t>
        </is>
      </c>
      <c r="J14" t="inlineStr">
        <is>
          <t>2021_Styczeń_W3</t>
        </is>
      </c>
    </row>
    <row r="15" ht="17.25" customHeight="1">
      <c r="A15" s="177" t="n">
        <v>44210</v>
      </c>
      <c r="B15" s="177" t="n">
        <v>44208</v>
      </c>
      <c r="C15" s="177" t="n">
        <v>44214</v>
      </c>
      <c r="D15" t="inlineStr">
        <is>
          <t>BW20210112</t>
        </is>
      </c>
      <c r="E15" t="n">
        <v>2021</v>
      </c>
      <c r="F15" t="inlineStr">
        <is>
          <t>Styczeń</t>
        </is>
      </c>
      <c r="G15" t="inlineStr">
        <is>
          <t>Czw</t>
        </is>
      </c>
      <c r="H15">
        <f>'Floor Hours Engine'!$E$4</f>
        <v/>
      </c>
      <c r="I15" t="inlineStr">
        <is>
          <t>W3</t>
        </is>
      </c>
      <c r="J15" t="inlineStr">
        <is>
          <t>2021_Styczeń_W3</t>
        </is>
      </c>
    </row>
    <row r="16" ht="17.25" customHeight="1">
      <c r="A16" s="177" t="n">
        <v>44211</v>
      </c>
      <c r="B16" s="177" t="n">
        <v>44208</v>
      </c>
      <c r="C16" s="177" t="n">
        <v>44214</v>
      </c>
      <c r="D16" t="inlineStr">
        <is>
          <t>BW20210112</t>
        </is>
      </c>
      <c r="E16" t="n">
        <v>2021</v>
      </c>
      <c r="F16" t="inlineStr">
        <is>
          <t>Styczeń</t>
        </is>
      </c>
      <c r="G16" t="inlineStr">
        <is>
          <t>Pt</t>
        </is>
      </c>
      <c r="H16">
        <f>'Floor Hours Engine'!$E$5</f>
        <v/>
      </c>
      <c r="I16" t="inlineStr">
        <is>
          <t>W3</t>
        </is>
      </c>
      <c r="J16" t="inlineStr">
        <is>
          <t>2021_Styczeń_W3</t>
        </is>
      </c>
    </row>
    <row r="17" ht="17.25" customHeight="1">
      <c r="A17" s="177" t="n">
        <v>44212</v>
      </c>
      <c r="B17" s="177" t="n">
        <v>44208</v>
      </c>
      <c r="C17" s="177" t="n">
        <v>44214</v>
      </c>
      <c r="D17" t="inlineStr">
        <is>
          <t>BW20210112</t>
        </is>
      </c>
      <c r="E17" t="n">
        <v>2021</v>
      </c>
      <c r="F17" t="inlineStr">
        <is>
          <t>Styczeń</t>
        </is>
      </c>
      <c r="G17" t="inlineStr">
        <is>
          <t>Sob</t>
        </is>
      </c>
      <c r="H17">
        <f>'Floor Hours Engine'!$E$5</f>
        <v/>
      </c>
      <c r="I17" t="inlineStr">
        <is>
          <t>W3</t>
        </is>
      </c>
      <c r="J17" t="inlineStr">
        <is>
          <t>2021_Styczeń_W3</t>
        </is>
      </c>
    </row>
    <row r="18" ht="17.25" customHeight="1">
      <c r="A18" s="177" t="n">
        <v>44213</v>
      </c>
      <c r="B18" s="177" t="n">
        <v>44208</v>
      </c>
      <c r="C18" s="177" t="n">
        <v>44214</v>
      </c>
      <c r="D18" t="inlineStr">
        <is>
          <t>BW20210112</t>
        </is>
      </c>
      <c r="E18" t="n">
        <v>2021</v>
      </c>
      <c r="F18" t="inlineStr">
        <is>
          <t>Styczeń</t>
        </is>
      </c>
      <c r="G18" t="inlineStr">
        <is>
          <t>Nd</t>
        </is>
      </c>
      <c r="H18">
        <f>'Floor Hours Engine'!$E$6</f>
        <v/>
      </c>
      <c r="I18" t="inlineStr">
        <is>
          <t>W3</t>
        </is>
      </c>
      <c r="J18" t="inlineStr">
        <is>
          <t>2021_Styczeń_W3</t>
        </is>
      </c>
    </row>
    <row r="19" ht="17.25" customHeight="1">
      <c r="A19" s="177" t="n">
        <v>44214</v>
      </c>
      <c r="B19" s="177" t="n">
        <v>44208</v>
      </c>
      <c r="C19" s="177" t="n">
        <v>44214</v>
      </c>
      <c r="D19" t="inlineStr">
        <is>
          <t>BW20210112</t>
        </is>
      </c>
      <c r="E19" t="n">
        <v>2021</v>
      </c>
      <c r="F19" t="inlineStr">
        <is>
          <t>Styczeń</t>
        </is>
      </c>
      <c r="G19" t="inlineStr">
        <is>
          <t>Pn</t>
        </is>
      </c>
      <c r="H19">
        <f>'Floor Hours Engine'!$E$4</f>
        <v/>
      </c>
      <c r="I19" t="inlineStr">
        <is>
          <t>W3</t>
        </is>
      </c>
      <c r="J19" t="inlineStr">
        <is>
          <t>2021_Styczeń_W3</t>
        </is>
      </c>
    </row>
    <row r="20" ht="17.25" customHeight="1">
      <c r="A20" s="177" t="n">
        <v>44215</v>
      </c>
      <c r="B20" s="177" t="n">
        <v>44215</v>
      </c>
      <c r="C20" s="177" t="n">
        <v>44221</v>
      </c>
      <c r="D20" t="inlineStr">
        <is>
          <t>BW20210119</t>
        </is>
      </c>
      <c r="E20" t="n">
        <v>2021</v>
      </c>
      <c r="F20" t="inlineStr">
        <is>
          <t>Styczeń</t>
        </is>
      </c>
      <c r="G20" t="inlineStr">
        <is>
          <t>Wt</t>
        </is>
      </c>
      <c r="H20">
        <f>'Floor Hours Engine'!$E$4</f>
        <v/>
      </c>
      <c r="I20" t="inlineStr">
        <is>
          <t>W4</t>
        </is>
      </c>
      <c r="J20" t="inlineStr">
        <is>
          <t>2021_Styczeń_W4</t>
        </is>
      </c>
    </row>
    <row r="21" ht="17.25" customHeight="1">
      <c r="A21" s="177" t="n">
        <v>44216</v>
      </c>
      <c r="B21" s="177" t="n">
        <v>44215</v>
      </c>
      <c r="C21" s="177" t="n">
        <v>44221</v>
      </c>
      <c r="D21" t="inlineStr">
        <is>
          <t>BW20210119</t>
        </is>
      </c>
      <c r="E21" t="n">
        <v>2021</v>
      </c>
      <c r="F21" t="inlineStr">
        <is>
          <t>Styczeń</t>
        </is>
      </c>
      <c r="G21" t="inlineStr">
        <is>
          <t>Śr</t>
        </is>
      </c>
      <c r="H21">
        <f>'Floor Hours Engine'!$E$4</f>
        <v/>
      </c>
      <c r="I21" t="inlineStr">
        <is>
          <t>W4</t>
        </is>
      </c>
      <c r="J21" t="inlineStr">
        <is>
          <t>2021_Styczeń_W4</t>
        </is>
      </c>
    </row>
    <row r="22" ht="17.25" customHeight="1">
      <c r="A22" s="177" t="n">
        <v>44217</v>
      </c>
      <c r="B22" s="177" t="n">
        <v>44215</v>
      </c>
      <c r="C22" s="177" t="n">
        <v>44221</v>
      </c>
      <c r="D22" t="inlineStr">
        <is>
          <t>BW20210119</t>
        </is>
      </c>
      <c r="E22" t="n">
        <v>2021</v>
      </c>
      <c r="F22" t="inlineStr">
        <is>
          <t>Styczeń</t>
        </is>
      </c>
      <c r="G22" t="inlineStr">
        <is>
          <t>Czw</t>
        </is>
      </c>
      <c r="H22">
        <f>'Floor Hours Engine'!$E$4</f>
        <v/>
      </c>
      <c r="I22" t="inlineStr">
        <is>
          <t>W4</t>
        </is>
      </c>
      <c r="J22" t="inlineStr">
        <is>
          <t>2021_Styczeń_W4</t>
        </is>
      </c>
    </row>
    <row r="23" ht="17.25" customHeight="1">
      <c r="A23" s="177" t="n">
        <v>44218</v>
      </c>
      <c r="B23" s="177" t="n">
        <v>44215</v>
      </c>
      <c r="C23" s="177" t="n">
        <v>44221</v>
      </c>
      <c r="D23" t="inlineStr">
        <is>
          <t>BW20210119</t>
        </is>
      </c>
      <c r="E23" t="n">
        <v>2021</v>
      </c>
      <c r="F23" t="inlineStr">
        <is>
          <t>Styczeń</t>
        </is>
      </c>
      <c r="G23" t="inlineStr">
        <is>
          <t>Pt</t>
        </is>
      </c>
      <c r="H23">
        <f>'Floor Hours Engine'!$E$5</f>
        <v/>
      </c>
      <c r="I23" t="inlineStr">
        <is>
          <t>W4</t>
        </is>
      </c>
      <c r="J23" t="inlineStr">
        <is>
          <t>2021_Styczeń_W4</t>
        </is>
      </c>
    </row>
    <row r="24" ht="17.25" customHeight="1">
      <c r="A24" s="177" t="n">
        <v>44219</v>
      </c>
      <c r="B24" s="177" t="n">
        <v>44215</v>
      </c>
      <c r="C24" s="177" t="n">
        <v>44221</v>
      </c>
      <c r="D24" t="inlineStr">
        <is>
          <t>BW20210119</t>
        </is>
      </c>
      <c r="E24" t="n">
        <v>2021</v>
      </c>
      <c r="F24" t="inlineStr">
        <is>
          <t>Styczeń</t>
        </is>
      </c>
      <c r="G24" t="inlineStr">
        <is>
          <t>Sob</t>
        </is>
      </c>
      <c r="H24">
        <f>'Floor Hours Engine'!$E$5</f>
        <v/>
      </c>
      <c r="I24" t="inlineStr">
        <is>
          <t>W4</t>
        </is>
      </c>
      <c r="J24" t="inlineStr">
        <is>
          <t>2021_Styczeń_W4</t>
        </is>
      </c>
    </row>
    <row r="25" ht="17.25" customHeight="1">
      <c r="A25" s="177" t="n">
        <v>44220</v>
      </c>
      <c r="B25" s="177" t="n">
        <v>44215</v>
      </c>
      <c r="C25" s="177" t="n">
        <v>44221</v>
      </c>
      <c r="D25" t="inlineStr">
        <is>
          <t>BW20210119</t>
        </is>
      </c>
      <c r="E25" t="n">
        <v>2021</v>
      </c>
      <c r="F25" t="inlineStr">
        <is>
          <t>Styczeń</t>
        </is>
      </c>
      <c r="G25" t="inlineStr">
        <is>
          <t>Nd</t>
        </is>
      </c>
      <c r="H25">
        <f>'Floor Hours Engine'!$E$6</f>
        <v/>
      </c>
      <c r="I25" t="inlineStr">
        <is>
          <t>W4</t>
        </is>
      </c>
      <c r="J25" t="inlineStr">
        <is>
          <t>2021_Styczeń_W4</t>
        </is>
      </c>
    </row>
    <row r="26" ht="17.25" customHeight="1">
      <c r="A26" s="177" t="n">
        <v>44221</v>
      </c>
      <c r="B26" s="177" t="n">
        <v>44215</v>
      </c>
      <c r="C26" s="177" t="n">
        <v>44221</v>
      </c>
      <c r="D26" t="inlineStr">
        <is>
          <t>BW20210119</t>
        </is>
      </c>
      <c r="E26" t="n">
        <v>2021</v>
      </c>
      <c r="F26" t="inlineStr">
        <is>
          <t>Styczeń</t>
        </is>
      </c>
      <c r="G26" t="inlineStr">
        <is>
          <t>Pn</t>
        </is>
      </c>
      <c r="H26">
        <f>'Floor Hours Engine'!$E$4</f>
        <v/>
      </c>
      <c r="I26" t="inlineStr">
        <is>
          <t>W4</t>
        </is>
      </c>
      <c r="J26" t="inlineStr">
        <is>
          <t>2021_Styczeń_W4</t>
        </is>
      </c>
    </row>
    <row r="27" ht="17.25" customHeight="1">
      <c r="A27" s="177" t="n">
        <v>44222</v>
      </c>
      <c r="B27" s="177" t="n">
        <v>44222</v>
      </c>
      <c r="C27" s="177" t="n">
        <v>44228</v>
      </c>
      <c r="D27" t="inlineStr">
        <is>
          <t>BW20210126</t>
        </is>
      </c>
      <c r="E27" t="n">
        <v>2021</v>
      </c>
      <c r="F27" t="inlineStr">
        <is>
          <t>Styczeń</t>
        </is>
      </c>
      <c r="G27" t="inlineStr">
        <is>
          <t>Wt</t>
        </is>
      </c>
      <c r="H27">
        <f>'Floor Hours Engine'!$E$4</f>
        <v/>
      </c>
      <c r="I27" t="inlineStr">
        <is>
          <t>W5</t>
        </is>
      </c>
      <c r="J27" t="inlineStr">
        <is>
          <t>2021_Styczeń_W5</t>
        </is>
      </c>
    </row>
    <row r="28" ht="17.25" customHeight="1">
      <c r="A28" s="177" t="n">
        <v>44223</v>
      </c>
      <c r="B28" s="177" t="n">
        <v>44222</v>
      </c>
      <c r="C28" s="177" t="n">
        <v>44228</v>
      </c>
      <c r="D28" t="inlineStr">
        <is>
          <t>BW20210126</t>
        </is>
      </c>
      <c r="E28" t="n">
        <v>2021</v>
      </c>
      <c r="F28" t="inlineStr">
        <is>
          <t>Styczeń</t>
        </is>
      </c>
      <c r="G28" t="inlineStr">
        <is>
          <t>Śr</t>
        </is>
      </c>
      <c r="H28">
        <f>'Floor Hours Engine'!$E$4</f>
        <v/>
      </c>
      <c r="I28" t="inlineStr">
        <is>
          <t>W5</t>
        </is>
      </c>
      <c r="J28" t="inlineStr">
        <is>
          <t>2021_Styczeń_W5</t>
        </is>
      </c>
    </row>
    <row r="29" ht="17.25" customHeight="1">
      <c r="A29" s="177" t="n">
        <v>44224</v>
      </c>
      <c r="B29" s="177" t="n">
        <v>44222</v>
      </c>
      <c r="C29" s="177" t="n">
        <v>44228</v>
      </c>
      <c r="D29" t="inlineStr">
        <is>
          <t>BW20210126</t>
        </is>
      </c>
      <c r="E29" t="n">
        <v>2021</v>
      </c>
      <c r="F29" t="inlineStr">
        <is>
          <t>Styczeń</t>
        </is>
      </c>
      <c r="G29" t="inlineStr">
        <is>
          <t>Czw</t>
        </is>
      </c>
      <c r="H29">
        <f>'Floor Hours Engine'!$E$4</f>
        <v/>
      </c>
      <c r="I29" t="inlineStr">
        <is>
          <t>W5</t>
        </is>
      </c>
      <c r="J29" t="inlineStr">
        <is>
          <t>2021_Styczeń_W5</t>
        </is>
      </c>
    </row>
    <row r="30" ht="17.25" customHeight="1">
      <c r="A30" s="177" t="n">
        <v>44225</v>
      </c>
      <c r="B30" s="177" t="n">
        <v>44222</v>
      </c>
      <c r="C30" s="177" t="n">
        <v>44228</v>
      </c>
      <c r="D30" t="inlineStr">
        <is>
          <t>BW20210126</t>
        </is>
      </c>
      <c r="E30" t="n">
        <v>2021</v>
      </c>
      <c r="F30" t="inlineStr">
        <is>
          <t>Styczeń</t>
        </is>
      </c>
      <c r="G30" t="inlineStr">
        <is>
          <t>Pt</t>
        </is>
      </c>
      <c r="H30">
        <f>'Floor Hours Engine'!$E$5</f>
        <v/>
      </c>
      <c r="I30" t="inlineStr">
        <is>
          <t>W5</t>
        </is>
      </c>
      <c r="J30" t="inlineStr">
        <is>
          <t>2021_Styczeń_W5</t>
        </is>
      </c>
    </row>
    <row r="31" ht="17.25" customHeight="1">
      <c r="A31" s="177" t="n">
        <v>44226</v>
      </c>
      <c r="B31" s="177" t="n">
        <v>44222</v>
      </c>
      <c r="C31" s="177" t="n">
        <v>44228</v>
      </c>
      <c r="D31" t="inlineStr">
        <is>
          <t>BW20210126</t>
        </is>
      </c>
      <c r="E31" t="n">
        <v>2021</v>
      </c>
      <c r="F31" t="inlineStr">
        <is>
          <t>Styczeń</t>
        </is>
      </c>
      <c r="G31" t="inlineStr">
        <is>
          <t>Sob</t>
        </is>
      </c>
      <c r="H31">
        <f>'Floor Hours Engine'!$E$5</f>
        <v/>
      </c>
      <c r="I31" t="inlineStr">
        <is>
          <t>W5</t>
        </is>
      </c>
      <c r="J31" t="inlineStr">
        <is>
          <t>2021_Styczeń_W5</t>
        </is>
      </c>
    </row>
    <row r="32" ht="17.25" customHeight="1">
      <c r="A32" s="177" t="n">
        <v>44227</v>
      </c>
      <c r="B32" s="177" t="n">
        <v>44222</v>
      </c>
      <c r="C32" s="177" t="n">
        <v>44228</v>
      </c>
      <c r="D32" t="inlineStr">
        <is>
          <t>BW20210126</t>
        </is>
      </c>
      <c r="E32" t="n">
        <v>2021</v>
      </c>
      <c r="F32" t="inlineStr">
        <is>
          <t>Styczeń</t>
        </is>
      </c>
      <c r="G32" t="inlineStr">
        <is>
          <t>Nd</t>
        </is>
      </c>
      <c r="H32">
        <f>'Floor Hours Engine'!$E$6</f>
        <v/>
      </c>
      <c r="I32" t="inlineStr">
        <is>
          <t>W5</t>
        </is>
      </c>
      <c r="J32" t="inlineStr">
        <is>
          <t>2021_Styczeń_W5</t>
        </is>
      </c>
    </row>
    <row r="33" ht="17.25" customHeight="1">
      <c r="A33" s="177" t="n">
        <v>44228</v>
      </c>
      <c r="B33" s="177" t="n">
        <v>44222</v>
      </c>
      <c r="C33" s="177" t="n">
        <v>44228</v>
      </c>
      <c r="D33" t="inlineStr">
        <is>
          <t>BW20210126</t>
        </is>
      </c>
      <c r="E33" t="n">
        <v>2021</v>
      </c>
      <c r="F33" t="inlineStr">
        <is>
          <t>Luty</t>
        </is>
      </c>
      <c r="G33" t="inlineStr">
        <is>
          <t>Pn</t>
        </is>
      </c>
      <c r="H33">
        <f>'Floor Hours Engine'!$E$4</f>
        <v/>
      </c>
      <c r="I33" t="inlineStr">
        <is>
          <t>W1</t>
        </is>
      </c>
      <c r="J33" t="inlineStr">
        <is>
          <t>2021_Luty_W1</t>
        </is>
      </c>
    </row>
    <row r="34" ht="17.25" customHeight="1">
      <c r="A34" s="177" t="n">
        <v>44229</v>
      </c>
      <c r="B34" s="177" t="n">
        <v>44229</v>
      </c>
      <c r="C34" s="177" t="n">
        <v>44235</v>
      </c>
      <c r="D34" t="inlineStr">
        <is>
          <t>BW20210202</t>
        </is>
      </c>
      <c r="E34" t="n">
        <v>2021</v>
      </c>
      <c r="F34" t="inlineStr">
        <is>
          <t>Luty</t>
        </is>
      </c>
      <c r="G34" t="inlineStr">
        <is>
          <t>Wt</t>
        </is>
      </c>
      <c r="H34">
        <f>'Floor Hours Engine'!$E$4</f>
        <v/>
      </c>
      <c r="I34" t="inlineStr">
        <is>
          <t>W2</t>
        </is>
      </c>
      <c r="J34" t="inlineStr">
        <is>
          <t>2021_Luty_W2</t>
        </is>
      </c>
    </row>
    <row r="35" ht="17.25" customHeight="1">
      <c r="A35" s="177" t="n">
        <v>44230</v>
      </c>
      <c r="B35" s="177" t="n">
        <v>44229</v>
      </c>
      <c r="C35" s="177" t="n">
        <v>44235</v>
      </c>
      <c r="D35" t="inlineStr">
        <is>
          <t>BW20210202</t>
        </is>
      </c>
      <c r="E35" t="n">
        <v>2021</v>
      </c>
      <c r="F35" t="inlineStr">
        <is>
          <t>Luty</t>
        </is>
      </c>
      <c r="G35" t="inlineStr">
        <is>
          <t>Śr</t>
        </is>
      </c>
      <c r="H35">
        <f>'Floor Hours Engine'!$E$4</f>
        <v/>
      </c>
      <c r="I35" t="inlineStr">
        <is>
          <t>W2</t>
        </is>
      </c>
      <c r="J35" t="inlineStr">
        <is>
          <t>2021_Luty_W2</t>
        </is>
      </c>
    </row>
    <row r="36" ht="17.25" customHeight="1">
      <c r="A36" s="177" t="n">
        <v>44231</v>
      </c>
      <c r="B36" s="177" t="n">
        <v>44229</v>
      </c>
      <c r="C36" s="177" t="n">
        <v>44235</v>
      </c>
      <c r="D36" t="inlineStr">
        <is>
          <t>BW20210202</t>
        </is>
      </c>
      <c r="E36" t="n">
        <v>2021</v>
      </c>
      <c r="F36" t="inlineStr">
        <is>
          <t>Luty</t>
        </is>
      </c>
      <c r="G36" t="inlineStr">
        <is>
          <t>Czw</t>
        </is>
      </c>
      <c r="H36">
        <f>'Floor Hours Engine'!$E$4</f>
        <v/>
      </c>
      <c r="I36" t="inlineStr">
        <is>
          <t>W2</t>
        </is>
      </c>
      <c r="J36" t="inlineStr">
        <is>
          <t>2021_Luty_W2</t>
        </is>
      </c>
    </row>
    <row r="37" ht="17.25" customHeight="1">
      <c r="A37" s="177" t="n">
        <v>44232</v>
      </c>
      <c r="B37" s="177" t="n">
        <v>44229</v>
      </c>
      <c r="C37" s="177" t="n">
        <v>44235</v>
      </c>
      <c r="D37" t="inlineStr">
        <is>
          <t>BW20210202</t>
        </is>
      </c>
      <c r="E37" t="n">
        <v>2021</v>
      </c>
      <c r="F37" t="inlineStr">
        <is>
          <t>Luty</t>
        </is>
      </c>
      <c r="G37" t="inlineStr">
        <is>
          <t>Pt</t>
        </is>
      </c>
      <c r="H37">
        <f>'Floor Hours Engine'!$E$5</f>
        <v/>
      </c>
      <c r="I37" t="inlineStr">
        <is>
          <t>W2</t>
        </is>
      </c>
      <c r="J37" t="inlineStr">
        <is>
          <t>2021_Luty_W2</t>
        </is>
      </c>
    </row>
    <row r="38" ht="17.25" customHeight="1">
      <c r="A38" s="177" t="n">
        <v>44233</v>
      </c>
      <c r="B38" s="177" t="n">
        <v>44229</v>
      </c>
      <c r="C38" s="177" t="n">
        <v>44235</v>
      </c>
      <c r="D38" t="inlineStr">
        <is>
          <t>BW20210202</t>
        </is>
      </c>
      <c r="E38" t="n">
        <v>2021</v>
      </c>
      <c r="F38" t="inlineStr">
        <is>
          <t>Luty</t>
        </is>
      </c>
      <c r="G38" t="inlineStr">
        <is>
          <t>Sob</t>
        </is>
      </c>
      <c r="H38">
        <f>'Floor Hours Engine'!$E$5</f>
        <v/>
      </c>
      <c r="I38" t="inlineStr">
        <is>
          <t>W2</t>
        </is>
      </c>
      <c r="J38" t="inlineStr">
        <is>
          <t>2021_Luty_W2</t>
        </is>
      </c>
    </row>
    <row r="39" ht="17.25" customHeight="1">
      <c r="A39" s="177" t="n">
        <v>44234</v>
      </c>
      <c r="B39" s="177" t="n">
        <v>44229</v>
      </c>
      <c r="C39" s="177" t="n">
        <v>44235</v>
      </c>
      <c r="D39" t="inlineStr">
        <is>
          <t>BW20210202</t>
        </is>
      </c>
      <c r="E39" t="n">
        <v>2021</v>
      </c>
      <c r="F39" t="inlineStr">
        <is>
          <t>Luty</t>
        </is>
      </c>
      <c r="G39" t="inlineStr">
        <is>
          <t>Nd</t>
        </is>
      </c>
      <c r="H39">
        <f>'Floor Hours Engine'!$E$6</f>
        <v/>
      </c>
      <c r="I39" t="inlineStr">
        <is>
          <t>W2</t>
        </is>
      </c>
      <c r="J39" t="inlineStr">
        <is>
          <t>2021_Luty_W2</t>
        </is>
      </c>
    </row>
    <row r="40" ht="17.25" customHeight="1">
      <c r="A40" s="177" t="n">
        <v>44235</v>
      </c>
      <c r="B40" s="177" t="n">
        <v>44229</v>
      </c>
      <c r="C40" s="177" t="n">
        <v>44235</v>
      </c>
      <c r="D40" t="inlineStr">
        <is>
          <t>BW20210202</t>
        </is>
      </c>
      <c r="E40" t="n">
        <v>2021</v>
      </c>
      <c r="F40" t="inlineStr">
        <is>
          <t>Luty</t>
        </is>
      </c>
      <c r="G40" t="inlineStr">
        <is>
          <t>Pn</t>
        </is>
      </c>
      <c r="H40">
        <f>'Floor Hours Engine'!$E$4</f>
        <v/>
      </c>
      <c r="I40" t="inlineStr">
        <is>
          <t>W2</t>
        </is>
      </c>
      <c r="J40" t="inlineStr">
        <is>
          <t>2021_Luty_W2</t>
        </is>
      </c>
    </row>
    <row r="41" ht="17.25" customHeight="1">
      <c r="A41" s="177" t="n">
        <v>44236</v>
      </c>
      <c r="B41" s="177" t="n">
        <v>44236</v>
      </c>
      <c r="C41" s="177" t="n">
        <v>44242</v>
      </c>
      <c r="D41" t="inlineStr">
        <is>
          <t>BW20210209</t>
        </is>
      </c>
      <c r="E41" t="n">
        <v>2021</v>
      </c>
      <c r="F41" t="inlineStr">
        <is>
          <t>Luty</t>
        </is>
      </c>
      <c r="G41" t="inlineStr">
        <is>
          <t>Wt</t>
        </is>
      </c>
      <c r="H41">
        <f>'Floor Hours Engine'!$E$4</f>
        <v/>
      </c>
      <c r="I41" t="inlineStr">
        <is>
          <t>W3</t>
        </is>
      </c>
      <c r="J41" t="inlineStr">
        <is>
          <t>2021_Luty_W3</t>
        </is>
      </c>
    </row>
    <row r="42" ht="17.25" customHeight="1">
      <c r="A42" s="177" t="n">
        <v>44237</v>
      </c>
      <c r="B42" s="177" t="n">
        <v>44236</v>
      </c>
      <c r="C42" s="177" t="n">
        <v>44242</v>
      </c>
      <c r="D42" t="inlineStr">
        <is>
          <t>BW20210209</t>
        </is>
      </c>
      <c r="E42" t="n">
        <v>2021</v>
      </c>
      <c r="F42" t="inlineStr">
        <is>
          <t>Luty</t>
        </is>
      </c>
      <c r="G42" t="inlineStr">
        <is>
          <t>Śr</t>
        </is>
      </c>
      <c r="H42">
        <f>'Floor Hours Engine'!$E$4</f>
        <v/>
      </c>
      <c r="I42" t="inlineStr">
        <is>
          <t>W3</t>
        </is>
      </c>
      <c r="J42" t="inlineStr">
        <is>
          <t>2021_Luty_W3</t>
        </is>
      </c>
    </row>
    <row r="43" ht="17.25" customHeight="1">
      <c r="A43" s="177" t="n">
        <v>44238</v>
      </c>
      <c r="B43" s="177" t="n">
        <v>44236</v>
      </c>
      <c r="C43" s="177" t="n">
        <v>44242</v>
      </c>
      <c r="D43" t="inlineStr">
        <is>
          <t>BW20210209</t>
        </is>
      </c>
      <c r="E43" t="n">
        <v>2021</v>
      </c>
      <c r="F43" t="inlineStr">
        <is>
          <t>Luty</t>
        </is>
      </c>
      <c r="G43" t="inlineStr">
        <is>
          <t>Czw</t>
        </is>
      </c>
      <c r="H43">
        <f>'Floor Hours Engine'!$E$4</f>
        <v/>
      </c>
      <c r="I43" t="inlineStr">
        <is>
          <t>W3</t>
        </is>
      </c>
      <c r="J43" t="inlineStr">
        <is>
          <t>2021_Luty_W3</t>
        </is>
      </c>
    </row>
    <row r="44" ht="17.25" customHeight="1">
      <c r="A44" s="177" t="n">
        <v>44239</v>
      </c>
      <c r="B44" s="177" t="n">
        <v>44236</v>
      </c>
      <c r="C44" s="177" t="n">
        <v>44242</v>
      </c>
      <c r="D44" t="inlineStr">
        <is>
          <t>BW20210209</t>
        </is>
      </c>
      <c r="E44" t="n">
        <v>2021</v>
      </c>
      <c r="F44" t="inlineStr">
        <is>
          <t>Luty</t>
        </is>
      </c>
      <c r="G44" t="inlineStr">
        <is>
          <t>Pt</t>
        </is>
      </c>
      <c r="H44">
        <f>'Floor Hours Engine'!$E$5</f>
        <v/>
      </c>
      <c r="I44" t="inlineStr">
        <is>
          <t>W3</t>
        </is>
      </c>
      <c r="J44" t="inlineStr">
        <is>
          <t>2021_Luty_W3</t>
        </is>
      </c>
    </row>
    <row r="45" ht="17.25" customHeight="1">
      <c r="A45" s="177" t="n">
        <v>44240</v>
      </c>
      <c r="B45" s="177" t="n">
        <v>44236</v>
      </c>
      <c r="C45" s="177" t="n">
        <v>44242</v>
      </c>
      <c r="D45" t="inlineStr">
        <is>
          <t>BW20210209</t>
        </is>
      </c>
      <c r="E45" t="n">
        <v>2021</v>
      </c>
      <c r="F45" t="inlineStr">
        <is>
          <t>Luty</t>
        </is>
      </c>
      <c r="G45" t="inlineStr">
        <is>
          <t>Sob</t>
        </is>
      </c>
      <c r="H45">
        <f>'Floor Hours Engine'!$E$5</f>
        <v/>
      </c>
      <c r="I45" t="inlineStr">
        <is>
          <t>W3</t>
        </is>
      </c>
      <c r="J45" t="inlineStr">
        <is>
          <t>2021_Luty_W3</t>
        </is>
      </c>
    </row>
    <row r="46" ht="17.25" customHeight="1">
      <c r="A46" s="177" t="n">
        <v>44241</v>
      </c>
      <c r="B46" s="177" t="n">
        <v>44236</v>
      </c>
      <c r="C46" s="177" t="n">
        <v>44242</v>
      </c>
      <c r="D46" t="inlineStr">
        <is>
          <t>BW20210209</t>
        </is>
      </c>
      <c r="E46" t="n">
        <v>2021</v>
      </c>
      <c r="F46" t="inlineStr">
        <is>
          <t>Luty</t>
        </is>
      </c>
      <c r="G46" t="inlineStr">
        <is>
          <t>Nd</t>
        </is>
      </c>
      <c r="H46">
        <f>'Floor Hours Engine'!$E$6</f>
        <v/>
      </c>
      <c r="I46" t="inlineStr">
        <is>
          <t>W3</t>
        </is>
      </c>
      <c r="J46" t="inlineStr">
        <is>
          <t>2021_Luty_W3</t>
        </is>
      </c>
    </row>
    <row r="47" ht="17.25" customHeight="1">
      <c r="A47" s="177" t="n">
        <v>44242</v>
      </c>
      <c r="B47" s="177" t="n">
        <v>44236</v>
      </c>
      <c r="C47" s="177" t="n">
        <v>44242</v>
      </c>
      <c r="D47" t="inlineStr">
        <is>
          <t>BW20210209</t>
        </is>
      </c>
      <c r="E47" t="n">
        <v>2021</v>
      </c>
      <c r="F47" t="inlineStr">
        <is>
          <t>Luty</t>
        </is>
      </c>
      <c r="G47" t="inlineStr">
        <is>
          <t>Pn</t>
        </is>
      </c>
      <c r="H47">
        <f>'Floor Hours Engine'!$E$4</f>
        <v/>
      </c>
      <c r="I47" t="inlineStr">
        <is>
          <t>W3</t>
        </is>
      </c>
      <c r="J47" t="inlineStr">
        <is>
          <t>2021_Luty_W3</t>
        </is>
      </c>
    </row>
    <row r="48" ht="17.25" customHeight="1">
      <c r="A48" s="177" t="n">
        <v>44243</v>
      </c>
      <c r="B48" s="177" t="n">
        <v>44243</v>
      </c>
      <c r="C48" s="177" t="n">
        <v>44249</v>
      </c>
      <c r="D48" t="inlineStr">
        <is>
          <t>BW20210216</t>
        </is>
      </c>
      <c r="E48" t="n">
        <v>2021</v>
      </c>
      <c r="F48" t="inlineStr">
        <is>
          <t>Luty</t>
        </is>
      </c>
      <c r="G48" t="inlineStr">
        <is>
          <t>Wt</t>
        </is>
      </c>
      <c r="H48">
        <f>'Floor Hours Engine'!$E$4</f>
        <v/>
      </c>
      <c r="I48" t="inlineStr">
        <is>
          <t>W4</t>
        </is>
      </c>
      <c r="J48" t="inlineStr">
        <is>
          <t>2021_Luty_W4</t>
        </is>
      </c>
    </row>
    <row r="49" ht="17.25" customHeight="1">
      <c r="A49" s="177" t="n">
        <v>44244</v>
      </c>
      <c r="B49" s="177" t="n">
        <v>44243</v>
      </c>
      <c r="C49" s="177" t="n">
        <v>44249</v>
      </c>
      <c r="D49" t="inlineStr">
        <is>
          <t>BW20210216</t>
        </is>
      </c>
      <c r="E49" t="n">
        <v>2021</v>
      </c>
      <c r="F49" t="inlineStr">
        <is>
          <t>Luty</t>
        </is>
      </c>
      <c r="G49" t="inlineStr">
        <is>
          <t>Śr</t>
        </is>
      </c>
      <c r="H49">
        <f>'Floor Hours Engine'!$E$4</f>
        <v/>
      </c>
      <c r="I49" t="inlineStr">
        <is>
          <t>W4</t>
        </is>
      </c>
      <c r="J49" t="inlineStr">
        <is>
          <t>2021_Luty_W4</t>
        </is>
      </c>
    </row>
    <row r="50" ht="17.25" customHeight="1">
      <c r="A50" s="177" t="n">
        <v>44245</v>
      </c>
      <c r="B50" s="177" t="n">
        <v>44243</v>
      </c>
      <c r="C50" s="177" t="n">
        <v>44249</v>
      </c>
      <c r="D50" t="inlineStr">
        <is>
          <t>BW20210216</t>
        </is>
      </c>
      <c r="E50" t="n">
        <v>2021</v>
      </c>
      <c r="F50" t="inlineStr">
        <is>
          <t>Luty</t>
        </is>
      </c>
      <c r="G50" t="inlineStr">
        <is>
          <t>Czw</t>
        </is>
      </c>
      <c r="H50">
        <f>'Floor Hours Engine'!$E$4</f>
        <v/>
      </c>
      <c r="I50" t="inlineStr">
        <is>
          <t>W4</t>
        </is>
      </c>
      <c r="J50" t="inlineStr">
        <is>
          <t>2021_Luty_W4</t>
        </is>
      </c>
    </row>
    <row r="51" ht="17.25" customHeight="1">
      <c r="A51" s="177" t="n">
        <v>44246</v>
      </c>
      <c r="B51" s="177" t="n">
        <v>44243</v>
      </c>
      <c r="C51" s="177" t="n">
        <v>44249</v>
      </c>
      <c r="D51" t="inlineStr">
        <is>
          <t>BW20210216</t>
        </is>
      </c>
      <c r="E51" t="n">
        <v>2021</v>
      </c>
      <c r="F51" t="inlineStr">
        <is>
          <t>Luty</t>
        </is>
      </c>
      <c r="G51" t="inlineStr">
        <is>
          <t>Pt</t>
        </is>
      </c>
      <c r="H51">
        <f>'Floor Hours Engine'!$E$5</f>
        <v/>
      </c>
      <c r="I51" t="inlineStr">
        <is>
          <t>W4</t>
        </is>
      </c>
      <c r="J51" t="inlineStr">
        <is>
          <t>2021_Luty_W4</t>
        </is>
      </c>
    </row>
    <row r="52" ht="17.25" customHeight="1">
      <c r="A52" s="177" t="n">
        <v>44247</v>
      </c>
      <c r="B52" s="177" t="n">
        <v>44243</v>
      </c>
      <c r="C52" s="177" t="n">
        <v>44249</v>
      </c>
      <c r="D52" t="inlineStr">
        <is>
          <t>BW20210216</t>
        </is>
      </c>
      <c r="E52" t="n">
        <v>2021</v>
      </c>
      <c r="F52" t="inlineStr">
        <is>
          <t>Luty</t>
        </is>
      </c>
      <c r="G52" t="inlineStr">
        <is>
          <t>Sob</t>
        </is>
      </c>
      <c r="H52">
        <f>'Floor Hours Engine'!$E$5</f>
        <v/>
      </c>
      <c r="I52" t="inlineStr">
        <is>
          <t>W4</t>
        </is>
      </c>
      <c r="J52" t="inlineStr">
        <is>
          <t>2021_Luty_W4</t>
        </is>
      </c>
    </row>
    <row r="53" ht="17.25" customHeight="1">
      <c r="A53" s="177" t="n">
        <v>44248</v>
      </c>
      <c r="B53" s="177" t="n">
        <v>44243</v>
      </c>
      <c r="C53" s="177" t="n">
        <v>44249</v>
      </c>
      <c r="D53" t="inlineStr">
        <is>
          <t>BW20210216</t>
        </is>
      </c>
      <c r="E53" t="n">
        <v>2021</v>
      </c>
      <c r="F53" t="inlineStr">
        <is>
          <t>Luty</t>
        </is>
      </c>
      <c r="G53" t="inlineStr">
        <is>
          <t>Nd</t>
        </is>
      </c>
      <c r="H53">
        <f>'Floor Hours Engine'!$E$6</f>
        <v/>
      </c>
      <c r="I53" t="inlineStr">
        <is>
          <t>W4</t>
        </is>
      </c>
      <c r="J53" t="inlineStr">
        <is>
          <t>2021_Luty_W4</t>
        </is>
      </c>
    </row>
    <row r="54" ht="17.25" customHeight="1">
      <c r="A54" s="177" t="n">
        <v>44249</v>
      </c>
      <c r="B54" s="177" t="n">
        <v>44243</v>
      </c>
      <c r="C54" s="177" t="n">
        <v>44249</v>
      </c>
      <c r="D54" t="inlineStr">
        <is>
          <t>BW20210216</t>
        </is>
      </c>
      <c r="E54" t="n">
        <v>2021</v>
      </c>
      <c r="F54" t="inlineStr">
        <is>
          <t>Luty</t>
        </is>
      </c>
      <c r="G54" t="inlineStr">
        <is>
          <t>Pn</t>
        </is>
      </c>
      <c r="H54">
        <f>'Floor Hours Engine'!$E$4</f>
        <v/>
      </c>
      <c r="I54" t="inlineStr">
        <is>
          <t>W4</t>
        </is>
      </c>
      <c r="J54" t="inlineStr">
        <is>
          <t>2021_Luty_W4</t>
        </is>
      </c>
    </row>
    <row r="55" ht="17.25" customHeight="1">
      <c r="A55" s="177" t="n">
        <v>44250</v>
      </c>
      <c r="B55" s="177" t="n">
        <v>44250</v>
      </c>
      <c r="C55" s="177" t="n">
        <v>44256</v>
      </c>
      <c r="D55" t="inlineStr">
        <is>
          <t>BW20210223</t>
        </is>
      </c>
      <c r="E55" t="n">
        <v>2021</v>
      </c>
      <c r="F55" t="inlineStr">
        <is>
          <t>Luty</t>
        </is>
      </c>
      <c r="G55" t="inlineStr">
        <is>
          <t>Wt</t>
        </is>
      </c>
      <c r="H55">
        <f>'Floor Hours Engine'!$E$4</f>
        <v/>
      </c>
      <c r="I55" t="inlineStr">
        <is>
          <t>W5</t>
        </is>
      </c>
      <c r="J55" t="inlineStr">
        <is>
          <t>2021_Luty_W5</t>
        </is>
      </c>
    </row>
    <row r="56" ht="17.25" customHeight="1">
      <c r="A56" s="177" t="n">
        <v>44251</v>
      </c>
      <c r="B56" s="177" t="n">
        <v>44250</v>
      </c>
      <c r="C56" s="177" t="n">
        <v>44256</v>
      </c>
      <c r="D56" t="inlineStr">
        <is>
          <t>BW20210223</t>
        </is>
      </c>
      <c r="E56" t="n">
        <v>2021</v>
      </c>
      <c r="F56" t="inlineStr">
        <is>
          <t>Luty</t>
        </is>
      </c>
      <c r="G56" t="inlineStr">
        <is>
          <t>Śr</t>
        </is>
      </c>
      <c r="H56">
        <f>'Floor Hours Engine'!$E$4</f>
        <v/>
      </c>
      <c r="I56" t="inlineStr">
        <is>
          <t>W5</t>
        </is>
      </c>
      <c r="J56" t="inlineStr">
        <is>
          <t>2021_Luty_W5</t>
        </is>
      </c>
    </row>
    <row r="57" ht="17.25" customHeight="1">
      <c r="A57" s="177" t="n">
        <v>44252</v>
      </c>
      <c r="B57" s="177" t="n">
        <v>44250</v>
      </c>
      <c r="C57" s="177" t="n">
        <v>44256</v>
      </c>
      <c r="D57" t="inlineStr">
        <is>
          <t>BW20210223</t>
        </is>
      </c>
      <c r="E57" t="n">
        <v>2021</v>
      </c>
      <c r="F57" t="inlineStr">
        <is>
          <t>Luty</t>
        </is>
      </c>
      <c r="G57" t="inlineStr">
        <is>
          <t>Czw</t>
        </is>
      </c>
      <c r="H57">
        <f>'Floor Hours Engine'!$E$4</f>
        <v/>
      </c>
      <c r="I57" t="inlineStr">
        <is>
          <t>W5</t>
        </is>
      </c>
      <c r="J57" t="inlineStr">
        <is>
          <t>2021_Luty_W5</t>
        </is>
      </c>
    </row>
    <row r="58" ht="17.25" customHeight="1">
      <c r="A58" s="177" t="n">
        <v>44253</v>
      </c>
      <c r="B58" s="177" t="n">
        <v>44250</v>
      </c>
      <c r="C58" s="177" t="n">
        <v>44256</v>
      </c>
      <c r="D58" t="inlineStr">
        <is>
          <t>BW20210223</t>
        </is>
      </c>
      <c r="E58" t="n">
        <v>2021</v>
      </c>
      <c r="F58" t="inlineStr">
        <is>
          <t>Luty</t>
        </is>
      </c>
      <c r="G58" t="inlineStr">
        <is>
          <t>Pt</t>
        </is>
      </c>
      <c r="H58">
        <f>'Floor Hours Engine'!$E$5</f>
        <v/>
      </c>
      <c r="I58" t="inlineStr">
        <is>
          <t>W5</t>
        </is>
      </c>
      <c r="J58" t="inlineStr">
        <is>
          <t>2021_Luty_W5</t>
        </is>
      </c>
    </row>
    <row r="59" ht="17.25" customHeight="1">
      <c r="A59" s="177" t="n">
        <v>44254</v>
      </c>
      <c r="B59" s="177" t="n">
        <v>44250</v>
      </c>
      <c r="C59" s="177" t="n">
        <v>44256</v>
      </c>
      <c r="D59" t="inlineStr">
        <is>
          <t>BW20210223</t>
        </is>
      </c>
      <c r="E59" t="n">
        <v>2021</v>
      </c>
      <c r="F59" t="inlineStr">
        <is>
          <t>Luty</t>
        </is>
      </c>
      <c r="G59" t="inlineStr">
        <is>
          <t>Sob</t>
        </is>
      </c>
      <c r="H59">
        <f>'Floor Hours Engine'!$E$5</f>
        <v/>
      </c>
      <c r="I59" t="inlineStr">
        <is>
          <t>W5</t>
        </is>
      </c>
      <c r="J59" t="inlineStr">
        <is>
          <t>2021_Luty_W5</t>
        </is>
      </c>
    </row>
    <row r="60" ht="17.25" customHeight="1">
      <c r="A60" s="177" t="n">
        <v>44255</v>
      </c>
      <c r="B60" s="177" t="n">
        <v>44250</v>
      </c>
      <c r="C60" s="177" t="n">
        <v>44256</v>
      </c>
      <c r="D60" t="inlineStr">
        <is>
          <t>BW20210223</t>
        </is>
      </c>
      <c r="E60" t="n">
        <v>2021</v>
      </c>
      <c r="F60" t="inlineStr">
        <is>
          <t>Luty</t>
        </is>
      </c>
      <c r="G60" t="inlineStr">
        <is>
          <t>Nd</t>
        </is>
      </c>
      <c r="H60">
        <f>'Floor Hours Engine'!$E$6</f>
        <v/>
      </c>
      <c r="I60" t="inlineStr">
        <is>
          <t>W5</t>
        </is>
      </c>
      <c r="J60" t="inlineStr">
        <is>
          <t>2021_Luty_W5</t>
        </is>
      </c>
    </row>
    <row r="61" ht="17.25" customHeight="1">
      <c r="A61" s="177" t="n">
        <v>44256</v>
      </c>
      <c r="B61" s="177" t="n">
        <v>44250</v>
      </c>
      <c r="C61" s="177" t="n">
        <v>44256</v>
      </c>
      <c r="D61" t="inlineStr">
        <is>
          <t>BW20210223</t>
        </is>
      </c>
      <c r="E61" t="n">
        <v>2021</v>
      </c>
      <c r="F61" t="inlineStr">
        <is>
          <t>Marzec</t>
        </is>
      </c>
      <c r="G61" t="inlineStr">
        <is>
          <t>Pn</t>
        </is>
      </c>
      <c r="H61">
        <f>'Floor Hours Engine'!$E$4</f>
        <v/>
      </c>
      <c r="I61" t="inlineStr">
        <is>
          <t>W1</t>
        </is>
      </c>
      <c r="J61" t="inlineStr">
        <is>
          <t>2021_Marzec_W1</t>
        </is>
      </c>
    </row>
    <row r="62" ht="17.25" customHeight="1">
      <c r="A62" s="177" t="n">
        <v>44257</v>
      </c>
      <c r="B62" s="177" t="n">
        <v>44257</v>
      </c>
      <c r="C62" s="177" t="n">
        <v>44263</v>
      </c>
      <c r="D62" t="inlineStr">
        <is>
          <t>BW20210302</t>
        </is>
      </c>
      <c r="E62" t="n">
        <v>2021</v>
      </c>
      <c r="F62" t="inlineStr">
        <is>
          <t>Marzec</t>
        </is>
      </c>
      <c r="G62" t="inlineStr">
        <is>
          <t>Wt</t>
        </is>
      </c>
      <c r="H62">
        <f>'Floor Hours Engine'!$E$4</f>
        <v/>
      </c>
      <c r="I62" t="inlineStr">
        <is>
          <t>W2</t>
        </is>
      </c>
      <c r="J62" t="inlineStr">
        <is>
          <t>2021_Marzec_W2</t>
        </is>
      </c>
    </row>
    <row r="63" ht="17.25" customHeight="1">
      <c r="A63" s="177" t="n">
        <v>44258</v>
      </c>
      <c r="B63" s="177" t="n">
        <v>44257</v>
      </c>
      <c r="C63" s="177" t="n">
        <v>44263</v>
      </c>
      <c r="D63" t="inlineStr">
        <is>
          <t>BW20210302</t>
        </is>
      </c>
      <c r="E63" t="n">
        <v>2021</v>
      </c>
      <c r="F63" t="inlineStr">
        <is>
          <t>Marzec</t>
        </is>
      </c>
      <c r="G63" t="inlineStr">
        <is>
          <t>Śr</t>
        </is>
      </c>
      <c r="H63">
        <f>'Floor Hours Engine'!$E$4</f>
        <v/>
      </c>
      <c r="I63" t="inlineStr">
        <is>
          <t>W2</t>
        </is>
      </c>
      <c r="J63" t="inlineStr">
        <is>
          <t>2021_Marzec_W2</t>
        </is>
      </c>
    </row>
    <row r="64" ht="17.25" customHeight="1">
      <c r="A64" s="177" t="n">
        <v>44259</v>
      </c>
      <c r="B64" s="177" t="n">
        <v>44257</v>
      </c>
      <c r="C64" s="177" t="n">
        <v>44263</v>
      </c>
      <c r="D64" t="inlineStr">
        <is>
          <t>BW20210302</t>
        </is>
      </c>
      <c r="E64" t="n">
        <v>2021</v>
      </c>
      <c r="F64" t="inlineStr">
        <is>
          <t>Marzec</t>
        </is>
      </c>
      <c r="G64" t="inlineStr">
        <is>
          <t>Czw</t>
        </is>
      </c>
      <c r="H64">
        <f>'Floor Hours Engine'!$E$4</f>
        <v/>
      </c>
      <c r="I64" t="inlineStr">
        <is>
          <t>W2</t>
        </is>
      </c>
      <c r="J64" t="inlineStr">
        <is>
          <t>2021_Marzec_W2</t>
        </is>
      </c>
    </row>
    <row r="65" ht="17.25" customHeight="1">
      <c r="A65" s="177" t="n">
        <v>44260</v>
      </c>
      <c r="B65" s="177" t="n">
        <v>44257</v>
      </c>
      <c r="C65" s="177" t="n">
        <v>44263</v>
      </c>
      <c r="D65" t="inlineStr">
        <is>
          <t>BW20210302</t>
        </is>
      </c>
      <c r="E65" t="n">
        <v>2021</v>
      </c>
      <c r="F65" t="inlineStr">
        <is>
          <t>Marzec</t>
        </is>
      </c>
      <c r="G65" t="inlineStr">
        <is>
          <t>Pt</t>
        </is>
      </c>
      <c r="H65">
        <f>'Floor Hours Engine'!$E$5</f>
        <v/>
      </c>
      <c r="I65" t="inlineStr">
        <is>
          <t>W2</t>
        </is>
      </c>
      <c r="J65" t="inlineStr">
        <is>
          <t>2021_Marzec_W2</t>
        </is>
      </c>
    </row>
    <row r="66" ht="17.25" customHeight="1">
      <c r="A66" s="177" t="n">
        <v>44261</v>
      </c>
      <c r="B66" s="177" t="n">
        <v>44257</v>
      </c>
      <c r="C66" s="177" t="n">
        <v>44263</v>
      </c>
      <c r="D66" t="inlineStr">
        <is>
          <t>BW20210302</t>
        </is>
      </c>
      <c r="E66" t="n">
        <v>2021</v>
      </c>
      <c r="F66" t="inlineStr">
        <is>
          <t>Marzec</t>
        </is>
      </c>
      <c r="G66" t="inlineStr">
        <is>
          <t>Sob</t>
        </is>
      </c>
      <c r="H66">
        <f>'Floor Hours Engine'!$E$5</f>
        <v/>
      </c>
      <c r="I66" t="inlineStr">
        <is>
          <t>W2</t>
        </is>
      </c>
      <c r="J66" t="inlineStr">
        <is>
          <t>2021_Marzec_W2</t>
        </is>
      </c>
    </row>
    <row r="67" ht="17.25" customHeight="1">
      <c r="A67" s="177" t="n">
        <v>44262</v>
      </c>
      <c r="B67" s="177" t="n">
        <v>44257</v>
      </c>
      <c r="C67" s="177" t="n">
        <v>44263</v>
      </c>
      <c r="D67" t="inlineStr">
        <is>
          <t>BW20210302</t>
        </is>
      </c>
      <c r="E67" t="n">
        <v>2021</v>
      </c>
      <c r="F67" t="inlineStr">
        <is>
          <t>Marzec</t>
        </is>
      </c>
      <c r="G67" t="inlineStr">
        <is>
          <t>Nd</t>
        </is>
      </c>
      <c r="H67">
        <f>'Floor Hours Engine'!$E$6</f>
        <v/>
      </c>
      <c r="I67" t="inlineStr">
        <is>
          <t>W2</t>
        </is>
      </c>
      <c r="J67" t="inlineStr">
        <is>
          <t>2021_Marzec_W2</t>
        </is>
      </c>
    </row>
    <row r="68" ht="17.25" customHeight="1">
      <c r="A68" s="177" t="n">
        <v>44263</v>
      </c>
      <c r="B68" s="177" t="n">
        <v>44257</v>
      </c>
      <c r="C68" s="177" t="n">
        <v>44263</v>
      </c>
      <c r="D68" t="inlineStr">
        <is>
          <t>BW20210302</t>
        </is>
      </c>
      <c r="E68" t="n">
        <v>2021</v>
      </c>
      <c r="F68" t="inlineStr">
        <is>
          <t>Marzec</t>
        </is>
      </c>
      <c r="G68" t="inlineStr">
        <is>
          <t>Pn</t>
        </is>
      </c>
      <c r="H68">
        <f>'Floor Hours Engine'!$E$4</f>
        <v/>
      </c>
      <c r="I68" t="inlineStr">
        <is>
          <t>W2</t>
        </is>
      </c>
      <c r="J68" t="inlineStr">
        <is>
          <t>2021_Marzec_W2</t>
        </is>
      </c>
    </row>
    <row r="69" ht="17.25" customHeight="1">
      <c r="A69" s="177" t="n">
        <v>44264</v>
      </c>
      <c r="B69" s="177" t="n">
        <v>44264</v>
      </c>
      <c r="C69" s="177" t="n">
        <v>44270</v>
      </c>
      <c r="D69" t="inlineStr">
        <is>
          <t>BW20210309</t>
        </is>
      </c>
      <c r="E69" t="n">
        <v>2021</v>
      </c>
      <c r="F69" t="inlineStr">
        <is>
          <t>Marzec</t>
        </is>
      </c>
      <c r="G69" t="inlineStr">
        <is>
          <t>Wt</t>
        </is>
      </c>
      <c r="H69">
        <f>'Floor Hours Engine'!$E$4</f>
        <v/>
      </c>
      <c r="I69" t="inlineStr">
        <is>
          <t>W3</t>
        </is>
      </c>
      <c r="J69" t="inlineStr">
        <is>
          <t>2021_Marzec_W3</t>
        </is>
      </c>
    </row>
    <row r="70" ht="17.25" customHeight="1">
      <c r="A70" s="177" t="n">
        <v>44265</v>
      </c>
      <c r="B70" s="177" t="n">
        <v>44264</v>
      </c>
      <c r="C70" s="177" t="n">
        <v>44270</v>
      </c>
      <c r="D70" t="inlineStr">
        <is>
          <t>BW20210309</t>
        </is>
      </c>
      <c r="E70" t="n">
        <v>2021</v>
      </c>
      <c r="F70" t="inlineStr">
        <is>
          <t>Marzec</t>
        </is>
      </c>
      <c r="G70" t="inlineStr">
        <is>
          <t>Śr</t>
        </is>
      </c>
      <c r="H70">
        <f>'Floor Hours Engine'!$E$4</f>
        <v/>
      </c>
      <c r="I70" t="inlineStr">
        <is>
          <t>W3</t>
        </is>
      </c>
      <c r="J70" t="inlineStr">
        <is>
          <t>2021_Marzec_W3</t>
        </is>
      </c>
    </row>
    <row r="71" ht="17.25" customHeight="1">
      <c r="A71" s="177" t="n">
        <v>44266</v>
      </c>
      <c r="B71" s="177" t="n">
        <v>44264</v>
      </c>
      <c r="C71" s="177" t="n">
        <v>44270</v>
      </c>
      <c r="D71" t="inlineStr">
        <is>
          <t>BW20210309</t>
        </is>
      </c>
      <c r="E71" t="n">
        <v>2021</v>
      </c>
      <c r="F71" t="inlineStr">
        <is>
          <t>Marzec</t>
        </is>
      </c>
      <c r="G71" t="inlineStr">
        <is>
          <t>Czw</t>
        </is>
      </c>
      <c r="H71">
        <f>'Floor Hours Engine'!$E$4</f>
        <v/>
      </c>
      <c r="I71" t="inlineStr">
        <is>
          <t>W3</t>
        </is>
      </c>
      <c r="J71" t="inlineStr">
        <is>
          <t>2021_Marzec_W3</t>
        </is>
      </c>
    </row>
    <row r="72" ht="17.25" customHeight="1">
      <c r="A72" s="177" t="n">
        <v>44267</v>
      </c>
      <c r="B72" s="177" t="n">
        <v>44264</v>
      </c>
      <c r="C72" s="177" t="n">
        <v>44270</v>
      </c>
      <c r="D72" t="inlineStr">
        <is>
          <t>BW20210309</t>
        </is>
      </c>
      <c r="E72" t="n">
        <v>2021</v>
      </c>
      <c r="F72" t="inlineStr">
        <is>
          <t>Marzec</t>
        </is>
      </c>
      <c r="G72" t="inlineStr">
        <is>
          <t>Pt</t>
        </is>
      </c>
      <c r="H72">
        <f>'Floor Hours Engine'!$E$5</f>
        <v/>
      </c>
      <c r="I72" t="inlineStr">
        <is>
          <t>W3</t>
        </is>
      </c>
      <c r="J72" t="inlineStr">
        <is>
          <t>2021_Marzec_W3</t>
        </is>
      </c>
    </row>
    <row r="73" ht="17.25" customHeight="1">
      <c r="A73" s="177" t="n">
        <v>44268</v>
      </c>
      <c r="B73" s="177" t="n">
        <v>44264</v>
      </c>
      <c r="C73" s="177" t="n">
        <v>44270</v>
      </c>
      <c r="D73" t="inlineStr">
        <is>
          <t>BW20210309</t>
        </is>
      </c>
      <c r="E73" t="n">
        <v>2021</v>
      </c>
      <c r="F73" t="inlineStr">
        <is>
          <t>Marzec</t>
        </is>
      </c>
      <c r="G73" t="inlineStr">
        <is>
          <t>Sob</t>
        </is>
      </c>
      <c r="H73">
        <f>'Floor Hours Engine'!$E$5</f>
        <v/>
      </c>
      <c r="I73" t="inlineStr">
        <is>
          <t>W3</t>
        </is>
      </c>
      <c r="J73" t="inlineStr">
        <is>
          <t>2021_Marzec_W3</t>
        </is>
      </c>
    </row>
    <row r="74" ht="17.25" customHeight="1">
      <c r="A74" s="177" t="n">
        <v>44269</v>
      </c>
      <c r="B74" s="177" t="n">
        <v>44264</v>
      </c>
      <c r="C74" s="177" t="n">
        <v>44270</v>
      </c>
      <c r="D74" t="inlineStr">
        <is>
          <t>BW20210309</t>
        </is>
      </c>
      <c r="E74" t="n">
        <v>2021</v>
      </c>
      <c r="F74" t="inlineStr">
        <is>
          <t>Marzec</t>
        </is>
      </c>
      <c r="G74" t="inlineStr">
        <is>
          <t>Nd</t>
        </is>
      </c>
      <c r="H74">
        <f>'Floor Hours Engine'!$E$6</f>
        <v/>
      </c>
      <c r="I74" t="inlineStr">
        <is>
          <t>W3</t>
        </is>
      </c>
      <c r="J74" t="inlineStr">
        <is>
          <t>2021_Marzec_W3</t>
        </is>
      </c>
    </row>
    <row r="75" ht="17.25" customHeight="1">
      <c r="A75" s="177" t="n">
        <v>44270</v>
      </c>
      <c r="B75" s="177" t="n">
        <v>44264</v>
      </c>
      <c r="C75" s="177" t="n">
        <v>44270</v>
      </c>
      <c r="D75" t="inlineStr">
        <is>
          <t>BW20210309</t>
        </is>
      </c>
      <c r="E75" t="n">
        <v>2021</v>
      </c>
      <c r="F75" t="inlineStr">
        <is>
          <t>Marzec</t>
        </is>
      </c>
      <c r="G75" t="inlineStr">
        <is>
          <t>Pn</t>
        </is>
      </c>
      <c r="H75">
        <f>'Floor Hours Engine'!$E$4</f>
        <v/>
      </c>
      <c r="I75" t="inlineStr">
        <is>
          <t>W3</t>
        </is>
      </c>
      <c r="J75" t="inlineStr">
        <is>
          <t>2021_Marzec_W3</t>
        </is>
      </c>
    </row>
    <row r="76" ht="17.25" customHeight="1">
      <c r="A76" s="177" t="n">
        <v>44271</v>
      </c>
      <c r="B76" s="177" t="n">
        <v>44271</v>
      </c>
      <c r="C76" s="177" t="n">
        <v>44277</v>
      </c>
      <c r="D76" t="inlineStr">
        <is>
          <t>BW20210316</t>
        </is>
      </c>
      <c r="E76" t="n">
        <v>2021</v>
      </c>
      <c r="F76" t="inlineStr">
        <is>
          <t>Marzec</t>
        </is>
      </c>
      <c r="G76" t="inlineStr">
        <is>
          <t>Wt</t>
        </is>
      </c>
      <c r="H76">
        <f>'Floor Hours Engine'!$E$4</f>
        <v/>
      </c>
      <c r="I76" t="inlineStr">
        <is>
          <t>W4</t>
        </is>
      </c>
      <c r="J76" t="inlineStr">
        <is>
          <t>2021_Marzec_W4</t>
        </is>
      </c>
    </row>
    <row r="77" ht="17.25" customHeight="1">
      <c r="A77" s="177" t="n">
        <v>44272</v>
      </c>
      <c r="B77" s="177" t="n">
        <v>44271</v>
      </c>
      <c r="C77" s="177" t="n">
        <v>44277</v>
      </c>
      <c r="D77" t="inlineStr">
        <is>
          <t>BW20210316</t>
        </is>
      </c>
      <c r="E77" t="n">
        <v>2021</v>
      </c>
      <c r="F77" t="inlineStr">
        <is>
          <t>Marzec</t>
        </is>
      </c>
      <c r="G77" t="inlineStr">
        <is>
          <t>Śr</t>
        </is>
      </c>
      <c r="H77">
        <f>'Floor Hours Engine'!$E$4</f>
        <v/>
      </c>
      <c r="I77" t="inlineStr">
        <is>
          <t>W4</t>
        </is>
      </c>
      <c r="J77" t="inlineStr">
        <is>
          <t>2021_Marzec_W4</t>
        </is>
      </c>
    </row>
    <row r="78" ht="17.25" customHeight="1">
      <c r="A78" s="177" t="n">
        <v>44273</v>
      </c>
      <c r="B78" s="177" t="n">
        <v>44271</v>
      </c>
      <c r="C78" s="177" t="n">
        <v>44277</v>
      </c>
      <c r="D78" t="inlineStr">
        <is>
          <t>BW20210316</t>
        </is>
      </c>
      <c r="E78" t="n">
        <v>2021</v>
      </c>
      <c r="F78" t="inlineStr">
        <is>
          <t>Marzec</t>
        </is>
      </c>
      <c r="G78" t="inlineStr">
        <is>
          <t>Czw</t>
        </is>
      </c>
      <c r="H78">
        <f>'Floor Hours Engine'!$E$4</f>
        <v/>
      </c>
      <c r="I78" t="inlineStr">
        <is>
          <t>W4</t>
        </is>
      </c>
      <c r="J78" t="inlineStr">
        <is>
          <t>2021_Marzec_W4</t>
        </is>
      </c>
    </row>
    <row r="79" ht="17.25" customHeight="1">
      <c r="A79" s="177" t="n">
        <v>44274</v>
      </c>
      <c r="B79" s="177" t="n">
        <v>44271</v>
      </c>
      <c r="C79" s="177" t="n">
        <v>44277</v>
      </c>
      <c r="D79" t="inlineStr">
        <is>
          <t>BW20210316</t>
        </is>
      </c>
      <c r="E79" t="n">
        <v>2021</v>
      </c>
      <c r="F79" t="inlineStr">
        <is>
          <t>Marzec</t>
        </is>
      </c>
      <c r="G79" t="inlineStr">
        <is>
          <t>Pt</t>
        </is>
      </c>
      <c r="H79">
        <f>'Floor Hours Engine'!$E$5</f>
        <v/>
      </c>
      <c r="I79" t="inlineStr">
        <is>
          <t>W4</t>
        </is>
      </c>
      <c r="J79" t="inlineStr">
        <is>
          <t>2021_Marzec_W4</t>
        </is>
      </c>
    </row>
    <row r="80" ht="17.25" customHeight="1">
      <c r="A80" s="177" t="n">
        <v>44275</v>
      </c>
      <c r="B80" s="177" t="n">
        <v>44271</v>
      </c>
      <c r="C80" s="177" t="n">
        <v>44277</v>
      </c>
      <c r="D80" t="inlineStr">
        <is>
          <t>BW20210316</t>
        </is>
      </c>
      <c r="E80" t="n">
        <v>2021</v>
      </c>
      <c r="F80" t="inlineStr">
        <is>
          <t>Marzec</t>
        </is>
      </c>
      <c r="G80" t="inlineStr">
        <is>
          <t>Sob</t>
        </is>
      </c>
      <c r="H80">
        <f>'Floor Hours Engine'!$E$5</f>
        <v/>
      </c>
      <c r="I80" t="inlineStr">
        <is>
          <t>W4</t>
        </is>
      </c>
      <c r="J80" t="inlineStr">
        <is>
          <t>2021_Marzec_W4</t>
        </is>
      </c>
    </row>
    <row r="81" ht="17.25" customHeight="1">
      <c r="A81" s="177" t="n">
        <v>44276</v>
      </c>
      <c r="B81" s="177" t="n">
        <v>44271</v>
      </c>
      <c r="C81" s="177" t="n">
        <v>44277</v>
      </c>
      <c r="D81" t="inlineStr">
        <is>
          <t>BW20210316</t>
        </is>
      </c>
      <c r="E81" t="n">
        <v>2021</v>
      </c>
      <c r="F81" t="inlineStr">
        <is>
          <t>Marzec</t>
        </is>
      </c>
      <c r="G81" t="inlineStr">
        <is>
          <t>Nd</t>
        </is>
      </c>
      <c r="H81">
        <f>'Floor Hours Engine'!$E$6</f>
        <v/>
      </c>
      <c r="I81" t="inlineStr">
        <is>
          <t>W4</t>
        </is>
      </c>
      <c r="J81" t="inlineStr">
        <is>
          <t>2021_Marzec_W4</t>
        </is>
      </c>
    </row>
    <row r="82" ht="17.25" customHeight="1">
      <c r="A82" s="177" t="n">
        <v>44277</v>
      </c>
      <c r="B82" s="177" t="n">
        <v>44271</v>
      </c>
      <c r="C82" s="177" t="n">
        <v>44277</v>
      </c>
      <c r="D82" t="inlineStr">
        <is>
          <t>BW20210316</t>
        </is>
      </c>
      <c r="E82" t="n">
        <v>2021</v>
      </c>
      <c r="F82" t="inlineStr">
        <is>
          <t>Marzec</t>
        </is>
      </c>
      <c r="G82" t="inlineStr">
        <is>
          <t>Pn</t>
        </is>
      </c>
      <c r="H82">
        <f>'Floor Hours Engine'!$E$4</f>
        <v/>
      </c>
      <c r="I82" t="inlineStr">
        <is>
          <t>W4</t>
        </is>
      </c>
      <c r="J82" t="inlineStr">
        <is>
          <t>2021_Marzec_W4</t>
        </is>
      </c>
    </row>
    <row r="83" ht="17.25" customHeight="1">
      <c r="A83" s="177" t="n">
        <v>44278</v>
      </c>
      <c r="B83" s="177" t="n">
        <v>44278</v>
      </c>
      <c r="C83" s="177" t="n">
        <v>44284</v>
      </c>
      <c r="D83" t="inlineStr">
        <is>
          <t>BW20210323</t>
        </is>
      </c>
      <c r="E83" t="n">
        <v>2021</v>
      </c>
      <c r="F83" t="inlineStr">
        <is>
          <t>Marzec</t>
        </is>
      </c>
      <c r="G83" t="inlineStr">
        <is>
          <t>Wt</t>
        </is>
      </c>
      <c r="H83">
        <f>'Floor Hours Engine'!$E$4</f>
        <v/>
      </c>
      <c r="I83" t="inlineStr">
        <is>
          <t>W5</t>
        </is>
      </c>
      <c r="J83" t="inlineStr">
        <is>
          <t>2021_Marzec_W5</t>
        </is>
      </c>
    </row>
    <row r="84" ht="17.25" customHeight="1">
      <c r="A84" s="177" t="n">
        <v>44279</v>
      </c>
      <c r="B84" s="177" t="n">
        <v>44278</v>
      </c>
      <c r="C84" s="177" t="n">
        <v>44284</v>
      </c>
      <c r="D84" t="inlineStr">
        <is>
          <t>BW20210323</t>
        </is>
      </c>
      <c r="E84" t="n">
        <v>2021</v>
      </c>
      <c r="F84" t="inlineStr">
        <is>
          <t>Marzec</t>
        </is>
      </c>
      <c r="G84" t="inlineStr">
        <is>
          <t>Śr</t>
        </is>
      </c>
      <c r="H84">
        <f>'Floor Hours Engine'!$E$4</f>
        <v/>
      </c>
      <c r="I84" t="inlineStr">
        <is>
          <t>W5</t>
        </is>
      </c>
      <c r="J84" t="inlineStr">
        <is>
          <t>2021_Marzec_W5</t>
        </is>
      </c>
    </row>
    <row r="85" ht="17.25" customHeight="1">
      <c r="A85" s="177" t="n">
        <v>44280</v>
      </c>
      <c r="B85" s="177" t="n">
        <v>44278</v>
      </c>
      <c r="C85" s="177" t="n">
        <v>44284</v>
      </c>
      <c r="D85" t="inlineStr">
        <is>
          <t>BW20210323</t>
        </is>
      </c>
      <c r="E85" t="n">
        <v>2021</v>
      </c>
      <c r="F85" t="inlineStr">
        <is>
          <t>Marzec</t>
        </is>
      </c>
      <c r="G85" t="inlineStr">
        <is>
          <t>Czw</t>
        </is>
      </c>
      <c r="H85">
        <f>'Floor Hours Engine'!$E$4</f>
        <v/>
      </c>
      <c r="I85" t="inlineStr">
        <is>
          <t>W5</t>
        </is>
      </c>
      <c r="J85" t="inlineStr">
        <is>
          <t>2021_Marzec_W5</t>
        </is>
      </c>
    </row>
    <row r="86" ht="17.25" customHeight="1">
      <c r="A86" s="177" t="n">
        <v>44281</v>
      </c>
      <c r="B86" s="177" t="n">
        <v>44278</v>
      </c>
      <c r="C86" s="177" t="n">
        <v>44284</v>
      </c>
      <c r="D86" t="inlineStr">
        <is>
          <t>BW20210323</t>
        </is>
      </c>
      <c r="E86" t="n">
        <v>2021</v>
      </c>
      <c r="F86" t="inlineStr">
        <is>
          <t>Marzec</t>
        </is>
      </c>
      <c r="G86" t="inlineStr">
        <is>
          <t>Pt</t>
        </is>
      </c>
      <c r="H86">
        <f>'Floor Hours Engine'!$E$5</f>
        <v/>
      </c>
      <c r="I86" t="inlineStr">
        <is>
          <t>W5</t>
        </is>
      </c>
      <c r="J86" t="inlineStr">
        <is>
          <t>2021_Marzec_W5</t>
        </is>
      </c>
    </row>
    <row r="87" ht="17.25" customHeight="1">
      <c r="A87" s="177" t="n">
        <v>44282</v>
      </c>
      <c r="B87" s="177" t="n">
        <v>44278</v>
      </c>
      <c r="C87" s="177" t="n">
        <v>44284</v>
      </c>
      <c r="D87" t="inlineStr">
        <is>
          <t>BW20210323</t>
        </is>
      </c>
      <c r="E87" t="n">
        <v>2021</v>
      </c>
      <c r="F87" t="inlineStr">
        <is>
          <t>Marzec</t>
        </is>
      </c>
      <c r="G87" t="inlineStr">
        <is>
          <t>Sob</t>
        </is>
      </c>
      <c r="H87">
        <f>'Floor Hours Engine'!$E$5</f>
        <v/>
      </c>
      <c r="I87" t="inlineStr">
        <is>
          <t>W5</t>
        </is>
      </c>
      <c r="J87" t="inlineStr">
        <is>
          <t>2021_Marzec_W5</t>
        </is>
      </c>
    </row>
    <row r="88" ht="17.25" customHeight="1">
      <c r="A88" s="177" t="n">
        <v>44283</v>
      </c>
      <c r="B88" s="177" t="n">
        <v>44278</v>
      </c>
      <c r="C88" s="177" t="n">
        <v>44284</v>
      </c>
      <c r="D88" t="inlineStr">
        <is>
          <t>BW20210323</t>
        </is>
      </c>
      <c r="E88" t="n">
        <v>2021</v>
      </c>
      <c r="F88" t="inlineStr">
        <is>
          <t>Marzec</t>
        </is>
      </c>
      <c r="G88" t="inlineStr">
        <is>
          <t>Nd</t>
        </is>
      </c>
      <c r="H88">
        <f>'Floor Hours Engine'!$E$6</f>
        <v/>
      </c>
      <c r="I88" t="inlineStr">
        <is>
          <t>W5</t>
        </is>
      </c>
      <c r="J88" t="inlineStr">
        <is>
          <t>2021_Marzec_W5</t>
        </is>
      </c>
    </row>
    <row r="89" ht="17.25" customHeight="1">
      <c r="A89" s="177" t="n">
        <v>44284</v>
      </c>
      <c r="B89" s="177" t="n">
        <v>44278</v>
      </c>
      <c r="C89" s="177" t="n">
        <v>44284</v>
      </c>
      <c r="D89" t="inlineStr">
        <is>
          <t>BW20210323</t>
        </is>
      </c>
      <c r="E89" t="n">
        <v>2021</v>
      </c>
      <c r="F89" t="inlineStr">
        <is>
          <t>Marzec</t>
        </is>
      </c>
      <c r="G89" t="inlineStr">
        <is>
          <t>Pn</t>
        </is>
      </c>
      <c r="H89">
        <f>'Floor Hours Engine'!$E$4</f>
        <v/>
      </c>
      <c r="I89" t="inlineStr">
        <is>
          <t>W5</t>
        </is>
      </c>
      <c r="J89" t="inlineStr">
        <is>
          <t>2021_Marzec_W5</t>
        </is>
      </c>
    </row>
    <row r="90" ht="17.25" customHeight="1">
      <c r="A90" s="177" t="n">
        <v>44285</v>
      </c>
      <c r="B90" s="177" t="n">
        <v>44285</v>
      </c>
      <c r="C90" s="177" t="n">
        <v>44291</v>
      </c>
      <c r="D90" t="inlineStr">
        <is>
          <t>BW20210330</t>
        </is>
      </c>
      <c r="E90" t="n">
        <v>2021</v>
      </c>
      <c r="F90" t="inlineStr">
        <is>
          <t>Marzec</t>
        </is>
      </c>
      <c r="G90" t="inlineStr">
        <is>
          <t>Wt</t>
        </is>
      </c>
      <c r="H90">
        <f>'Floor Hours Engine'!$E$4</f>
        <v/>
      </c>
      <c r="I90" t="inlineStr">
        <is>
          <t>W6</t>
        </is>
      </c>
      <c r="J90" t="inlineStr">
        <is>
          <t>2021_Marzec_W6</t>
        </is>
      </c>
    </row>
    <row r="91" ht="17.25" customHeight="1">
      <c r="A91" s="177" t="n">
        <v>44286</v>
      </c>
      <c r="B91" s="177" t="n">
        <v>44285</v>
      </c>
      <c r="C91" s="177" t="n">
        <v>44291</v>
      </c>
      <c r="D91" t="inlineStr">
        <is>
          <t>BW20210330</t>
        </is>
      </c>
      <c r="E91" t="n">
        <v>2021</v>
      </c>
      <c r="F91" t="inlineStr">
        <is>
          <t>Marzec</t>
        </is>
      </c>
      <c r="G91" t="inlineStr">
        <is>
          <t>Śr</t>
        </is>
      </c>
      <c r="H91">
        <f>'Floor Hours Engine'!$E$4</f>
        <v/>
      </c>
      <c r="I91" t="inlineStr">
        <is>
          <t>W6</t>
        </is>
      </c>
      <c r="J91" t="inlineStr">
        <is>
          <t>2021_Marzec_W6</t>
        </is>
      </c>
    </row>
    <row r="92" ht="17.25" customHeight="1">
      <c r="A92" s="177" t="n">
        <v>44287</v>
      </c>
      <c r="B92" s="177" t="n">
        <v>44285</v>
      </c>
      <c r="C92" s="177" t="n">
        <v>44291</v>
      </c>
      <c r="D92" t="inlineStr">
        <is>
          <t>BW20210330</t>
        </is>
      </c>
      <c r="E92" t="n">
        <v>2021</v>
      </c>
      <c r="F92" t="inlineStr">
        <is>
          <t>Kwiecień</t>
        </is>
      </c>
      <c r="G92" t="inlineStr">
        <is>
          <t>Czw</t>
        </is>
      </c>
      <c r="H92">
        <f>'Floor Hours Engine'!$E$4</f>
        <v/>
      </c>
      <c r="I92" t="inlineStr">
        <is>
          <t>W1</t>
        </is>
      </c>
      <c r="J92" t="inlineStr">
        <is>
          <t>2021_Kwiecień_W1</t>
        </is>
      </c>
    </row>
    <row r="93" ht="17.25" customHeight="1">
      <c r="A93" s="177" t="n">
        <v>44288</v>
      </c>
      <c r="B93" s="177" t="n">
        <v>44285</v>
      </c>
      <c r="C93" s="177" t="n">
        <v>44291</v>
      </c>
      <c r="D93" t="inlineStr">
        <is>
          <t>BW20210330</t>
        </is>
      </c>
      <c r="E93" t="n">
        <v>2021</v>
      </c>
      <c r="F93" t="inlineStr">
        <is>
          <t>Kwiecień</t>
        </is>
      </c>
      <c r="G93" t="inlineStr">
        <is>
          <t>Pt</t>
        </is>
      </c>
      <c r="H93">
        <f>'Floor Hours Engine'!$E$5</f>
        <v/>
      </c>
      <c r="I93" t="inlineStr">
        <is>
          <t>W1</t>
        </is>
      </c>
      <c r="J93" t="inlineStr">
        <is>
          <t>2021_Kwiecień_W1</t>
        </is>
      </c>
    </row>
    <row r="94" ht="17.25" customHeight="1">
      <c r="A94" s="177" t="n">
        <v>44289</v>
      </c>
      <c r="B94" s="177" t="n">
        <v>44285</v>
      </c>
      <c r="C94" s="177" t="n">
        <v>44291</v>
      </c>
      <c r="D94" t="inlineStr">
        <is>
          <t>BW20210330</t>
        </is>
      </c>
      <c r="E94" t="n">
        <v>2021</v>
      </c>
      <c r="F94" t="inlineStr">
        <is>
          <t>Kwiecień</t>
        </is>
      </c>
      <c r="G94" t="inlineStr">
        <is>
          <t>Sob</t>
        </is>
      </c>
      <c r="H94">
        <f>'Floor Hours Engine'!$E$5</f>
        <v/>
      </c>
      <c r="I94" t="inlineStr">
        <is>
          <t>W1</t>
        </is>
      </c>
      <c r="J94" t="inlineStr">
        <is>
          <t>2021_Kwiecień_W1</t>
        </is>
      </c>
    </row>
    <row r="95" ht="17.25" customHeight="1">
      <c r="A95" s="177" t="n">
        <v>44290</v>
      </c>
      <c r="B95" s="177" t="n">
        <v>44285</v>
      </c>
      <c r="C95" s="177" t="n">
        <v>44291</v>
      </c>
      <c r="D95" t="inlineStr">
        <is>
          <t>BW20210330</t>
        </is>
      </c>
      <c r="E95" t="n">
        <v>2021</v>
      </c>
      <c r="F95" t="inlineStr">
        <is>
          <t>Kwiecień</t>
        </is>
      </c>
      <c r="G95" t="inlineStr">
        <is>
          <t>Nd</t>
        </is>
      </c>
      <c r="H95">
        <f>'Floor Hours Engine'!$E$6</f>
        <v/>
      </c>
      <c r="I95" t="inlineStr">
        <is>
          <t>W1</t>
        </is>
      </c>
      <c r="J95" t="inlineStr">
        <is>
          <t>2021_Kwiecień_W1</t>
        </is>
      </c>
    </row>
    <row r="96" ht="17.25" customHeight="1">
      <c r="A96" s="177" t="n">
        <v>44291</v>
      </c>
      <c r="B96" s="177" t="n">
        <v>44285</v>
      </c>
      <c r="C96" s="177" t="n">
        <v>44291</v>
      </c>
      <c r="D96" t="inlineStr">
        <is>
          <t>BW20210330</t>
        </is>
      </c>
      <c r="E96" t="n">
        <v>2021</v>
      </c>
      <c r="F96" t="inlineStr">
        <is>
          <t>Kwiecień</t>
        </is>
      </c>
      <c r="G96" t="inlineStr">
        <is>
          <t>Pn</t>
        </is>
      </c>
      <c r="H96">
        <f>'Floor Hours Engine'!$E$4</f>
        <v/>
      </c>
      <c r="I96" t="inlineStr">
        <is>
          <t>W1</t>
        </is>
      </c>
      <c r="J96" t="inlineStr">
        <is>
          <t>2021_Kwiecień_W1</t>
        </is>
      </c>
    </row>
    <row r="97" ht="17.25" customHeight="1">
      <c r="A97" s="177" t="n">
        <v>44292</v>
      </c>
      <c r="B97" s="177" t="n">
        <v>44292</v>
      </c>
      <c r="C97" s="177" t="n">
        <v>44298</v>
      </c>
      <c r="D97" t="inlineStr">
        <is>
          <t>BW20210406</t>
        </is>
      </c>
      <c r="E97" t="n">
        <v>2021</v>
      </c>
      <c r="F97" t="inlineStr">
        <is>
          <t>Kwiecień</t>
        </is>
      </c>
      <c r="G97" t="inlineStr">
        <is>
          <t>Wt</t>
        </is>
      </c>
      <c r="H97">
        <f>'Floor Hours Engine'!$E$4</f>
        <v/>
      </c>
      <c r="I97" t="inlineStr">
        <is>
          <t>W2</t>
        </is>
      </c>
      <c r="J97" t="inlineStr">
        <is>
          <t>2021_Kwiecień_W2</t>
        </is>
      </c>
    </row>
    <row r="98" ht="17.25" customHeight="1">
      <c r="A98" s="177" t="n">
        <v>44293</v>
      </c>
      <c r="B98" s="177" t="n">
        <v>44292</v>
      </c>
      <c r="C98" s="177" t="n">
        <v>44298</v>
      </c>
      <c r="D98" t="inlineStr">
        <is>
          <t>BW20210406</t>
        </is>
      </c>
      <c r="E98" t="n">
        <v>2021</v>
      </c>
      <c r="F98" t="inlineStr">
        <is>
          <t>Kwiecień</t>
        </is>
      </c>
      <c r="G98" t="inlineStr">
        <is>
          <t>Śr</t>
        </is>
      </c>
      <c r="H98">
        <f>'Floor Hours Engine'!$E$4</f>
        <v/>
      </c>
      <c r="I98" t="inlineStr">
        <is>
          <t>W2</t>
        </is>
      </c>
      <c r="J98" t="inlineStr">
        <is>
          <t>2021_Kwiecień_W2</t>
        </is>
      </c>
    </row>
    <row r="99" ht="17.25" customHeight="1">
      <c r="A99" s="177" t="n">
        <v>44294</v>
      </c>
      <c r="B99" s="177" t="n">
        <v>44292</v>
      </c>
      <c r="C99" s="177" t="n">
        <v>44298</v>
      </c>
      <c r="D99" t="inlineStr">
        <is>
          <t>BW20210406</t>
        </is>
      </c>
      <c r="E99" t="n">
        <v>2021</v>
      </c>
      <c r="F99" t="inlineStr">
        <is>
          <t>Kwiecień</t>
        </is>
      </c>
      <c r="G99" t="inlineStr">
        <is>
          <t>Czw</t>
        </is>
      </c>
      <c r="H99">
        <f>'Floor Hours Engine'!$E$4</f>
        <v/>
      </c>
      <c r="I99" t="inlineStr">
        <is>
          <t>W2</t>
        </is>
      </c>
      <c r="J99" t="inlineStr">
        <is>
          <t>2021_Kwiecień_W2</t>
        </is>
      </c>
    </row>
    <row r="100" ht="17.25" customHeight="1">
      <c r="A100" s="177" t="n">
        <v>44295</v>
      </c>
      <c r="B100" s="177" t="n">
        <v>44292</v>
      </c>
      <c r="C100" s="177" t="n">
        <v>44298</v>
      </c>
      <c r="D100" t="inlineStr">
        <is>
          <t>BW20210406</t>
        </is>
      </c>
      <c r="E100" t="n">
        <v>2021</v>
      </c>
      <c r="F100" t="inlineStr">
        <is>
          <t>Kwiecień</t>
        </is>
      </c>
      <c r="G100" t="inlineStr">
        <is>
          <t>Pt</t>
        </is>
      </c>
      <c r="H100">
        <f>'Floor Hours Engine'!$E$5</f>
        <v/>
      </c>
      <c r="I100" t="inlineStr">
        <is>
          <t>W2</t>
        </is>
      </c>
      <c r="J100" t="inlineStr">
        <is>
          <t>2021_Kwiecień_W2</t>
        </is>
      </c>
    </row>
    <row r="101" ht="17.25" customHeight="1">
      <c r="A101" s="177" t="n">
        <v>44296</v>
      </c>
      <c r="B101" s="177" t="n">
        <v>44292</v>
      </c>
      <c r="C101" s="177" t="n">
        <v>44298</v>
      </c>
      <c r="D101" t="inlineStr">
        <is>
          <t>BW20210406</t>
        </is>
      </c>
      <c r="E101" t="n">
        <v>2021</v>
      </c>
      <c r="F101" t="inlineStr">
        <is>
          <t>Kwiecień</t>
        </is>
      </c>
      <c r="G101" t="inlineStr">
        <is>
          <t>Sob</t>
        </is>
      </c>
      <c r="H101">
        <f>'Floor Hours Engine'!$E$5</f>
        <v/>
      </c>
      <c r="I101" t="inlineStr">
        <is>
          <t>W2</t>
        </is>
      </c>
      <c r="J101" t="inlineStr">
        <is>
          <t>2021_Kwiecień_W2</t>
        </is>
      </c>
    </row>
    <row r="102" ht="17.25" customHeight="1">
      <c r="A102" s="177" t="n">
        <v>44297</v>
      </c>
      <c r="B102" s="177" t="n">
        <v>44292</v>
      </c>
      <c r="C102" s="177" t="n">
        <v>44298</v>
      </c>
      <c r="D102" t="inlineStr">
        <is>
          <t>BW20210406</t>
        </is>
      </c>
      <c r="E102" t="n">
        <v>2021</v>
      </c>
      <c r="F102" t="inlineStr">
        <is>
          <t>Kwiecień</t>
        </is>
      </c>
      <c r="G102" t="inlineStr">
        <is>
          <t>Nd</t>
        </is>
      </c>
      <c r="H102">
        <f>'Floor Hours Engine'!$E$6</f>
        <v/>
      </c>
      <c r="I102" t="inlineStr">
        <is>
          <t>W2</t>
        </is>
      </c>
      <c r="J102" t="inlineStr">
        <is>
          <t>2021_Kwiecień_W2</t>
        </is>
      </c>
    </row>
    <row r="103" ht="17.25" customHeight="1">
      <c r="A103" s="177" t="n">
        <v>44298</v>
      </c>
      <c r="B103" s="177" t="n">
        <v>44292</v>
      </c>
      <c r="C103" s="177" t="n">
        <v>44298</v>
      </c>
      <c r="D103" t="inlineStr">
        <is>
          <t>BW20210406</t>
        </is>
      </c>
      <c r="E103" t="n">
        <v>2021</v>
      </c>
      <c r="F103" t="inlineStr">
        <is>
          <t>Kwiecień</t>
        </is>
      </c>
      <c r="G103" t="inlineStr">
        <is>
          <t>Pn</t>
        </is>
      </c>
      <c r="H103">
        <f>'Floor Hours Engine'!$E$4</f>
        <v/>
      </c>
      <c r="I103" t="inlineStr">
        <is>
          <t>W2</t>
        </is>
      </c>
      <c r="J103" t="inlineStr">
        <is>
          <t>2021_Kwiecień_W2</t>
        </is>
      </c>
    </row>
    <row r="104" ht="17.25" customHeight="1">
      <c r="A104" s="177" t="n">
        <v>44299</v>
      </c>
      <c r="B104" s="177" t="n">
        <v>44299</v>
      </c>
      <c r="C104" s="177" t="n">
        <v>44305</v>
      </c>
      <c r="D104" t="inlineStr">
        <is>
          <t>BW20210413</t>
        </is>
      </c>
      <c r="E104" t="n">
        <v>2021</v>
      </c>
      <c r="F104" t="inlineStr">
        <is>
          <t>Kwiecień</t>
        </is>
      </c>
      <c r="G104" t="inlineStr">
        <is>
          <t>Wt</t>
        </is>
      </c>
      <c r="H104">
        <f>'Floor Hours Engine'!$E$4</f>
        <v/>
      </c>
      <c r="I104" t="inlineStr">
        <is>
          <t>W3</t>
        </is>
      </c>
      <c r="J104" t="inlineStr">
        <is>
          <t>2021_Kwiecień_W3</t>
        </is>
      </c>
    </row>
    <row r="105" ht="17.25" customHeight="1">
      <c r="A105" s="177" t="n">
        <v>44300</v>
      </c>
      <c r="B105" s="177" t="n">
        <v>44299</v>
      </c>
      <c r="C105" s="177" t="n">
        <v>44305</v>
      </c>
      <c r="D105" t="inlineStr">
        <is>
          <t>BW20210413</t>
        </is>
      </c>
      <c r="E105" t="n">
        <v>2021</v>
      </c>
      <c r="F105" t="inlineStr">
        <is>
          <t>Kwiecień</t>
        </is>
      </c>
      <c r="G105" t="inlineStr">
        <is>
          <t>Śr</t>
        </is>
      </c>
      <c r="H105">
        <f>'Floor Hours Engine'!$E$4</f>
        <v/>
      </c>
      <c r="I105" t="inlineStr">
        <is>
          <t>W3</t>
        </is>
      </c>
      <c r="J105" t="inlineStr">
        <is>
          <t>2021_Kwiecień_W3</t>
        </is>
      </c>
    </row>
    <row r="106" ht="17.25" customHeight="1">
      <c r="A106" s="177" t="n">
        <v>44301</v>
      </c>
      <c r="B106" s="177" t="n">
        <v>44299</v>
      </c>
      <c r="C106" s="177" t="n">
        <v>44305</v>
      </c>
      <c r="D106" t="inlineStr">
        <is>
          <t>BW20210413</t>
        </is>
      </c>
      <c r="E106" t="n">
        <v>2021</v>
      </c>
      <c r="F106" t="inlineStr">
        <is>
          <t>Kwiecień</t>
        </is>
      </c>
      <c r="G106" t="inlineStr">
        <is>
          <t>Czw</t>
        </is>
      </c>
      <c r="H106">
        <f>'Floor Hours Engine'!$E$4</f>
        <v/>
      </c>
      <c r="I106" t="inlineStr">
        <is>
          <t>W3</t>
        </is>
      </c>
      <c r="J106" t="inlineStr">
        <is>
          <t>2021_Kwiecień_W3</t>
        </is>
      </c>
    </row>
    <row r="107" ht="17.25" customHeight="1">
      <c r="A107" s="177" t="n">
        <v>44302</v>
      </c>
      <c r="B107" s="177" t="n">
        <v>44299</v>
      </c>
      <c r="C107" s="177" t="n">
        <v>44305</v>
      </c>
      <c r="D107" t="inlineStr">
        <is>
          <t>BW20210413</t>
        </is>
      </c>
      <c r="E107" t="n">
        <v>2021</v>
      </c>
      <c r="F107" t="inlineStr">
        <is>
          <t>Kwiecień</t>
        </is>
      </c>
      <c r="G107" t="inlineStr">
        <is>
          <t>Pt</t>
        </is>
      </c>
      <c r="H107">
        <f>'Floor Hours Engine'!$E$5</f>
        <v/>
      </c>
      <c r="I107" t="inlineStr">
        <is>
          <t>W3</t>
        </is>
      </c>
      <c r="J107" t="inlineStr">
        <is>
          <t>2021_Kwiecień_W3</t>
        </is>
      </c>
    </row>
    <row r="108" ht="17.25" customHeight="1">
      <c r="A108" s="177" t="n">
        <v>44303</v>
      </c>
      <c r="B108" s="177" t="n">
        <v>44299</v>
      </c>
      <c r="C108" s="177" t="n">
        <v>44305</v>
      </c>
      <c r="D108" t="inlineStr">
        <is>
          <t>BW20210413</t>
        </is>
      </c>
      <c r="E108" t="n">
        <v>2021</v>
      </c>
      <c r="F108" t="inlineStr">
        <is>
          <t>Kwiecień</t>
        </is>
      </c>
      <c r="G108" t="inlineStr">
        <is>
          <t>Sob</t>
        </is>
      </c>
      <c r="H108">
        <f>'Floor Hours Engine'!$E$5</f>
        <v/>
      </c>
      <c r="I108" t="inlineStr">
        <is>
          <t>W3</t>
        </is>
      </c>
      <c r="J108" t="inlineStr">
        <is>
          <t>2021_Kwiecień_W3</t>
        </is>
      </c>
    </row>
    <row r="109" ht="17.25" customHeight="1">
      <c r="A109" s="177" t="n">
        <v>44304</v>
      </c>
      <c r="B109" s="177" t="n">
        <v>44299</v>
      </c>
      <c r="C109" s="177" t="n">
        <v>44305</v>
      </c>
      <c r="D109" t="inlineStr">
        <is>
          <t>BW20210413</t>
        </is>
      </c>
      <c r="E109" t="n">
        <v>2021</v>
      </c>
      <c r="F109" t="inlineStr">
        <is>
          <t>Kwiecień</t>
        </is>
      </c>
      <c r="G109" t="inlineStr">
        <is>
          <t>Nd</t>
        </is>
      </c>
      <c r="H109">
        <f>'Floor Hours Engine'!$E$6</f>
        <v/>
      </c>
      <c r="I109" t="inlineStr">
        <is>
          <t>W3</t>
        </is>
      </c>
      <c r="J109" t="inlineStr">
        <is>
          <t>2021_Kwiecień_W3</t>
        </is>
      </c>
    </row>
    <row r="110" ht="17.25" customHeight="1">
      <c r="A110" s="177" t="n">
        <v>44305</v>
      </c>
      <c r="B110" s="177" t="n">
        <v>44299</v>
      </c>
      <c r="C110" s="177" t="n">
        <v>44305</v>
      </c>
      <c r="D110" t="inlineStr">
        <is>
          <t>BW20210413</t>
        </is>
      </c>
      <c r="E110" t="n">
        <v>2021</v>
      </c>
      <c r="F110" t="inlineStr">
        <is>
          <t>Kwiecień</t>
        </is>
      </c>
      <c r="G110" t="inlineStr">
        <is>
          <t>Pn</t>
        </is>
      </c>
      <c r="H110">
        <f>'Floor Hours Engine'!$E$4</f>
        <v/>
      </c>
      <c r="I110" t="inlineStr">
        <is>
          <t>W3</t>
        </is>
      </c>
      <c r="J110" t="inlineStr">
        <is>
          <t>2021_Kwiecień_W3</t>
        </is>
      </c>
    </row>
    <row r="111" ht="17.25" customHeight="1">
      <c r="A111" s="177" t="n">
        <v>44306</v>
      </c>
      <c r="B111" s="177" t="n">
        <v>44306</v>
      </c>
      <c r="C111" s="177" t="n">
        <v>44312</v>
      </c>
      <c r="D111" t="inlineStr">
        <is>
          <t>BW20210420</t>
        </is>
      </c>
      <c r="E111" t="n">
        <v>2021</v>
      </c>
      <c r="F111" t="inlineStr">
        <is>
          <t>Kwiecień</t>
        </is>
      </c>
      <c r="G111" t="inlineStr">
        <is>
          <t>Wt</t>
        </is>
      </c>
      <c r="H111">
        <f>'Floor Hours Engine'!$E$4</f>
        <v/>
      </c>
      <c r="I111" t="inlineStr">
        <is>
          <t>W4</t>
        </is>
      </c>
      <c r="J111" t="inlineStr">
        <is>
          <t>2021_Kwiecień_W4</t>
        </is>
      </c>
    </row>
    <row r="112" ht="17.25" customHeight="1">
      <c r="A112" s="177" t="n">
        <v>44307</v>
      </c>
      <c r="B112" s="177" t="n">
        <v>44306</v>
      </c>
      <c r="C112" s="177" t="n">
        <v>44312</v>
      </c>
      <c r="D112" t="inlineStr">
        <is>
          <t>BW20210420</t>
        </is>
      </c>
      <c r="E112" t="n">
        <v>2021</v>
      </c>
      <c r="F112" t="inlineStr">
        <is>
          <t>Kwiecień</t>
        </is>
      </c>
      <c r="G112" t="inlineStr">
        <is>
          <t>Śr</t>
        </is>
      </c>
      <c r="H112">
        <f>'Floor Hours Engine'!$E$4</f>
        <v/>
      </c>
      <c r="I112" t="inlineStr">
        <is>
          <t>W4</t>
        </is>
      </c>
      <c r="J112" t="inlineStr">
        <is>
          <t>2021_Kwiecień_W4</t>
        </is>
      </c>
    </row>
    <row r="113" ht="17.25" customHeight="1">
      <c r="A113" s="177" t="n">
        <v>44308</v>
      </c>
      <c r="B113" s="177" t="n">
        <v>44306</v>
      </c>
      <c r="C113" s="177" t="n">
        <v>44312</v>
      </c>
      <c r="D113" t="inlineStr">
        <is>
          <t>BW20210420</t>
        </is>
      </c>
      <c r="E113" t="n">
        <v>2021</v>
      </c>
      <c r="F113" t="inlineStr">
        <is>
          <t>Kwiecień</t>
        </is>
      </c>
      <c r="G113" t="inlineStr">
        <is>
          <t>Czw</t>
        </is>
      </c>
      <c r="H113">
        <f>'Floor Hours Engine'!$E$4</f>
        <v/>
      </c>
      <c r="I113" t="inlineStr">
        <is>
          <t>W4</t>
        </is>
      </c>
      <c r="J113" t="inlineStr">
        <is>
          <t>2021_Kwiecień_W4</t>
        </is>
      </c>
    </row>
    <row r="114" ht="17.25" customHeight="1">
      <c r="A114" s="177" t="n">
        <v>44309</v>
      </c>
      <c r="B114" s="177" t="n">
        <v>44306</v>
      </c>
      <c r="C114" s="177" t="n">
        <v>44312</v>
      </c>
      <c r="D114" t="inlineStr">
        <is>
          <t>BW20210420</t>
        </is>
      </c>
      <c r="E114" t="n">
        <v>2021</v>
      </c>
      <c r="F114" t="inlineStr">
        <is>
          <t>Kwiecień</t>
        </is>
      </c>
      <c r="G114" t="inlineStr">
        <is>
          <t>Pt</t>
        </is>
      </c>
      <c r="H114">
        <f>'Floor Hours Engine'!$E$5</f>
        <v/>
      </c>
      <c r="I114" t="inlineStr">
        <is>
          <t>W4</t>
        </is>
      </c>
      <c r="J114" t="inlineStr">
        <is>
          <t>2021_Kwiecień_W4</t>
        </is>
      </c>
    </row>
    <row r="115" ht="17.25" customHeight="1">
      <c r="A115" s="177" t="n">
        <v>44310</v>
      </c>
      <c r="B115" s="177" t="n">
        <v>44306</v>
      </c>
      <c r="C115" s="177" t="n">
        <v>44312</v>
      </c>
      <c r="D115" t="inlineStr">
        <is>
          <t>BW20210420</t>
        </is>
      </c>
      <c r="E115" t="n">
        <v>2021</v>
      </c>
      <c r="F115" t="inlineStr">
        <is>
          <t>Kwiecień</t>
        </is>
      </c>
      <c r="G115" t="inlineStr">
        <is>
          <t>Sob</t>
        </is>
      </c>
      <c r="H115">
        <f>'Floor Hours Engine'!$E$5</f>
        <v/>
      </c>
      <c r="I115" t="inlineStr">
        <is>
          <t>W4</t>
        </is>
      </c>
      <c r="J115" t="inlineStr">
        <is>
          <t>2021_Kwiecień_W4</t>
        </is>
      </c>
    </row>
    <row r="116" ht="17.25" customHeight="1">
      <c r="A116" s="177" t="n">
        <v>44311</v>
      </c>
      <c r="B116" s="177" t="n">
        <v>44306</v>
      </c>
      <c r="C116" s="177" t="n">
        <v>44312</v>
      </c>
      <c r="D116" t="inlineStr">
        <is>
          <t>BW20210420</t>
        </is>
      </c>
      <c r="E116" t="n">
        <v>2021</v>
      </c>
      <c r="F116" t="inlineStr">
        <is>
          <t>Kwiecień</t>
        </is>
      </c>
      <c r="G116" t="inlineStr">
        <is>
          <t>Nd</t>
        </is>
      </c>
      <c r="H116">
        <f>'Floor Hours Engine'!$E$6</f>
        <v/>
      </c>
      <c r="I116" t="inlineStr">
        <is>
          <t>W4</t>
        </is>
      </c>
      <c r="J116" t="inlineStr">
        <is>
          <t>2021_Kwiecień_W4</t>
        </is>
      </c>
    </row>
    <row r="117" ht="17.25" customHeight="1">
      <c r="A117" s="177" t="n">
        <v>44312</v>
      </c>
      <c r="B117" s="177" t="n">
        <v>44306</v>
      </c>
      <c r="C117" s="177" t="n">
        <v>44312</v>
      </c>
      <c r="D117" t="inlineStr">
        <is>
          <t>BW20210420</t>
        </is>
      </c>
      <c r="E117" t="n">
        <v>2021</v>
      </c>
      <c r="F117" t="inlineStr">
        <is>
          <t>Kwiecień</t>
        </is>
      </c>
      <c r="G117" t="inlineStr">
        <is>
          <t>Pn</t>
        </is>
      </c>
      <c r="H117">
        <f>'Floor Hours Engine'!$E$4</f>
        <v/>
      </c>
      <c r="I117" t="inlineStr">
        <is>
          <t>W4</t>
        </is>
      </c>
      <c r="J117" t="inlineStr">
        <is>
          <t>2021_Kwiecień_W4</t>
        </is>
      </c>
    </row>
    <row r="118" ht="17.25" customHeight="1">
      <c r="A118" s="177" t="n">
        <v>44313</v>
      </c>
      <c r="B118" s="177" t="n">
        <v>44313</v>
      </c>
      <c r="C118" s="177" t="n">
        <v>44319</v>
      </c>
      <c r="D118" t="inlineStr">
        <is>
          <t>BW20210427</t>
        </is>
      </c>
      <c r="E118" t="n">
        <v>2021</v>
      </c>
      <c r="F118" t="inlineStr">
        <is>
          <t>Kwiecień</t>
        </is>
      </c>
      <c r="G118" t="inlineStr">
        <is>
          <t>Wt</t>
        </is>
      </c>
      <c r="H118">
        <f>'Floor Hours Engine'!$E$4</f>
        <v/>
      </c>
      <c r="I118" t="inlineStr">
        <is>
          <t>W5</t>
        </is>
      </c>
      <c r="J118" t="inlineStr">
        <is>
          <t>2021_Kwiecień_W5</t>
        </is>
      </c>
    </row>
    <row r="119" ht="17.25" customHeight="1">
      <c r="A119" s="177" t="n">
        <v>44314</v>
      </c>
      <c r="B119" s="177" t="n">
        <v>44313</v>
      </c>
      <c r="C119" s="177" t="n">
        <v>44319</v>
      </c>
      <c r="D119" t="inlineStr">
        <is>
          <t>BW20210427</t>
        </is>
      </c>
      <c r="E119" t="n">
        <v>2021</v>
      </c>
      <c r="F119" t="inlineStr">
        <is>
          <t>Kwiecień</t>
        </is>
      </c>
      <c r="G119" t="inlineStr">
        <is>
          <t>Śr</t>
        </is>
      </c>
      <c r="H119">
        <f>'Floor Hours Engine'!$E$4</f>
        <v/>
      </c>
      <c r="I119" t="inlineStr">
        <is>
          <t>W5</t>
        </is>
      </c>
      <c r="J119" t="inlineStr">
        <is>
          <t>2021_Kwiecień_W5</t>
        </is>
      </c>
    </row>
    <row r="120" ht="17.25" customHeight="1">
      <c r="A120" s="177" t="n">
        <v>44315</v>
      </c>
      <c r="B120" s="177" t="n">
        <v>44313</v>
      </c>
      <c r="C120" s="177" t="n">
        <v>44319</v>
      </c>
      <c r="D120" t="inlineStr">
        <is>
          <t>BW20210427</t>
        </is>
      </c>
      <c r="E120" t="n">
        <v>2021</v>
      </c>
      <c r="F120" t="inlineStr">
        <is>
          <t>Kwiecień</t>
        </is>
      </c>
      <c r="G120" t="inlineStr">
        <is>
          <t>Czw</t>
        </is>
      </c>
      <c r="H120">
        <f>'Floor Hours Engine'!$E$4</f>
        <v/>
      </c>
      <c r="I120" t="inlineStr">
        <is>
          <t>W5</t>
        </is>
      </c>
      <c r="J120" t="inlineStr">
        <is>
          <t>2021_Kwiecień_W5</t>
        </is>
      </c>
    </row>
    <row r="121" ht="17.25" customHeight="1">
      <c r="A121" s="177" t="n">
        <v>44316</v>
      </c>
      <c r="B121" s="177" t="n">
        <v>44313</v>
      </c>
      <c r="C121" s="177" t="n">
        <v>44319</v>
      </c>
      <c r="D121" t="inlineStr">
        <is>
          <t>BW20210427</t>
        </is>
      </c>
      <c r="E121" t="n">
        <v>2021</v>
      </c>
      <c r="F121" t="inlineStr">
        <is>
          <t>Kwiecień</t>
        </is>
      </c>
      <c r="G121" t="inlineStr">
        <is>
          <t>Pt</t>
        </is>
      </c>
      <c r="H121">
        <f>'Floor Hours Engine'!$E$5</f>
        <v/>
      </c>
      <c r="I121" t="inlineStr">
        <is>
          <t>W5</t>
        </is>
      </c>
      <c r="J121" t="inlineStr">
        <is>
          <t>2021_Kwiecień_W5</t>
        </is>
      </c>
    </row>
    <row r="122" ht="17.25" customHeight="1">
      <c r="A122" s="177" t="n">
        <v>44317</v>
      </c>
      <c r="B122" s="177" t="n">
        <v>44313</v>
      </c>
      <c r="C122" s="177" t="n">
        <v>44319</v>
      </c>
      <c r="D122" t="inlineStr">
        <is>
          <t>BW20210427</t>
        </is>
      </c>
      <c r="E122" t="n">
        <v>2021</v>
      </c>
      <c r="F122" t="inlineStr">
        <is>
          <t>Maj</t>
        </is>
      </c>
      <c r="G122" t="inlineStr">
        <is>
          <t>Sob</t>
        </is>
      </c>
      <c r="H122">
        <f>'Floor Hours Engine'!$E$5</f>
        <v/>
      </c>
      <c r="I122" t="inlineStr">
        <is>
          <t>W1</t>
        </is>
      </c>
      <c r="J122" t="inlineStr">
        <is>
          <t>2021_Maj_W1</t>
        </is>
      </c>
    </row>
    <row r="123" ht="17.25" customHeight="1">
      <c r="A123" s="177" t="n">
        <v>44318</v>
      </c>
      <c r="B123" s="177" t="n">
        <v>44313</v>
      </c>
      <c r="C123" s="177" t="n">
        <v>44319</v>
      </c>
      <c r="D123" t="inlineStr">
        <is>
          <t>BW20210427</t>
        </is>
      </c>
      <c r="E123" t="n">
        <v>2021</v>
      </c>
      <c r="F123" t="inlineStr">
        <is>
          <t>Maj</t>
        </is>
      </c>
      <c r="G123" t="inlineStr">
        <is>
          <t>Nd</t>
        </is>
      </c>
      <c r="H123">
        <f>'Floor Hours Engine'!$E$6</f>
        <v/>
      </c>
      <c r="I123" t="inlineStr">
        <is>
          <t>W1</t>
        </is>
      </c>
      <c r="J123" t="inlineStr">
        <is>
          <t>2021_Maj_W1</t>
        </is>
      </c>
    </row>
    <row r="124" ht="17.25" customHeight="1">
      <c r="A124" s="177" t="n">
        <v>44319</v>
      </c>
      <c r="B124" s="177" t="n">
        <v>44313</v>
      </c>
      <c r="C124" s="177" t="n">
        <v>44319</v>
      </c>
      <c r="D124" t="inlineStr">
        <is>
          <t>BW20210427</t>
        </is>
      </c>
      <c r="E124" t="n">
        <v>2021</v>
      </c>
      <c r="F124" t="inlineStr">
        <is>
          <t>Maj</t>
        </is>
      </c>
      <c r="G124" t="inlineStr">
        <is>
          <t>Pn</t>
        </is>
      </c>
      <c r="H124">
        <f>'Floor Hours Engine'!$E$4</f>
        <v/>
      </c>
      <c r="I124" t="inlineStr">
        <is>
          <t>W1</t>
        </is>
      </c>
      <c r="J124" t="inlineStr">
        <is>
          <t>2021_Maj_W1</t>
        </is>
      </c>
    </row>
    <row r="125" ht="17.25" customHeight="1">
      <c r="A125" s="177" t="n">
        <v>44320</v>
      </c>
      <c r="B125" s="177" t="n">
        <v>44320</v>
      </c>
      <c r="C125" s="177" t="n">
        <v>44326</v>
      </c>
      <c r="D125" t="inlineStr">
        <is>
          <t>BW20210504</t>
        </is>
      </c>
      <c r="E125" t="n">
        <v>2021</v>
      </c>
      <c r="F125" t="inlineStr">
        <is>
          <t>Maj</t>
        </is>
      </c>
      <c r="G125" t="inlineStr">
        <is>
          <t>Wt</t>
        </is>
      </c>
      <c r="H125">
        <f>'Floor Hours Engine'!$E$4</f>
        <v/>
      </c>
      <c r="I125" t="inlineStr">
        <is>
          <t>W2</t>
        </is>
      </c>
      <c r="J125" t="inlineStr">
        <is>
          <t>2021_Maj_W2</t>
        </is>
      </c>
    </row>
    <row r="126" ht="17.25" customHeight="1">
      <c r="A126" s="177" t="n">
        <v>44321</v>
      </c>
      <c r="B126" s="177" t="n">
        <v>44320</v>
      </c>
      <c r="C126" s="177" t="n">
        <v>44326</v>
      </c>
      <c r="D126" t="inlineStr">
        <is>
          <t>BW20210504</t>
        </is>
      </c>
      <c r="E126" t="n">
        <v>2021</v>
      </c>
      <c r="F126" t="inlineStr">
        <is>
          <t>Maj</t>
        </is>
      </c>
      <c r="G126" t="inlineStr">
        <is>
          <t>Śr</t>
        </is>
      </c>
      <c r="H126">
        <f>'Floor Hours Engine'!$E$4</f>
        <v/>
      </c>
      <c r="I126" t="inlineStr">
        <is>
          <t>W2</t>
        </is>
      </c>
      <c r="J126" t="inlineStr">
        <is>
          <t>2021_Maj_W2</t>
        </is>
      </c>
    </row>
    <row r="127" ht="17.25" customHeight="1">
      <c r="A127" s="177" t="n">
        <v>44322</v>
      </c>
      <c r="B127" s="177" t="n">
        <v>44320</v>
      </c>
      <c r="C127" s="177" t="n">
        <v>44326</v>
      </c>
      <c r="D127" t="inlineStr">
        <is>
          <t>BW20210504</t>
        </is>
      </c>
      <c r="E127" t="n">
        <v>2021</v>
      </c>
      <c r="F127" t="inlineStr">
        <is>
          <t>Maj</t>
        </is>
      </c>
      <c r="G127" t="inlineStr">
        <is>
          <t>Czw</t>
        </is>
      </c>
      <c r="H127">
        <f>'Floor Hours Engine'!$E$4</f>
        <v/>
      </c>
      <c r="I127" t="inlineStr">
        <is>
          <t>W2</t>
        </is>
      </c>
      <c r="J127" t="inlineStr">
        <is>
          <t>2021_Maj_W2</t>
        </is>
      </c>
    </row>
    <row r="128" ht="17.25" customHeight="1">
      <c r="A128" s="177" t="n">
        <v>44323</v>
      </c>
      <c r="B128" s="177" t="n">
        <v>44320</v>
      </c>
      <c r="C128" s="177" t="n">
        <v>44326</v>
      </c>
      <c r="D128" t="inlineStr">
        <is>
          <t>BW20210504</t>
        </is>
      </c>
      <c r="E128" t="n">
        <v>2021</v>
      </c>
      <c r="F128" t="inlineStr">
        <is>
          <t>Maj</t>
        </is>
      </c>
      <c r="G128" t="inlineStr">
        <is>
          <t>Pt</t>
        </is>
      </c>
      <c r="H128">
        <f>'Floor Hours Engine'!$E$5</f>
        <v/>
      </c>
      <c r="I128" t="inlineStr">
        <is>
          <t>W2</t>
        </is>
      </c>
      <c r="J128" t="inlineStr">
        <is>
          <t>2021_Maj_W2</t>
        </is>
      </c>
    </row>
    <row r="129" ht="17.25" customHeight="1">
      <c r="A129" s="177" t="n">
        <v>44324</v>
      </c>
      <c r="B129" s="177" t="n">
        <v>44320</v>
      </c>
      <c r="C129" s="177" t="n">
        <v>44326</v>
      </c>
      <c r="D129" t="inlineStr">
        <is>
          <t>BW20210504</t>
        </is>
      </c>
      <c r="E129" t="n">
        <v>2021</v>
      </c>
      <c r="F129" t="inlineStr">
        <is>
          <t>Maj</t>
        </is>
      </c>
      <c r="G129" t="inlineStr">
        <is>
          <t>Sob</t>
        </is>
      </c>
      <c r="H129">
        <f>'Floor Hours Engine'!$E$5</f>
        <v/>
      </c>
      <c r="I129" t="inlineStr">
        <is>
          <t>W2</t>
        </is>
      </c>
      <c r="J129" t="inlineStr">
        <is>
          <t>2021_Maj_W2</t>
        </is>
      </c>
    </row>
    <row r="130" ht="17.25" customHeight="1">
      <c r="A130" s="177" t="n">
        <v>44325</v>
      </c>
      <c r="B130" s="177" t="n">
        <v>44320</v>
      </c>
      <c r="C130" s="177" t="n">
        <v>44326</v>
      </c>
      <c r="D130" t="inlineStr">
        <is>
          <t>BW20210504</t>
        </is>
      </c>
      <c r="E130" t="n">
        <v>2021</v>
      </c>
      <c r="F130" t="inlineStr">
        <is>
          <t>Maj</t>
        </is>
      </c>
      <c r="G130" t="inlineStr">
        <is>
          <t>Nd</t>
        </is>
      </c>
      <c r="H130">
        <f>'Floor Hours Engine'!$E$6</f>
        <v/>
      </c>
      <c r="I130" t="inlineStr">
        <is>
          <t>W2</t>
        </is>
      </c>
      <c r="J130" t="inlineStr">
        <is>
          <t>2021_Maj_W2</t>
        </is>
      </c>
    </row>
    <row r="131" ht="17.25" customHeight="1">
      <c r="A131" s="177" t="n">
        <v>44326</v>
      </c>
      <c r="B131" s="177" t="n">
        <v>44320</v>
      </c>
      <c r="C131" s="177" t="n">
        <v>44326</v>
      </c>
      <c r="D131" t="inlineStr">
        <is>
          <t>BW20210504</t>
        </is>
      </c>
      <c r="E131" t="n">
        <v>2021</v>
      </c>
      <c r="F131" t="inlineStr">
        <is>
          <t>Maj</t>
        </is>
      </c>
      <c r="G131" t="inlineStr">
        <is>
          <t>Pn</t>
        </is>
      </c>
      <c r="H131">
        <f>'Floor Hours Engine'!$E$4</f>
        <v/>
      </c>
      <c r="I131" t="inlineStr">
        <is>
          <t>W2</t>
        </is>
      </c>
      <c r="J131" t="inlineStr">
        <is>
          <t>2021_Maj_W2</t>
        </is>
      </c>
    </row>
    <row r="132" ht="17.25" customHeight="1">
      <c r="A132" s="177" t="n">
        <v>44327</v>
      </c>
      <c r="B132" s="177" t="n">
        <v>44327</v>
      </c>
      <c r="C132" s="177" t="n">
        <v>44333</v>
      </c>
      <c r="D132" t="inlineStr">
        <is>
          <t>BW20210511</t>
        </is>
      </c>
      <c r="E132" t="n">
        <v>2021</v>
      </c>
      <c r="F132" t="inlineStr">
        <is>
          <t>Maj</t>
        </is>
      </c>
      <c r="G132" t="inlineStr">
        <is>
          <t>Wt</t>
        </is>
      </c>
      <c r="H132">
        <f>'Floor Hours Engine'!$E$4</f>
        <v/>
      </c>
      <c r="I132" t="inlineStr">
        <is>
          <t>W3</t>
        </is>
      </c>
      <c r="J132" t="inlineStr">
        <is>
          <t>2021_Maj_W3</t>
        </is>
      </c>
    </row>
    <row r="133" ht="17.25" customHeight="1">
      <c r="A133" s="177" t="n">
        <v>44328</v>
      </c>
      <c r="B133" s="177" t="n">
        <v>44327</v>
      </c>
      <c r="C133" s="177" t="n">
        <v>44333</v>
      </c>
      <c r="D133" t="inlineStr">
        <is>
          <t>BW20210511</t>
        </is>
      </c>
      <c r="E133" t="n">
        <v>2021</v>
      </c>
      <c r="F133" t="inlineStr">
        <is>
          <t>Maj</t>
        </is>
      </c>
      <c r="G133" t="inlineStr">
        <is>
          <t>Śr</t>
        </is>
      </c>
      <c r="H133">
        <f>'Floor Hours Engine'!$E$4</f>
        <v/>
      </c>
      <c r="I133" t="inlineStr">
        <is>
          <t>W3</t>
        </is>
      </c>
      <c r="J133" t="inlineStr">
        <is>
          <t>2021_Maj_W3</t>
        </is>
      </c>
    </row>
    <row r="134" ht="17.25" customHeight="1">
      <c r="A134" s="177" t="n">
        <v>44329</v>
      </c>
      <c r="B134" s="177" t="n">
        <v>44327</v>
      </c>
      <c r="C134" s="177" t="n">
        <v>44333</v>
      </c>
      <c r="D134" t="inlineStr">
        <is>
          <t>BW20210511</t>
        </is>
      </c>
      <c r="E134" t="n">
        <v>2021</v>
      </c>
      <c r="F134" t="inlineStr">
        <is>
          <t>Maj</t>
        </is>
      </c>
      <c r="G134" t="inlineStr">
        <is>
          <t>Czw</t>
        </is>
      </c>
      <c r="H134">
        <f>'Floor Hours Engine'!$E$4</f>
        <v/>
      </c>
      <c r="I134" t="inlineStr">
        <is>
          <t>W3</t>
        </is>
      </c>
      <c r="J134" t="inlineStr">
        <is>
          <t>2021_Maj_W3</t>
        </is>
      </c>
    </row>
    <row r="135" ht="17.25" customHeight="1">
      <c r="A135" s="177" t="n">
        <v>44330</v>
      </c>
      <c r="B135" s="177" t="n">
        <v>44327</v>
      </c>
      <c r="C135" s="177" t="n">
        <v>44333</v>
      </c>
      <c r="D135" t="inlineStr">
        <is>
          <t>BW20210511</t>
        </is>
      </c>
      <c r="E135" t="n">
        <v>2021</v>
      </c>
      <c r="F135" t="inlineStr">
        <is>
          <t>Maj</t>
        </is>
      </c>
      <c r="G135" t="inlineStr">
        <is>
          <t>Pt</t>
        </is>
      </c>
      <c r="H135">
        <f>'Floor Hours Engine'!$E$5</f>
        <v/>
      </c>
      <c r="I135" t="inlineStr">
        <is>
          <t>W3</t>
        </is>
      </c>
      <c r="J135" t="inlineStr">
        <is>
          <t>2021_Maj_W3</t>
        </is>
      </c>
    </row>
    <row r="136" ht="17.25" customHeight="1">
      <c r="A136" s="177" t="n">
        <v>44331</v>
      </c>
      <c r="B136" s="177" t="n">
        <v>44327</v>
      </c>
      <c r="C136" s="177" t="n">
        <v>44333</v>
      </c>
      <c r="D136" t="inlineStr">
        <is>
          <t>BW20210511</t>
        </is>
      </c>
      <c r="E136" t="n">
        <v>2021</v>
      </c>
      <c r="F136" t="inlineStr">
        <is>
          <t>Maj</t>
        </is>
      </c>
      <c r="G136" t="inlineStr">
        <is>
          <t>Sob</t>
        </is>
      </c>
      <c r="H136">
        <f>'Floor Hours Engine'!$E$5</f>
        <v/>
      </c>
      <c r="I136" t="inlineStr">
        <is>
          <t>W3</t>
        </is>
      </c>
      <c r="J136" t="inlineStr">
        <is>
          <t>2021_Maj_W3</t>
        </is>
      </c>
    </row>
    <row r="137" ht="17.25" customHeight="1">
      <c r="A137" s="177" t="n">
        <v>44332</v>
      </c>
      <c r="B137" s="177" t="n">
        <v>44327</v>
      </c>
      <c r="C137" s="177" t="n">
        <v>44333</v>
      </c>
      <c r="D137" t="inlineStr">
        <is>
          <t>BW20210511</t>
        </is>
      </c>
      <c r="E137" t="n">
        <v>2021</v>
      </c>
      <c r="F137" t="inlineStr">
        <is>
          <t>Maj</t>
        </is>
      </c>
      <c r="G137" t="inlineStr">
        <is>
          <t>Nd</t>
        </is>
      </c>
      <c r="H137">
        <f>'Floor Hours Engine'!$E$6</f>
        <v/>
      </c>
      <c r="I137" t="inlineStr">
        <is>
          <t>W3</t>
        </is>
      </c>
      <c r="J137" t="inlineStr">
        <is>
          <t>2021_Maj_W3</t>
        </is>
      </c>
    </row>
    <row r="138" ht="17.25" customHeight="1">
      <c r="A138" s="177" t="n">
        <v>44333</v>
      </c>
      <c r="B138" s="177" t="n">
        <v>44327</v>
      </c>
      <c r="C138" s="177" t="n">
        <v>44333</v>
      </c>
      <c r="D138" t="inlineStr">
        <is>
          <t>BW20210511</t>
        </is>
      </c>
      <c r="E138" t="n">
        <v>2021</v>
      </c>
      <c r="F138" t="inlineStr">
        <is>
          <t>Maj</t>
        </is>
      </c>
      <c r="G138" t="inlineStr">
        <is>
          <t>Pn</t>
        </is>
      </c>
      <c r="H138">
        <f>'Floor Hours Engine'!$E$4</f>
        <v/>
      </c>
      <c r="I138" t="inlineStr">
        <is>
          <t>W3</t>
        </is>
      </c>
      <c r="J138" t="inlineStr">
        <is>
          <t>2021_Maj_W3</t>
        </is>
      </c>
    </row>
    <row r="139" ht="17.25" customHeight="1">
      <c r="A139" s="177" t="n">
        <v>44334</v>
      </c>
      <c r="B139" s="177" t="n">
        <v>44334</v>
      </c>
      <c r="C139" s="177" t="n">
        <v>44340</v>
      </c>
      <c r="D139" t="inlineStr">
        <is>
          <t>BW20210518</t>
        </is>
      </c>
      <c r="E139" t="n">
        <v>2021</v>
      </c>
      <c r="F139" t="inlineStr">
        <is>
          <t>Maj</t>
        </is>
      </c>
      <c r="G139" t="inlineStr">
        <is>
          <t>Wt</t>
        </is>
      </c>
      <c r="H139">
        <f>'Floor Hours Engine'!$E$4</f>
        <v/>
      </c>
      <c r="I139" t="inlineStr">
        <is>
          <t>W4</t>
        </is>
      </c>
      <c r="J139" t="inlineStr">
        <is>
          <t>2021_Maj_W4</t>
        </is>
      </c>
    </row>
    <row r="140" ht="17.25" customHeight="1">
      <c r="A140" s="177" t="n">
        <v>44335</v>
      </c>
      <c r="B140" s="177" t="n">
        <v>44334</v>
      </c>
      <c r="C140" s="177" t="n">
        <v>44340</v>
      </c>
      <c r="D140" t="inlineStr">
        <is>
          <t>BW20210518</t>
        </is>
      </c>
      <c r="E140" t="n">
        <v>2021</v>
      </c>
      <c r="F140" t="inlineStr">
        <is>
          <t>Maj</t>
        </is>
      </c>
      <c r="G140" t="inlineStr">
        <is>
          <t>Śr</t>
        </is>
      </c>
      <c r="H140">
        <f>'Floor Hours Engine'!$E$4</f>
        <v/>
      </c>
      <c r="I140" t="inlineStr">
        <is>
          <t>W4</t>
        </is>
      </c>
      <c r="J140" t="inlineStr">
        <is>
          <t>2021_Maj_W4</t>
        </is>
      </c>
    </row>
    <row r="141" ht="17.25" customHeight="1">
      <c r="A141" s="177" t="n">
        <v>44336</v>
      </c>
      <c r="B141" s="177" t="n">
        <v>44334</v>
      </c>
      <c r="C141" s="177" t="n">
        <v>44340</v>
      </c>
      <c r="D141" t="inlineStr">
        <is>
          <t>BW20210518</t>
        </is>
      </c>
      <c r="E141" t="n">
        <v>2021</v>
      </c>
      <c r="F141" t="inlineStr">
        <is>
          <t>Maj</t>
        </is>
      </c>
      <c r="G141" t="inlineStr">
        <is>
          <t>Czw</t>
        </is>
      </c>
      <c r="H141">
        <f>'Floor Hours Engine'!$E$4</f>
        <v/>
      </c>
      <c r="I141" t="inlineStr">
        <is>
          <t>W4</t>
        </is>
      </c>
      <c r="J141" t="inlineStr">
        <is>
          <t>2021_Maj_W4</t>
        </is>
      </c>
    </row>
    <row r="142" ht="17.25" customHeight="1">
      <c r="A142" s="177" t="n">
        <v>44337</v>
      </c>
      <c r="B142" s="177" t="n">
        <v>44334</v>
      </c>
      <c r="C142" s="177" t="n">
        <v>44340</v>
      </c>
      <c r="D142" t="inlineStr">
        <is>
          <t>BW20210518</t>
        </is>
      </c>
      <c r="E142" t="n">
        <v>2021</v>
      </c>
      <c r="F142" t="inlineStr">
        <is>
          <t>Maj</t>
        </is>
      </c>
      <c r="G142" t="inlineStr">
        <is>
          <t>Pt</t>
        </is>
      </c>
      <c r="H142">
        <f>'Floor Hours Engine'!$E$5</f>
        <v/>
      </c>
      <c r="I142" t="inlineStr">
        <is>
          <t>W4</t>
        </is>
      </c>
      <c r="J142" t="inlineStr">
        <is>
          <t>2021_Maj_W4</t>
        </is>
      </c>
    </row>
    <row r="143" ht="17.25" customHeight="1">
      <c r="A143" s="177" t="n">
        <v>44338</v>
      </c>
      <c r="B143" s="177" t="n">
        <v>44334</v>
      </c>
      <c r="C143" s="177" t="n">
        <v>44340</v>
      </c>
      <c r="D143" t="inlineStr">
        <is>
          <t>BW20210518</t>
        </is>
      </c>
      <c r="E143" t="n">
        <v>2021</v>
      </c>
      <c r="F143" t="inlineStr">
        <is>
          <t>Maj</t>
        </is>
      </c>
      <c r="G143" t="inlineStr">
        <is>
          <t>Sob</t>
        </is>
      </c>
      <c r="H143">
        <f>'Floor Hours Engine'!$E$5</f>
        <v/>
      </c>
      <c r="I143" t="inlineStr">
        <is>
          <t>W4</t>
        </is>
      </c>
      <c r="J143" t="inlineStr">
        <is>
          <t>2021_Maj_W4</t>
        </is>
      </c>
    </row>
    <row r="144" ht="17.25" customHeight="1">
      <c r="A144" s="177" t="n">
        <v>44339</v>
      </c>
      <c r="B144" s="177" t="n">
        <v>44334</v>
      </c>
      <c r="C144" s="177" t="n">
        <v>44340</v>
      </c>
      <c r="D144" t="inlineStr">
        <is>
          <t>BW20210518</t>
        </is>
      </c>
      <c r="E144" t="n">
        <v>2021</v>
      </c>
      <c r="F144" t="inlineStr">
        <is>
          <t>Maj</t>
        </is>
      </c>
      <c r="G144" t="inlineStr">
        <is>
          <t>Nd</t>
        </is>
      </c>
      <c r="H144">
        <f>'Floor Hours Engine'!$E$6</f>
        <v/>
      </c>
      <c r="I144" t="inlineStr">
        <is>
          <t>W4</t>
        </is>
      </c>
      <c r="J144" t="inlineStr">
        <is>
          <t>2021_Maj_W4</t>
        </is>
      </c>
    </row>
    <row r="145" ht="17.25" customHeight="1">
      <c r="A145" s="177" t="n">
        <v>44340</v>
      </c>
      <c r="B145" s="177" t="n">
        <v>44334</v>
      </c>
      <c r="C145" s="177" t="n">
        <v>44340</v>
      </c>
      <c r="D145" t="inlineStr">
        <is>
          <t>BW20210518</t>
        </is>
      </c>
      <c r="E145" t="n">
        <v>2021</v>
      </c>
      <c r="F145" t="inlineStr">
        <is>
          <t>Maj</t>
        </is>
      </c>
      <c r="G145" t="inlineStr">
        <is>
          <t>Pn</t>
        </is>
      </c>
      <c r="H145">
        <f>'Floor Hours Engine'!$E$4</f>
        <v/>
      </c>
      <c r="I145" t="inlineStr">
        <is>
          <t>W4</t>
        </is>
      </c>
      <c r="J145" t="inlineStr">
        <is>
          <t>2021_Maj_W4</t>
        </is>
      </c>
    </row>
    <row r="146" ht="17.25" customHeight="1">
      <c r="A146" s="177" t="n">
        <v>44341</v>
      </c>
      <c r="B146" s="177" t="n">
        <v>44341</v>
      </c>
      <c r="C146" s="177" t="n">
        <v>44347</v>
      </c>
      <c r="D146" t="inlineStr">
        <is>
          <t>BW20210525</t>
        </is>
      </c>
      <c r="E146" t="n">
        <v>2021</v>
      </c>
      <c r="F146" t="inlineStr">
        <is>
          <t>Maj</t>
        </is>
      </c>
      <c r="G146" t="inlineStr">
        <is>
          <t>Wt</t>
        </is>
      </c>
      <c r="H146">
        <f>'Floor Hours Engine'!$E$4</f>
        <v/>
      </c>
      <c r="I146" t="inlineStr">
        <is>
          <t>W5</t>
        </is>
      </c>
      <c r="J146" t="inlineStr">
        <is>
          <t>2021_Maj_W5</t>
        </is>
      </c>
    </row>
    <row r="147" ht="17.25" customHeight="1">
      <c r="A147" s="177" t="n">
        <v>44342</v>
      </c>
      <c r="B147" s="177" t="n">
        <v>44341</v>
      </c>
      <c r="C147" s="177" t="n">
        <v>44347</v>
      </c>
      <c r="D147" t="inlineStr">
        <is>
          <t>BW20210525</t>
        </is>
      </c>
      <c r="E147" t="n">
        <v>2021</v>
      </c>
      <c r="F147" t="inlineStr">
        <is>
          <t>Maj</t>
        </is>
      </c>
      <c r="G147" t="inlineStr">
        <is>
          <t>Śr</t>
        </is>
      </c>
      <c r="H147">
        <f>'Floor Hours Engine'!$E$4</f>
        <v/>
      </c>
      <c r="I147" t="inlineStr">
        <is>
          <t>W5</t>
        </is>
      </c>
      <c r="J147" t="inlineStr">
        <is>
          <t>2021_Maj_W5</t>
        </is>
      </c>
    </row>
    <row r="148" ht="17.25" customHeight="1">
      <c r="A148" s="177" t="n">
        <v>44343</v>
      </c>
      <c r="B148" s="177" t="n">
        <v>44341</v>
      </c>
      <c r="C148" s="177" t="n">
        <v>44347</v>
      </c>
      <c r="D148" t="inlineStr">
        <is>
          <t>BW20210525</t>
        </is>
      </c>
      <c r="E148" t="n">
        <v>2021</v>
      </c>
      <c r="F148" t="inlineStr">
        <is>
          <t>Maj</t>
        </is>
      </c>
      <c r="G148" t="inlineStr">
        <is>
          <t>Czw</t>
        </is>
      </c>
      <c r="H148">
        <f>'Floor Hours Engine'!$E$4</f>
        <v/>
      </c>
      <c r="I148" t="inlineStr">
        <is>
          <t>W5</t>
        </is>
      </c>
      <c r="J148" t="inlineStr">
        <is>
          <t>2021_Maj_W5</t>
        </is>
      </c>
    </row>
    <row r="149" ht="17.25" customHeight="1">
      <c r="A149" s="177" t="n">
        <v>44344</v>
      </c>
      <c r="B149" s="177" t="n">
        <v>44341</v>
      </c>
      <c r="C149" s="177" t="n">
        <v>44347</v>
      </c>
      <c r="D149" t="inlineStr">
        <is>
          <t>BW20210525</t>
        </is>
      </c>
      <c r="E149" t="n">
        <v>2021</v>
      </c>
      <c r="F149" t="inlineStr">
        <is>
          <t>Maj</t>
        </is>
      </c>
      <c r="G149" t="inlineStr">
        <is>
          <t>Pt</t>
        </is>
      </c>
      <c r="H149">
        <f>'Floor Hours Engine'!$E$5</f>
        <v/>
      </c>
      <c r="I149" t="inlineStr">
        <is>
          <t>W5</t>
        </is>
      </c>
      <c r="J149" t="inlineStr">
        <is>
          <t>2021_Maj_W5</t>
        </is>
      </c>
    </row>
    <row r="150" ht="17.25" customHeight="1">
      <c r="A150" s="177" t="n">
        <v>44345</v>
      </c>
      <c r="B150" s="177" t="n">
        <v>44341</v>
      </c>
      <c r="C150" s="177" t="n">
        <v>44347</v>
      </c>
      <c r="D150" t="inlineStr">
        <is>
          <t>BW20210525</t>
        </is>
      </c>
      <c r="E150" t="n">
        <v>2021</v>
      </c>
      <c r="F150" t="inlineStr">
        <is>
          <t>Maj</t>
        </is>
      </c>
      <c r="G150" t="inlineStr">
        <is>
          <t>Sob</t>
        </is>
      </c>
      <c r="H150">
        <f>'Floor Hours Engine'!$E$5</f>
        <v/>
      </c>
      <c r="I150" t="inlineStr">
        <is>
          <t>W5</t>
        </is>
      </c>
      <c r="J150" t="inlineStr">
        <is>
          <t>2021_Maj_W5</t>
        </is>
      </c>
    </row>
    <row r="151" ht="17.25" customHeight="1">
      <c r="A151" s="177" t="n">
        <v>44346</v>
      </c>
      <c r="B151" s="177" t="n">
        <v>44341</v>
      </c>
      <c r="C151" s="177" t="n">
        <v>44347</v>
      </c>
      <c r="D151" t="inlineStr">
        <is>
          <t>BW20210525</t>
        </is>
      </c>
      <c r="E151" t="n">
        <v>2021</v>
      </c>
      <c r="F151" t="inlineStr">
        <is>
          <t>Maj</t>
        </is>
      </c>
      <c r="G151" t="inlineStr">
        <is>
          <t>Nd</t>
        </is>
      </c>
      <c r="H151">
        <f>'Floor Hours Engine'!$E$6</f>
        <v/>
      </c>
      <c r="I151" t="inlineStr">
        <is>
          <t>W5</t>
        </is>
      </c>
      <c r="J151" t="inlineStr">
        <is>
          <t>2021_Maj_W5</t>
        </is>
      </c>
    </row>
    <row r="152" ht="17.25" customHeight="1">
      <c r="A152" s="177" t="n">
        <v>44347</v>
      </c>
      <c r="B152" s="177" t="n">
        <v>44341</v>
      </c>
      <c r="C152" s="177" t="n">
        <v>44347</v>
      </c>
      <c r="D152" t="inlineStr">
        <is>
          <t>BW20210525</t>
        </is>
      </c>
      <c r="E152" t="n">
        <v>2021</v>
      </c>
      <c r="F152" t="inlineStr">
        <is>
          <t>Maj</t>
        </is>
      </c>
      <c r="G152" t="inlineStr">
        <is>
          <t>Pn</t>
        </is>
      </c>
      <c r="H152">
        <f>'Floor Hours Engine'!$E$4</f>
        <v/>
      </c>
      <c r="I152" t="inlineStr">
        <is>
          <t>W5</t>
        </is>
      </c>
      <c r="J152" t="inlineStr">
        <is>
          <t>2021_Maj_W5</t>
        </is>
      </c>
    </row>
    <row r="153" ht="17.25" customHeight="1">
      <c r="A153" s="177" t="n">
        <v>44348</v>
      </c>
      <c r="B153" s="177" t="n">
        <v>44348</v>
      </c>
      <c r="C153" s="177" t="n">
        <v>44354</v>
      </c>
      <c r="D153" t="inlineStr">
        <is>
          <t>BW20210601</t>
        </is>
      </c>
      <c r="E153" t="n">
        <v>2021</v>
      </c>
      <c r="F153" t="inlineStr">
        <is>
          <t>Czerwiec</t>
        </is>
      </c>
      <c r="G153" t="inlineStr">
        <is>
          <t>Wt</t>
        </is>
      </c>
      <c r="H153">
        <f>'Floor Hours Engine'!$E$4</f>
        <v/>
      </c>
      <c r="I153" t="inlineStr">
        <is>
          <t>W1</t>
        </is>
      </c>
      <c r="J153" t="inlineStr">
        <is>
          <t>2021_Czerwiec_W1</t>
        </is>
      </c>
    </row>
    <row r="154" ht="17.25" customHeight="1">
      <c r="A154" s="177" t="n">
        <v>44349</v>
      </c>
      <c r="B154" s="177" t="n">
        <v>44348</v>
      </c>
      <c r="C154" s="177" t="n">
        <v>44354</v>
      </c>
      <c r="D154" t="inlineStr">
        <is>
          <t>BW20210601</t>
        </is>
      </c>
      <c r="E154" t="n">
        <v>2021</v>
      </c>
      <c r="F154" t="inlineStr">
        <is>
          <t>Czerwiec</t>
        </is>
      </c>
      <c r="G154" t="inlineStr">
        <is>
          <t>Śr</t>
        </is>
      </c>
      <c r="H154">
        <f>'Floor Hours Engine'!$E$4</f>
        <v/>
      </c>
      <c r="I154" t="inlineStr">
        <is>
          <t>W1</t>
        </is>
      </c>
      <c r="J154" t="inlineStr">
        <is>
          <t>2021_Czerwiec_W1</t>
        </is>
      </c>
    </row>
    <row r="155" ht="17.25" customHeight="1">
      <c r="A155" s="177" t="n">
        <v>44350</v>
      </c>
      <c r="B155" s="177" t="n">
        <v>44348</v>
      </c>
      <c r="C155" s="177" t="n">
        <v>44354</v>
      </c>
      <c r="D155" t="inlineStr">
        <is>
          <t>BW20210601</t>
        </is>
      </c>
      <c r="E155" t="n">
        <v>2021</v>
      </c>
      <c r="F155" t="inlineStr">
        <is>
          <t>Czerwiec</t>
        </is>
      </c>
      <c r="G155" t="inlineStr">
        <is>
          <t>Czw</t>
        </is>
      </c>
      <c r="H155">
        <f>'Floor Hours Engine'!$E$4</f>
        <v/>
      </c>
      <c r="I155" t="inlineStr">
        <is>
          <t>W1</t>
        </is>
      </c>
      <c r="J155" t="inlineStr">
        <is>
          <t>2021_Czerwiec_W1</t>
        </is>
      </c>
    </row>
    <row r="156" ht="17.25" customHeight="1">
      <c r="A156" s="177" t="n">
        <v>44351</v>
      </c>
      <c r="B156" s="177" t="n">
        <v>44348</v>
      </c>
      <c r="C156" s="177" t="n">
        <v>44354</v>
      </c>
      <c r="D156" t="inlineStr">
        <is>
          <t>BW20210601</t>
        </is>
      </c>
      <c r="E156" t="n">
        <v>2021</v>
      </c>
      <c r="F156" t="inlineStr">
        <is>
          <t>Czerwiec</t>
        </is>
      </c>
      <c r="G156" t="inlineStr">
        <is>
          <t>Pt</t>
        </is>
      </c>
      <c r="H156">
        <f>'Floor Hours Engine'!$E$5</f>
        <v/>
      </c>
      <c r="I156" t="inlineStr">
        <is>
          <t>W1</t>
        </is>
      </c>
      <c r="J156" t="inlineStr">
        <is>
          <t>2021_Czerwiec_W1</t>
        </is>
      </c>
    </row>
    <row r="157" ht="17.25" customHeight="1">
      <c r="A157" s="177" t="n">
        <v>44352</v>
      </c>
      <c r="B157" s="177" t="n">
        <v>44348</v>
      </c>
      <c r="C157" s="177" t="n">
        <v>44354</v>
      </c>
      <c r="D157" t="inlineStr">
        <is>
          <t>BW20210601</t>
        </is>
      </c>
      <c r="E157" t="n">
        <v>2021</v>
      </c>
      <c r="F157" t="inlineStr">
        <is>
          <t>Czerwiec</t>
        </is>
      </c>
      <c r="G157" t="inlineStr">
        <is>
          <t>Sob</t>
        </is>
      </c>
      <c r="H157">
        <f>'Floor Hours Engine'!$E$5</f>
        <v/>
      </c>
      <c r="I157" t="inlineStr">
        <is>
          <t>W1</t>
        </is>
      </c>
      <c r="J157" t="inlineStr">
        <is>
          <t>2021_Czerwiec_W1</t>
        </is>
      </c>
    </row>
    <row r="158" ht="17.25" customHeight="1">
      <c r="A158" s="177" t="n">
        <v>44353</v>
      </c>
      <c r="B158" s="177" t="n">
        <v>44348</v>
      </c>
      <c r="C158" s="177" t="n">
        <v>44354</v>
      </c>
      <c r="D158" t="inlineStr">
        <is>
          <t>BW20210601</t>
        </is>
      </c>
      <c r="E158" t="n">
        <v>2021</v>
      </c>
      <c r="F158" t="inlineStr">
        <is>
          <t>Czerwiec</t>
        </is>
      </c>
      <c r="G158" t="inlineStr">
        <is>
          <t>Nd</t>
        </is>
      </c>
      <c r="H158">
        <f>'Floor Hours Engine'!$E$6</f>
        <v/>
      </c>
      <c r="I158" t="inlineStr">
        <is>
          <t>W1</t>
        </is>
      </c>
      <c r="J158" t="inlineStr">
        <is>
          <t>2021_Czerwiec_W1</t>
        </is>
      </c>
    </row>
    <row r="159" ht="17.25" customHeight="1">
      <c r="A159" s="177" t="n">
        <v>44354</v>
      </c>
      <c r="B159" s="177" t="n">
        <v>44348</v>
      </c>
      <c r="C159" s="177" t="n">
        <v>44354</v>
      </c>
      <c r="D159" t="inlineStr">
        <is>
          <t>BW20210601</t>
        </is>
      </c>
      <c r="E159" t="n">
        <v>2021</v>
      </c>
      <c r="F159" t="inlineStr">
        <is>
          <t>Czerwiec</t>
        </is>
      </c>
      <c r="G159" t="inlineStr">
        <is>
          <t>Pn</t>
        </is>
      </c>
      <c r="H159">
        <f>'Floor Hours Engine'!$E$4</f>
        <v/>
      </c>
      <c r="I159" t="inlineStr">
        <is>
          <t>W1</t>
        </is>
      </c>
      <c r="J159" t="inlineStr">
        <is>
          <t>2021_Czerwiec_W1</t>
        </is>
      </c>
    </row>
    <row r="160" ht="17.25" customHeight="1">
      <c r="A160" s="177" t="n">
        <v>44355</v>
      </c>
      <c r="B160" s="177" t="n">
        <v>44355</v>
      </c>
      <c r="C160" s="177" t="n">
        <v>44361</v>
      </c>
      <c r="D160" t="inlineStr">
        <is>
          <t>BW20210608</t>
        </is>
      </c>
      <c r="E160" t="n">
        <v>2021</v>
      </c>
      <c r="F160" t="inlineStr">
        <is>
          <t>Czerwiec</t>
        </is>
      </c>
      <c r="G160" t="inlineStr">
        <is>
          <t>Wt</t>
        </is>
      </c>
      <c r="H160">
        <f>'Floor Hours Engine'!$E$4</f>
        <v/>
      </c>
      <c r="I160" t="inlineStr">
        <is>
          <t>W2</t>
        </is>
      </c>
      <c r="J160" t="inlineStr">
        <is>
          <t>2021_Czerwiec_W2</t>
        </is>
      </c>
    </row>
    <row r="161" ht="17.25" customHeight="1">
      <c r="A161" s="177" t="n">
        <v>44356</v>
      </c>
      <c r="B161" s="177" t="n">
        <v>44355</v>
      </c>
      <c r="C161" s="177" t="n">
        <v>44361</v>
      </c>
      <c r="D161" t="inlineStr">
        <is>
          <t>BW20210608</t>
        </is>
      </c>
      <c r="E161" t="n">
        <v>2021</v>
      </c>
      <c r="F161" t="inlineStr">
        <is>
          <t>Czerwiec</t>
        </is>
      </c>
      <c r="G161" t="inlineStr">
        <is>
          <t>Śr</t>
        </is>
      </c>
      <c r="H161">
        <f>'Floor Hours Engine'!$E$4</f>
        <v/>
      </c>
      <c r="I161" t="inlineStr">
        <is>
          <t>W2</t>
        </is>
      </c>
      <c r="J161" t="inlineStr">
        <is>
          <t>2021_Czerwiec_W2</t>
        </is>
      </c>
    </row>
    <row r="162" ht="17.25" customHeight="1">
      <c r="A162" s="177" t="n">
        <v>44357</v>
      </c>
      <c r="B162" s="177" t="n">
        <v>44355</v>
      </c>
      <c r="C162" s="177" t="n">
        <v>44361</v>
      </c>
      <c r="D162" t="inlineStr">
        <is>
          <t>BW20210608</t>
        </is>
      </c>
      <c r="E162" t="n">
        <v>2021</v>
      </c>
      <c r="F162" t="inlineStr">
        <is>
          <t>Czerwiec</t>
        </is>
      </c>
      <c r="G162" t="inlineStr">
        <is>
          <t>Czw</t>
        </is>
      </c>
      <c r="H162">
        <f>'Floor Hours Engine'!$E$4</f>
        <v/>
      </c>
      <c r="I162" t="inlineStr">
        <is>
          <t>W2</t>
        </is>
      </c>
      <c r="J162" t="inlineStr">
        <is>
          <t>2021_Czerwiec_W2</t>
        </is>
      </c>
    </row>
    <row r="163" ht="17.25" customHeight="1">
      <c r="A163" s="177" t="n">
        <v>44358</v>
      </c>
      <c r="B163" s="177" t="n">
        <v>44355</v>
      </c>
      <c r="C163" s="177" t="n">
        <v>44361</v>
      </c>
      <c r="D163" t="inlineStr">
        <is>
          <t>BW20210608</t>
        </is>
      </c>
      <c r="E163" t="n">
        <v>2021</v>
      </c>
      <c r="F163" t="inlineStr">
        <is>
          <t>Czerwiec</t>
        </is>
      </c>
      <c r="G163" t="inlineStr">
        <is>
          <t>Pt</t>
        </is>
      </c>
      <c r="H163">
        <f>'Floor Hours Engine'!$E$5</f>
        <v/>
      </c>
      <c r="I163" t="inlineStr">
        <is>
          <t>W2</t>
        </is>
      </c>
      <c r="J163" t="inlineStr">
        <is>
          <t>2021_Czerwiec_W2</t>
        </is>
      </c>
    </row>
    <row r="164" ht="17.25" customHeight="1">
      <c r="A164" s="177" t="n">
        <v>44359</v>
      </c>
      <c r="B164" s="177" t="n">
        <v>44355</v>
      </c>
      <c r="C164" s="177" t="n">
        <v>44361</v>
      </c>
      <c r="D164" t="inlineStr">
        <is>
          <t>BW20210608</t>
        </is>
      </c>
      <c r="E164" t="n">
        <v>2021</v>
      </c>
      <c r="F164" t="inlineStr">
        <is>
          <t>Czerwiec</t>
        </is>
      </c>
      <c r="G164" t="inlineStr">
        <is>
          <t>Sob</t>
        </is>
      </c>
      <c r="H164">
        <f>'Floor Hours Engine'!$E$5</f>
        <v/>
      </c>
      <c r="I164" t="inlineStr">
        <is>
          <t>W2</t>
        </is>
      </c>
      <c r="J164" t="inlineStr">
        <is>
          <t>2021_Czerwiec_W2</t>
        </is>
      </c>
    </row>
    <row r="165" ht="17.25" customHeight="1">
      <c r="A165" s="177" t="n">
        <v>44360</v>
      </c>
      <c r="B165" s="177" t="n">
        <v>44355</v>
      </c>
      <c r="C165" s="177" t="n">
        <v>44361</v>
      </c>
      <c r="D165" t="inlineStr">
        <is>
          <t>BW20210608</t>
        </is>
      </c>
      <c r="E165" t="n">
        <v>2021</v>
      </c>
      <c r="F165" t="inlineStr">
        <is>
          <t>Czerwiec</t>
        </is>
      </c>
      <c r="G165" t="inlineStr">
        <is>
          <t>Nd</t>
        </is>
      </c>
      <c r="H165">
        <f>'Floor Hours Engine'!$E$6</f>
        <v/>
      </c>
      <c r="I165" t="inlineStr">
        <is>
          <t>W2</t>
        </is>
      </c>
      <c r="J165" t="inlineStr">
        <is>
          <t>2021_Czerwiec_W2</t>
        </is>
      </c>
    </row>
    <row r="166" ht="17.25" customHeight="1">
      <c r="A166" s="177" t="n">
        <v>44361</v>
      </c>
      <c r="B166" s="177" t="n">
        <v>44355</v>
      </c>
      <c r="C166" s="177" t="n">
        <v>44361</v>
      </c>
      <c r="D166" t="inlineStr">
        <is>
          <t>BW20210608</t>
        </is>
      </c>
      <c r="E166" t="n">
        <v>2021</v>
      </c>
      <c r="F166" t="inlineStr">
        <is>
          <t>Czerwiec</t>
        </is>
      </c>
      <c r="G166" t="inlineStr">
        <is>
          <t>Pn</t>
        </is>
      </c>
      <c r="H166">
        <f>'Floor Hours Engine'!$E$4</f>
        <v/>
      </c>
      <c r="I166" t="inlineStr">
        <is>
          <t>W2</t>
        </is>
      </c>
      <c r="J166" t="inlineStr">
        <is>
          <t>2021_Czerwiec_W2</t>
        </is>
      </c>
    </row>
    <row r="167" ht="17.25" customHeight="1">
      <c r="A167" s="177" t="n">
        <v>44362</v>
      </c>
      <c r="B167" s="177" t="n">
        <v>44362</v>
      </c>
      <c r="C167" s="177" t="n">
        <v>44368</v>
      </c>
      <c r="D167" t="inlineStr">
        <is>
          <t>BW20210615</t>
        </is>
      </c>
      <c r="E167" t="n">
        <v>2021</v>
      </c>
      <c r="F167" t="inlineStr">
        <is>
          <t>Czerwiec</t>
        </is>
      </c>
      <c r="G167" t="inlineStr">
        <is>
          <t>Wt</t>
        </is>
      </c>
      <c r="H167">
        <f>'Floor Hours Engine'!$E$4</f>
        <v/>
      </c>
      <c r="I167" t="inlineStr">
        <is>
          <t>W3</t>
        </is>
      </c>
      <c r="J167" t="inlineStr">
        <is>
          <t>2021_Czerwiec_W3</t>
        </is>
      </c>
    </row>
    <row r="168" ht="17.25" customHeight="1">
      <c r="A168" s="177" t="n">
        <v>44363</v>
      </c>
      <c r="B168" s="177" t="n">
        <v>44362</v>
      </c>
      <c r="C168" s="177" t="n">
        <v>44368</v>
      </c>
      <c r="D168" t="inlineStr">
        <is>
          <t>BW20210615</t>
        </is>
      </c>
      <c r="E168" t="n">
        <v>2021</v>
      </c>
      <c r="F168" t="inlineStr">
        <is>
          <t>Czerwiec</t>
        </is>
      </c>
      <c r="G168" t="inlineStr">
        <is>
          <t>Śr</t>
        </is>
      </c>
      <c r="H168">
        <f>'Floor Hours Engine'!$E$4</f>
        <v/>
      </c>
      <c r="I168" t="inlineStr">
        <is>
          <t>W3</t>
        </is>
      </c>
      <c r="J168" t="inlineStr">
        <is>
          <t>2021_Czerwiec_W3</t>
        </is>
      </c>
    </row>
    <row r="169" ht="17.25" customHeight="1">
      <c r="A169" s="177" t="n">
        <v>44364</v>
      </c>
      <c r="B169" s="177" t="n">
        <v>44362</v>
      </c>
      <c r="C169" s="177" t="n">
        <v>44368</v>
      </c>
      <c r="D169" t="inlineStr">
        <is>
          <t>BW20210615</t>
        </is>
      </c>
      <c r="E169" t="n">
        <v>2021</v>
      </c>
      <c r="F169" t="inlineStr">
        <is>
          <t>Czerwiec</t>
        </is>
      </c>
      <c r="G169" t="inlineStr">
        <is>
          <t>Czw</t>
        </is>
      </c>
      <c r="H169">
        <f>'Floor Hours Engine'!$E$4</f>
        <v/>
      </c>
      <c r="I169" t="inlineStr">
        <is>
          <t>W3</t>
        </is>
      </c>
      <c r="J169" t="inlineStr">
        <is>
          <t>2021_Czerwiec_W3</t>
        </is>
      </c>
    </row>
    <row r="170" ht="17.25" customHeight="1">
      <c r="A170" s="177" t="n">
        <v>44365</v>
      </c>
      <c r="B170" s="177" t="n">
        <v>44362</v>
      </c>
      <c r="C170" s="177" t="n">
        <v>44368</v>
      </c>
      <c r="D170" t="inlineStr">
        <is>
          <t>BW20210615</t>
        </is>
      </c>
      <c r="E170" t="n">
        <v>2021</v>
      </c>
      <c r="F170" t="inlineStr">
        <is>
          <t>Czerwiec</t>
        </is>
      </c>
      <c r="G170" t="inlineStr">
        <is>
          <t>Pt</t>
        </is>
      </c>
      <c r="H170">
        <f>'Floor Hours Engine'!$E$5</f>
        <v/>
      </c>
      <c r="I170" t="inlineStr">
        <is>
          <t>W3</t>
        </is>
      </c>
      <c r="J170" t="inlineStr">
        <is>
          <t>2021_Czerwiec_W3</t>
        </is>
      </c>
    </row>
    <row r="171" ht="17.25" customHeight="1">
      <c r="A171" s="177" t="n">
        <v>44366</v>
      </c>
      <c r="B171" s="177" t="n">
        <v>44362</v>
      </c>
      <c r="C171" s="177" t="n">
        <v>44368</v>
      </c>
      <c r="D171" t="inlineStr">
        <is>
          <t>BW20210615</t>
        </is>
      </c>
      <c r="E171" t="n">
        <v>2021</v>
      </c>
      <c r="F171" t="inlineStr">
        <is>
          <t>Czerwiec</t>
        </is>
      </c>
      <c r="G171" t="inlineStr">
        <is>
          <t>Sob</t>
        </is>
      </c>
      <c r="H171">
        <f>'Floor Hours Engine'!$E$5</f>
        <v/>
      </c>
      <c r="I171" t="inlineStr">
        <is>
          <t>W3</t>
        </is>
      </c>
      <c r="J171" t="inlineStr">
        <is>
          <t>2021_Czerwiec_W3</t>
        </is>
      </c>
    </row>
    <row r="172" ht="17.25" customHeight="1">
      <c r="A172" s="177" t="n">
        <v>44367</v>
      </c>
      <c r="B172" s="177" t="n">
        <v>44362</v>
      </c>
      <c r="C172" s="177" t="n">
        <v>44368</v>
      </c>
      <c r="D172" t="inlineStr">
        <is>
          <t>BW20210615</t>
        </is>
      </c>
      <c r="E172" t="n">
        <v>2021</v>
      </c>
      <c r="F172" t="inlineStr">
        <is>
          <t>Czerwiec</t>
        </is>
      </c>
      <c r="G172" t="inlineStr">
        <is>
          <t>Nd</t>
        </is>
      </c>
      <c r="H172">
        <f>'Floor Hours Engine'!$E$6</f>
        <v/>
      </c>
      <c r="I172" t="inlineStr">
        <is>
          <t>W3</t>
        </is>
      </c>
      <c r="J172" t="inlineStr">
        <is>
          <t>2021_Czerwiec_W3</t>
        </is>
      </c>
    </row>
    <row r="173" ht="17.25" customHeight="1">
      <c r="A173" s="177" t="n">
        <v>44368</v>
      </c>
      <c r="B173" s="177" t="n">
        <v>44362</v>
      </c>
      <c r="C173" s="177" t="n">
        <v>44368</v>
      </c>
      <c r="D173" t="inlineStr">
        <is>
          <t>BW20210615</t>
        </is>
      </c>
      <c r="E173" t="n">
        <v>2021</v>
      </c>
      <c r="F173" t="inlineStr">
        <is>
          <t>Czerwiec</t>
        </is>
      </c>
      <c r="G173" t="inlineStr">
        <is>
          <t>Pn</t>
        </is>
      </c>
      <c r="H173">
        <f>'Floor Hours Engine'!$E$4</f>
        <v/>
      </c>
      <c r="I173" t="inlineStr">
        <is>
          <t>W3</t>
        </is>
      </c>
      <c r="J173" t="inlineStr">
        <is>
          <t>2021_Czerwiec_W3</t>
        </is>
      </c>
    </row>
    <row r="174" ht="17.25" customHeight="1">
      <c r="A174" s="177" t="n">
        <v>44369</v>
      </c>
      <c r="B174" s="177" t="n">
        <v>44369</v>
      </c>
      <c r="C174" s="177" t="n">
        <v>44375</v>
      </c>
      <c r="D174" t="inlineStr">
        <is>
          <t>BW20210622</t>
        </is>
      </c>
      <c r="E174" t="n">
        <v>2021</v>
      </c>
      <c r="F174" t="inlineStr">
        <is>
          <t>Czerwiec</t>
        </is>
      </c>
      <c r="G174" t="inlineStr">
        <is>
          <t>Wt</t>
        </is>
      </c>
      <c r="H174">
        <f>'Floor Hours Engine'!$E$4</f>
        <v/>
      </c>
      <c r="I174" t="inlineStr">
        <is>
          <t>W4</t>
        </is>
      </c>
      <c r="J174" t="inlineStr">
        <is>
          <t>2021_Czerwiec_W4</t>
        </is>
      </c>
    </row>
    <row r="175" ht="17.25" customHeight="1">
      <c r="A175" s="177" t="n">
        <v>44370</v>
      </c>
      <c r="B175" s="177" t="n">
        <v>44369</v>
      </c>
      <c r="C175" s="177" t="n">
        <v>44375</v>
      </c>
      <c r="D175" t="inlineStr">
        <is>
          <t>BW20210622</t>
        </is>
      </c>
      <c r="E175" t="n">
        <v>2021</v>
      </c>
      <c r="F175" t="inlineStr">
        <is>
          <t>Czerwiec</t>
        </is>
      </c>
      <c r="G175" t="inlineStr">
        <is>
          <t>Śr</t>
        </is>
      </c>
      <c r="H175">
        <f>'Floor Hours Engine'!$E$4</f>
        <v/>
      </c>
      <c r="I175" t="inlineStr">
        <is>
          <t>W4</t>
        </is>
      </c>
      <c r="J175" t="inlineStr">
        <is>
          <t>2021_Czerwiec_W4</t>
        </is>
      </c>
    </row>
    <row r="176" ht="17.25" customHeight="1">
      <c r="A176" s="177" t="n">
        <v>44371</v>
      </c>
      <c r="B176" s="177" t="n">
        <v>44369</v>
      </c>
      <c r="C176" s="177" t="n">
        <v>44375</v>
      </c>
      <c r="D176" t="inlineStr">
        <is>
          <t>BW20210622</t>
        </is>
      </c>
      <c r="E176" t="n">
        <v>2021</v>
      </c>
      <c r="F176" t="inlineStr">
        <is>
          <t>Czerwiec</t>
        </is>
      </c>
      <c r="G176" t="inlineStr">
        <is>
          <t>Czw</t>
        </is>
      </c>
      <c r="H176">
        <f>'Floor Hours Engine'!$E$4</f>
        <v/>
      </c>
      <c r="I176" t="inlineStr">
        <is>
          <t>W4</t>
        </is>
      </c>
      <c r="J176" t="inlineStr">
        <is>
          <t>2021_Czerwiec_W4</t>
        </is>
      </c>
    </row>
    <row r="177" ht="17.25" customHeight="1">
      <c r="A177" s="177" t="n">
        <v>44372</v>
      </c>
      <c r="B177" s="177" t="n">
        <v>44369</v>
      </c>
      <c r="C177" s="177" t="n">
        <v>44375</v>
      </c>
      <c r="D177" t="inlineStr">
        <is>
          <t>BW20210622</t>
        </is>
      </c>
      <c r="E177" t="n">
        <v>2021</v>
      </c>
      <c r="F177" t="inlineStr">
        <is>
          <t>Czerwiec</t>
        </is>
      </c>
      <c r="G177" t="inlineStr">
        <is>
          <t>Pt</t>
        </is>
      </c>
      <c r="H177">
        <f>'Floor Hours Engine'!$E$5</f>
        <v/>
      </c>
      <c r="I177" t="inlineStr">
        <is>
          <t>W4</t>
        </is>
      </c>
      <c r="J177" t="inlineStr">
        <is>
          <t>2021_Czerwiec_W4</t>
        </is>
      </c>
    </row>
    <row r="178" ht="17.25" customHeight="1">
      <c r="A178" s="177" t="n">
        <v>44373</v>
      </c>
      <c r="B178" s="177" t="n">
        <v>44369</v>
      </c>
      <c r="C178" s="177" t="n">
        <v>44375</v>
      </c>
      <c r="D178" t="inlineStr">
        <is>
          <t>BW20210622</t>
        </is>
      </c>
      <c r="E178" t="n">
        <v>2021</v>
      </c>
      <c r="F178" t="inlineStr">
        <is>
          <t>Czerwiec</t>
        </is>
      </c>
      <c r="G178" t="inlineStr">
        <is>
          <t>Sob</t>
        </is>
      </c>
      <c r="H178">
        <f>'Floor Hours Engine'!$E$5</f>
        <v/>
      </c>
      <c r="I178" t="inlineStr">
        <is>
          <t>W4</t>
        </is>
      </c>
      <c r="J178" t="inlineStr">
        <is>
          <t>2021_Czerwiec_W4</t>
        </is>
      </c>
    </row>
    <row r="179" ht="17.25" customHeight="1">
      <c r="A179" s="177" t="n">
        <v>44374</v>
      </c>
      <c r="B179" s="177" t="n">
        <v>44369</v>
      </c>
      <c r="C179" s="177" t="n">
        <v>44375</v>
      </c>
      <c r="D179" t="inlineStr">
        <is>
          <t>BW20210622</t>
        </is>
      </c>
      <c r="E179" t="n">
        <v>2021</v>
      </c>
      <c r="F179" t="inlineStr">
        <is>
          <t>Czerwiec</t>
        </is>
      </c>
      <c r="G179" t="inlineStr">
        <is>
          <t>Nd</t>
        </is>
      </c>
      <c r="H179">
        <f>'Floor Hours Engine'!$E$6</f>
        <v/>
      </c>
      <c r="I179" t="inlineStr">
        <is>
          <t>W4</t>
        </is>
      </c>
      <c r="J179" t="inlineStr">
        <is>
          <t>2021_Czerwiec_W4</t>
        </is>
      </c>
    </row>
    <row r="180" ht="17.25" customHeight="1">
      <c r="A180" s="177" t="n">
        <v>44375</v>
      </c>
      <c r="B180" s="177" t="n">
        <v>44369</v>
      </c>
      <c r="C180" s="177" t="n">
        <v>44375</v>
      </c>
      <c r="D180" t="inlineStr">
        <is>
          <t>BW20210622</t>
        </is>
      </c>
      <c r="E180" t="n">
        <v>2021</v>
      </c>
      <c r="F180" t="inlineStr">
        <is>
          <t>Czerwiec</t>
        </is>
      </c>
      <c r="G180" t="inlineStr">
        <is>
          <t>Pn</t>
        </is>
      </c>
      <c r="H180">
        <f>'Floor Hours Engine'!$E$4</f>
        <v/>
      </c>
      <c r="I180" t="inlineStr">
        <is>
          <t>W4</t>
        </is>
      </c>
      <c r="J180" t="inlineStr">
        <is>
          <t>2021_Czerwiec_W4</t>
        </is>
      </c>
    </row>
    <row r="181" ht="17.25" customHeight="1">
      <c r="A181" s="177" t="n">
        <v>44376</v>
      </c>
      <c r="B181" s="177" t="n">
        <v>44376</v>
      </c>
      <c r="C181" s="177" t="n">
        <v>44382</v>
      </c>
      <c r="D181" t="inlineStr">
        <is>
          <t>BW20210629</t>
        </is>
      </c>
      <c r="E181" t="n">
        <v>2021</v>
      </c>
      <c r="F181" t="inlineStr">
        <is>
          <t>Czerwiec</t>
        </is>
      </c>
      <c r="G181" t="inlineStr">
        <is>
          <t>Wt</t>
        </is>
      </c>
      <c r="H181">
        <f>'Floor Hours Engine'!$E$4</f>
        <v/>
      </c>
      <c r="I181" t="inlineStr">
        <is>
          <t>W5</t>
        </is>
      </c>
      <c r="J181" t="inlineStr">
        <is>
          <t>2021_Czerwiec_W5</t>
        </is>
      </c>
    </row>
    <row r="182" ht="17.25" customHeight="1">
      <c r="A182" s="177" t="n">
        <v>44377</v>
      </c>
      <c r="B182" s="177" t="n">
        <v>44376</v>
      </c>
      <c r="C182" s="177" t="n">
        <v>44382</v>
      </c>
      <c r="D182" t="inlineStr">
        <is>
          <t>BW20210629</t>
        </is>
      </c>
      <c r="E182" t="n">
        <v>2021</v>
      </c>
      <c r="F182" t="inlineStr">
        <is>
          <t>Czerwiec</t>
        </is>
      </c>
      <c r="G182" t="inlineStr">
        <is>
          <t>Śr</t>
        </is>
      </c>
      <c r="H182">
        <f>'Floor Hours Engine'!$E$4</f>
        <v/>
      </c>
      <c r="I182" t="inlineStr">
        <is>
          <t>W5</t>
        </is>
      </c>
      <c r="J182" t="inlineStr">
        <is>
          <t>2021_Czerwiec_W5</t>
        </is>
      </c>
    </row>
    <row r="183" ht="17.25" customHeight="1">
      <c r="A183" s="177" t="n">
        <v>44378</v>
      </c>
      <c r="B183" s="177" t="n">
        <v>44376</v>
      </c>
      <c r="C183" s="177" t="n">
        <v>44382</v>
      </c>
      <c r="D183" t="inlineStr">
        <is>
          <t>BW20210629</t>
        </is>
      </c>
      <c r="E183" t="n">
        <v>2021</v>
      </c>
      <c r="F183" t="inlineStr">
        <is>
          <t>Lipiec</t>
        </is>
      </c>
      <c r="G183" t="inlineStr">
        <is>
          <t>Czw</t>
        </is>
      </c>
      <c r="H183">
        <f>'Floor Hours Engine'!$E$4</f>
        <v/>
      </c>
      <c r="I183" t="inlineStr">
        <is>
          <t>W1</t>
        </is>
      </c>
      <c r="J183" t="inlineStr">
        <is>
          <t>2021_Lipiec_W1</t>
        </is>
      </c>
    </row>
    <row r="184" ht="17.25" customHeight="1">
      <c r="A184" s="177" t="n">
        <v>44379</v>
      </c>
      <c r="B184" s="177" t="n">
        <v>44376</v>
      </c>
      <c r="C184" s="177" t="n">
        <v>44382</v>
      </c>
      <c r="D184" t="inlineStr">
        <is>
          <t>BW20210629</t>
        </is>
      </c>
      <c r="E184" t="n">
        <v>2021</v>
      </c>
      <c r="F184" t="inlineStr">
        <is>
          <t>Lipiec</t>
        </is>
      </c>
      <c r="G184" t="inlineStr">
        <is>
          <t>Pt</t>
        </is>
      </c>
      <c r="H184">
        <f>'Floor Hours Engine'!$E$5</f>
        <v/>
      </c>
      <c r="I184" t="inlineStr">
        <is>
          <t>W1</t>
        </is>
      </c>
      <c r="J184" t="inlineStr">
        <is>
          <t>2021_Lipiec_W1</t>
        </is>
      </c>
    </row>
    <row r="185" ht="17.25" customHeight="1">
      <c r="A185" s="177" t="n">
        <v>44380</v>
      </c>
      <c r="B185" s="177" t="n">
        <v>44376</v>
      </c>
      <c r="C185" s="177" t="n">
        <v>44382</v>
      </c>
      <c r="D185" t="inlineStr">
        <is>
          <t>BW20210629</t>
        </is>
      </c>
      <c r="E185" t="n">
        <v>2021</v>
      </c>
      <c r="F185" t="inlineStr">
        <is>
          <t>Lipiec</t>
        </is>
      </c>
      <c r="G185" t="inlineStr">
        <is>
          <t>Sob</t>
        </is>
      </c>
      <c r="H185">
        <f>'Floor Hours Engine'!$E$5</f>
        <v/>
      </c>
      <c r="I185" t="inlineStr">
        <is>
          <t>W1</t>
        </is>
      </c>
      <c r="J185" t="inlineStr">
        <is>
          <t>2021_Lipiec_W1</t>
        </is>
      </c>
    </row>
    <row r="186" ht="17.25" customHeight="1">
      <c r="A186" s="177" t="n">
        <v>44381</v>
      </c>
      <c r="B186" s="177" t="n">
        <v>44376</v>
      </c>
      <c r="C186" s="177" t="n">
        <v>44382</v>
      </c>
      <c r="D186" t="inlineStr">
        <is>
          <t>BW20210629</t>
        </is>
      </c>
      <c r="E186" t="n">
        <v>2021</v>
      </c>
      <c r="F186" t="inlineStr">
        <is>
          <t>Lipiec</t>
        </is>
      </c>
      <c r="G186" t="inlineStr">
        <is>
          <t>Nd</t>
        </is>
      </c>
      <c r="H186">
        <f>'Floor Hours Engine'!$E$6</f>
        <v/>
      </c>
      <c r="I186" t="inlineStr">
        <is>
          <t>W1</t>
        </is>
      </c>
      <c r="J186" t="inlineStr">
        <is>
          <t>2021_Lipiec_W1</t>
        </is>
      </c>
    </row>
    <row r="187" ht="17.25" customHeight="1">
      <c r="A187" s="177" t="n">
        <v>44382</v>
      </c>
      <c r="B187" s="177" t="n">
        <v>44376</v>
      </c>
      <c r="C187" s="177" t="n">
        <v>44382</v>
      </c>
      <c r="D187" t="inlineStr">
        <is>
          <t>BW20210629</t>
        </is>
      </c>
      <c r="E187" t="n">
        <v>2021</v>
      </c>
      <c r="F187" t="inlineStr">
        <is>
          <t>Lipiec</t>
        </is>
      </c>
      <c r="G187" t="inlineStr">
        <is>
          <t>Pn</t>
        </is>
      </c>
      <c r="H187">
        <f>'Floor Hours Engine'!$E$4</f>
        <v/>
      </c>
      <c r="I187" t="inlineStr">
        <is>
          <t>W1</t>
        </is>
      </c>
      <c r="J187" t="inlineStr">
        <is>
          <t>2021_Lipiec_W1</t>
        </is>
      </c>
    </row>
    <row r="188" ht="17.25" customHeight="1">
      <c r="A188" s="177" t="n">
        <v>44383</v>
      </c>
      <c r="B188" s="177" t="n">
        <v>44383</v>
      </c>
      <c r="C188" s="177" t="n">
        <v>44389</v>
      </c>
      <c r="D188" t="inlineStr">
        <is>
          <t>BW20210706</t>
        </is>
      </c>
      <c r="E188" t="n">
        <v>2021</v>
      </c>
      <c r="F188" t="inlineStr">
        <is>
          <t>Lipiec</t>
        </is>
      </c>
      <c r="G188" t="inlineStr">
        <is>
          <t>Wt</t>
        </is>
      </c>
      <c r="H188">
        <f>'Floor Hours Engine'!$E$4</f>
        <v/>
      </c>
      <c r="I188" t="inlineStr">
        <is>
          <t>W2</t>
        </is>
      </c>
      <c r="J188" t="inlineStr">
        <is>
          <t>2021_Lipiec_W2</t>
        </is>
      </c>
    </row>
    <row r="189" ht="17.25" customHeight="1">
      <c r="A189" s="177" t="n">
        <v>44384</v>
      </c>
      <c r="B189" s="177" t="n">
        <v>44383</v>
      </c>
      <c r="C189" s="177" t="n">
        <v>44389</v>
      </c>
      <c r="D189" t="inlineStr">
        <is>
          <t>BW20210706</t>
        </is>
      </c>
      <c r="E189" t="n">
        <v>2021</v>
      </c>
      <c r="F189" t="inlineStr">
        <is>
          <t>Lipiec</t>
        </is>
      </c>
      <c r="G189" t="inlineStr">
        <is>
          <t>Śr</t>
        </is>
      </c>
      <c r="H189">
        <f>'Floor Hours Engine'!$E$4</f>
        <v/>
      </c>
      <c r="I189" t="inlineStr">
        <is>
          <t>W2</t>
        </is>
      </c>
      <c r="J189" t="inlineStr">
        <is>
          <t>2021_Lipiec_W2</t>
        </is>
      </c>
    </row>
    <row r="190" ht="17.25" customHeight="1">
      <c r="A190" s="177" t="n">
        <v>44385</v>
      </c>
      <c r="B190" s="177" t="n">
        <v>44383</v>
      </c>
      <c r="C190" s="177" t="n">
        <v>44389</v>
      </c>
      <c r="D190" t="inlineStr">
        <is>
          <t>BW20210706</t>
        </is>
      </c>
      <c r="E190" t="n">
        <v>2021</v>
      </c>
      <c r="F190" t="inlineStr">
        <is>
          <t>Lipiec</t>
        </is>
      </c>
      <c r="G190" t="inlineStr">
        <is>
          <t>Czw</t>
        </is>
      </c>
      <c r="H190">
        <f>'Floor Hours Engine'!$E$4</f>
        <v/>
      </c>
      <c r="I190" t="inlineStr">
        <is>
          <t>W2</t>
        </is>
      </c>
      <c r="J190" t="inlineStr">
        <is>
          <t>2021_Lipiec_W2</t>
        </is>
      </c>
    </row>
    <row r="191" ht="17.25" customHeight="1">
      <c r="A191" s="177" t="n">
        <v>44386</v>
      </c>
      <c r="B191" s="177" t="n">
        <v>44383</v>
      </c>
      <c r="C191" s="177" t="n">
        <v>44389</v>
      </c>
      <c r="D191" t="inlineStr">
        <is>
          <t>BW20210706</t>
        </is>
      </c>
      <c r="E191" t="n">
        <v>2021</v>
      </c>
      <c r="F191" t="inlineStr">
        <is>
          <t>Lipiec</t>
        </is>
      </c>
      <c r="G191" t="inlineStr">
        <is>
          <t>Pt</t>
        </is>
      </c>
      <c r="H191">
        <f>'Floor Hours Engine'!$E$5</f>
        <v/>
      </c>
      <c r="I191" t="inlineStr">
        <is>
          <t>W2</t>
        </is>
      </c>
      <c r="J191" t="inlineStr">
        <is>
          <t>2021_Lipiec_W2</t>
        </is>
      </c>
    </row>
    <row r="192" ht="17.25" customHeight="1">
      <c r="A192" s="177" t="n">
        <v>44387</v>
      </c>
      <c r="B192" s="177" t="n">
        <v>44383</v>
      </c>
      <c r="C192" s="177" t="n">
        <v>44389</v>
      </c>
      <c r="D192" t="inlineStr">
        <is>
          <t>BW20210706</t>
        </is>
      </c>
      <c r="E192" t="n">
        <v>2021</v>
      </c>
      <c r="F192" t="inlineStr">
        <is>
          <t>Lipiec</t>
        </is>
      </c>
      <c r="G192" t="inlineStr">
        <is>
          <t>Sob</t>
        </is>
      </c>
      <c r="H192">
        <f>'Floor Hours Engine'!$E$5</f>
        <v/>
      </c>
      <c r="I192" t="inlineStr">
        <is>
          <t>W2</t>
        </is>
      </c>
      <c r="J192" t="inlineStr">
        <is>
          <t>2021_Lipiec_W2</t>
        </is>
      </c>
    </row>
    <row r="193" ht="17.25" customHeight="1">
      <c r="A193" s="177" t="n">
        <v>44388</v>
      </c>
      <c r="B193" s="177" t="n">
        <v>44383</v>
      </c>
      <c r="C193" s="177" t="n">
        <v>44389</v>
      </c>
      <c r="D193" t="inlineStr">
        <is>
          <t>BW20210706</t>
        </is>
      </c>
      <c r="E193" t="n">
        <v>2021</v>
      </c>
      <c r="F193" t="inlineStr">
        <is>
          <t>Lipiec</t>
        </is>
      </c>
      <c r="G193" t="inlineStr">
        <is>
          <t>Nd</t>
        </is>
      </c>
      <c r="H193">
        <f>'Floor Hours Engine'!$E$6</f>
        <v/>
      </c>
      <c r="I193" t="inlineStr">
        <is>
          <t>W2</t>
        </is>
      </c>
      <c r="J193" t="inlineStr">
        <is>
          <t>2021_Lipiec_W2</t>
        </is>
      </c>
    </row>
    <row r="194" ht="17.25" customHeight="1">
      <c r="A194" s="177" t="n">
        <v>44389</v>
      </c>
      <c r="B194" s="177" t="n">
        <v>44383</v>
      </c>
      <c r="C194" s="177" t="n">
        <v>44389</v>
      </c>
      <c r="D194" t="inlineStr">
        <is>
          <t>BW20210706</t>
        </is>
      </c>
      <c r="E194" t="n">
        <v>2021</v>
      </c>
      <c r="F194" t="inlineStr">
        <is>
          <t>Lipiec</t>
        </is>
      </c>
      <c r="G194" t="inlineStr">
        <is>
          <t>Pn</t>
        </is>
      </c>
      <c r="H194">
        <f>'Floor Hours Engine'!$E$4</f>
        <v/>
      </c>
      <c r="I194" t="inlineStr">
        <is>
          <t>W2</t>
        </is>
      </c>
      <c r="J194" t="inlineStr">
        <is>
          <t>2021_Lipiec_W2</t>
        </is>
      </c>
    </row>
    <row r="195" ht="17.25" customHeight="1">
      <c r="A195" s="177" t="n">
        <v>44390</v>
      </c>
      <c r="B195" s="177" t="n">
        <v>44390</v>
      </c>
      <c r="C195" s="177" t="n">
        <v>44396</v>
      </c>
      <c r="D195" t="inlineStr">
        <is>
          <t>BW20210713</t>
        </is>
      </c>
      <c r="E195" t="n">
        <v>2021</v>
      </c>
      <c r="F195" t="inlineStr">
        <is>
          <t>Lipiec</t>
        </is>
      </c>
      <c r="G195" t="inlineStr">
        <is>
          <t>Wt</t>
        </is>
      </c>
      <c r="H195">
        <f>'Floor Hours Engine'!$E$4</f>
        <v/>
      </c>
      <c r="I195" t="inlineStr">
        <is>
          <t>W3</t>
        </is>
      </c>
      <c r="J195" t="inlineStr">
        <is>
          <t>2021_Lipiec_W3</t>
        </is>
      </c>
    </row>
    <row r="196" ht="17.25" customHeight="1">
      <c r="A196" s="177" t="n">
        <v>44391</v>
      </c>
      <c r="B196" s="177" t="n">
        <v>44390</v>
      </c>
      <c r="C196" s="177" t="n">
        <v>44396</v>
      </c>
      <c r="D196" t="inlineStr">
        <is>
          <t>BW20210713</t>
        </is>
      </c>
      <c r="E196" t="n">
        <v>2021</v>
      </c>
      <c r="F196" t="inlineStr">
        <is>
          <t>Lipiec</t>
        </is>
      </c>
      <c r="G196" t="inlineStr">
        <is>
          <t>Śr</t>
        </is>
      </c>
      <c r="H196">
        <f>'Floor Hours Engine'!$E$4</f>
        <v/>
      </c>
      <c r="I196" t="inlineStr">
        <is>
          <t>W3</t>
        </is>
      </c>
      <c r="J196" t="inlineStr">
        <is>
          <t>2021_Lipiec_W3</t>
        </is>
      </c>
    </row>
    <row r="197" ht="17.25" customHeight="1">
      <c r="A197" s="177" t="n">
        <v>44392</v>
      </c>
      <c r="B197" s="177" t="n">
        <v>44390</v>
      </c>
      <c r="C197" s="177" t="n">
        <v>44396</v>
      </c>
      <c r="D197" t="inlineStr">
        <is>
          <t>BW20210713</t>
        </is>
      </c>
      <c r="E197" t="n">
        <v>2021</v>
      </c>
      <c r="F197" t="inlineStr">
        <is>
          <t>Lipiec</t>
        </is>
      </c>
      <c r="G197" t="inlineStr">
        <is>
          <t>Czw</t>
        </is>
      </c>
      <c r="H197">
        <f>'Floor Hours Engine'!$E$4</f>
        <v/>
      </c>
      <c r="I197" t="inlineStr">
        <is>
          <t>W3</t>
        </is>
      </c>
      <c r="J197" t="inlineStr">
        <is>
          <t>2021_Lipiec_W3</t>
        </is>
      </c>
    </row>
    <row r="198" ht="17.25" customHeight="1">
      <c r="A198" s="177" t="n">
        <v>44393</v>
      </c>
      <c r="B198" s="177" t="n">
        <v>44390</v>
      </c>
      <c r="C198" s="177" t="n">
        <v>44396</v>
      </c>
      <c r="D198" t="inlineStr">
        <is>
          <t>BW20210713</t>
        </is>
      </c>
      <c r="E198" t="n">
        <v>2021</v>
      </c>
      <c r="F198" t="inlineStr">
        <is>
          <t>Lipiec</t>
        </is>
      </c>
      <c r="G198" t="inlineStr">
        <is>
          <t>Pt</t>
        </is>
      </c>
      <c r="H198">
        <f>'Floor Hours Engine'!$E$5</f>
        <v/>
      </c>
      <c r="I198" t="inlineStr">
        <is>
          <t>W3</t>
        </is>
      </c>
      <c r="J198" t="inlineStr">
        <is>
          <t>2021_Lipiec_W3</t>
        </is>
      </c>
    </row>
    <row r="199" ht="17.25" customHeight="1">
      <c r="A199" s="177" t="n">
        <v>44394</v>
      </c>
      <c r="B199" s="177" t="n">
        <v>44390</v>
      </c>
      <c r="C199" s="177" t="n">
        <v>44396</v>
      </c>
      <c r="D199" t="inlineStr">
        <is>
          <t>BW20210713</t>
        </is>
      </c>
      <c r="E199" t="n">
        <v>2021</v>
      </c>
      <c r="F199" t="inlineStr">
        <is>
          <t>Lipiec</t>
        </is>
      </c>
      <c r="G199" t="inlineStr">
        <is>
          <t>Sob</t>
        </is>
      </c>
      <c r="H199">
        <f>'Floor Hours Engine'!$E$5</f>
        <v/>
      </c>
      <c r="I199" t="inlineStr">
        <is>
          <t>W3</t>
        </is>
      </c>
      <c r="J199" t="inlineStr">
        <is>
          <t>2021_Lipiec_W3</t>
        </is>
      </c>
    </row>
    <row r="200" ht="17.25" customHeight="1">
      <c r="A200" s="177" t="n">
        <v>44395</v>
      </c>
      <c r="B200" s="177" t="n">
        <v>44390</v>
      </c>
      <c r="C200" s="177" t="n">
        <v>44396</v>
      </c>
      <c r="D200" t="inlineStr">
        <is>
          <t>BW20210713</t>
        </is>
      </c>
      <c r="E200" t="n">
        <v>2021</v>
      </c>
      <c r="F200" t="inlineStr">
        <is>
          <t>Lipiec</t>
        </is>
      </c>
      <c r="G200" t="inlineStr">
        <is>
          <t>Nd</t>
        </is>
      </c>
      <c r="H200">
        <f>'Floor Hours Engine'!$E$6</f>
        <v/>
      </c>
      <c r="I200" t="inlineStr">
        <is>
          <t>W3</t>
        </is>
      </c>
      <c r="J200" t="inlineStr">
        <is>
          <t>2021_Lipiec_W3</t>
        </is>
      </c>
    </row>
    <row r="201" ht="17.25" customHeight="1">
      <c r="A201" s="177" t="n">
        <v>44396</v>
      </c>
      <c r="B201" s="177" t="n">
        <v>44390</v>
      </c>
      <c r="C201" s="177" t="n">
        <v>44396</v>
      </c>
      <c r="D201" t="inlineStr">
        <is>
          <t>BW20210713</t>
        </is>
      </c>
      <c r="E201" t="n">
        <v>2021</v>
      </c>
      <c r="F201" t="inlineStr">
        <is>
          <t>Lipiec</t>
        </is>
      </c>
      <c r="G201" t="inlineStr">
        <is>
          <t>Pn</t>
        </is>
      </c>
      <c r="H201">
        <f>'Floor Hours Engine'!$E$4</f>
        <v/>
      </c>
      <c r="I201" t="inlineStr">
        <is>
          <t>W3</t>
        </is>
      </c>
      <c r="J201" t="inlineStr">
        <is>
          <t>2021_Lipiec_W3</t>
        </is>
      </c>
    </row>
    <row r="202" ht="17.25" customHeight="1">
      <c r="A202" s="177" t="n">
        <v>44397</v>
      </c>
      <c r="B202" s="177" t="n">
        <v>44397</v>
      </c>
      <c r="C202" s="177" t="n">
        <v>44403</v>
      </c>
      <c r="D202" t="inlineStr">
        <is>
          <t>BW20210720</t>
        </is>
      </c>
      <c r="E202" t="n">
        <v>2021</v>
      </c>
      <c r="F202" t="inlineStr">
        <is>
          <t>Lipiec</t>
        </is>
      </c>
      <c r="G202" t="inlineStr">
        <is>
          <t>Wt</t>
        </is>
      </c>
      <c r="H202">
        <f>'Floor Hours Engine'!$E$4</f>
        <v/>
      </c>
      <c r="I202" t="inlineStr">
        <is>
          <t>W4</t>
        </is>
      </c>
      <c r="J202" t="inlineStr">
        <is>
          <t>2021_Lipiec_W4</t>
        </is>
      </c>
    </row>
    <row r="203" ht="17.25" customHeight="1">
      <c r="A203" s="177" t="n">
        <v>44398</v>
      </c>
      <c r="B203" s="177" t="n">
        <v>44397</v>
      </c>
      <c r="C203" s="177" t="n">
        <v>44403</v>
      </c>
      <c r="D203" t="inlineStr">
        <is>
          <t>BW20210720</t>
        </is>
      </c>
      <c r="E203" t="n">
        <v>2021</v>
      </c>
      <c r="F203" t="inlineStr">
        <is>
          <t>Lipiec</t>
        </is>
      </c>
      <c r="G203" t="inlineStr">
        <is>
          <t>Śr</t>
        </is>
      </c>
      <c r="H203">
        <f>'Floor Hours Engine'!$E$4</f>
        <v/>
      </c>
      <c r="I203" t="inlineStr">
        <is>
          <t>W4</t>
        </is>
      </c>
      <c r="J203" t="inlineStr">
        <is>
          <t>2021_Lipiec_W4</t>
        </is>
      </c>
    </row>
    <row r="204" ht="17.25" customHeight="1">
      <c r="A204" s="177" t="n">
        <v>44399</v>
      </c>
      <c r="B204" s="177" t="n">
        <v>44397</v>
      </c>
      <c r="C204" s="177" t="n">
        <v>44403</v>
      </c>
      <c r="D204" t="inlineStr">
        <is>
          <t>BW20210720</t>
        </is>
      </c>
      <c r="E204" t="n">
        <v>2021</v>
      </c>
      <c r="F204" t="inlineStr">
        <is>
          <t>Lipiec</t>
        </is>
      </c>
      <c r="G204" t="inlineStr">
        <is>
          <t>Czw</t>
        </is>
      </c>
      <c r="H204">
        <f>'Floor Hours Engine'!$E$4</f>
        <v/>
      </c>
      <c r="I204" t="inlineStr">
        <is>
          <t>W4</t>
        </is>
      </c>
      <c r="J204" t="inlineStr">
        <is>
          <t>2021_Lipiec_W4</t>
        </is>
      </c>
    </row>
    <row r="205" ht="17.25" customHeight="1">
      <c r="A205" s="177" t="n">
        <v>44400</v>
      </c>
      <c r="B205" s="177" t="n">
        <v>44397</v>
      </c>
      <c r="C205" s="177" t="n">
        <v>44403</v>
      </c>
      <c r="D205" t="inlineStr">
        <is>
          <t>BW20210720</t>
        </is>
      </c>
      <c r="E205" t="n">
        <v>2021</v>
      </c>
      <c r="F205" t="inlineStr">
        <is>
          <t>Lipiec</t>
        </is>
      </c>
      <c r="G205" t="inlineStr">
        <is>
          <t>Pt</t>
        </is>
      </c>
      <c r="H205">
        <f>'Floor Hours Engine'!$E$5</f>
        <v/>
      </c>
      <c r="I205" t="inlineStr">
        <is>
          <t>W4</t>
        </is>
      </c>
      <c r="J205" t="inlineStr">
        <is>
          <t>2021_Lipiec_W4</t>
        </is>
      </c>
    </row>
    <row r="206" ht="17.25" customHeight="1">
      <c r="A206" s="177" t="n">
        <v>44401</v>
      </c>
      <c r="B206" s="177" t="n">
        <v>44397</v>
      </c>
      <c r="C206" s="177" t="n">
        <v>44403</v>
      </c>
      <c r="D206" t="inlineStr">
        <is>
          <t>BW20210720</t>
        </is>
      </c>
      <c r="E206" t="n">
        <v>2021</v>
      </c>
      <c r="F206" t="inlineStr">
        <is>
          <t>Lipiec</t>
        </is>
      </c>
      <c r="G206" t="inlineStr">
        <is>
          <t>Sob</t>
        </is>
      </c>
      <c r="H206">
        <f>'Floor Hours Engine'!$E$5</f>
        <v/>
      </c>
      <c r="I206" t="inlineStr">
        <is>
          <t>W4</t>
        </is>
      </c>
      <c r="J206" t="inlineStr">
        <is>
          <t>2021_Lipiec_W4</t>
        </is>
      </c>
    </row>
    <row r="207" ht="17.25" customHeight="1">
      <c r="A207" s="177" t="n">
        <v>44402</v>
      </c>
      <c r="B207" s="177" t="n">
        <v>44397</v>
      </c>
      <c r="C207" s="177" t="n">
        <v>44403</v>
      </c>
      <c r="D207" t="inlineStr">
        <is>
          <t>BW20210720</t>
        </is>
      </c>
      <c r="E207" t="n">
        <v>2021</v>
      </c>
      <c r="F207" t="inlineStr">
        <is>
          <t>Lipiec</t>
        </is>
      </c>
      <c r="G207" t="inlineStr">
        <is>
          <t>Nd</t>
        </is>
      </c>
      <c r="H207">
        <f>'Floor Hours Engine'!$E$6</f>
        <v/>
      </c>
      <c r="I207" t="inlineStr">
        <is>
          <t>W4</t>
        </is>
      </c>
      <c r="J207" t="inlineStr">
        <is>
          <t>2021_Lipiec_W4</t>
        </is>
      </c>
    </row>
    <row r="208" ht="17.25" customHeight="1">
      <c r="A208" s="177" t="n">
        <v>44403</v>
      </c>
      <c r="B208" s="177" t="n">
        <v>44397</v>
      </c>
      <c r="C208" s="177" t="n">
        <v>44403</v>
      </c>
      <c r="D208" t="inlineStr">
        <is>
          <t>BW20210720</t>
        </is>
      </c>
      <c r="E208" t="n">
        <v>2021</v>
      </c>
      <c r="F208" t="inlineStr">
        <is>
          <t>Lipiec</t>
        </is>
      </c>
      <c r="G208" t="inlineStr">
        <is>
          <t>Pn</t>
        </is>
      </c>
      <c r="H208">
        <f>'Floor Hours Engine'!$E$4</f>
        <v/>
      </c>
      <c r="I208" t="inlineStr">
        <is>
          <t>W4</t>
        </is>
      </c>
      <c r="J208" t="inlineStr">
        <is>
          <t>2021_Lipiec_W4</t>
        </is>
      </c>
    </row>
    <row r="209" ht="17.25" customHeight="1">
      <c r="A209" s="177" t="n">
        <v>44404</v>
      </c>
      <c r="B209" s="177" t="n">
        <v>44404</v>
      </c>
      <c r="C209" s="177" t="n">
        <v>44410</v>
      </c>
      <c r="D209" t="inlineStr">
        <is>
          <t>BW20210727</t>
        </is>
      </c>
      <c r="E209" t="n">
        <v>2021</v>
      </c>
      <c r="F209" t="inlineStr">
        <is>
          <t>Lipiec</t>
        </is>
      </c>
      <c r="G209" t="inlineStr">
        <is>
          <t>Wt</t>
        </is>
      </c>
      <c r="H209">
        <f>'Floor Hours Engine'!$E$4</f>
        <v/>
      </c>
      <c r="I209" t="inlineStr">
        <is>
          <t>W5</t>
        </is>
      </c>
      <c r="J209" t="inlineStr">
        <is>
          <t>2021_Lipiec_W5</t>
        </is>
      </c>
    </row>
    <row r="210" ht="17.25" customHeight="1">
      <c r="A210" s="177" t="n">
        <v>44405</v>
      </c>
      <c r="B210" s="177" t="n">
        <v>44404</v>
      </c>
      <c r="C210" s="177" t="n">
        <v>44410</v>
      </c>
      <c r="D210" t="inlineStr">
        <is>
          <t>BW20210727</t>
        </is>
      </c>
      <c r="E210" t="n">
        <v>2021</v>
      </c>
      <c r="F210" t="inlineStr">
        <is>
          <t>Lipiec</t>
        </is>
      </c>
      <c r="G210" t="inlineStr">
        <is>
          <t>Śr</t>
        </is>
      </c>
      <c r="H210">
        <f>'Floor Hours Engine'!$E$4</f>
        <v/>
      </c>
      <c r="I210" t="inlineStr">
        <is>
          <t>W5</t>
        </is>
      </c>
      <c r="J210" t="inlineStr">
        <is>
          <t>2021_Lipiec_W5</t>
        </is>
      </c>
    </row>
    <row r="211" ht="17.25" customHeight="1">
      <c r="A211" s="177" t="n">
        <v>44406</v>
      </c>
      <c r="B211" s="177" t="n">
        <v>44404</v>
      </c>
      <c r="C211" s="177" t="n">
        <v>44410</v>
      </c>
      <c r="D211" t="inlineStr">
        <is>
          <t>BW20210727</t>
        </is>
      </c>
      <c r="E211" t="n">
        <v>2021</v>
      </c>
      <c r="F211" t="inlineStr">
        <is>
          <t>Lipiec</t>
        </is>
      </c>
      <c r="G211" t="inlineStr">
        <is>
          <t>Czw</t>
        </is>
      </c>
      <c r="H211">
        <f>'Floor Hours Engine'!$E$4</f>
        <v/>
      </c>
      <c r="I211" t="inlineStr">
        <is>
          <t>W5</t>
        </is>
      </c>
      <c r="J211" t="inlineStr">
        <is>
          <t>2021_Lipiec_W5</t>
        </is>
      </c>
    </row>
    <row r="212" ht="17.25" customHeight="1">
      <c r="A212" s="177" t="n">
        <v>44407</v>
      </c>
      <c r="B212" s="177" t="n">
        <v>44404</v>
      </c>
      <c r="C212" s="177" t="n">
        <v>44410</v>
      </c>
      <c r="D212" t="inlineStr">
        <is>
          <t>BW20210727</t>
        </is>
      </c>
      <c r="E212" t="n">
        <v>2021</v>
      </c>
      <c r="F212" t="inlineStr">
        <is>
          <t>Lipiec</t>
        </is>
      </c>
      <c r="G212" t="inlineStr">
        <is>
          <t>Pt</t>
        </is>
      </c>
      <c r="H212">
        <f>'Floor Hours Engine'!$E$5</f>
        <v/>
      </c>
      <c r="I212" t="inlineStr">
        <is>
          <t>W5</t>
        </is>
      </c>
      <c r="J212" t="inlineStr">
        <is>
          <t>2021_Lipiec_W5</t>
        </is>
      </c>
    </row>
    <row r="213" ht="17.25" customHeight="1">
      <c r="A213" s="177" t="n">
        <v>44408</v>
      </c>
      <c r="B213" s="177" t="n">
        <v>44404</v>
      </c>
      <c r="C213" s="177" t="n">
        <v>44410</v>
      </c>
      <c r="D213" t="inlineStr">
        <is>
          <t>BW20210727</t>
        </is>
      </c>
      <c r="E213" t="n">
        <v>2021</v>
      </c>
      <c r="F213" t="inlineStr">
        <is>
          <t>Lipiec</t>
        </is>
      </c>
      <c r="G213" t="inlineStr">
        <is>
          <t>Sob</t>
        </is>
      </c>
      <c r="H213">
        <f>'Floor Hours Engine'!$E$5</f>
        <v/>
      </c>
      <c r="I213" t="inlineStr">
        <is>
          <t>W5</t>
        </is>
      </c>
      <c r="J213" t="inlineStr">
        <is>
          <t>2021_Lipiec_W5</t>
        </is>
      </c>
    </row>
    <row r="214" ht="17.25" customHeight="1">
      <c r="A214" s="177" t="n">
        <v>44409</v>
      </c>
      <c r="B214" s="177" t="n">
        <v>44404</v>
      </c>
      <c r="C214" s="177" t="n">
        <v>44410</v>
      </c>
      <c r="D214" t="inlineStr">
        <is>
          <t>BW20210727</t>
        </is>
      </c>
      <c r="E214" t="n">
        <v>2021</v>
      </c>
      <c r="F214" t="inlineStr">
        <is>
          <t>Sierpień</t>
        </is>
      </c>
      <c r="G214" t="inlineStr">
        <is>
          <t>Nd</t>
        </is>
      </c>
      <c r="H214">
        <f>'Floor Hours Engine'!$E$6</f>
        <v/>
      </c>
      <c r="I214" t="inlineStr">
        <is>
          <t>W1</t>
        </is>
      </c>
      <c r="J214" t="inlineStr">
        <is>
          <t>2021_Sierpień_W1</t>
        </is>
      </c>
    </row>
    <row r="215" ht="17.25" customHeight="1">
      <c r="A215" s="177" t="n">
        <v>44410</v>
      </c>
      <c r="B215" s="177" t="n">
        <v>44404</v>
      </c>
      <c r="C215" s="177" t="n">
        <v>44410</v>
      </c>
      <c r="D215" t="inlineStr">
        <is>
          <t>BW20210727</t>
        </is>
      </c>
      <c r="E215" t="n">
        <v>2021</v>
      </c>
      <c r="F215" t="inlineStr">
        <is>
          <t>Sierpień</t>
        </is>
      </c>
      <c r="G215" t="inlineStr">
        <is>
          <t>Pn</t>
        </is>
      </c>
      <c r="H215">
        <f>'Floor Hours Engine'!$E$4</f>
        <v/>
      </c>
      <c r="I215" t="inlineStr">
        <is>
          <t>W1</t>
        </is>
      </c>
      <c r="J215" t="inlineStr">
        <is>
          <t>2021_Sierpień_W1</t>
        </is>
      </c>
    </row>
    <row r="216" ht="17.25" customHeight="1">
      <c r="A216" s="177" t="n">
        <v>44411</v>
      </c>
      <c r="B216" s="177" t="n">
        <v>44411</v>
      </c>
      <c r="C216" s="177" t="n">
        <v>44417</v>
      </c>
      <c r="D216" t="inlineStr">
        <is>
          <t>BW20210803</t>
        </is>
      </c>
      <c r="E216" t="n">
        <v>2021</v>
      </c>
      <c r="F216" t="inlineStr">
        <is>
          <t>Sierpień</t>
        </is>
      </c>
      <c r="G216" t="inlineStr">
        <is>
          <t>Wt</t>
        </is>
      </c>
      <c r="H216">
        <f>'Floor Hours Engine'!$E$4</f>
        <v/>
      </c>
      <c r="I216" t="inlineStr">
        <is>
          <t>W2</t>
        </is>
      </c>
      <c r="J216" t="inlineStr">
        <is>
          <t>2021_Sierpień_W2</t>
        </is>
      </c>
    </row>
    <row r="217" ht="17.25" customHeight="1">
      <c r="A217" s="177" t="n">
        <v>44412</v>
      </c>
      <c r="B217" s="177" t="n">
        <v>44411</v>
      </c>
      <c r="C217" s="177" t="n">
        <v>44417</v>
      </c>
      <c r="D217" t="inlineStr">
        <is>
          <t>BW20210803</t>
        </is>
      </c>
      <c r="E217" t="n">
        <v>2021</v>
      </c>
      <c r="F217" t="inlineStr">
        <is>
          <t>Sierpień</t>
        </is>
      </c>
      <c r="G217" t="inlineStr">
        <is>
          <t>Śr</t>
        </is>
      </c>
      <c r="H217">
        <f>'Floor Hours Engine'!$E$4</f>
        <v/>
      </c>
      <c r="I217" t="inlineStr">
        <is>
          <t>W2</t>
        </is>
      </c>
      <c r="J217" t="inlineStr">
        <is>
          <t>2021_Sierpień_W2</t>
        </is>
      </c>
    </row>
    <row r="218" ht="17.25" customHeight="1">
      <c r="A218" s="177" t="n">
        <v>44413</v>
      </c>
      <c r="B218" s="177" t="n">
        <v>44411</v>
      </c>
      <c r="C218" s="177" t="n">
        <v>44417</v>
      </c>
      <c r="D218" t="inlineStr">
        <is>
          <t>BW20210803</t>
        </is>
      </c>
      <c r="E218" t="n">
        <v>2021</v>
      </c>
      <c r="F218" t="inlineStr">
        <is>
          <t>Sierpień</t>
        </is>
      </c>
      <c r="G218" t="inlineStr">
        <is>
          <t>Czw</t>
        </is>
      </c>
      <c r="H218">
        <f>'Floor Hours Engine'!$E$4</f>
        <v/>
      </c>
      <c r="I218" t="inlineStr">
        <is>
          <t>W2</t>
        </is>
      </c>
      <c r="J218" t="inlineStr">
        <is>
          <t>2021_Sierpień_W2</t>
        </is>
      </c>
    </row>
    <row r="219" ht="17.25" customHeight="1">
      <c r="A219" s="177" t="n">
        <v>44414</v>
      </c>
      <c r="B219" s="177" t="n">
        <v>44411</v>
      </c>
      <c r="C219" s="177" t="n">
        <v>44417</v>
      </c>
      <c r="D219" t="inlineStr">
        <is>
          <t>BW20210803</t>
        </is>
      </c>
      <c r="E219" t="n">
        <v>2021</v>
      </c>
      <c r="F219" t="inlineStr">
        <is>
          <t>Sierpień</t>
        </is>
      </c>
      <c r="G219" t="inlineStr">
        <is>
          <t>Pt</t>
        </is>
      </c>
      <c r="H219">
        <f>'Floor Hours Engine'!$E$5</f>
        <v/>
      </c>
      <c r="I219" t="inlineStr">
        <is>
          <t>W2</t>
        </is>
      </c>
      <c r="J219" t="inlineStr">
        <is>
          <t>2021_Sierpień_W2</t>
        </is>
      </c>
    </row>
    <row r="220" ht="17.25" customHeight="1">
      <c r="A220" s="177" t="n">
        <v>44415</v>
      </c>
      <c r="B220" s="177" t="n">
        <v>44411</v>
      </c>
      <c r="C220" s="177" t="n">
        <v>44417</v>
      </c>
      <c r="D220" t="inlineStr">
        <is>
          <t>BW20210803</t>
        </is>
      </c>
      <c r="E220" t="n">
        <v>2021</v>
      </c>
      <c r="F220" t="inlineStr">
        <is>
          <t>Sierpień</t>
        </is>
      </c>
      <c r="G220" t="inlineStr">
        <is>
          <t>Sob</t>
        </is>
      </c>
      <c r="H220">
        <f>'Floor Hours Engine'!$E$5</f>
        <v/>
      </c>
      <c r="I220" t="inlineStr">
        <is>
          <t>W2</t>
        </is>
      </c>
      <c r="J220" t="inlineStr">
        <is>
          <t>2021_Sierpień_W2</t>
        </is>
      </c>
    </row>
    <row r="221" ht="17.25" customHeight="1">
      <c r="A221" s="177" t="n">
        <v>44416</v>
      </c>
      <c r="B221" s="177" t="n">
        <v>44411</v>
      </c>
      <c r="C221" s="177" t="n">
        <v>44417</v>
      </c>
      <c r="D221" t="inlineStr">
        <is>
          <t>BW20210803</t>
        </is>
      </c>
      <c r="E221" t="n">
        <v>2021</v>
      </c>
      <c r="F221" t="inlineStr">
        <is>
          <t>Sierpień</t>
        </is>
      </c>
      <c r="G221" t="inlineStr">
        <is>
          <t>Nd</t>
        </is>
      </c>
      <c r="H221">
        <f>'Floor Hours Engine'!$E$6</f>
        <v/>
      </c>
      <c r="I221" t="inlineStr">
        <is>
          <t>W2</t>
        </is>
      </c>
      <c r="J221" t="inlineStr">
        <is>
          <t>2021_Sierpień_W2</t>
        </is>
      </c>
    </row>
    <row r="222" ht="17.25" customHeight="1">
      <c r="A222" s="177" t="n">
        <v>44417</v>
      </c>
      <c r="B222" s="177" t="n">
        <v>44411</v>
      </c>
      <c r="C222" s="177" t="n">
        <v>44417</v>
      </c>
      <c r="D222" t="inlineStr">
        <is>
          <t>BW20210803</t>
        </is>
      </c>
      <c r="E222" t="n">
        <v>2021</v>
      </c>
      <c r="F222" t="inlineStr">
        <is>
          <t>Sierpień</t>
        </is>
      </c>
      <c r="G222" t="inlineStr">
        <is>
          <t>Pn</t>
        </is>
      </c>
      <c r="H222">
        <f>'Floor Hours Engine'!$E$4</f>
        <v/>
      </c>
      <c r="I222" t="inlineStr">
        <is>
          <t>W2</t>
        </is>
      </c>
      <c r="J222" t="inlineStr">
        <is>
          <t>2021_Sierpień_W2</t>
        </is>
      </c>
    </row>
    <row r="223" ht="17.25" customHeight="1">
      <c r="A223" s="177" t="n">
        <v>44418</v>
      </c>
      <c r="B223" s="177" t="n">
        <v>44418</v>
      </c>
      <c r="C223" s="177" t="n">
        <v>44424</v>
      </c>
      <c r="D223" t="inlineStr">
        <is>
          <t>BW20210810</t>
        </is>
      </c>
      <c r="E223" t="n">
        <v>2021</v>
      </c>
      <c r="F223" t="inlineStr">
        <is>
          <t>Sierpień</t>
        </is>
      </c>
      <c r="G223" t="inlineStr">
        <is>
          <t>Wt</t>
        </is>
      </c>
      <c r="H223">
        <f>'Floor Hours Engine'!$E$4</f>
        <v/>
      </c>
      <c r="I223" t="inlineStr">
        <is>
          <t>W3</t>
        </is>
      </c>
      <c r="J223" t="inlineStr">
        <is>
          <t>2021_Sierpień_W3</t>
        </is>
      </c>
    </row>
    <row r="224" ht="17.25" customHeight="1">
      <c r="A224" s="177" t="n">
        <v>44419</v>
      </c>
      <c r="B224" s="177" t="n">
        <v>44418</v>
      </c>
      <c r="C224" s="177" t="n">
        <v>44424</v>
      </c>
      <c r="D224" t="inlineStr">
        <is>
          <t>BW20210810</t>
        </is>
      </c>
      <c r="E224" t="n">
        <v>2021</v>
      </c>
      <c r="F224" t="inlineStr">
        <is>
          <t>Sierpień</t>
        </is>
      </c>
      <c r="G224" t="inlineStr">
        <is>
          <t>Śr</t>
        </is>
      </c>
      <c r="H224">
        <f>'Floor Hours Engine'!$E$4</f>
        <v/>
      </c>
      <c r="I224" t="inlineStr">
        <is>
          <t>W3</t>
        </is>
      </c>
      <c r="J224" t="inlineStr">
        <is>
          <t>2021_Sierpień_W3</t>
        </is>
      </c>
    </row>
    <row r="225" ht="17.25" customHeight="1">
      <c r="A225" s="177" t="n">
        <v>44420</v>
      </c>
      <c r="B225" s="177" t="n">
        <v>44418</v>
      </c>
      <c r="C225" s="177" t="n">
        <v>44424</v>
      </c>
      <c r="D225" t="inlineStr">
        <is>
          <t>BW20210810</t>
        </is>
      </c>
      <c r="E225" t="n">
        <v>2021</v>
      </c>
      <c r="F225" t="inlineStr">
        <is>
          <t>Sierpień</t>
        </is>
      </c>
      <c r="G225" t="inlineStr">
        <is>
          <t>Czw</t>
        </is>
      </c>
      <c r="H225">
        <f>'Floor Hours Engine'!$E$4</f>
        <v/>
      </c>
      <c r="I225" t="inlineStr">
        <is>
          <t>W3</t>
        </is>
      </c>
      <c r="J225" t="inlineStr">
        <is>
          <t>2021_Sierpień_W3</t>
        </is>
      </c>
    </row>
    <row r="226" ht="17.25" customHeight="1">
      <c r="A226" s="177" t="n">
        <v>44421</v>
      </c>
      <c r="B226" s="177" t="n">
        <v>44418</v>
      </c>
      <c r="C226" s="177" t="n">
        <v>44424</v>
      </c>
      <c r="D226" t="inlineStr">
        <is>
          <t>BW20210810</t>
        </is>
      </c>
      <c r="E226" t="n">
        <v>2021</v>
      </c>
      <c r="F226" t="inlineStr">
        <is>
          <t>Sierpień</t>
        </is>
      </c>
      <c r="G226" t="inlineStr">
        <is>
          <t>Pt</t>
        </is>
      </c>
      <c r="H226">
        <f>'Floor Hours Engine'!$E$5</f>
        <v/>
      </c>
      <c r="I226" t="inlineStr">
        <is>
          <t>W3</t>
        </is>
      </c>
      <c r="J226" t="inlineStr">
        <is>
          <t>2021_Sierpień_W3</t>
        </is>
      </c>
    </row>
    <row r="227" ht="17.25" customHeight="1">
      <c r="A227" s="177" t="n">
        <v>44422</v>
      </c>
      <c r="B227" s="177" t="n">
        <v>44418</v>
      </c>
      <c r="C227" s="177" t="n">
        <v>44424</v>
      </c>
      <c r="D227" t="inlineStr">
        <is>
          <t>BW20210810</t>
        </is>
      </c>
      <c r="E227" t="n">
        <v>2021</v>
      </c>
      <c r="F227" t="inlineStr">
        <is>
          <t>Sierpień</t>
        </is>
      </c>
      <c r="G227" t="inlineStr">
        <is>
          <t>Sob</t>
        </is>
      </c>
      <c r="H227">
        <f>'Floor Hours Engine'!$E$5</f>
        <v/>
      </c>
      <c r="I227" t="inlineStr">
        <is>
          <t>W3</t>
        </is>
      </c>
      <c r="J227" t="inlineStr">
        <is>
          <t>2021_Sierpień_W3</t>
        </is>
      </c>
    </row>
    <row r="228" ht="17.25" customHeight="1">
      <c r="A228" s="177" t="n">
        <v>44423</v>
      </c>
      <c r="B228" s="177" t="n">
        <v>44418</v>
      </c>
      <c r="C228" s="177" t="n">
        <v>44424</v>
      </c>
      <c r="D228" t="inlineStr">
        <is>
          <t>BW20210810</t>
        </is>
      </c>
      <c r="E228" t="n">
        <v>2021</v>
      </c>
      <c r="F228" t="inlineStr">
        <is>
          <t>Sierpień</t>
        </is>
      </c>
      <c r="G228" t="inlineStr">
        <is>
          <t>Nd</t>
        </is>
      </c>
      <c r="H228">
        <f>'Floor Hours Engine'!$E$6</f>
        <v/>
      </c>
      <c r="I228" t="inlineStr">
        <is>
          <t>W3</t>
        </is>
      </c>
      <c r="J228" t="inlineStr">
        <is>
          <t>2021_Sierpień_W3</t>
        </is>
      </c>
    </row>
    <row r="229" ht="17.25" customHeight="1">
      <c r="A229" s="177" t="n">
        <v>44424</v>
      </c>
      <c r="B229" s="177" t="n">
        <v>44418</v>
      </c>
      <c r="C229" s="177" t="n">
        <v>44424</v>
      </c>
      <c r="D229" t="inlineStr">
        <is>
          <t>BW20210810</t>
        </is>
      </c>
      <c r="E229" t="n">
        <v>2021</v>
      </c>
      <c r="F229" t="inlineStr">
        <is>
          <t>Sierpień</t>
        </is>
      </c>
      <c r="G229" t="inlineStr">
        <is>
          <t>Pn</t>
        </is>
      </c>
      <c r="H229">
        <f>'Floor Hours Engine'!$E$4</f>
        <v/>
      </c>
      <c r="I229" t="inlineStr">
        <is>
          <t>W3</t>
        </is>
      </c>
      <c r="J229" t="inlineStr">
        <is>
          <t>2021_Sierpień_W3</t>
        </is>
      </c>
    </row>
    <row r="230" ht="17.25" customHeight="1">
      <c r="A230" s="177" t="n">
        <v>44425</v>
      </c>
      <c r="B230" s="177" t="n">
        <v>44425</v>
      </c>
      <c r="C230" s="177" t="n">
        <v>44431</v>
      </c>
      <c r="D230" t="inlineStr">
        <is>
          <t>BW20210817</t>
        </is>
      </c>
      <c r="E230" t="n">
        <v>2021</v>
      </c>
      <c r="F230" t="inlineStr">
        <is>
          <t>Sierpień</t>
        </is>
      </c>
      <c r="G230" t="inlineStr">
        <is>
          <t>Wt</t>
        </is>
      </c>
      <c r="H230">
        <f>'Floor Hours Engine'!$E$4</f>
        <v/>
      </c>
      <c r="I230" t="inlineStr">
        <is>
          <t>W4</t>
        </is>
      </c>
      <c r="J230" t="inlineStr">
        <is>
          <t>2021_Sierpień_W4</t>
        </is>
      </c>
    </row>
    <row r="231" ht="17.25" customHeight="1">
      <c r="A231" s="177" t="n">
        <v>44426</v>
      </c>
      <c r="B231" s="177" t="n">
        <v>44425</v>
      </c>
      <c r="C231" s="177" t="n">
        <v>44431</v>
      </c>
      <c r="D231" t="inlineStr">
        <is>
          <t>BW20210817</t>
        </is>
      </c>
      <c r="E231" t="n">
        <v>2021</v>
      </c>
      <c r="F231" t="inlineStr">
        <is>
          <t>Sierpień</t>
        </is>
      </c>
      <c r="G231" t="inlineStr">
        <is>
          <t>Śr</t>
        </is>
      </c>
      <c r="H231">
        <f>'Floor Hours Engine'!$E$4</f>
        <v/>
      </c>
      <c r="I231" t="inlineStr">
        <is>
          <t>W4</t>
        </is>
      </c>
      <c r="J231" t="inlineStr">
        <is>
          <t>2021_Sierpień_W4</t>
        </is>
      </c>
    </row>
    <row r="232" ht="17.25" customHeight="1">
      <c r="A232" s="177" t="n">
        <v>44427</v>
      </c>
      <c r="B232" s="177" t="n">
        <v>44425</v>
      </c>
      <c r="C232" s="177" t="n">
        <v>44431</v>
      </c>
      <c r="D232" t="inlineStr">
        <is>
          <t>BW20210817</t>
        </is>
      </c>
      <c r="E232" t="n">
        <v>2021</v>
      </c>
      <c r="F232" t="inlineStr">
        <is>
          <t>Sierpień</t>
        </is>
      </c>
      <c r="G232" t="inlineStr">
        <is>
          <t>Czw</t>
        </is>
      </c>
      <c r="H232">
        <f>'Floor Hours Engine'!$E$4</f>
        <v/>
      </c>
      <c r="I232" t="inlineStr">
        <is>
          <t>W4</t>
        </is>
      </c>
      <c r="J232" t="inlineStr">
        <is>
          <t>2021_Sierpień_W4</t>
        </is>
      </c>
    </row>
    <row r="233" ht="17.25" customHeight="1">
      <c r="A233" s="177" t="n">
        <v>44428</v>
      </c>
      <c r="B233" s="177" t="n">
        <v>44425</v>
      </c>
      <c r="C233" s="177" t="n">
        <v>44431</v>
      </c>
      <c r="D233" t="inlineStr">
        <is>
          <t>BW20210817</t>
        </is>
      </c>
      <c r="E233" t="n">
        <v>2021</v>
      </c>
      <c r="F233" t="inlineStr">
        <is>
          <t>Sierpień</t>
        </is>
      </c>
      <c r="G233" t="inlineStr">
        <is>
          <t>Pt</t>
        </is>
      </c>
      <c r="H233">
        <f>'Floor Hours Engine'!$E$5</f>
        <v/>
      </c>
      <c r="I233" t="inlineStr">
        <is>
          <t>W4</t>
        </is>
      </c>
      <c r="J233" t="inlineStr">
        <is>
          <t>2021_Sierpień_W4</t>
        </is>
      </c>
    </row>
    <row r="234" ht="17.25" customHeight="1">
      <c r="A234" s="177" t="n">
        <v>44429</v>
      </c>
      <c r="B234" s="177" t="n">
        <v>44425</v>
      </c>
      <c r="C234" s="177" t="n">
        <v>44431</v>
      </c>
      <c r="D234" t="inlineStr">
        <is>
          <t>BW20210817</t>
        </is>
      </c>
      <c r="E234" t="n">
        <v>2021</v>
      </c>
      <c r="F234" t="inlineStr">
        <is>
          <t>Sierpień</t>
        </is>
      </c>
      <c r="G234" t="inlineStr">
        <is>
          <t>Sob</t>
        </is>
      </c>
      <c r="H234">
        <f>'Floor Hours Engine'!$E$5</f>
        <v/>
      </c>
      <c r="I234" t="inlineStr">
        <is>
          <t>W4</t>
        </is>
      </c>
      <c r="J234" t="inlineStr">
        <is>
          <t>2021_Sierpień_W4</t>
        </is>
      </c>
    </row>
    <row r="235" ht="17.25" customHeight="1">
      <c r="A235" s="177" t="n">
        <v>44430</v>
      </c>
      <c r="B235" s="177" t="n">
        <v>44425</v>
      </c>
      <c r="C235" s="177" t="n">
        <v>44431</v>
      </c>
      <c r="D235" t="inlineStr">
        <is>
          <t>BW20210817</t>
        </is>
      </c>
      <c r="E235" t="n">
        <v>2021</v>
      </c>
      <c r="F235" t="inlineStr">
        <is>
          <t>Sierpień</t>
        </is>
      </c>
      <c r="G235" t="inlineStr">
        <is>
          <t>Nd</t>
        </is>
      </c>
      <c r="H235">
        <f>'Floor Hours Engine'!$E$6</f>
        <v/>
      </c>
      <c r="I235" t="inlineStr">
        <is>
          <t>W4</t>
        </is>
      </c>
      <c r="J235" t="inlineStr">
        <is>
          <t>2021_Sierpień_W4</t>
        </is>
      </c>
    </row>
    <row r="236" ht="17.25" customHeight="1">
      <c r="A236" s="177" t="n">
        <v>44431</v>
      </c>
      <c r="B236" s="177" t="n">
        <v>44425</v>
      </c>
      <c r="C236" s="177" t="n">
        <v>44431</v>
      </c>
      <c r="D236" t="inlineStr">
        <is>
          <t>BW20210817</t>
        </is>
      </c>
      <c r="E236" t="n">
        <v>2021</v>
      </c>
      <c r="F236" t="inlineStr">
        <is>
          <t>Sierpień</t>
        </is>
      </c>
      <c r="G236" t="inlineStr">
        <is>
          <t>Pn</t>
        </is>
      </c>
      <c r="H236">
        <f>'Floor Hours Engine'!$E$4</f>
        <v/>
      </c>
      <c r="I236" t="inlineStr">
        <is>
          <t>W4</t>
        </is>
      </c>
      <c r="J236" t="inlineStr">
        <is>
          <t>2021_Sierpień_W4</t>
        </is>
      </c>
    </row>
    <row r="237" ht="17.25" customHeight="1">
      <c r="A237" s="177" t="n">
        <v>44432</v>
      </c>
      <c r="B237" s="177" t="n">
        <v>44432</v>
      </c>
      <c r="C237" s="177" t="n">
        <v>44438</v>
      </c>
      <c r="D237" t="inlineStr">
        <is>
          <t>BW20210824</t>
        </is>
      </c>
      <c r="E237" t="n">
        <v>2021</v>
      </c>
      <c r="F237" t="inlineStr">
        <is>
          <t>Sierpień</t>
        </is>
      </c>
      <c r="G237" t="inlineStr">
        <is>
          <t>Wt</t>
        </is>
      </c>
      <c r="H237">
        <f>'Floor Hours Engine'!$E$4</f>
        <v/>
      </c>
      <c r="I237" t="inlineStr">
        <is>
          <t>W5</t>
        </is>
      </c>
      <c r="J237" t="inlineStr">
        <is>
          <t>2021_Sierpień_W5</t>
        </is>
      </c>
    </row>
    <row r="238" ht="17.25" customHeight="1">
      <c r="A238" s="177" t="n">
        <v>44433</v>
      </c>
      <c r="B238" s="177" t="n">
        <v>44432</v>
      </c>
      <c r="C238" s="177" t="n">
        <v>44438</v>
      </c>
      <c r="D238" t="inlineStr">
        <is>
          <t>BW20210824</t>
        </is>
      </c>
      <c r="E238" t="n">
        <v>2021</v>
      </c>
      <c r="F238" t="inlineStr">
        <is>
          <t>Sierpień</t>
        </is>
      </c>
      <c r="G238" t="inlineStr">
        <is>
          <t>Śr</t>
        </is>
      </c>
      <c r="H238">
        <f>'Floor Hours Engine'!$E$4</f>
        <v/>
      </c>
      <c r="I238" t="inlineStr">
        <is>
          <t>W5</t>
        </is>
      </c>
      <c r="J238" t="inlineStr">
        <is>
          <t>2021_Sierpień_W5</t>
        </is>
      </c>
    </row>
    <row r="239" ht="17.25" customHeight="1">
      <c r="A239" s="177" t="n">
        <v>44434</v>
      </c>
      <c r="B239" s="177" t="n">
        <v>44432</v>
      </c>
      <c r="C239" s="177" t="n">
        <v>44438</v>
      </c>
      <c r="D239" t="inlineStr">
        <is>
          <t>BW20210824</t>
        </is>
      </c>
      <c r="E239" t="n">
        <v>2021</v>
      </c>
      <c r="F239" t="inlineStr">
        <is>
          <t>Sierpień</t>
        </is>
      </c>
      <c r="G239" t="inlineStr">
        <is>
          <t>Czw</t>
        </is>
      </c>
      <c r="H239">
        <f>'Floor Hours Engine'!$E$4</f>
        <v/>
      </c>
      <c r="I239" t="inlineStr">
        <is>
          <t>W5</t>
        </is>
      </c>
      <c r="J239" t="inlineStr">
        <is>
          <t>2021_Sierpień_W5</t>
        </is>
      </c>
    </row>
    <row r="240" ht="17.25" customHeight="1">
      <c r="A240" s="177" t="n">
        <v>44435</v>
      </c>
      <c r="B240" s="177" t="n">
        <v>44432</v>
      </c>
      <c r="C240" s="177" t="n">
        <v>44438</v>
      </c>
      <c r="D240" t="inlineStr">
        <is>
          <t>BW20210824</t>
        </is>
      </c>
      <c r="E240" t="n">
        <v>2021</v>
      </c>
      <c r="F240" t="inlineStr">
        <is>
          <t>Sierpień</t>
        </is>
      </c>
      <c r="G240" t="inlineStr">
        <is>
          <t>Pt</t>
        </is>
      </c>
      <c r="H240">
        <f>'Floor Hours Engine'!$E$5</f>
        <v/>
      </c>
      <c r="I240" t="inlineStr">
        <is>
          <t>W5</t>
        </is>
      </c>
      <c r="J240" t="inlineStr">
        <is>
          <t>2021_Sierpień_W5</t>
        </is>
      </c>
    </row>
    <row r="241" ht="17.25" customHeight="1">
      <c r="A241" s="177" t="n">
        <v>44436</v>
      </c>
      <c r="B241" s="177" t="n">
        <v>44432</v>
      </c>
      <c r="C241" s="177" t="n">
        <v>44438</v>
      </c>
      <c r="D241" t="inlineStr">
        <is>
          <t>BW20210824</t>
        </is>
      </c>
      <c r="E241" t="n">
        <v>2021</v>
      </c>
      <c r="F241" t="inlineStr">
        <is>
          <t>Sierpień</t>
        </is>
      </c>
      <c r="G241" t="inlineStr">
        <is>
          <t>Sob</t>
        </is>
      </c>
      <c r="H241">
        <f>'Floor Hours Engine'!$E$5</f>
        <v/>
      </c>
      <c r="I241" t="inlineStr">
        <is>
          <t>W5</t>
        </is>
      </c>
      <c r="J241" t="inlineStr">
        <is>
          <t>2021_Sierpień_W5</t>
        </is>
      </c>
    </row>
    <row r="242" ht="17.25" customHeight="1">
      <c r="A242" s="177" t="n">
        <v>44437</v>
      </c>
      <c r="B242" s="177" t="n">
        <v>44432</v>
      </c>
      <c r="C242" s="177" t="n">
        <v>44438</v>
      </c>
      <c r="D242" t="inlineStr">
        <is>
          <t>BW20210824</t>
        </is>
      </c>
      <c r="E242" t="n">
        <v>2021</v>
      </c>
      <c r="F242" t="inlineStr">
        <is>
          <t>Sierpień</t>
        </is>
      </c>
      <c r="G242" t="inlineStr">
        <is>
          <t>Nd</t>
        </is>
      </c>
      <c r="H242">
        <f>'Floor Hours Engine'!$E$6</f>
        <v/>
      </c>
      <c r="I242" t="inlineStr">
        <is>
          <t>W5</t>
        </is>
      </c>
      <c r="J242" t="inlineStr">
        <is>
          <t>2021_Sierpień_W5</t>
        </is>
      </c>
    </row>
    <row r="243" ht="17.25" customHeight="1">
      <c r="A243" s="177" t="n">
        <v>44438</v>
      </c>
      <c r="B243" s="177" t="n">
        <v>44432</v>
      </c>
      <c r="C243" s="177" t="n">
        <v>44438</v>
      </c>
      <c r="D243" t="inlineStr">
        <is>
          <t>BW20210824</t>
        </is>
      </c>
      <c r="E243" t="n">
        <v>2021</v>
      </c>
      <c r="F243" t="inlineStr">
        <is>
          <t>Sierpień</t>
        </is>
      </c>
      <c r="G243" t="inlineStr">
        <is>
          <t>Pn</t>
        </is>
      </c>
      <c r="H243">
        <f>'Floor Hours Engine'!$E$4</f>
        <v/>
      </c>
      <c r="I243" t="inlineStr">
        <is>
          <t>W5</t>
        </is>
      </c>
      <c r="J243" t="inlineStr">
        <is>
          <t>2021_Sierpień_W5</t>
        </is>
      </c>
    </row>
    <row r="244" ht="17.25" customHeight="1">
      <c r="A244" s="177" t="n">
        <v>44439</v>
      </c>
      <c r="B244" s="177" t="n">
        <v>44439</v>
      </c>
      <c r="C244" s="177" t="n">
        <v>44445</v>
      </c>
      <c r="D244" t="inlineStr">
        <is>
          <t>BW20210831</t>
        </is>
      </c>
      <c r="E244" t="n">
        <v>2021</v>
      </c>
      <c r="F244" t="inlineStr">
        <is>
          <t>Sierpień</t>
        </is>
      </c>
      <c r="G244" t="inlineStr">
        <is>
          <t>Wt</t>
        </is>
      </c>
      <c r="H244">
        <f>'Floor Hours Engine'!$E$4</f>
        <v/>
      </c>
      <c r="I244" t="inlineStr">
        <is>
          <t>W6</t>
        </is>
      </c>
      <c r="J244" t="inlineStr">
        <is>
          <t>2021_Sierpień_W6</t>
        </is>
      </c>
    </row>
    <row r="245" ht="17.25" customHeight="1">
      <c r="A245" s="177" t="n">
        <v>44440</v>
      </c>
      <c r="B245" s="177" t="n">
        <v>44439</v>
      </c>
      <c r="C245" s="177" t="n">
        <v>44445</v>
      </c>
      <c r="D245" t="inlineStr">
        <is>
          <t>BW20210831</t>
        </is>
      </c>
      <c r="E245" t="n">
        <v>2021</v>
      </c>
      <c r="F245" t="inlineStr">
        <is>
          <t>Wrzesień</t>
        </is>
      </c>
      <c r="G245" t="inlineStr">
        <is>
          <t>Śr</t>
        </is>
      </c>
      <c r="H245">
        <f>'Floor Hours Engine'!$E$4</f>
        <v/>
      </c>
      <c r="I245" t="inlineStr">
        <is>
          <t>W1</t>
        </is>
      </c>
      <c r="J245" t="inlineStr">
        <is>
          <t>2021_Wrzesień_W1</t>
        </is>
      </c>
    </row>
    <row r="246" ht="17.25" customHeight="1">
      <c r="A246" s="177" t="n">
        <v>44441</v>
      </c>
      <c r="B246" s="177" t="n">
        <v>44439</v>
      </c>
      <c r="C246" s="177" t="n">
        <v>44445</v>
      </c>
      <c r="D246" t="inlineStr">
        <is>
          <t>BW20210831</t>
        </is>
      </c>
      <c r="E246" t="n">
        <v>2021</v>
      </c>
      <c r="F246" t="inlineStr">
        <is>
          <t>Wrzesień</t>
        </is>
      </c>
      <c r="G246" t="inlineStr">
        <is>
          <t>Czw</t>
        </is>
      </c>
      <c r="H246">
        <f>'Floor Hours Engine'!$E$4</f>
        <v/>
      </c>
      <c r="I246" t="inlineStr">
        <is>
          <t>W1</t>
        </is>
      </c>
      <c r="J246" t="inlineStr">
        <is>
          <t>2021_Wrzesień_W1</t>
        </is>
      </c>
    </row>
    <row r="247" ht="17.25" customHeight="1">
      <c r="A247" s="177" t="n">
        <v>44442</v>
      </c>
      <c r="B247" s="177" t="n">
        <v>44439</v>
      </c>
      <c r="C247" s="177" t="n">
        <v>44445</v>
      </c>
      <c r="D247" t="inlineStr">
        <is>
          <t>BW20210831</t>
        </is>
      </c>
      <c r="E247" t="n">
        <v>2021</v>
      </c>
      <c r="F247" t="inlineStr">
        <is>
          <t>Wrzesień</t>
        </is>
      </c>
      <c r="G247" t="inlineStr">
        <is>
          <t>Pt</t>
        </is>
      </c>
      <c r="H247">
        <f>'Floor Hours Engine'!$E$5</f>
        <v/>
      </c>
      <c r="I247" t="inlineStr">
        <is>
          <t>W1</t>
        </is>
      </c>
      <c r="J247" t="inlineStr">
        <is>
          <t>2021_Wrzesień_W1</t>
        </is>
      </c>
    </row>
    <row r="248" ht="17.25" customHeight="1">
      <c r="A248" s="177" t="n">
        <v>44443</v>
      </c>
      <c r="B248" s="177" t="n">
        <v>44439</v>
      </c>
      <c r="C248" s="177" t="n">
        <v>44445</v>
      </c>
      <c r="D248" t="inlineStr">
        <is>
          <t>BW20210831</t>
        </is>
      </c>
      <c r="E248" t="n">
        <v>2021</v>
      </c>
      <c r="F248" t="inlineStr">
        <is>
          <t>Wrzesień</t>
        </is>
      </c>
      <c r="G248" t="inlineStr">
        <is>
          <t>Sob</t>
        </is>
      </c>
      <c r="H248">
        <f>'Floor Hours Engine'!$E$5</f>
        <v/>
      </c>
      <c r="I248" t="inlineStr">
        <is>
          <t>W1</t>
        </is>
      </c>
      <c r="J248" t="inlineStr">
        <is>
          <t>2021_Wrzesień_W1</t>
        </is>
      </c>
    </row>
    <row r="249" ht="17.25" customHeight="1">
      <c r="A249" s="177" t="n">
        <v>44444</v>
      </c>
      <c r="B249" s="177" t="n">
        <v>44439</v>
      </c>
      <c r="C249" s="177" t="n">
        <v>44445</v>
      </c>
      <c r="D249" t="inlineStr">
        <is>
          <t>BW20210831</t>
        </is>
      </c>
      <c r="E249" t="n">
        <v>2021</v>
      </c>
      <c r="F249" t="inlineStr">
        <is>
          <t>Wrzesień</t>
        </is>
      </c>
      <c r="G249" t="inlineStr">
        <is>
          <t>Nd</t>
        </is>
      </c>
      <c r="H249">
        <f>'Floor Hours Engine'!$E$6</f>
        <v/>
      </c>
      <c r="I249" t="inlineStr">
        <is>
          <t>W1</t>
        </is>
      </c>
      <c r="J249" t="inlineStr">
        <is>
          <t>2021_Wrzesień_W1</t>
        </is>
      </c>
    </row>
    <row r="250" ht="17.25" customHeight="1">
      <c r="A250" s="177" t="n">
        <v>44445</v>
      </c>
      <c r="B250" s="177" t="n">
        <v>44439</v>
      </c>
      <c r="C250" s="177" t="n">
        <v>44445</v>
      </c>
      <c r="D250" t="inlineStr">
        <is>
          <t>BW20210831</t>
        </is>
      </c>
      <c r="E250" t="n">
        <v>2021</v>
      </c>
      <c r="F250" t="inlineStr">
        <is>
          <t>Wrzesień</t>
        </is>
      </c>
      <c r="G250" t="inlineStr">
        <is>
          <t>Pn</t>
        </is>
      </c>
      <c r="H250">
        <f>'Floor Hours Engine'!$E$4</f>
        <v/>
      </c>
      <c r="I250" t="inlineStr">
        <is>
          <t>W1</t>
        </is>
      </c>
      <c r="J250" t="inlineStr">
        <is>
          <t>2021_Wrzesień_W1</t>
        </is>
      </c>
    </row>
    <row r="251" ht="17.25" customHeight="1">
      <c r="A251" s="177" t="n">
        <v>44446</v>
      </c>
      <c r="B251" s="177" t="n">
        <v>44446</v>
      </c>
      <c r="C251" s="177" t="n">
        <v>44452</v>
      </c>
      <c r="D251" t="inlineStr">
        <is>
          <t>BW20210907</t>
        </is>
      </c>
      <c r="E251" t="n">
        <v>2021</v>
      </c>
      <c r="F251" t="inlineStr">
        <is>
          <t>Wrzesień</t>
        </is>
      </c>
      <c r="G251" t="inlineStr">
        <is>
          <t>Wt</t>
        </is>
      </c>
      <c r="H251">
        <f>'Floor Hours Engine'!$E$4</f>
        <v/>
      </c>
      <c r="I251" t="inlineStr">
        <is>
          <t>W2</t>
        </is>
      </c>
      <c r="J251" t="inlineStr">
        <is>
          <t>2021_Wrzesień_W2</t>
        </is>
      </c>
    </row>
    <row r="252" ht="17.25" customHeight="1">
      <c r="A252" s="177" t="n">
        <v>44447</v>
      </c>
      <c r="B252" s="177" t="n">
        <v>44446</v>
      </c>
      <c r="C252" s="177" t="n">
        <v>44452</v>
      </c>
      <c r="D252" t="inlineStr">
        <is>
          <t>BW20210907</t>
        </is>
      </c>
      <c r="E252" t="n">
        <v>2021</v>
      </c>
      <c r="F252" t="inlineStr">
        <is>
          <t>Wrzesień</t>
        </is>
      </c>
      <c r="G252" t="inlineStr">
        <is>
          <t>Śr</t>
        </is>
      </c>
      <c r="H252">
        <f>'Floor Hours Engine'!$E$4</f>
        <v/>
      </c>
      <c r="I252" t="inlineStr">
        <is>
          <t>W2</t>
        </is>
      </c>
      <c r="J252" t="inlineStr">
        <is>
          <t>2021_Wrzesień_W2</t>
        </is>
      </c>
    </row>
    <row r="253" ht="17.25" customHeight="1">
      <c r="A253" s="177" t="n">
        <v>44448</v>
      </c>
      <c r="B253" s="177" t="n">
        <v>44446</v>
      </c>
      <c r="C253" s="177" t="n">
        <v>44452</v>
      </c>
      <c r="D253" t="inlineStr">
        <is>
          <t>BW20210907</t>
        </is>
      </c>
      <c r="E253" t="n">
        <v>2021</v>
      </c>
      <c r="F253" t="inlineStr">
        <is>
          <t>Wrzesień</t>
        </is>
      </c>
      <c r="G253" t="inlineStr">
        <is>
          <t>Czw</t>
        </is>
      </c>
      <c r="H253">
        <f>'Floor Hours Engine'!$E$4</f>
        <v/>
      </c>
      <c r="I253" t="inlineStr">
        <is>
          <t>W2</t>
        </is>
      </c>
      <c r="J253" t="inlineStr">
        <is>
          <t>2021_Wrzesień_W2</t>
        </is>
      </c>
    </row>
    <row r="254" ht="17.25" customHeight="1">
      <c r="A254" s="177" t="n">
        <v>44449</v>
      </c>
      <c r="B254" s="177" t="n">
        <v>44446</v>
      </c>
      <c r="C254" s="177" t="n">
        <v>44452</v>
      </c>
      <c r="D254" t="inlineStr">
        <is>
          <t>BW20210907</t>
        </is>
      </c>
      <c r="E254" t="n">
        <v>2021</v>
      </c>
      <c r="F254" t="inlineStr">
        <is>
          <t>Wrzesień</t>
        </is>
      </c>
      <c r="G254" t="inlineStr">
        <is>
          <t>Pt</t>
        </is>
      </c>
      <c r="H254">
        <f>'Floor Hours Engine'!$E$5</f>
        <v/>
      </c>
      <c r="I254" t="inlineStr">
        <is>
          <t>W2</t>
        </is>
      </c>
      <c r="J254" t="inlineStr">
        <is>
          <t>2021_Wrzesień_W2</t>
        </is>
      </c>
    </row>
    <row r="255" ht="17.25" customHeight="1">
      <c r="A255" s="177" t="n">
        <v>44450</v>
      </c>
      <c r="B255" s="177" t="n">
        <v>44446</v>
      </c>
      <c r="C255" s="177" t="n">
        <v>44452</v>
      </c>
      <c r="D255" t="inlineStr">
        <is>
          <t>BW20210907</t>
        </is>
      </c>
      <c r="E255" t="n">
        <v>2021</v>
      </c>
      <c r="F255" t="inlineStr">
        <is>
          <t>Wrzesień</t>
        </is>
      </c>
      <c r="G255" t="inlineStr">
        <is>
          <t>Sob</t>
        </is>
      </c>
      <c r="H255">
        <f>'Floor Hours Engine'!$E$5</f>
        <v/>
      </c>
      <c r="I255" t="inlineStr">
        <is>
          <t>W2</t>
        </is>
      </c>
      <c r="J255" t="inlineStr">
        <is>
          <t>2021_Wrzesień_W2</t>
        </is>
      </c>
    </row>
    <row r="256" ht="17.25" customHeight="1">
      <c r="A256" s="177" t="n">
        <v>44451</v>
      </c>
      <c r="B256" s="177" t="n">
        <v>44446</v>
      </c>
      <c r="C256" s="177" t="n">
        <v>44452</v>
      </c>
      <c r="D256" t="inlineStr">
        <is>
          <t>BW20210907</t>
        </is>
      </c>
      <c r="E256" t="n">
        <v>2021</v>
      </c>
      <c r="F256" t="inlineStr">
        <is>
          <t>Wrzesień</t>
        </is>
      </c>
      <c r="G256" t="inlineStr">
        <is>
          <t>Nd</t>
        </is>
      </c>
      <c r="H256">
        <f>'Floor Hours Engine'!$E$6</f>
        <v/>
      </c>
      <c r="I256" t="inlineStr">
        <is>
          <t>W2</t>
        </is>
      </c>
      <c r="J256" t="inlineStr">
        <is>
          <t>2021_Wrzesień_W2</t>
        </is>
      </c>
    </row>
    <row r="257" ht="17.25" customHeight="1">
      <c r="A257" s="177" t="n">
        <v>44452</v>
      </c>
      <c r="B257" s="177" t="n">
        <v>44446</v>
      </c>
      <c r="C257" s="177" t="n">
        <v>44452</v>
      </c>
      <c r="D257" t="inlineStr">
        <is>
          <t>BW20210907</t>
        </is>
      </c>
      <c r="E257" t="n">
        <v>2021</v>
      </c>
      <c r="F257" t="inlineStr">
        <is>
          <t>Wrzesień</t>
        </is>
      </c>
      <c r="G257" t="inlineStr">
        <is>
          <t>Pn</t>
        </is>
      </c>
      <c r="H257">
        <f>'Floor Hours Engine'!$E$4</f>
        <v/>
      </c>
      <c r="I257" t="inlineStr">
        <is>
          <t>W2</t>
        </is>
      </c>
      <c r="J257" t="inlineStr">
        <is>
          <t>2021_Wrzesień_W2</t>
        </is>
      </c>
    </row>
    <row r="258" ht="17.25" customHeight="1">
      <c r="A258" s="177" t="n">
        <v>44453</v>
      </c>
      <c r="B258" s="177" t="n">
        <v>44453</v>
      </c>
      <c r="C258" s="177" t="n">
        <v>44459</v>
      </c>
      <c r="D258" t="inlineStr">
        <is>
          <t>BW20210914</t>
        </is>
      </c>
      <c r="E258" t="n">
        <v>2021</v>
      </c>
      <c r="F258" t="inlineStr">
        <is>
          <t>Wrzesień</t>
        </is>
      </c>
      <c r="G258" t="inlineStr">
        <is>
          <t>Wt</t>
        </is>
      </c>
      <c r="H258">
        <f>'Floor Hours Engine'!$E$4</f>
        <v/>
      </c>
      <c r="I258" t="inlineStr">
        <is>
          <t>W3</t>
        </is>
      </c>
      <c r="J258" t="inlineStr">
        <is>
          <t>2021_Wrzesień_W3</t>
        </is>
      </c>
    </row>
    <row r="259" ht="17.25" customHeight="1">
      <c r="A259" s="177" t="n">
        <v>44454</v>
      </c>
      <c r="B259" s="177" t="n">
        <v>44453</v>
      </c>
      <c r="C259" s="177" t="n">
        <v>44459</v>
      </c>
      <c r="D259" t="inlineStr">
        <is>
          <t>BW20210914</t>
        </is>
      </c>
      <c r="E259" t="n">
        <v>2021</v>
      </c>
      <c r="F259" t="inlineStr">
        <is>
          <t>Wrzesień</t>
        </is>
      </c>
      <c r="G259" t="inlineStr">
        <is>
          <t>Śr</t>
        </is>
      </c>
      <c r="H259">
        <f>'Floor Hours Engine'!$E$4</f>
        <v/>
      </c>
      <c r="I259" t="inlineStr">
        <is>
          <t>W3</t>
        </is>
      </c>
      <c r="J259" t="inlineStr">
        <is>
          <t>2021_Wrzesień_W3</t>
        </is>
      </c>
    </row>
    <row r="260" ht="17.25" customHeight="1">
      <c r="A260" s="177" t="n">
        <v>44455</v>
      </c>
      <c r="B260" s="177" t="n">
        <v>44453</v>
      </c>
      <c r="C260" s="177" t="n">
        <v>44459</v>
      </c>
      <c r="D260" t="inlineStr">
        <is>
          <t>BW20210914</t>
        </is>
      </c>
      <c r="E260" t="n">
        <v>2021</v>
      </c>
      <c r="F260" t="inlineStr">
        <is>
          <t>Wrzesień</t>
        </is>
      </c>
      <c r="G260" t="inlineStr">
        <is>
          <t>Czw</t>
        </is>
      </c>
      <c r="H260">
        <f>'Floor Hours Engine'!$E$4</f>
        <v/>
      </c>
      <c r="I260" t="inlineStr">
        <is>
          <t>W3</t>
        </is>
      </c>
      <c r="J260" t="inlineStr">
        <is>
          <t>2021_Wrzesień_W3</t>
        </is>
      </c>
    </row>
    <row r="261" ht="17.25" customHeight="1">
      <c r="A261" s="177" t="n">
        <v>44456</v>
      </c>
      <c r="B261" s="177" t="n">
        <v>44453</v>
      </c>
      <c r="C261" s="177" t="n">
        <v>44459</v>
      </c>
      <c r="D261" t="inlineStr">
        <is>
          <t>BW20210914</t>
        </is>
      </c>
      <c r="E261" t="n">
        <v>2021</v>
      </c>
      <c r="F261" t="inlineStr">
        <is>
          <t>Wrzesień</t>
        </is>
      </c>
      <c r="G261" t="inlineStr">
        <is>
          <t>Pt</t>
        </is>
      </c>
      <c r="H261">
        <f>'Floor Hours Engine'!$E$5</f>
        <v/>
      </c>
      <c r="I261" t="inlineStr">
        <is>
          <t>W3</t>
        </is>
      </c>
      <c r="J261" t="inlineStr">
        <is>
          <t>2021_Wrzesień_W3</t>
        </is>
      </c>
    </row>
    <row r="262" ht="17.25" customHeight="1">
      <c r="A262" s="177" t="n">
        <v>44457</v>
      </c>
      <c r="B262" s="177" t="n">
        <v>44453</v>
      </c>
      <c r="C262" s="177" t="n">
        <v>44459</v>
      </c>
      <c r="D262" t="inlineStr">
        <is>
          <t>BW20210914</t>
        </is>
      </c>
      <c r="E262" t="n">
        <v>2021</v>
      </c>
      <c r="F262" t="inlineStr">
        <is>
          <t>Wrzesień</t>
        </is>
      </c>
      <c r="G262" t="inlineStr">
        <is>
          <t>Sob</t>
        </is>
      </c>
      <c r="H262">
        <f>'Floor Hours Engine'!$E$5</f>
        <v/>
      </c>
      <c r="I262" t="inlineStr">
        <is>
          <t>W3</t>
        </is>
      </c>
      <c r="J262" t="inlineStr">
        <is>
          <t>2021_Wrzesień_W3</t>
        </is>
      </c>
    </row>
    <row r="263" ht="17.25" customHeight="1">
      <c r="A263" s="177" t="n">
        <v>44458</v>
      </c>
      <c r="B263" s="177" t="n">
        <v>44453</v>
      </c>
      <c r="C263" s="177" t="n">
        <v>44459</v>
      </c>
      <c r="D263" t="inlineStr">
        <is>
          <t>BW20210914</t>
        </is>
      </c>
      <c r="E263" t="n">
        <v>2021</v>
      </c>
      <c r="F263" t="inlineStr">
        <is>
          <t>Wrzesień</t>
        </is>
      </c>
      <c r="G263" t="inlineStr">
        <is>
          <t>Nd</t>
        </is>
      </c>
      <c r="H263">
        <f>'Floor Hours Engine'!$E$6</f>
        <v/>
      </c>
      <c r="I263" t="inlineStr">
        <is>
          <t>W3</t>
        </is>
      </c>
      <c r="J263" t="inlineStr">
        <is>
          <t>2021_Wrzesień_W3</t>
        </is>
      </c>
    </row>
    <row r="264" ht="17.25" customHeight="1">
      <c r="A264" s="177" t="n">
        <v>44459</v>
      </c>
      <c r="B264" s="177" t="n">
        <v>44453</v>
      </c>
      <c r="C264" s="177" t="n">
        <v>44459</v>
      </c>
      <c r="D264" t="inlineStr">
        <is>
          <t>BW20210914</t>
        </is>
      </c>
      <c r="E264" t="n">
        <v>2021</v>
      </c>
      <c r="F264" t="inlineStr">
        <is>
          <t>Wrzesień</t>
        </is>
      </c>
      <c r="G264" t="inlineStr">
        <is>
          <t>Pn</t>
        </is>
      </c>
      <c r="H264">
        <f>'Floor Hours Engine'!$E$4</f>
        <v/>
      </c>
      <c r="I264" t="inlineStr">
        <is>
          <t>W3</t>
        </is>
      </c>
      <c r="J264" t="inlineStr">
        <is>
          <t>2021_Wrzesień_W3</t>
        </is>
      </c>
    </row>
    <row r="265" ht="17.25" customHeight="1">
      <c r="A265" s="177" t="n">
        <v>44460</v>
      </c>
      <c r="B265" s="177" t="n">
        <v>44460</v>
      </c>
      <c r="C265" s="177" t="n">
        <v>44466</v>
      </c>
      <c r="D265" t="inlineStr">
        <is>
          <t>BW20210921</t>
        </is>
      </c>
      <c r="E265" t="n">
        <v>2021</v>
      </c>
      <c r="F265" t="inlineStr">
        <is>
          <t>Wrzesień</t>
        </is>
      </c>
      <c r="G265" t="inlineStr">
        <is>
          <t>Wt</t>
        </is>
      </c>
      <c r="H265">
        <f>'Floor Hours Engine'!$E$4</f>
        <v/>
      </c>
      <c r="I265" t="inlineStr">
        <is>
          <t>W4</t>
        </is>
      </c>
      <c r="J265" t="inlineStr">
        <is>
          <t>2021_Wrzesień_W4</t>
        </is>
      </c>
    </row>
    <row r="266" ht="17.25" customHeight="1">
      <c r="A266" s="177" t="n">
        <v>44461</v>
      </c>
      <c r="B266" s="177" t="n">
        <v>44460</v>
      </c>
      <c r="C266" s="177" t="n">
        <v>44466</v>
      </c>
      <c r="D266" t="inlineStr">
        <is>
          <t>BW20210921</t>
        </is>
      </c>
      <c r="E266" t="n">
        <v>2021</v>
      </c>
      <c r="F266" t="inlineStr">
        <is>
          <t>Wrzesień</t>
        </is>
      </c>
      <c r="G266" t="inlineStr">
        <is>
          <t>Śr</t>
        </is>
      </c>
      <c r="H266">
        <f>'Floor Hours Engine'!$E$4</f>
        <v/>
      </c>
      <c r="I266" t="inlineStr">
        <is>
          <t>W4</t>
        </is>
      </c>
      <c r="J266" t="inlineStr">
        <is>
          <t>2021_Wrzesień_W4</t>
        </is>
      </c>
    </row>
    <row r="267" ht="17.25" customHeight="1">
      <c r="A267" s="177" t="n">
        <v>44462</v>
      </c>
      <c r="B267" s="177" t="n">
        <v>44460</v>
      </c>
      <c r="C267" s="177" t="n">
        <v>44466</v>
      </c>
      <c r="D267" t="inlineStr">
        <is>
          <t>BW20210921</t>
        </is>
      </c>
      <c r="E267" t="n">
        <v>2021</v>
      </c>
      <c r="F267" t="inlineStr">
        <is>
          <t>Wrzesień</t>
        </is>
      </c>
      <c r="G267" t="inlineStr">
        <is>
          <t>Czw</t>
        </is>
      </c>
      <c r="H267">
        <f>'Floor Hours Engine'!$E$4</f>
        <v/>
      </c>
      <c r="I267" t="inlineStr">
        <is>
          <t>W4</t>
        </is>
      </c>
      <c r="J267" t="inlineStr">
        <is>
          <t>2021_Wrzesień_W4</t>
        </is>
      </c>
    </row>
    <row r="268" ht="17.25" customHeight="1">
      <c r="A268" s="177" t="n">
        <v>44463</v>
      </c>
      <c r="B268" s="177" t="n">
        <v>44460</v>
      </c>
      <c r="C268" s="177" t="n">
        <v>44466</v>
      </c>
      <c r="D268" t="inlineStr">
        <is>
          <t>BW20210921</t>
        </is>
      </c>
      <c r="E268" t="n">
        <v>2021</v>
      </c>
      <c r="F268" t="inlineStr">
        <is>
          <t>Wrzesień</t>
        </is>
      </c>
      <c r="G268" t="inlineStr">
        <is>
          <t>Pt</t>
        </is>
      </c>
      <c r="H268">
        <f>'Floor Hours Engine'!$E$5</f>
        <v/>
      </c>
      <c r="I268" t="inlineStr">
        <is>
          <t>W4</t>
        </is>
      </c>
      <c r="J268" t="inlineStr">
        <is>
          <t>2021_Wrzesień_W4</t>
        </is>
      </c>
    </row>
    <row r="269" ht="17.25" customHeight="1">
      <c r="A269" s="177" t="n">
        <v>44464</v>
      </c>
      <c r="B269" s="177" t="n">
        <v>44460</v>
      </c>
      <c r="C269" s="177" t="n">
        <v>44466</v>
      </c>
      <c r="D269" t="inlineStr">
        <is>
          <t>BW20210921</t>
        </is>
      </c>
      <c r="E269" t="n">
        <v>2021</v>
      </c>
      <c r="F269" t="inlineStr">
        <is>
          <t>Wrzesień</t>
        </is>
      </c>
      <c r="G269" t="inlineStr">
        <is>
          <t>Sob</t>
        </is>
      </c>
      <c r="H269">
        <f>'Floor Hours Engine'!$E$5</f>
        <v/>
      </c>
      <c r="I269" t="inlineStr">
        <is>
          <t>W4</t>
        </is>
      </c>
      <c r="J269" t="inlineStr">
        <is>
          <t>2021_Wrzesień_W4</t>
        </is>
      </c>
    </row>
    <row r="270" ht="17.25" customHeight="1">
      <c r="A270" s="177" t="n">
        <v>44465</v>
      </c>
      <c r="B270" s="177" t="n">
        <v>44460</v>
      </c>
      <c r="C270" s="177" t="n">
        <v>44466</v>
      </c>
      <c r="D270" t="inlineStr">
        <is>
          <t>BW20210921</t>
        </is>
      </c>
      <c r="E270" t="n">
        <v>2021</v>
      </c>
      <c r="F270" t="inlineStr">
        <is>
          <t>Wrzesień</t>
        </is>
      </c>
      <c r="G270" t="inlineStr">
        <is>
          <t>Nd</t>
        </is>
      </c>
      <c r="H270">
        <f>'Floor Hours Engine'!$E$6</f>
        <v/>
      </c>
      <c r="I270" t="inlineStr">
        <is>
          <t>W4</t>
        </is>
      </c>
      <c r="J270" t="inlineStr">
        <is>
          <t>2021_Wrzesień_W4</t>
        </is>
      </c>
    </row>
    <row r="271" ht="17.25" customHeight="1">
      <c r="A271" s="177" t="n">
        <v>44466</v>
      </c>
      <c r="B271" s="177" t="n">
        <v>44460</v>
      </c>
      <c r="C271" s="177" t="n">
        <v>44466</v>
      </c>
      <c r="D271" t="inlineStr">
        <is>
          <t>BW20210921</t>
        </is>
      </c>
      <c r="E271" t="n">
        <v>2021</v>
      </c>
      <c r="F271" t="inlineStr">
        <is>
          <t>Wrzesień</t>
        </is>
      </c>
      <c r="G271" t="inlineStr">
        <is>
          <t>Pn</t>
        </is>
      </c>
      <c r="H271">
        <f>'Floor Hours Engine'!$E$4</f>
        <v/>
      </c>
      <c r="I271" t="inlineStr">
        <is>
          <t>W4</t>
        </is>
      </c>
      <c r="J271" t="inlineStr">
        <is>
          <t>2021_Wrzesień_W4</t>
        </is>
      </c>
    </row>
    <row r="272" ht="17.25" customHeight="1">
      <c r="A272" s="177" t="n">
        <v>44467</v>
      </c>
      <c r="B272" s="177" t="n">
        <v>44467</v>
      </c>
      <c r="C272" s="177" t="n">
        <v>44473</v>
      </c>
      <c r="D272" t="inlineStr">
        <is>
          <t>BW20210928</t>
        </is>
      </c>
      <c r="E272" t="n">
        <v>2021</v>
      </c>
      <c r="F272" t="inlineStr">
        <is>
          <t>Wrzesień</t>
        </is>
      </c>
      <c r="G272" t="inlineStr">
        <is>
          <t>Wt</t>
        </is>
      </c>
      <c r="H272">
        <f>'Floor Hours Engine'!$E$4</f>
        <v/>
      </c>
      <c r="I272" t="inlineStr">
        <is>
          <t>W5</t>
        </is>
      </c>
      <c r="J272" t="inlineStr">
        <is>
          <t>2021_Wrzesień_W5</t>
        </is>
      </c>
    </row>
    <row r="273" ht="17.25" customHeight="1">
      <c r="A273" s="177" t="n">
        <v>44468</v>
      </c>
      <c r="B273" s="177" t="n">
        <v>44467</v>
      </c>
      <c r="C273" s="177" t="n">
        <v>44473</v>
      </c>
      <c r="D273" t="inlineStr">
        <is>
          <t>BW20210928</t>
        </is>
      </c>
      <c r="E273" t="n">
        <v>2021</v>
      </c>
      <c r="F273" t="inlineStr">
        <is>
          <t>Wrzesień</t>
        </is>
      </c>
      <c r="G273" t="inlineStr">
        <is>
          <t>Śr</t>
        </is>
      </c>
      <c r="H273">
        <f>'Floor Hours Engine'!$E$4</f>
        <v/>
      </c>
      <c r="I273" t="inlineStr">
        <is>
          <t>W5</t>
        </is>
      </c>
      <c r="J273" t="inlineStr">
        <is>
          <t>2021_Wrzesień_W5</t>
        </is>
      </c>
    </row>
    <row r="274" ht="17.25" customHeight="1">
      <c r="A274" s="177" t="n">
        <v>44469</v>
      </c>
      <c r="B274" s="177" t="n">
        <v>44467</v>
      </c>
      <c r="C274" s="177" t="n">
        <v>44473</v>
      </c>
      <c r="D274" t="inlineStr">
        <is>
          <t>BW20210928</t>
        </is>
      </c>
      <c r="E274" t="n">
        <v>2021</v>
      </c>
      <c r="F274" t="inlineStr">
        <is>
          <t>Wrzesień</t>
        </is>
      </c>
      <c r="G274" t="inlineStr">
        <is>
          <t>Czw</t>
        </is>
      </c>
      <c r="H274">
        <f>'Floor Hours Engine'!$E$4</f>
        <v/>
      </c>
      <c r="I274" t="inlineStr">
        <is>
          <t>W5</t>
        </is>
      </c>
      <c r="J274" t="inlineStr">
        <is>
          <t>2021_Wrzesień_W5</t>
        </is>
      </c>
    </row>
    <row r="275" ht="17.25" customHeight="1">
      <c r="A275" s="177" t="n">
        <v>44470</v>
      </c>
      <c r="B275" s="177" t="n">
        <v>44467</v>
      </c>
      <c r="C275" s="177" t="n">
        <v>44473</v>
      </c>
      <c r="D275" t="inlineStr">
        <is>
          <t>BW20210928</t>
        </is>
      </c>
      <c r="E275" t="n">
        <v>2021</v>
      </c>
      <c r="F275" t="inlineStr">
        <is>
          <t>Październik</t>
        </is>
      </c>
      <c r="G275" t="inlineStr">
        <is>
          <t>Pt</t>
        </is>
      </c>
      <c r="H275">
        <f>'Floor Hours Engine'!$E$5</f>
        <v/>
      </c>
      <c r="I275" t="inlineStr">
        <is>
          <t>W1</t>
        </is>
      </c>
      <c r="J275" t="inlineStr">
        <is>
          <t>2021_Październik_W1</t>
        </is>
      </c>
    </row>
    <row r="276" ht="17.25" customHeight="1">
      <c r="A276" s="177" t="n">
        <v>44471</v>
      </c>
      <c r="B276" s="177" t="n">
        <v>44467</v>
      </c>
      <c r="C276" s="177" t="n">
        <v>44473</v>
      </c>
      <c r="D276" t="inlineStr">
        <is>
          <t>BW20210928</t>
        </is>
      </c>
      <c r="E276" t="n">
        <v>2021</v>
      </c>
      <c r="F276" t="inlineStr">
        <is>
          <t>Październik</t>
        </is>
      </c>
      <c r="G276" t="inlineStr">
        <is>
          <t>Sob</t>
        </is>
      </c>
      <c r="H276">
        <f>'Floor Hours Engine'!$E$5</f>
        <v/>
      </c>
      <c r="I276" t="inlineStr">
        <is>
          <t>W1</t>
        </is>
      </c>
      <c r="J276" t="inlineStr">
        <is>
          <t>2021_Październik_W1</t>
        </is>
      </c>
    </row>
    <row r="277" ht="17.25" customHeight="1">
      <c r="A277" s="177" t="n">
        <v>44472</v>
      </c>
      <c r="B277" s="177" t="n">
        <v>44467</v>
      </c>
      <c r="C277" s="177" t="n">
        <v>44473</v>
      </c>
      <c r="D277" t="inlineStr">
        <is>
          <t>BW20210928</t>
        </is>
      </c>
      <c r="E277" t="n">
        <v>2021</v>
      </c>
      <c r="F277" t="inlineStr">
        <is>
          <t>Październik</t>
        </is>
      </c>
      <c r="G277" t="inlineStr">
        <is>
          <t>Nd</t>
        </is>
      </c>
      <c r="H277">
        <f>'Floor Hours Engine'!$E$6</f>
        <v/>
      </c>
      <c r="I277" t="inlineStr">
        <is>
          <t>W1</t>
        </is>
      </c>
      <c r="J277" t="inlineStr">
        <is>
          <t>2021_Październik_W1</t>
        </is>
      </c>
    </row>
    <row r="278" ht="17.25" customHeight="1">
      <c r="A278" s="177" t="n">
        <v>44473</v>
      </c>
      <c r="B278" s="177" t="n">
        <v>44467</v>
      </c>
      <c r="C278" s="177" t="n">
        <v>44473</v>
      </c>
      <c r="D278" t="inlineStr">
        <is>
          <t>BW20210928</t>
        </is>
      </c>
      <c r="E278" t="n">
        <v>2021</v>
      </c>
      <c r="F278" t="inlineStr">
        <is>
          <t>Październik</t>
        </is>
      </c>
      <c r="G278" t="inlineStr">
        <is>
          <t>Pn</t>
        </is>
      </c>
      <c r="H278">
        <f>'Floor Hours Engine'!$E$4</f>
        <v/>
      </c>
      <c r="I278" t="inlineStr">
        <is>
          <t>W1</t>
        </is>
      </c>
      <c r="J278" t="inlineStr">
        <is>
          <t>2021_Październik_W1</t>
        </is>
      </c>
    </row>
    <row r="279" ht="17.25" customHeight="1">
      <c r="A279" s="177" t="n">
        <v>44474</v>
      </c>
      <c r="B279" s="177" t="n">
        <v>44474</v>
      </c>
      <c r="C279" s="177" t="n">
        <v>44480</v>
      </c>
      <c r="D279" t="inlineStr">
        <is>
          <t>BW20211005</t>
        </is>
      </c>
      <c r="E279" t="n">
        <v>2021</v>
      </c>
      <c r="F279" t="inlineStr">
        <is>
          <t>Październik</t>
        </is>
      </c>
      <c r="G279" t="inlineStr">
        <is>
          <t>Wt</t>
        </is>
      </c>
      <c r="H279">
        <f>'Floor Hours Engine'!$E$4</f>
        <v/>
      </c>
      <c r="I279" t="inlineStr">
        <is>
          <t>W2</t>
        </is>
      </c>
      <c r="J279" t="inlineStr">
        <is>
          <t>2021_Październik_W2</t>
        </is>
      </c>
    </row>
    <row r="280" ht="17.25" customHeight="1">
      <c r="A280" s="177" t="n">
        <v>44475</v>
      </c>
      <c r="B280" s="177" t="n">
        <v>44474</v>
      </c>
      <c r="C280" s="177" t="n">
        <v>44480</v>
      </c>
      <c r="D280" t="inlineStr">
        <is>
          <t>BW20211005</t>
        </is>
      </c>
      <c r="E280" t="n">
        <v>2021</v>
      </c>
      <c r="F280" t="inlineStr">
        <is>
          <t>Październik</t>
        </is>
      </c>
      <c r="G280" t="inlineStr">
        <is>
          <t>Śr</t>
        </is>
      </c>
      <c r="H280">
        <f>'Floor Hours Engine'!$E$4</f>
        <v/>
      </c>
      <c r="I280" t="inlineStr">
        <is>
          <t>W2</t>
        </is>
      </c>
      <c r="J280" t="inlineStr">
        <is>
          <t>2021_Październik_W2</t>
        </is>
      </c>
    </row>
    <row r="281" ht="17.25" customHeight="1">
      <c r="A281" s="177" t="n">
        <v>44476</v>
      </c>
      <c r="B281" s="177" t="n">
        <v>44474</v>
      </c>
      <c r="C281" s="177" t="n">
        <v>44480</v>
      </c>
      <c r="D281" t="inlineStr">
        <is>
          <t>BW20211005</t>
        </is>
      </c>
      <c r="E281" t="n">
        <v>2021</v>
      </c>
      <c r="F281" t="inlineStr">
        <is>
          <t>Październik</t>
        </is>
      </c>
      <c r="G281" t="inlineStr">
        <is>
          <t>Czw</t>
        </is>
      </c>
      <c r="H281">
        <f>'Floor Hours Engine'!$E$4</f>
        <v/>
      </c>
      <c r="I281" t="inlineStr">
        <is>
          <t>W2</t>
        </is>
      </c>
      <c r="J281" t="inlineStr">
        <is>
          <t>2021_Październik_W2</t>
        </is>
      </c>
    </row>
    <row r="282" ht="17.25" customHeight="1">
      <c r="A282" s="177" t="n">
        <v>44477</v>
      </c>
      <c r="B282" s="177" t="n">
        <v>44474</v>
      </c>
      <c r="C282" s="177" t="n">
        <v>44480</v>
      </c>
      <c r="D282" t="inlineStr">
        <is>
          <t>BW20211005</t>
        </is>
      </c>
      <c r="E282" t="n">
        <v>2021</v>
      </c>
      <c r="F282" t="inlineStr">
        <is>
          <t>Październik</t>
        </is>
      </c>
      <c r="G282" t="inlineStr">
        <is>
          <t>Pt</t>
        </is>
      </c>
      <c r="H282">
        <f>'Floor Hours Engine'!$E$5</f>
        <v/>
      </c>
      <c r="I282" t="inlineStr">
        <is>
          <t>W2</t>
        </is>
      </c>
      <c r="J282" t="inlineStr">
        <is>
          <t>2021_Październik_W2</t>
        </is>
      </c>
    </row>
    <row r="283" ht="17.25" customHeight="1">
      <c r="A283" s="177" t="n">
        <v>44478</v>
      </c>
      <c r="B283" s="177" t="n">
        <v>44474</v>
      </c>
      <c r="C283" s="177" t="n">
        <v>44480</v>
      </c>
      <c r="D283" t="inlineStr">
        <is>
          <t>BW20211005</t>
        </is>
      </c>
      <c r="E283" t="n">
        <v>2021</v>
      </c>
      <c r="F283" t="inlineStr">
        <is>
          <t>Październik</t>
        </is>
      </c>
      <c r="G283" t="inlineStr">
        <is>
          <t>Sob</t>
        </is>
      </c>
      <c r="H283">
        <f>'Floor Hours Engine'!$E$5</f>
        <v/>
      </c>
      <c r="I283" t="inlineStr">
        <is>
          <t>W2</t>
        </is>
      </c>
      <c r="J283" t="inlineStr">
        <is>
          <t>2021_Październik_W2</t>
        </is>
      </c>
    </row>
    <row r="284" ht="17.25" customHeight="1">
      <c r="A284" s="177" t="n">
        <v>44479</v>
      </c>
      <c r="B284" s="177" t="n">
        <v>44474</v>
      </c>
      <c r="C284" s="177" t="n">
        <v>44480</v>
      </c>
      <c r="D284" t="inlineStr">
        <is>
          <t>BW20211005</t>
        </is>
      </c>
      <c r="E284" t="n">
        <v>2021</v>
      </c>
      <c r="F284" t="inlineStr">
        <is>
          <t>Październik</t>
        </is>
      </c>
      <c r="G284" t="inlineStr">
        <is>
          <t>Nd</t>
        </is>
      </c>
      <c r="H284">
        <f>'Floor Hours Engine'!$E$6</f>
        <v/>
      </c>
      <c r="I284" t="inlineStr">
        <is>
          <t>W2</t>
        </is>
      </c>
      <c r="J284" t="inlineStr">
        <is>
          <t>2021_Październik_W2</t>
        </is>
      </c>
    </row>
    <row r="285" ht="17.25" customHeight="1">
      <c r="A285" s="177" t="n">
        <v>44480</v>
      </c>
      <c r="B285" s="177" t="n">
        <v>44474</v>
      </c>
      <c r="C285" s="177" t="n">
        <v>44480</v>
      </c>
      <c r="D285" t="inlineStr">
        <is>
          <t>BW20211005</t>
        </is>
      </c>
      <c r="E285" t="n">
        <v>2021</v>
      </c>
      <c r="F285" t="inlineStr">
        <is>
          <t>Październik</t>
        </is>
      </c>
      <c r="G285" t="inlineStr">
        <is>
          <t>Pn</t>
        </is>
      </c>
      <c r="H285">
        <f>'Floor Hours Engine'!$E$4</f>
        <v/>
      </c>
      <c r="I285" t="inlineStr">
        <is>
          <t>W2</t>
        </is>
      </c>
      <c r="J285" t="inlineStr">
        <is>
          <t>2021_Październik_W2</t>
        </is>
      </c>
    </row>
    <row r="286" ht="17.25" customHeight="1">
      <c r="A286" s="177" t="n">
        <v>44481</v>
      </c>
      <c r="B286" s="177" t="n">
        <v>44481</v>
      </c>
      <c r="C286" s="177" t="n">
        <v>44487</v>
      </c>
      <c r="D286" t="inlineStr">
        <is>
          <t>BW20211012</t>
        </is>
      </c>
      <c r="E286" t="n">
        <v>2021</v>
      </c>
      <c r="F286" t="inlineStr">
        <is>
          <t>Październik</t>
        </is>
      </c>
      <c r="G286" t="inlineStr">
        <is>
          <t>Wt</t>
        </is>
      </c>
      <c r="H286">
        <f>'Floor Hours Engine'!$E$4</f>
        <v/>
      </c>
      <c r="I286" t="inlineStr">
        <is>
          <t>W3</t>
        </is>
      </c>
      <c r="J286" t="inlineStr">
        <is>
          <t>2021_Październik_W3</t>
        </is>
      </c>
    </row>
    <row r="287" ht="17.25" customHeight="1">
      <c r="A287" s="177" t="n">
        <v>44482</v>
      </c>
      <c r="B287" s="177" t="n">
        <v>44481</v>
      </c>
      <c r="C287" s="177" t="n">
        <v>44487</v>
      </c>
      <c r="D287" t="inlineStr">
        <is>
          <t>BW20211012</t>
        </is>
      </c>
      <c r="E287" t="n">
        <v>2021</v>
      </c>
      <c r="F287" t="inlineStr">
        <is>
          <t>Październik</t>
        </is>
      </c>
      <c r="G287" t="inlineStr">
        <is>
          <t>Śr</t>
        </is>
      </c>
      <c r="H287">
        <f>'Floor Hours Engine'!$E$4</f>
        <v/>
      </c>
      <c r="I287" t="inlineStr">
        <is>
          <t>W3</t>
        </is>
      </c>
      <c r="J287" t="inlineStr">
        <is>
          <t>2021_Październik_W3</t>
        </is>
      </c>
    </row>
    <row r="288" ht="17.25" customHeight="1">
      <c r="A288" s="177" t="n">
        <v>44483</v>
      </c>
      <c r="B288" s="177" t="n">
        <v>44481</v>
      </c>
      <c r="C288" s="177" t="n">
        <v>44487</v>
      </c>
      <c r="D288" t="inlineStr">
        <is>
          <t>BW20211012</t>
        </is>
      </c>
      <c r="E288" t="n">
        <v>2021</v>
      </c>
      <c r="F288" t="inlineStr">
        <is>
          <t>Październik</t>
        </is>
      </c>
      <c r="G288" t="inlineStr">
        <is>
          <t>Czw</t>
        </is>
      </c>
      <c r="H288">
        <f>'Floor Hours Engine'!$E$4</f>
        <v/>
      </c>
      <c r="I288" t="inlineStr">
        <is>
          <t>W3</t>
        </is>
      </c>
      <c r="J288" t="inlineStr">
        <is>
          <t>2021_Październik_W3</t>
        </is>
      </c>
    </row>
    <row r="289" ht="17.25" customHeight="1">
      <c r="A289" s="177" t="n">
        <v>44484</v>
      </c>
      <c r="B289" s="177" t="n">
        <v>44481</v>
      </c>
      <c r="C289" s="177" t="n">
        <v>44487</v>
      </c>
      <c r="D289" t="inlineStr">
        <is>
          <t>BW20211012</t>
        </is>
      </c>
      <c r="E289" t="n">
        <v>2021</v>
      </c>
      <c r="F289" t="inlineStr">
        <is>
          <t>Październik</t>
        </is>
      </c>
      <c r="G289" t="inlineStr">
        <is>
          <t>Pt</t>
        </is>
      </c>
      <c r="H289">
        <f>'Floor Hours Engine'!$E$5</f>
        <v/>
      </c>
      <c r="I289" t="inlineStr">
        <is>
          <t>W3</t>
        </is>
      </c>
      <c r="J289" t="inlineStr">
        <is>
          <t>2021_Październik_W3</t>
        </is>
      </c>
    </row>
    <row r="290" ht="17.25" customHeight="1">
      <c r="A290" s="177" t="n">
        <v>44485</v>
      </c>
      <c r="B290" s="177" t="n">
        <v>44481</v>
      </c>
      <c r="C290" s="177" t="n">
        <v>44487</v>
      </c>
      <c r="D290" t="inlineStr">
        <is>
          <t>BW20211012</t>
        </is>
      </c>
      <c r="E290" t="n">
        <v>2021</v>
      </c>
      <c r="F290" t="inlineStr">
        <is>
          <t>Październik</t>
        </is>
      </c>
      <c r="G290" t="inlineStr">
        <is>
          <t>Sob</t>
        </is>
      </c>
      <c r="H290">
        <f>'Floor Hours Engine'!$E$5</f>
        <v/>
      </c>
      <c r="I290" t="inlineStr">
        <is>
          <t>W3</t>
        </is>
      </c>
      <c r="J290" t="inlineStr">
        <is>
          <t>2021_Październik_W3</t>
        </is>
      </c>
    </row>
    <row r="291" ht="17.25" customHeight="1">
      <c r="A291" s="177" t="n">
        <v>44486</v>
      </c>
      <c r="B291" s="177" t="n">
        <v>44481</v>
      </c>
      <c r="C291" s="177" t="n">
        <v>44487</v>
      </c>
      <c r="D291" t="inlineStr">
        <is>
          <t>BW20211012</t>
        </is>
      </c>
      <c r="E291" t="n">
        <v>2021</v>
      </c>
      <c r="F291" t="inlineStr">
        <is>
          <t>Październik</t>
        </is>
      </c>
      <c r="G291" t="inlineStr">
        <is>
          <t>Nd</t>
        </is>
      </c>
      <c r="H291">
        <f>'Floor Hours Engine'!$E$6</f>
        <v/>
      </c>
      <c r="I291" t="inlineStr">
        <is>
          <t>W3</t>
        </is>
      </c>
      <c r="J291" t="inlineStr">
        <is>
          <t>2021_Październik_W3</t>
        </is>
      </c>
    </row>
    <row r="292" ht="17.25" customHeight="1">
      <c r="A292" s="177" t="n">
        <v>44487</v>
      </c>
      <c r="B292" s="177" t="n">
        <v>44481</v>
      </c>
      <c r="C292" s="177" t="n">
        <v>44487</v>
      </c>
      <c r="D292" t="inlineStr">
        <is>
          <t>BW20211012</t>
        </is>
      </c>
      <c r="E292" t="n">
        <v>2021</v>
      </c>
      <c r="F292" t="inlineStr">
        <is>
          <t>Październik</t>
        </is>
      </c>
      <c r="G292" t="inlineStr">
        <is>
          <t>Pn</t>
        </is>
      </c>
      <c r="H292">
        <f>'Floor Hours Engine'!$E$4</f>
        <v/>
      </c>
      <c r="I292" t="inlineStr">
        <is>
          <t>W3</t>
        </is>
      </c>
      <c r="J292" t="inlineStr">
        <is>
          <t>2021_Październik_W3</t>
        </is>
      </c>
    </row>
    <row r="293" ht="17.25" customHeight="1">
      <c r="A293" s="177" t="n">
        <v>44488</v>
      </c>
      <c r="B293" s="177" t="n">
        <v>44488</v>
      </c>
      <c r="C293" s="177" t="n">
        <v>44494</v>
      </c>
      <c r="D293" t="inlineStr">
        <is>
          <t>BW20211019</t>
        </is>
      </c>
      <c r="E293" t="n">
        <v>2021</v>
      </c>
      <c r="F293" t="inlineStr">
        <is>
          <t>Październik</t>
        </is>
      </c>
      <c r="G293" t="inlineStr">
        <is>
          <t>Wt</t>
        </is>
      </c>
      <c r="H293">
        <f>'Floor Hours Engine'!$E$4</f>
        <v/>
      </c>
      <c r="I293" t="inlineStr">
        <is>
          <t>W4</t>
        </is>
      </c>
      <c r="J293" t="inlineStr">
        <is>
          <t>2021_Październik_W4</t>
        </is>
      </c>
    </row>
    <row r="294" ht="17.25" customHeight="1">
      <c r="A294" s="177" t="n">
        <v>44489</v>
      </c>
      <c r="B294" s="177" t="n">
        <v>44488</v>
      </c>
      <c r="C294" s="177" t="n">
        <v>44494</v>
      </c>
      <c r="D294" t="inlineStr">
        <is>
          <t>BW20211019</t>
        </is>
      </c>
      <c r="E294" t="n">
        <v>2021</v>
      </c>
      <c r="F294" t="inlineStr">
        <is>
          <t>Październik</t>
        </is>
      </c>
      <c r="G294" t="inlineStr">
        <is>
          <t>Śr</t>
        </is>
      </c>
      <c r="H294">
        <f>'Floor Hours Engine'!$E$4</f>
        <v/>
      </c>
      <c r="I294" t="inlineStr">
        <is>
          <t>W4</t>
        </is>
      </c>
      <c r="J294" t="inlineStr">
        <is>
          <t>2021_Październik_W4</t>
        </is>
      </c>
    </row>
    <row r="295" ht="17.25" customHeight="1">
      <c r="A295" s="177" t="n">
        <v>44490</v>
      </c>
      <c r="B295" s="177" t="n">
        <v>44488</v>
      </c>
      <c r="C295" s="177" t="n">
        <v>44494</v>
      </c>
      <c r="D295" t="inlineStr">
        <is>
          <t>BW20211019</t>
        </is>
      </c>
      <c r="E295" t="n">
        <v>2021</v>
      </c>
      <c r="F295" t="inlineStr">
        <is>
          <t>Październik</t>
        </is>
      </c>
      <c r="G295" t="inlineStr">
        <is>
          <t>Czw</t>
        </is>
      </c>
      <c r="H295">
        <f>'Floor Hours Engine'!$E$4</f>
        <v/>
      </c>
      <c r="I295" t="inlineStr">
        <is>
          <t>W4</t>
        </is>
      </c>
      <c r="J295" t="inlineStr">
        <is>
          <t>2021_Październik_W4</t>
        </is>
      </c>
    </row>
    <row r="296" ht="17.25" customHeight="1">
      <c r="A296" s="177" t="n">
        <v>44491</v>
      </c>
      <c r="B296" s="177" t="n">
        <v>44488</v>
      </c>
      <c r="C296" s="177" t="n">
        <v>44494</v>
      </c>
      <c r="D296" t="inlineStr">
        <is>
          <t>BW20211019</t>
        </is>
      </c>
      <c r="E296" t="n">
        <v>2021</v>
      </c>
      <c r="F296" t="inlineStr">
        <is>
          <t>Październik</t>
        </is>
      </c>
      <c r="G296" t="inlineStr">
        <is>
          <t>Pt</t>
        </is>
      </c>
      <c r="H296">
        <f>'Floor Hours Engine'!$E$5</f>
        <v/>
      </c>
      <c r="I296" t="inlineStr">
        <is>
          <t>W4</t>
        </is>
      </c>
      <c r="J296" t="inlineStr">
        <is>
          <t>2021_Październik_W4</t>
        </is>
      </c>
    </row>
    <row r="297" ht="17.25" customHeight="1">
      <c r="A297" s="177" t="n">
        <v>44492</v>
      </c>
      <c r="B297" s="177" t="n">
        <v>44488</v>
      </c>
      <c r="C297" s="177" t="n">
        <v>44494</v>
      </c>
      <c r="D297" t="inlineStr">
        <is>
          <t>BW20211019</t>
        </is>
      </c>
      <c r="E297" t="n">
        <v>2021</v>
      </c>
      <c r="F297" t="inlineStr">
        <is>
          <t>Październik</t>
        </is>
      </c>
      <c r="G297" t="inlineStr">
        <is>
          <t>Sob</t>
        </is>
      </c>
      <c r="H297">
        <f>'Floor Hours Engine'!$E$5</f>
        <v/>
      </c>
      <c r="I297" t="inlineStr">
        <is>
          <t>W4</t>
        </is>
      </c>
      <c r="J297" t="inlineStr">
        <is>
          <t>2021_Październik_W4</t>
        </is>
      </c>
    </row>
    <row r="298" ht="17.25" customHeight="1">
      <c r="A298" s="177" t="n">
        <v>44493</v>
      </c>
      <c r="B298" s="177" t="n">
        <v>44488</v>
      </c>
      <c r="C298" s="177" t="n">
        <v>44494</v>
      </c>
      <c r="D298" t="inlineStr">
        <is>
          <t>BW20211019</t>
        </is>
      </c>
      <c r="E298" t="n">
        <v>2021</v>
      </c>
      <c r="F298" t="inlineStr">
        <is>
          <t>Październik</t>
        </is>
      </c>
      <c r="G298" t="inlineStr">
        <is>
          <t>Nd</t>
        </is>
      </c>
      <c r="H298">
        <f>'Floor Hours Engine'!$E$6</f>
        <v/>
      </c>
      <c r="I298" t="inlineStr">
        <is>
          <t>W4</t>
        </is>
      </c>
      <c r="J298" t="inlineStr">
        <is>
          <t>2021_Październik_W4</t>
        </is>
      </c>
    </row>
    <row r="299" ht="17.25" customHeight="1">
      <c r="A299" s="177" t="n">
        <v>44494</v>
      </c>
      <c r="B299" s="177" t="n">
        <v>44488</v>
      </c>
      <c r="C299" s="177" t="n">
        <v>44494</v>
      </c>
      <c r="D299" t="inlineStr">
        <is>
          <t>BW20211019</t>
        </is>
      </c>
      <c r="E299" t="n">
        <v>2021</v>
      </c>
      <c r="F299" t="inlineStr">
        <is>
          <t>Październik</t>
        </is>
      </c>
      <c r="G299" t="inlineStr">
        <is>
          <t>Pn</t>
        </is>
      </c>
      <c r="H299">
        <f>'Floor Hours Engine'!$E$4</f>
        <v/>
      </c>
      <c r="I299" t="inlineStr">
        <is>
          <t>W4</t>
        </is>
      </c>
      <c r="J299" t="inlineStr">
        <is>
          <t>2021_Październik_W4</t>
        </is>
      </c>
    </row>
    <row r="300" ht="17.25" customHeight="1">
      <c r="A300" s="177" t="n">
        <v>44495</v>
      </c>
      <c r="B300" s="177" t="n">
        <v>44495</v>
      </c>
      <c r="C300" s="177" t="n">
        <v>44501</v>
      </c>
      <c r="D300" t="inlineStr">
        <is>
          <t>BW20211026</t>
        </is>
      </c>
      <c r="E300" t="n">
        <v>2021</v>
      </c>
      <c r="F300" t="inlineStr">
        <is>
          <t>Październik</t>
        </is>
      </c>
      <c r="G300" t="inlineStr">
        <is>
          <t>Wt</t>
        </is>
      </c>
      <c r="H300">
        <f>'Floor Hours Engine'!$E$4</f>
        <v/>
      </c>
      <c r="I300" t="inlineStr">
        <is>
          <t>W5</t>
        </is>
      </c>
      <c r="J300" t="inlineStr">
        <is>
          <t>2021_Październik_W5</t>
        </is>
      </c>
    </row>
    <row r="301" ht="17.25" customHeight="1">
      <c r="A301" s="177" t="n">
        <v>44496</v>
      </c>
      <c r="B301" s="177" t="n">
        <v>44495</v>
      </c>
      <c r="C301" s="177" t="n">
        <v>44501</v>
      </c>
      <c r="D301" t="inlineStr">
        <is>
          <t>BW20211026</t>
        </is>
      </c>
      <c r="E301" t="n">
        <v>2021</v>
      </c>
      <c r="F301" t="inlineStr">
        <is>
          <t>Październik</t>
        </is>
      </c>
      <c r="G301" t="inlineStr">
        <is>
          <t>Śr</t>
        </is>
      </c>
      <c r="H301">
        <f>'Floor Hours Engine'!$E$4</f>
        <v/>
      </c>
      <c r="I301" t="inlineStr">
        <is>
          <t>W5</t>
        </is>
      </c>
      <c r="J301" t="inlineStr">
        <is>
          <t>2021_Październik_W5</t>
        </is>
      </c>
    </row>
    <row r="302" ht="17.25" customHeight="1">
      <c r="A302" s="177" t="n">
        <v>44497</v>
      </c>
      <c r="B302" s="177" t="n">
        <v>44495</v>
      </c>
      <c r="C302" s="177" t="n">
        <v>44501</v>
      </c>
      <c r="D302" t="inlineStr">
        <is>
          <t>BW20211026</t>
        </is>
      </c>
      <c r="E302" t="n">
        <v>2021</v>
      </c>
      <c r="F302" t="inlineStr">
        <is>
          <t>Październik</t>
        </is>
      </c>
      <c r="G302" t="inlineStr">
        <is>
          <t>Czw</t>
        </is>
      </c>
      <c r="H302">
        <f>'Floor Hours Engine'!$E$4</f>
        <v/>
      </c>
      <c r="I302" t="inlineStr">
        <is>
          <t>W5</t>
        </is>
      </c>
      <c r="J302" t="inlineStr">
        <is>
          <t>2021_Październik_W5</t>
        </is>
      </c>
    </row>
    <row r="303" ht="17.25" customHeight="1">
      <c r="A303" s="177" t="n">
        <v>44498</v>
      </c>
      <c r="B303" s="177" t="n">
        <v>44495</v>
      </c>
      <c r="C303" s="177" t="n">
        <v>44501</v>
      </c>
      <c r="D303" t="inlineStr">
        <is>
          <t>BW20211026</t>
        </is>
      </c>
      <c r="E303" t="n">
        <v>2021</v>
      </c>
      <c r="F303" t="inlineStr">
        <is>
          <t>Październik</t>
        </is>
      </c>
      <c r="G303" t="inlineStr">
        <is>
          <t>Pt</t>
        </is>
      </c>
      <c r="H303">
        <f>'Floor Hours Engine'!$E$5</f>
        <v/>
      </c>
      <c r="I303" t="inlineStr">
        <is>
          <t>W5</t>
        </is>
      </c>
      <c r="J303" t="inlineStr">
        <is>
          <t>2021_Październik_W5</t>
        </is>
      </c>
    </row>
    <row r="304" ht="17.25" customHeight="1">
      <c r="A304" s="177" t="n">
        <v>44499</v>
      </c>
      <c r="B304" s="177" t="n">
        <v>44495</v>
      </c>
      <c r="C304" s="177" t="n">
        <v>44501</v>
      </c>
      <c r="D304" t="inlineStr">
        <is>
          <t>BW20211026</t>
        </is>
      </c>
      <c r="E304" t="n">
        <v>2021</v>
      </c>
      <c r="F304" t="inlineStr">
        <is>
          <t>Październik</t>
        </is>
      </c>
      <c r="G304" t="inlineStr">
        <is>
          <t>Sob</t>
        </is>
      </c>
      <c r="H304">
        <f>'Floor Hours Engine'!$E$5</f>
        <v/>
      </c>
      <c r="I304" t="inlineStr">
        <is>
          <t>W5</t>
        </is>
      </c>
      <c r="J304" t="inlineStr">
        <is>
          <t>2021_Październik_W5</t>
        </is>
      </c>
    </row>
    <row r="305" ht="17.25" customHeight="1">
      <c r="A305" s="177" t="n">
        <v>44500</v>
      </c>
      <c r="B305" s="177" t="n">
        <v>44495</v>
      </c>
      <c r="C305" s="177" t="n">
        <v>44501</v>
      </c>
      <c r="D305" t="inlineStr">
        <is>
          <t>BW20211026</t>
        </is>
      </c>
      <c r="E305" t="n">
        <v>2021</v>
      </c>
      <c r="F305" t="inlineStr">
        <is>
          <t>Październik</t>
        </is>
      </c>
      <c r="G305" t="inlineStr">
        <is>
          <t>Nd</t>
        </is>
      </c>
      <c r="H305">
        <f>'Floor Hours Engine'!$E$6</f>
        <v/>
      </c>
      <c r="I305" t="inlineStr">
        <is>
          <t>W5</t>
        </is>
      </c>
      <c r="J305" t="inlineStr">
        <is>
          <t>2021_Październik_W5</t>
        </is>
      </c>
    </row>
    <row r="306" ht="17.25" customHeight="1">
      <c r="A306" s="177" t="n">
        <v>44501</v>
      </c>
      <c r="B306" s="177" t="n">
        <v>44495</v>
      </c>
      <c r="C306" s="177" t="n">
        <v>44501</v>
      </c>
      <c r="D306" t="inlineStr">
        <is>
          <t>BW20211026</t>
        </is>
      </c>
      <c r="E306" t="n">
        <v>2021</v>
      </c>
      <c r="F306" t="inlineStr">
        <is>
          <t>Listopad</t>
        </is>
      </c>
      <c r="G306" t="inlineStr">
        <is>
          <t>Pn</t>
        </is>
      </c>
      <c r="H306">
        <f>'Floor Hours Engine'!$E$4</f>
        <v/>
      </c>
      <c r="I306" t="inlineStr">
        <is>
          <t>W1</t>
        </is>
      </c>
      <c r="J306" t="inlineStr">
        <is>
          <t>2021_Listopad_W1</t>
        </is>
      </c>
    </row>
    <row r="307" ht="17.25" customHeight="1">
      <c r="A307" s="177" t="n">
        <v>44502</v>
      </c>
      <c r="B307" s="177" t="n">
        <v>44502</v>
      </c>
      <c r="C307" s="177" t="n">
        <v>44508</v>
      </c>
      <c r="D307" t="inlineStr">
        <is>
          <t>BW20211102</t>
        </is>
      </c>
      <c r="E307" t="n">
        <v>2021</v>
      </c>
      <c r="F307" t="inlineStr">
        <is>
          <t>Listopad</t>
        </is>
      </c>
      <c r="G307" t="inlineStr">
        <is>
          <t>Wt</t>
        </is>
      </c>
      <c r="H307">
        <f>'Floor Hours Engine'!$E$4</f>
        <v/>
      </c>
      <c r="I307" t="inlineStr">
        <is>
          <t>W2</t>
        </is>
      </c>
      <c r="J307" t="inlineStr">
        <is>
          <t>2021_Listopad_W2</t>
        </is>
      </c>
    </row>
    <row r="308" ht="17.25" customHeight="1">
      <c r="A308" s="177" t="n">
        <v>44503</v>
      </c>
      <c r="B308" s="177" t="n">
        <v>44502</v>
      </c>
      <c r="C308" s="177" t="n">
        <v>44508</v>
      </c>
      <c r="D308" t="inlineStr">
        <is>
          <t>BW20211102</t>
        </is>
      </c>
      <c r="E308" t="n">
        <v>2021</v>
      </c>
      <c r="F308" t="inlineStr">
        <is>
          <t>Listopad</t>
        </is>
      </c>
      <c r="G308" t="inlineStr">
        <is>
          <t>Śr</t>
        </is>
      </c>
      <c r="H308">
        <f>'Floor Hours Engine'!$E$4</f>
        <v/>
      </c>
      <c r="I308" t="inlineStr">
        <is>
          <t>W2</t>
        </is>
      </c>
      <c r="J308" t="inlineStr">
        <is>
          <t>2021_Listopad_W2</t>
        </is>
      </c>
    </row>
    <row r="309" ht="17.25" customHeight="1">
      <c r="A309" s="177" t="n">
        <v>44504</v>
      </c>
      <c r="B309" s="177" t="n">
        <v>44502</v>
      </c>
      <c r="C309" s="177" t="n">
        <v>44508</v>
      </c>
      <c r="D309" t="inlineStr">
        <is>
          <t>BW20211102</t>
        </is>
      </c>
      <c r="E309" t="n">
        <v>2021</v>
      </c>
      <c r="F309" t="inlineStr">
        <is>
          <t>Listopad</t>
        </is>
      </c>
      <c r="G309" t="inlineStr">
        <is>
          <t>Czw</t>
        </is>
      </c>
      <c r="H309">
        <f>'Floor Hours Engine'!$E$4</f>
        <v/>
      </c>
      <c r="I309" t="inlineStr">
        <is>
          <t>W2</t>
        </is>
      </c>
      <c r="J309" t="inlineStr">
        <is>
          <t>2021_Listopad_W2</t>
        </is>
      </c>
    </row>
    <row r="310" ht="17.25" customHeight="1">
      <c r="A310" s="177" t="n">
        <v>44505</v>
      </c>
      <c r="B310" s="177" t="n">
        <v>44502</v>
      </c>
      <c r="C310" s="177" t="n">
        <v>44508</v>
      </c>
      <c r="D310" t="inlineStr">
        <is>
          <t>BW20211102</t>
        </is>
      </c>
      <c r="E310" t="n">
        <v>2021</v>
      </c>
      <c r="F310" t="inlineStr">
        <is>
          <t>Listopad</t>
        </is>
      </c>
      <c r="G310" t="inlineStr">
        <is>
          <t>Pt</t>
        </is>
      </c>
      <c r="H310">
        <f>'Floor Hours Engine'!$E$5</f>
        <v/>
      </c>
      <c r="I310" t="inlineStr">
        <is>
          <t>W2</t>
        </is>
      </c>
      <c r="J310" t="inlineStr">
        <is>
          <t>2021_Listopad_W2</t>
        </is>
      </c>
    </row>
    <row r="311" ht="17.25" customHeight="1">
      <c r="A311" s="177" t="n">
        <v>44506</v>
      </c>
      <c r="B311" s="177" t="n">
        <v>44502</v>
      </c>
      <c r="C311" s="177" t="n">
        <v>44508</v>
      </c>
      <c r="D311" t="inlineStr">
        <is>
          <t>BW20211102</t>
        </is>
      </c>
      <c r="E311" t="n">
        <v>2021</v>
      </c>
      <c r="F311" t="inlineStr">
        <is>
          <t>Listopad</t>
        </is>
      </c>
      <c r="G311" t="inlineStr">
        <is>
          <t>Sob</t>
        </is>
      </c>
      <c r="H311">
        <f>'Floor Hours Engine'!$E$5</f>
        <v/>
      </c>
      <c r="I311" t="inlineStr">
        <is>
          <t>W2</t>
        </is>
      </c>
      <c r="J311" t="inlineStr">
        <is>
          <t>2021_Listopad_W2</t>
        </is>
      </c>
    </row>
    <row r="312" ht="17.25" customHeight="1">
      <c r="A312" s="177" t="n">
        <v>44507</v>
      </c>
      <c r="B312" s="177" t="n">
        <v>44502</v>
      </c>
      <c r="C312" s="177" t="n">
        <v>44508</v>
      </c>
      <c r="D312" t="inlineStr">
        <is>
          <t>BW20211102</t>
        </is>
      </c>
      <c r="E312" t="n">
        <v>2021</v>
      </c>
      <c r="F312" t="inlineStr">
        <is>
          <t>Listopad</t>
        </is>
      </c>
      <c r="G312" t="inlineStr">
        <is>
          <t>Nd</t>
        </is>
      </c>
      <c r="H312">
        <f>'Floor Hours Engine'!$E$6</f>
        <v/>
      </c>
      <c r="I312" t="inlineStr">
        <is>
          <t>W2</t>
        </is>
      </c>
      <c r="J312" t="inlineStr">
        <is>
          <t>2021_Listopad_W2</t>
        </is>
      </c>
    </row>
    <row r="313" ht="17.25" customHeight="1">
      <c r="A313" s="177" t="n">
        <v>44508</v>
      </c>
      <c r="B313" s="177" t="n">
        <v>44502</v>
      </c>
      <c r="C313" s="177" t="n">
        <v>44508</v>
      </c>
      <c r="D313" t="inlineStr">
        <is>
          <t>BW20211102</t>
        </is>
      </c>
      <c r="E313" t="n">
        <v>2021</v>
      </c>
      <c r="F313" t="inlineStr">
        <is>
          <t>Listopad</t>
        </is>
      </c>
      <c r="G313" t="inlineStr">
        <is>
          <t>Pn</t>
        </is>
      </c>
      <c r="H313">
        <f>'Floor Hours Engine'!$E$4</f>
        <v/>
      </c>
      <c r="I313" t="inlineStr">
        <is>
          <t>W2</t>
        </is>
      </c>
      <c r="J313" t="inlineStr">
        <is>
          <t>2021_Listopad_W2</t>
        </is>
      </c>
    </row>
    <row r="314" ht="17.25" customHeight="1">
      <c r="A314" s="177" t="n">
        <v>44509</v>
      </c>
      <c r="B314" s="177" t="n">
        <v>44509</v>
      </c>
      <c r="C314" s="177" t="n">
        <v>44515</v>
      </c>
      <c r="D314" t="inlineStr">
        <is>
          <t>BW20211109</t>
        </is>
      </c>
      <c r="E314" t="n">
        <v>2021</v>
      </c>
      <c r="F314" t="inlineStr">
        <is>
          <t>Listopad</t>
        </is>
      </c>
      <c r="G314" t="inlineStr">
        <is>
          <t>Wt</t>
        </is>
      </c>
      <c r="H314">
        <f>'Floor Hours Engine'!$E$4</f>
        <v/>
      </c>
      <c r="I314" t="inlineStr">
        <is>
          <t>W3</t>
        </is>
      </c>
      <c r="J314" t="inlineStr">
        <is>
          <t>2021_Listopad_W3</t>
        </is>
      </c>
    </row>
    <row r="315" ht="17.25" customHeight="1">
      <c r="A315" s="177" t="n">
        <v>44510</v>
      </c>
      <c r="B315" s="177" t="n">
        <v>44509</v>
      </c>
      <c r="C315" s="177" t="n">
        <v>44515</v>
      </c>
      <c r="D315" t="inlineStr">
        <is>
          <t>BW20211109</t>
        </is>
      </c>
      <c r="E315" t="n">
        <v>2021</v>
      </c>
      <c r="F315" t="inlineStr">
        <is>
          <t>Listopad</t>
        </is>
      </c>
      <c r="G315" t="inlineStr">
        <is>
          <t>Śr</t>
        </is>
      </c>
      <c r="H315">
        <f>'Floor Hours Engine'!$E$4</f>
        <v/>
      </c>
      <c r="I315" t="inlineStr">
        <is>
          <t>W3</t>
        </is>
      </c>
      <c r="J315" t="inlineStr">
        <is>
          <t>2021_Listopad_W3</t>
        </is>
      </c>
    </row>
    <row r="316" ht="17.25" customHeight="1">
      <c r="A316" s="177" t="n">
        <v>44511</v>
      </c>
      <c r="B316" s="177" t="n">
        <v>44509</v>
      </c>
      <c r="C316" s="177" t="n">
        <v>44515</v>
      </c>
      <c r="D316" t="inlineStr">
        <is>
          <t>BW20211109</t>
        </is>
      </c>
      <c r="E316" t="n">
        <v>2021</v>
      </c>
      <c r="F316" t="inlineStr">
        <is>
          <t>Listopad</t>
        </is>
      </c>
      <c r="G316" t="inlineStr">
        <is>
          <t>Czw</t>
        </is>
      </c>
      <c r="H316">
        <f>'Floor Hours Engine'!$E$4</f>
        <v/>
      </c>
      <c r="I316" t="inlineStr">
        <is>
          <t>W3</t>
        </is>
      </c>
      <c r="J316" t="inlineStr">
        <is>
          <t>2021_Listopad_W3</t>
        </is>
      </c>
    </row>
    <row r="317" ht="17.25" customHeight="1">
      <c r="A317" s="177" t="n">
        <v>44512</v>
      </c>
      <c r="B317" s="177" t="n">
        <v>44509</v>
      </c>
      <c r="C317" s="177" t="n">
        <v>44515</v>
      </c>
      <c r="D317" t="inlineStr">
        <is>
          <t>BW20211109</t>
        </is>
      </c>
      <c r="E317" t="n">
        <v>2021</v>
      </c>
      <c r="F317" t="inlineStr">
        <is>
          <t>Listopad</t>
        </is>
      </c>
      <c r="G317" t="inlineStr">
        <is>
          <t>Pt</t>
        </is>
      </c>
      <c r="H317">
        <f>'Floor Hours Engine'!$E$5</f>
        <v/>
      </c>
      <c r="I317" t="inlineStr">
        <is>
          <t>W3</t>
        </is>
      </c>
      <c r="J317" t="inlineStr">
        <is>
          <t>2021_Listopad_W3</t>
        </is>
      </c>
    </row>
    <row r="318" ht="17.25" customHeight="1">
      <c r="A318" s="177" t="n">
        <v>44513</v>
      </c>
      <c r="B318" s="177" t="n">
        <v>44509</v>
      </c>
      <c r="C318" s="177" t="n">
        <v>44515</v>
      </c>
      <c r="D318" t="inlineStr">
        <is>
          <t>BW20211109</t>
        </is>
      </c>
      <c r="E318" t="n">
        <v>2021</v>
      </c>
      <c r="F318" t="inlineStr">
        <is>
          <t>Listopad</t>
        </is>
      </c>
      <c r="G318" t="inlineStr">
        <is>
          <t>Sob</t>
        </is>
      </c>
      <c r="H318">
        <f>'Floor Hours Engine'!$E$5</f>
        <v/>
      </c>
      <c r="I318" t="inlineStr">
        <is>
          <t>W3</t>
        </is>
      </c>
      <c r="J318" t="inlineStr">
        <is>
          <t>2021_Listopad_W3</t>
        </is>
      </c>
    </row>
    <row r="319" ht="17.25" customHeight="1">
      <c r="A319" s="177" t="n">
        <v>44514</v>
      </c>
      <c r="B319" s="177" t="n">
        <v>44509</v>
      </c>
      <c r="C319" s="177" t="n">
        <v>44515</v>
      </c>
      <c r="D319" t="inlineStr">
        <is>
          <t>BW20211109</t>
        </is>
      </c>
      <c r="E319" t="n">
        <v>2021</v>
      </c>
      <c r="F319" t="inlineStr">
        <is>
          <t>Listopad</t>
        </is>
      </c>
      <c r="G319" t="inlineStr">
        <is>
          <t>Nd</t>
        </is>
      </c>
      <c r="H319">
        <f>'Floor Hours Engine'!$E$6</f>
        <v/>
      </c>
      <c r="I319" t="inlineStr">
        <is>
          <t>W3</t>
        </is>
      </c>
      <c r="J319" t="inlineStr">
        <is>
          <t>2021_Listopad_W3</t>
        </is>
      </c>
    </row>
    <row r="320" ht="17.25" customHeight="1">
      <c r="A320" s="177" t="n">
        <v>44515</v>
      </c>
      <c r="B320" s="177" t="n">
        <v>44509</v>
      </c>
      <c r="C320" s="177" t="n">
        <v>44515</v>
      </c>
      <c r="D320" t="inlineStr">
        <is>
          <t>BW20211109</t>
        </is>
      </c>
      <c r="E320" t="n">
        <v>2021</v>
      </c>
      <c r="F320" t="inlineStr">
        <is>
          <t>Listopad</t>
        </is>
      </c>
      <c r="G320" t="inlineStr">
        <is>
          <t>Pn</t>
        </is>
      </c>
      <c r="H320">
        <f>'Floor Hours Engine'!$E$4</f>
        <v/>
      </c>
      <c r="I320" t="inlineStr">
        <is>
          <t>W3</t>
        </is>
      </c>
      <c r="J320" t="inlineStr">
        <is>
          <t>2021_Listopad_W3</t>
        </is>
      </c>
    </row>
    <row r="321" ht="17.25" customHeight="1">
      <c r="A321" s="177" t="n">
        <v>44516</v>
      </c>
      <c r="B321" s="177" t="n">
        <v>44516</v>
      </c>
      <c r="C321" s="177" t="n">
        <v>44522</v>
      </c>
      <c r="D321" t="inlineStr">
        <is>
          <t>BW20211116</t>
        </is>
      </c>
      <c r="E321" t="n">
        <v>2021</v>
      </c>
      <c r="F321" t="inlineStr">
        <is>
          <t>Listopad</t>
        </is>
      </c>
      <c r="G321" t="inlineStr">
        <is>
          <t>Wt</t>
        </is>
      </c>
      <c r="H321">
        <f>'Floor Hours Engine'!$E$4</f>
        <v/>
      </c>
      <c r="I321" t="inlineStr">
        <is>
          <t>W4</t>
        </is>
      </c>
      <c r="J321" t="inlineStr">
        <is>
          <t>2021_Listopad_W4</t>
        </is>
      </c>
    </row>
    <row r="322" ht="17.25" customHeight="1">
      <c r="A322" s="177" t="n">
        <v>44517</v>
      </c>
      <c r="B322" s="177" t="n">
        <v>44516</v>
      </c>
      <c r="C322" s="177" t="n">
        <v>44522</v>
      </c>
      <c r="D322" t="inlineStr">
        <is>
          <t>BW20211116</t>
        </is>
      </c>
      <c r="E322" t="n">
        <v>2021</v>
      </c>
      <c r="F322" t="inlineStr">
        <is>
          <t>Listopad</t>
        </is>
      </c>
      <c r="G322" t="inlineStr">
        <is>
          <t>Śr</t>
        </is>
      </c>
      <c r="H322">
        <f>'Floor Hours Engine'!$E$4</f>
        <v/>
      </c>
      <c r="I322" t="inlineStr">
        <is>
          <t>W4</t>
        </is>
      </c>
      <c r="J322" t="inlineStr">
        <is>
          <t>2021_Listopad_W4</t>
        </is>
      </c>
    </row>
    <row r="323" ht="17.25" customHeight="1">
      <c r="A323" s="177" t="n">
        <v>44518</v>
      </c>
      <c r="B323" s="177" t="n">
        <v>44516</v>
      </c>
      <c r="C323" s="177" t="n">
        <v>44522</v>
      </c>
      <c r="D323" t="inlineStr">
        <is>
          <t>BW20211116</t>
        </is>
      </c>
      <c r="E323" t="n">
        <v>2021</v>
      </c>
      <c r="F323" t="inlineStr">
        <is>
          <t>Listopad</t>
        </is>
      </c>
      <c r="G323" t="inlineStr">
        <is>
          <t>Czw</t>
        </is>
      </c>
      <c r="H323">
        <f>'Floor Hours Engine'!$E$4</f>
        <v/>
      </c>
      <c r="I323" t="inlineStr">
        <is>
          <t>W4</t>
        </is>
      </c>
      <c r="J323" t="inlineStr">
        <is>
          <t>2021_Listopad_W4</t>
        </is>
      </c>
    </row>
    <row r="324" ht="17.25" customHeight="1">
      <c r="A324" s="177" t="n">
        <v>44519</v>
      </c>
      <c r="B324" s="177" t="n">
        <v>44516</v>
      </c>
      <c r="C324" s="177" t="n">
        <v>44522</v>
      </c>
      <c r="D324" t="inlineStr">
        <is>
          <t>BW20211116</t>
        </is>
      </c>
      <c r="E324" t="n">
        <v>2021</v>
      </c>
      <c r="F324" t="inlineStr">
        <is>
          <t>Listopad</t>
        </is>
      </c>
      <c r="G324" t="inlineStr">
        <is>
          <t>Pt</t>
        </is>
      </c>
      <c r="H324">
        <f>'Floor Hours Engine'!$E$5</f>
        <v/>
      </c>
      <c r="I324" t="inlineStr">
        <is>
          <t>W4</t>
        </is>
      </c>
      <c r="J324" t="inlineStr">
        <is>
          <t>2021_Listopad_W4</t>
        </is>
      </c>
    </row>
    <row r="325" ht="17.25" customHeight="1">
      <c r="A325" s="177" t="n">
        <v>44520</v>
      </c>
      <c r="B325" s="177" t="n">
        <v>44516</v>
      </c>
      <c r="C325" s="177" t="n">
        <v>44522</v>
      </c>
      <c r="D325" t="inlineStr">
        <is>
          <t>BW20211116</t>
        </is>
      </c>
      <c r="E325" t="n">
        <v>2021</v>
      </c>
      <c r="F325" t="inlineStr">
        <is>
          <t>Listopad</t>
        </is>
      </c>
      <c r="G325" t="inlineStr">
        <is>
          <t>Sob</t>
        </is>
      </c>
      <c r="H325">
        <f>'Floor Hours Engine'!$E$5</f>
        <v/>
      </c>
      <c r="I325" t="inlineStr">
        <is>
          <t>W4</t>
        </is>
      </c>
      <c r="J325" t="inlineStr">
        <is>
          <t>2021_Listopad_W4</t>
        </is>
      </c>
    </row>
    <row r="326" ht="17.25" customHeight="1">
      <c r="A326" s="177" t="n">
        <v>44521</v>
      </c>
      <c r="B326" s="177" t="n">
        <v>44516</v>
      </c>
      <c r="C326" s="177" t="n">
        <v>44522</v>
      </c>
      <c r="D326" t="inlineStr">
        <is>
          <t>BW20211116</t>
        </is>
      </c>
      <c r="E326" t="n">
        <v>2021</v>
      </c>
      <c r="F326" t="inlineStr">
        <is>
          <t>Listopad</t>
        </is>
      </c>
      <c r="G326" t="inlineStr">
        <is>
          <t>Nd</t>
        </is>
      </c>
      <c r="H326">
        <f>'Floor Hours Engine'!$E$6</f>
        <v/>
      </c>
      <c r="I326" t="inlineStr">
        <is>
          <t>W4</t>
        </is>
      </c>
      <c r="J326" t="inlineStr">
        <is>
          <t>2021_Listopad_W4</t>
        </is>
      </c>
    </row>
    <row r="327" ht="17.25" customHeight="1">
      <c r="A327" s="177" t="n">
        <v>44522</v>
      </c>
      <c r="B327" s="177" t="n">
        <v>44516</v>
      </c>
      <c r="C327" s="177" t="n">
        <v>44522</v>
      </c>
      <c r="D327" t="inlineStr">
        <is>
          <t>BW20211116</t>
        </is>
      </c>
      <c r="E327" t="n">
        <v>2021</v>
      </c>
      <c r="F327" t="inlineStr">
        <is>
          <t>Listopad</t>
        </is>
      </c>
      <c r="G327" t="inlineStr">
        <is>
          <t>Pn</t>
        </is>
      </c>
      <c r="H327">
        <f>'Floor Hours Engine'!$E$4</f>
        <v/>
      </c>
      <c r="I327" t="inlineStr">
        <is>
          <t>W4</t>
        </is>
      </c>
      <c r="J327" t="inlineStr">
        <is>
          <t>2021_Listopad_W4</t>
        </is>
      </c>
    </row>
    <row r="328" ht="17.25" customHeight="1">
      <c r="A328" s="177" t="n">
        <v>44523</v>
      </c>
      <c r="B328" s="177" t="n">
        <v>44523</v>
      </c>
      <c r="C328" s="177" t="n">
        <v>44529</v>
      </c>
      <c r="D328" t="inlineStr">
        <is>
          <t>BW20211123</t>
        </is>
      </c>
      <c r="E328" t="n">
        <v>2021</v>
      </c>
      <c r="F328" t="inlineStr">
        <is>
          <t>Listopad</t>
        </is>
      </c>
      <c r="G328" t="inlineStr">
        <is>
          <t>Wt</t>
        </is>
      </c>
      <c r="H328">
        <f>'Floor Hours Engine'!$E$4</f>
        <v/>
      </c>
      <c r="I328" t="inlineStr">
        <is>
          <t>W5</t>
        </is>
      </c>
      <c r="J328" t="inlineStr">
        <is>
          <t>2021_Listopad_W5</t>
        </is>
      </c>
    </row>
    <row r="329" ht="17.25" customHeight="1">
      <c r="A329" s="177" t="n">
        <v>44524</v>
      </c>
      <c r="B329" s="177" t="n">
        <v>44523</v>
      </c>
      <c r="C329" s="177" t="n">
        <v>44529</v>
      </c>
      <c r="D329" t="inlineStr">
        <is>
          <t>BW20211123</t>
        </is>
      </c>
      <c r="E329" t="n">
        <v>2021</v>
      </c>
      <c r="F329" t="inlineStr">
        <is>
          <t>Listopad</t>
        </is>
      </c>
      <c r="G329" t="inlineStr">
        <is>
          <t>Śr</t>
        </is>
      </c>
      <c r="H329">
        <f>'Floor Hours Engine'!$E$4</f>
        <v/>
      </c>
      <c r="I329" t="inlineStr">
        <is>
          <t>W5</t>
        </is>
      </c>
      <c r="J329" t="inlineStr">
        <is>
          <t>2021_Listopad_W5</t>
        </is>
      </c>
    </row>
    <row r="330" ht="17.25" customHeight="1">
      <c r="A330" s="177" t="n">
        <v>44525</v>
      </c>
      <c r="B330" s="177" t="n">
        <v>44523</v>
      </c>
      <c r="C330" s="177" t="n">
        <v>44529</v>
      </c>
      <c r="D330" t="inlineStr">
        <is>
          <t>BW20211123</t>
        </is>
      </c>
      <c r="E330" t="n">
        <v>2021</v>
      </c>
      <c r="F330" t="inlineStr">
        <is>
          <t>Listopad</t>
        </is>
      </c>
      <c r="G330" t="inlineStr">
        <is>
          <t>Czw</t>
        </is>
      </c>
      <c r="H330">
        <f>'Floor Hours Engine'!$E$4</f>
        <v/>
      </c>
      <c r="I330" t="inlineStr">
        <is>
          <t>W5</t>
        </is>
      </c>
      <c r="J330" t="inlineStr">
        <is>
          <t>2021_Listopad_W5</t>
        </is>
      </c>
    </row>
    <row r="331" ht="17.25" customHeight="1">
      <c r="A331" s="177" t="n">
        <v>44526</v>
      </c>
      <c r="B331" s="177" t="n">
        <v>44523</v>
      </c>
      <c r="C331" s="177" t="n">
        <v>44529</v>
      </c>
      <c r="D331" t="inlineStr">
        <is>
          <t>BW20211123</t>
        </is>
      </c>
      <c r="E331" t="n">
        <v>2021</v>
      </c>
      <c r="F331" t="inlineStr">
        <is>
          <t>Listopad</t>
        </is>
      </c>
      <c r="G331" t="inlineStr">
        <is>
          <t>Pt</t>
        </is>
      </c>
      <c r="H331">
        <f>'Floor Hours Engine'!$E$5</f>
        <v/>
      </c>
      <c r="I331" t="inlineStr">
        <is>
          <t>W5</t>
        </is>
      </c>
      <c r="J331" t="inlineStr">
        <is>
          <t>2021_Listopad_W5</t>
        </is>
      </c>
    </row>
    <row r="332" ht="17.25" customHeight="1">
      <c r="A332" s="177" t="n">
        <v>44527</v>
      </c>
      <c r="B332" s="177" t="n">
        <v>44523</v>
      </c>
      <c r="C332" s="177" t="n">
        <v>44529</v>
      </c>
      <c r="D332" t="inlineStr">
        <is>
          <t>BW20211123</t>
        </is>
      </c>
      <c r="E332" t="n">
        <v>2021</v>
      </c>
      <c r="F332" t="inlineStr">
        <is>
          <t>Listopad</t>
        </is>
      </c>
      <c r="G332" t="inlineStr">
        <is>
          <t>Sob</t>
        </is>
      </c>
      <c r="H332">
        <f>'Floor Hours Engine'!$E$5</f>
        <v/>
      </c>
      <c r="I332" t="inlineStr">
        <is>
          <t>W5</t>
        </is>
      </c>
      <c r="J332" t="inlineStr">
        <is>
          <t>2021_Listopad_W5</t>
        </is>
      </c>
    </row>
    <row r="333" ht="17.25" customHeight="1">
      <c r="A333" s="177" t="n">
        <v>44528</v>
      </c>
      <c r="B333" s="177" t="n">
        <v>44523</v>
      </c>
      <c r="C333" s="177" t="n">
        <v>44529</v>
      </c>
      <c r="D333" t="inlineStr">
        <is>
          <t>BW20211123</t>
        </is>
      </c>
      <c r="E333" t="n">
        <v>2021</v>
      </c>
      <c r="F333" t="inlineStr">
        <is>
          <t>Listopad</t>
        </is>
      </c>
      <c r="G333" t="inlineStr">
        <is>
          <t>Nd</t>
        </is>
      </c>
      <c r="H333">
        <f>'Floor Hours Engine'!$E$6</f>
        <v/>
      </c>
      <c r="I333" t="inlineStr">
        <is>
          <t>W5</t>
        </is>
      </c>
      <c r="J333" t="inlineStr">
        <is>
          <t>2021_Listopad_W5</t>
        </is>
      </c>
    </row>
    <row r="334" ht="17.25" customHeight="1">
      <c r="A334" s="177" t="n">
        <v>44529</v>
      </c>
      <c r="B334" s="177" t="n">
        <v>44523</v>
      </c>
      <c r="C334" s="177" t="n">
        <v>44529</v>
      </c>
      <c r="D334" t="inlineStr">
        <is>
          <t>BW20211123</t>
        </is>
      </c>
      <c r="E334" t="n">
        <v>2021</v>
      </c>
      <c r="F334" t="inlineStr">
        <is>
          <t>Listopad</t>
        </is>
      </c>
      <c r="G334" t="inlineStr">
        <is>
          <t>Pn</t>
        </is>
      </c>
      <c r="H334">
        <f>'Floor Hours Engine'!$E$4</f>
        <v/>
      </c>
      <c r="I334" t="inlineStr">
        <is>
          <t>W5</t>
        </is>
      </c>
      <c r="J334" t="inlineStr">
        <is>
          <t>2021_Listopad_W5</t>
        </is>
      </c>
    </row>
    <row r="335" ht="17.25" customHeight="1">
      <c r="A335" s="177" t="n">
        <v>44530</v>
      </c>
      <c r="B335" s="177" t="n">
        <v>44530</v>
      </c>
      <c r="C335" s="177" t="n">
        <v>44536</v>
      </c>
      <c r="D335" t="inlineStr">
        <is>
          <t>BW20211130</t>
        </is>
      </c>
      <c r="E335" t="n">
        <v>2021</v>
      </c>
      <c r="F335" t="inlineStr">
        <is>
          <t>Listopad</t>
        </is>
      </c>
      <c r="G335" t="inlineStr">
        <is>
          <t>Wt</t>
        </is>
      </c>
      <c r="H335">
        <f>'Floor Hours Engine'!$E$4</f>
        <v/>
      </c>
      <c r="I335" t="inlineStr">
        <is>
          <t>W6</t>
        </is>
      </c>
      <c r="J335" t="inlineStr">
        <is>
          <t>2021_Listopad_W6</t>
        </is>
      </c>
    </row>
    <row r="336" ht="17.25" customHeight="1">
      <c r="A336" s="177" t="n">
        <v>44531</v>
      </c>
      <c r="B336" s="177" t="n">
        <v>44530</v>
      </c>
      <c r="C336" s="177" t="n">
        <v>44536</v>
      </c>
      <c r="D336" t="inlineStr">
        <is>
          <t>BW20211130</t>
        </is>
      </c>
      <c r="E336" t="n">
        <v>2021</v>
      </c>
      <c r="F336" t="inlineStr">
        <is>
          <t>Grudzień</t>
        </is>
      </c>
      <c r="G336" t="inlineStr">
        <is>
          <t>Śr</t>
        </is>
      </c>
      <c r="H336">
        <f>'Floor Hours Engine'!$E$4</f>
        <v/>
      </c>
      <c r="I336" t="inlineStr">
        <is>
          <t>W1</t>
        </is>
      </c>
      <c r="J336" t="inlineStr">
        <is>
          <t>2021_Grudzień_W1</t>
        </is>
      </c>
    </row>
    <row r="337" ht="17.25" customHeight="1">
      <c r="A337" s="177" t="n">
        <v>44532</v>
      </c>
      <c r="B337" s="177" t="n">
        <v>44530</v>
      </c>
      <c r="C337" s="177" t="n">
        <v>44536</v>
      </c>
      <c r="D337" t="inlineStr">
        <is>
          <t>BW20211130</t>
        </is>
      </c>
      <c r="E337" t="n">
        <v>2021</v>
      </c>
      <c r="F337" t="inlineStr">
        <is>
          <t>Grudzień</t>
        </is>
      </c>
      <c r="G337" t="inlineStr">
        <is>
          <t>Czw</t>
        </is>
      </c>
      <c r="H337">
        <f>'Floor Hours Engine'!$E$4</f>
        <v/>
      </c>
      <c r="I337" t="inlineStr">
        <is>
          <t>W1</t>
        </is>
      </c>
      <c r="J337" t="inlineStr">
        <is>
          <t>2021_Grudzień_W1</t>
        </is>
      </c>
    </row>
    <row r="338" ht="17.25" customHeight="1">
      <c r="A338" s="177" t="n">
        <v>44533</v>
      </c>
      <c r="B338" s="177" t="n">
        <v>44530</v>
      </c>
      <c r="C338" s="177" t="n">
        <v>44536</v>
      </c>
      <c r="D338" t="inlineStr">
        <is>
          <t>BW20211130</t>
        </is>
      </c>
      <c r="E338" t="n">
        <v>2021</v>
      </c>
      <c r="F338" t="inlineStr">
        <is>
          <t>Grudzień</t>
        </is>
      </c>
      <c r="G338" t="inlineStr">
        <is>
          <t>Pt</t>
        </is>
      </c>
      <c r="H338">
        <f>'Floor Hours Engine'!$E$5</f>
        <v/>
      </c>
      <c r="I338" t="inlineStr">
        <is>
          <t>W1</t>
        </is>
      </c>
      <c r="J338" t="inlineStr">
        <is>
          <t>2021_Grudzień_W1</t>
        </is>
      </c>
    </row>
    <row r="339" ht="17.25" customHeight="1">
      <c r="A339" s="177" t="n">
        <v>44534</v>
      </c>
      <c r="B339" s="177" t="n">
        <v>44530</v>
      </c>
      <c r="C339" s="177" t="n">
        <v>44536</v>
      </c>
      <c r="D339" t="inlineStr">
        <is>
          <t>BW20211130</t>
        </is>
      </c>
      <c r="E339" t="n">
        <v>2021</v>
      </c>
      <c r="F339" t="inlineStr">
        <is>
          <t>Grudzień</t>
        </is>
      </c>
      <c r="G339" t="inlineStr">
        <is>
          <t>Sob</t>
        </is>
      </c>
      <c r="H339">
        <f>'Floor Hours Engine'!$E$5</f>
        <v/>
      </c>
      <c r="I339" t="inlineStr">
        <is>
          <t>W1</t>
        </is>
      </c>
      <c r="J339" t="inlineStr">
        <is>
          <t>2021_Grudzień_W1</t>
        </is>
      </c>
    </row>
    <row r="340" ht="17.25" customHeight="1">
      <c r="A340" s="177" t="n">
        <v>44535</v>
      </c>
      <c r="B340" s="177" t="n">
        <v>44530</v>
      </c>
      <c r="C340" s="177" t="n">
        <v>44536</v>
      </c>
      <c r="D340" t="inlineStr">
        <is>
          <t>BW20211130</t>
        </is>
      </c>
      <c r="E340" t="n">
        <v>2021</v>
      </c>
      <c r="F340" t="inlineStr">
        <is>
          <t>Grudzień</t>
        </is>
      </c>
      <c r="G340" t="inlineStr">
        <is>
          <t>Nd</t>
        </is>
      </c>
      <c r="H340">
        <f>'Floor Hours Engine'!$E$6</f>
        <v/>
      </c>
      <c r="I340" t="inlineStr">
        <is>
          <t>W1</t>
        </is>
      </c>
      <c r="J340" t="inlineStr">
        <is>
          <t>2021_Grudzień_W1</t>
        </is>
      </c>
    </row>
    <row r="341" ht="17.25" customHeight="1">
      <c r="A341" s="177" t="n">
        <v>44536</v>
      </c>
      <c r="B341" s="177" t="n">
        <v>44530</v>
      </c>
      <c r="C341" s="177" t="n">
        <v>44536</v>
      </c>
      <c r="D341" t="inlineStr">
        <is>
          <t>BW20211130</t>
        </is>
      </c>
      <c r="E341" t="n">
        <v>2021</v>
      </c>
      <c r="F341" t="inlineStr">
        <is>
          <t>Grudzień</t>
        </is>
      </c>
      <c r="G341" t="inlineStr">
        <is>
          <t>Pn</t>
        </is>
      </c>
      <c r="H341">
        <f>'Floor Hours Engine'!$E$4</f>
        <v/>
      </c>
      <c r="I341" t="inlineStr">
        <is>
          <t>W1</t>
        </is>
      </c>
      <c r="J341" t="inlineStr">
        <is>
          <t>2021_Grudzień_W1</t>
        </is>
      </c>
    </row>
    <row r="342" ht="17.25" customHeight="1">
      <c r="A342" s="177" t="n">
        <v>44537</v>
      </c>
      <c r="B342" s="177" t="n">
        <v>44537</v>
      </c>
      <c r="C342" s="177" t="n">
        <v>44543</v>
      </c>
      <c r="D342" t="inlineStr">
        <is>
          <t>BW20211207</t>
        </is>
      </c>
      <c r="E342" t="n">
        <v>2021</v>
      </c>
      <c r="F342" t="inlineStr">
        <is>
          <t>Grudzień</t>
        </is>
      </c>
      <c r="G342" t="inlineStr">
        <is>
          <t>Wt</t>
        </is>
      </c>
      <c r="H342">
        <f>'Floor Hours Engine'!$E$4</f>
        <v/>
      </c>
      <c r="I342" t="inlineStr">
        <is>
          <t>W2</t>
        </is>
      </c>
      <c r="J342" t="inlineStr">
        <is>
          <t>2021_Grudzień_W2</t>
        </is>
      </c>
    </row>
    <row r="343" ht="17.25" customHeight="1">
      <c r="A343" s="177" t="n">
        <v>44538</v>
      </c>
      <c r="B343" s="177" t="n">
        <v>44537</v>
      </c>
      <c r="C343" s="177" t="n">
        <v>44543</v>
      </c>
      <c r="D343" t="inlineStr">
        <is>
          <t>BW20211207</t>
        </is>
      </c>
      <c r="E343" t="n">
        <v>2021</v>
      </c>
      <c r="F343" t="inlineStr">
        <is>
          <t>Grudzień</t>
        </is>
      </c>
      <c r="G343" t="inlineStr">
        <is>
          <t>Śr</t>
        </is>
      </c>
      <c r="H343">
        <f>'Floor Hours Engine'!$E$4</f>
        <v/>
      </c>
      <c r="I343" t="inlineStr">
        <is>
          <t>W2</t>
        </is>
      </c>
      <c r="J343" t="inlineStr">
        <is>
          <t>2021_Grudzień_W2</t>
        </is>
      </c>
    </row>
    <row r="344" ht="17.25" customHeight="1">
      <c r="A344" s="177" t="n">
        <v>44539</v>
      </c>
      <c r="B344" s="177" t="n">
        <v>44537</v>
      </c>
      <c r="C344" s="177" t="n">
        <v>44543</v>
      </c>
      <c r="D344" t="inlineStr">
        <is>
          <t>BW20211207</t>
        </is>
      </c>
      <c r="E344" t="n">
        <v>2021</v>
      </c>
      <c r="F344" t="inlineStr">
        <is>
          <t>Grudzień</t>
        </is>
      </c>
      <c r="G344" t="inlineStr">
        <is>
          <t>Czw</t>
        </is>
      </c>
      <c r="H344">
        <f>'Floor Hours Engine'!$E$4</f>
        <v/>
      </c>
      <c r="I344" t="inlineStr">
        <is>
          <t>W2</t>
        </is>
      </c>
      <c r="J344" t="inlineStr">
        <is>
          <t>2021_Grudzień_W2</t>
        </is>
      </c>
    </row>
    <row r="345" ht="17.25" customHeight="1">
      <c r="A345" s="177" t="n">
        <v>44540</v>
      </c>
      <c r="B345" s="177" t="n">
        <v>44537</v>
      </c>
      <c r="C345" s="177" t="n">
        <v>44543</v>
      </c>
      <c r="D345" t="inlineStr">
        <is>
          <t>BW20211207</t>
        </is>
      </c>
      <c r="E345" t="n">
        <v>2021</v>
      </c>
      <c r="F345" t="inlineStr">
        <is>
          <t>Grudzień</t>
        </is>
      </c>
      <c r="G345" t="inlineStr">
        <is>
          <t>Pt</t>
        </is>
      </c>
      <c r="H345">
        <f>'Floor Hours Engine'!$E$5</f>
        <v/>
      </c>
      <c r="I345" t="inlineStr">
        <is>
          <t>W2</t>
        </is>
      </c>
      <c r="J345" t="inlineStr">
        <is>
          <t>2021_Grudzień_W2</t>
        </is>
      </c>
    </row>
    <row r="346" ht="17.25" customHeight="1">
      <c r="A346" s="177" t="n">
        <v>44541</v>
      </c>
      <c r="B346" s="177" t="n">
        <v>44537</v>
      </c>
      <c r="C346" s="177" t="n">
        <v>44543</v>
      </c>
      <c r="D346" t="inlineStr">
        <is>
          <t>BW20211207</t>
        </is>
      </c>
      <c r="E346" t="n">
        <v>2021</v>
      </c>
      <c r="F346" t="inlineStr">
        <is>
          <t>Grudzień</t>
        </is>
      </c>
      <c r="G346" t="inlineStr">
        <is>
          <t>Sob</t>
        </is>
      </c>
      <c r="H346">
        <f>'Floor Hours Engine'!$E$5</f>
        <v/>
      </c>
      <c r="I346" t="inlineStr">
        <is>
          <t>W2</t>
        </is>
      </c>
      <c r="J346" t="inlineStr">
        <is>
          <t>2021_Grudzień_W2</t>
        </is>
      </c>
    </row>
    <row r="347" ht="17.25" customHeight="1">
      <c r="A347" s="177" t="n">
        <v>44542</v>
      </c>
      <c r="B347" s="177" t="n">
        <v>44537</v>
      </c>
      <c r="C347" s="177" t="n">
        <v>44543</v>
      </c>
      <c r="D347" t="inlineStr">
        <is>
          <t>BW20211207</t>
        </is>
      </c>
      <c r="E347" t="n">
        <v>2021</v>
      </c>
      <c r="F347" t="inlineStr">
        <is>
          <t>Grudzień</t>
        </is>
      </c>
      <c r="G347" t="inlineStr">
        <is>
          <t>Nd</t>
        </is>
      </c>
      <c r="H347">
        <f>'Floor Hours Engine'!$E$6</f>
        <v/>
      </c>
      <c r="I347" t="inlineStr">
        <is>
          <t>W2</t>
        </is>
      </c>
      <c r="J347" t="inlineStr">
        <is>
          <t>2021_Grudzień_W2</t>
        </is>
      </c>
    </row>
    <row r="348" ht="17.25" customHeight="1">
      <c r="A348" s="177" t="n">
        <v>44543</v>
      </c>
      <c r="B348" s="177" t="n">
        <v>44537</v>
      </c>
      <c r="C348" s="177" t="n">
        <v>44543</v>
      </c>
      <c r="D348" t="inlineStr">
        <is>
          <t>BW20211207</t>
        </is>
      </c>
      <c r="E348" t="n">
        <v>2021</v>
      </c>
      <c r="F348" t="inlineStr">
        <is>
          <t>Grudzień</t>
        </is>
      </c>
      <c r="G348" t="inlineStr">
        <is>
          <t>Pn</t>
        </is>
      </c>
      <c r="H348">
        <f>'Floor Hours Engine'!$E$4</f>
        <v/>
      </c>
      <c r="I348" t="inlineStr">
        <is>
          <t>W2</t>
        </is>
      </c>
      <c r="J348" t="inlineStr">
        <is>
          <t>2021_Grudzień_W2</t>
        </is>
      </c>
    </row>
    <row r="349" ht="17.25" customHeight="1">
      <c r="A349" s="177" t="n">
        <v>44544</v>
      </c>
      <c r="B349" s="177" t="n">
        <v>44544</v>
      </c>
      <c r="C349" s="177" t="n">
        <v>44550</v>
      </c>
      <c r="D349" t="inlineStr">
        <is>
          <t>BW20211214</t>
        </is>
      </c>
      <c r="E349" t="n">
        <v>2021</v>
      </c>
      <c r="F349" t="inlineStr">
        <is>
          <t>Grudzień</t>
        </is>
      </c>
      <c r="G349" t="inlineStr">
        <is>
          <t>Wt</t>
        </is>
      </c>
      <c r="H349">
        <f>'Floor Hours Engine'!$E$4</f>
        <v/>
      </c>
      <c r="I349" t="inlineStr">
        <is>
          <t>W3</t>
        </is>
      </c>
      <c r="J349" t="inlineStr">
        <is>
          <t>2021_Grudzień_W3</t>
        </is>
      </c>
    </row>
    <row r="350" ht="17.25" customHeight="1">
      <c r="A350" s="177" t="n">
        <v>44545</v>
      </c>
      <c r="B350" s="177" t="n">
        <v>44544</v>
      </c>
      <c r="C350" s="177" t="n">
        <v>44550</v>
      </c>
      <c r="D350" t="inlineStr">
        <is>
          <t>BW20211214</t>
        </is>
      </c>
      <c r="E350" t="n">
        <v>2021</v>
      </c>
      <c r="F350" t="inlineStr">
        <is>
          <t>Grudzień</t>
        </is>
      </c>
      <c r="G350" t="inlineStr">
        <is>
          <t>Śr</t>
        </is>
      </c>
      <c r="H350">
        <f>'Floor Hours Engine'!$E$4</f>
        <v/>
      </c>
      <c r="I350" t="inlineStr">
        <is>
          <t>W3</t>
        </is>
      </c>
      <c r="J350" t="inlineStr">
        <is>
          <t>2021_Grudzień_W3</t>
        </is>
      </c>
    </row>
    <row r="351" ht="17.25" customHeight="1">
      <c r="A351" s="177" t="n">
        <v>44546</v>
      </c>
      <c r="B351" s="177" t="n">
        <v>44544</v>
      </c>
      <c r="C351" s="177" t="n">
        <v>44550</v>
      </c>
      <c r="D351" t="inlineStr">
        <is>
          <t>BW20211214</t>
        </is>
      </c>
      <c r="E351" t="n">
        <v>2021</v>
      </c>
      <c r="F351" t="inlineStr">
        <is>
          <t>Grudzień</t>
        </is>
      </c>
      <c r="G351" t="inlineStr">
        <is>
          <t>Czw</t>
        </is>
      </c>
      <c r="H351">
        <f>'Floor Hours Engine'!$E$4</f>
        <v/>
      </c>
      <c r="I351" t="inlineStr">
        <is>
          <t>W3</t>
        </is>
      </c>
      <c r="J351" t="inlineStr">
        <is>
          <t>2021_Grudzień_W3</t>
        </is>
      </c>
    </row>
    <row r="352" ht="17.25" customHeight="1">
      <c r="A352" s="177" t="n">
        <v>44547</v>
      </c>
      <c r="B352" s="177" t="n">
        <v>44544</v>
      </c>
      <c r="C352" s="177" t="n">
        <v>44550</v>
      </c>
      <c r="D352" t="inlineStr">
        <is>
          <t>BW20211214</t>
        </is>
      </c>
      <c r="E352" t="n">
        <v>2021</v>
      </c>
      <c r="F352" t="inlineStr">
        <is>
          <t>Grudzień</t>
        </is>
      </c>
      <c r="G352" t="inlineStr">
        <is>
          <t>Pt</t>
        </is>
      </c>
      <c r="H352">
        <f>'Floor Hours Engine'!$E$5</f>
        <v/>
      </c>
      <c r="I352" t="inlineStr">
        <is>
          <t>W3</t>
        </is>
      </c>
      <c r="J352" t="inlineStr">
        <is>
          <t>2021_Grudzień_W3</t>
        </is>
      </c>
    </row>
    <row r="353" ht="17.25" customHeight="1">
      <c r="A353" s="177" t="n">
        <v>44548</v>
      </c>
      <c r="B353" s="177" t="n">
        <v>44544</v>
      </c>
      <c r="C353" s="177" t="n">
        <v>44550</v>
      </c>
      <c r="D353" t="inlineStr">
        <is>
          <t>BW20211214</t>
        </is>
      </c>
      <c r="E353" t="n">
        <v>2021</v>
      </c>
      <c r="F353" t="inlineStr">
        <is>
          <t>Grudzień</t>
        </is>
      </c>
      <c r="G353" t="inlineStr">
        <is>
          <t>Sob</t>
        </is>
      </c>
      <c r="H353">
        <f>'Floor Hours Engine'!$E$5</f>
        <v/>
      </c>
      <c r="I353" t="inlineStr">
        <is>
          <t>W3</t>
        </is>
      </c>
      <c r="J353" t="inlineStr">
        <is>
          <t>2021_Grudzień_W3</t>
        </is>
      </c>
    </row>
    <row r="354" ht="17.25" customHeight="1">
      <c r="A354" s="177" t="n">
        <v>44549</v>
      </c>
      <c r="B354" s="177" t="n">
        <v>44544</v>
      </c>
      <c r="C354" s="177" t="n">
        <v>44550</v>
      </c>
      <c r="D354" t="inlineStr">
        <is>
          <t>BW20211214</t>
        </is>
      </c>
      <c r="E354" t="n">
        <v>2021</v>
      </c>
      <c r="F354" t="inlineStr">
        <is>
          <t>Grudzień</t>
        </is>
      </c>
      <c r="G354" t="inlineStr">
        <is>
          <t>Nd</t>
        </is>
      </c>
      <c r="H354">
        <f>'Floor Hours Engine'!$E$6</f>
        <v/>
      </c>
      <c r="I354" t="inlineStr">
        <is>
          <t>W3</t>
        </is>
      </c>
      <c r="J354" t="inlineStr">
        <is>
          <t>2021_Grudzień_W3</t>
        </is>
      </c>
    </row>
    <row r="355" ht="17.25" customHeight="1">
      <c r="A355" s="177" t="n">
        <v>44550</v>
      </c>
      <c r="B355" s="177" t="n">
        <v>44544</v>
      </c>
      <c r="C355" s="177" t="n">
        <v>44550</v>
      </c>
      <c r="D355" t="inlineStr">
        <is>
          <t>BW20211214</t>
        </is>
      </c>
      <c r="E355" t="n">
        <v>2021</v>
      </c>
      <c r="F355" t="inlineStr">
        <is>
          <t>Grudzień</t>
        </is>
      </c>
      <c r="G355" t="inlineStr">
        <is>
          <t>Pn</t>
        </is>
      </c>
      <c r="H355">
        <f>'Floor Hours Engine'!$E$4</f>
        <v/>
      </c>
      <c r="I355" t="inlineStr">
        <is>
          <t>W3</t>
        </is>
      </c>
      <c r="J355" t="inlineStr">
        <is>
          <t>2021_Grudzień_W3</t>
        </is>
      </c>
    </row>
    <row r="356" ht="17.25" customHeight="1">
      <c r="A356" s="177" t="n">
        <v>44551</v>
      </c>
      <c r="B356" s="177" t="n">
        <v>44551</v>
      </c>
      <c r="C356" s="177" t="n">
        <v>44557</v>
      </c>
      <c r="D356" t="inlineStr">
        <is>
          <t>BW20211221</t>
        </is>
      </c>
      <c r="E356" t="n">
        <v>2021</v>
      </c>
      <c r="F356" t="inlineStr">
        <is>
          <t>Grudzień</t>
        </is>
      </c>
      <c r="G356" t="inlineStr">
        <is>
          <t>Wt</t>
        </is>
      </c>
      <c r="H356">
        <f>'Floor Hours Engine'!$E$4</f>
        <v/>
      </c>
      <c r="I356" t="inlineStr">
        <is>
          <t>W4</t>
        </is>
      </c>
      <c r="J356" t="inlineStr">
        <is>
          <t>2021_Grudzień_W4</t>
        </is>
      </c>
    </row>
    <row r="357" ht="17.25" customHeight="1">
      <c r="A357" s="177" t="n">
        <v>44552</v>
      </c>
      <c r="B357" s="177" t="n">
        <v>44551</v>
      </c>
      <c r="C357" s="177" t="n">
        <v>44557</v>
      </c>
      <c r="D357" t="inlineStr">
        <is>
          <t>BW20211221</t>
        </is>
      </c>
      <c r="E357" t="n">
        <v>2021</v>
      </c>
      <c r="F357" t="inlineStr">
        <is>
          <t>Grudzień</t>
        </is>
      </c>
      <c r="G357" t="inlineStr">
        <is>
          <t>Śr</t>
        </is>
      </c>
      <c r="H357">
        <f>'Floor Hours Engine'!$E$4</f>
        <v/>
      </c>
      <c r="I357" t="inlineStr">
        <is>
          <t>W4</t>
        </is>
      </c>
      <c r="J357" t="inlineStr">
        <is>
          <t>2021_Grudzień_W4</t>
        </is>
      </c>
    </row>
    <row r="358" ht="17.25" customHeight="1">
      <c r="A358" s="177" t="n">
        <v>44553</v>
      </c>
      <c r="B358" s="177" t="n">
        <v>44551</v>
      </c>
      <c r="C358" s="177" t="n">
        <v>44557</v>
      </c>
      <c r="D358" t="inlineStr">
        <is>
          <t>BW20211221</t>
        </is>
      </c>
      <c r="E358" t="n">
        <v>2021</v>
      </c>
      <c r="F358" t="inlineStr">
        <is>
          <t>Grudzień</t>
        </is>
      </c>
      <c r="G358" t="inlineStr">
        <is>
          <t>Czw</t>
        </is>
      </c>
      <c r="H358">
        <f>'Floor Hours Engine'!$E$4</f>
        <v/>
      </c>
      <c r="I358" t="inlineStr">
        <is>
          <t>W4</t>
        </is>
      </c>
      <c r="J358" t="inlineStr">
        <is>
          <t>2021_Grudzień_W4</t>
        </is>
      </c>
    </row>
    <row r="359" ht="17.25" customHeight="1">
      <c r="A359" s="177" t="n">
        <v>44554</v>
      </c>
      <c r="B359" s="177" t="n">
        <v>44551</v>
      </c>
      <c r="C359" s="177" t="n">
        <v>44557</v>
      </c>
      <c r="D359" t="inlineStr">
        <is>
          <t>BW20211221</t>
        </is>
      </c>
      <c r="E359" t="n">
        <v>2021</v>
      </c>
      <c r="F359" t="inlineStr">
        <is>
          <t>Grudzień</t>
        </is>
      </c>
      <c r="G359" t="inlineStr">
        <is>
          <t>Pt</t>
        </is>
      </c>
      <c r="H359">
        <f>'Floor Hours Engine'!$E$5</f>
        <v/>
      </c>
      <c r="I359" t="inlineStr">
        <is>
          <t>W4</t>
        </is>
      </c>
      <c r="J359" t="inlineStr">
        <is>
          <t>2021_Grudzień_W4</t>
        </is>
      </c>
    </row>
    <row r="360" ht="17.25" customHeight="1">
      <c r="A360" s="177" t="n">
        <v>44555</v>
      </c>
      <c r="B360" s="177" t="n">
        <v>44551</v>
      </c>
      <c r="C360" s="177" t="n">
        <v>44557</v>
      </c>
      <c r="D360" t="inlineStr">
        <is>
          <t>BW20211221</t>
        </is>
      </c>
      <c r="E360" t="n">
        <v>2021</v>
      </c>
      <c r="F360" t="inlineStr">
        <is>
          <t>Grudzień</t>
        </is>
      </c>
      <c r="G360" t="inlineStr">
        <is>
          <t>Sob</t>
        </is>
      </c>
      <c r="H360">
        <f>'Floor Hours Engine'!$E$5</f>
        <v/>
      </c>
      <c r="I360" t="inlineStr">
        <is>
          <t>W4</t>
        </is>
      </c>
      <c r="J360" t="inlineStr">
        <is>
          <t>2021_Grudzień_W4</t>
        </is>
      </c>
    </row>
    <row r="361" ht="17.25" customHeight="1">
      <c r="A361" s="177" t="n">
        <v>44556</v>
      </c>
      <c r="B361" s="177" t="n">
        <v>44551</v>
      </c>
      <c r="C361" s="177" t="n">
        <v>44557</v>
      </c>
      <c r="D361" t="inlineStr">
        <is>
          <t>BW20211221</t>
        </is>
      </c>
      <c r="E361" t="n">
        <v>2021</v>
      </c>
      <c r="F361" t="inlineStr">
        <is>
          <t>Grudzień</t>
        </is>
      </c>
      <c r="G361" t="inlineStr">
        <is>
          <t>Nd</t>
        </is>
      </c>
      <c r="H361">
        <f>'Floor Hours Engine'!$E$6</f>
        <v/>
      </c>
      <c r="I361" t="inlineStr">
        <is>
          <t>W4</t>
        </is>
      </c>
      <c r="J361" t="inlineStr">
        <is>
          <t>2021_Grudzień_W4</t>
        </is>
      </c>
    </row>
    <row r="362" ht="17.25" customHeight="1">
      <c r="A362" s="177" t="n">
        <v>44557</v>
      </c>
      <c r="B362" s="177" t="n">
        <v>44551</v>
      </c>
      <c r="C362" s="177" t="n">
        <v>44557</v>
      </c>
      <c r="D362" t="inlineStr">
        <is>
          <t>BW20211221</t>
        </is>
      </c>
      <c r="E362" t="n">
        <v>2021</v>
      </c>
      <c r="F362" t="inlineStr">
        <is>
          <t>Grudzień</t>
        </is>
      </c>
      <c r="G362" t="inlineStr">
        <is>
          <t>Pn</t>
        </is>
      </c>
      <c r="H362">
        <f>'Floor Hours Engine'!$E$4</f>
        <v/>
      </c>
      <c r="I362" t="inlineStr">
        <is>
          <t>W4</t>
        </is>
      </c>
      <c r="J362" t="inlineStr">
        <is>
          <t>2021_Grudzień_W4</t>
        </is>
      </c>
    </row>
    <row r="363" ht="17.25" customHeight="1">
      <c r="A363" s="177" t="n">
        <v>44558</v>
      </c>
      <c r="B363" s="177" t="n">
        <v>44558</v>
      </c>
      <c r="C363" s="177" t="n">
        <v>44564</v>
      </c>
      <c r="D363" t="inlineStr">
        <is>
          <t>BW20211228</t>
        </is>
      </c>
      <c r="E363" t="n">
        <v>2021</v>
      </c>
      <c r="F363" t="inlineStr">
        <is>
          <t>Grudzień</t>
        </is>
      </c>
      <c r="G363" t="inlineStr">
        <is>
          <t>Wt</t>
        </is>
      </c>
      <c r="H363">
        <f>'Floor Hours Engine'!$E$4</f>
        <v/>
      </c>
      <c r="I363" t="inlineStr">
        <is>
          <t>W5</t>
        </is>
      </c>
      <c r="J363" t="inlineStr">
        <is>
          <t>2021_Grudzień_W5</t>
        </is>
      </c>
    </row>
    <row r="364" ht="17.25" customHeight="1">
      <c r="A364" s="177" t="n">
        <v>44559</v>
      </c>
      <c r="B364" s="177" t="n">
        <v>44558</v>
      </c>
      <c r="C364" s="177" t="n">
        <v>44564</v>
      </c>
      <c r="D364" t="inlineStr">
        <is>
          <t>BW20211228</t>
        </is>
      </c>
      <c r="E364" t="n">
        <v>2021</v>
      </c>
      <c r="F364" t="inlineStr">
        <is>
          <t>Grudzień</t>
        </is>
      </c>
      <c r="G364" t="inlineStr">
        <is>
          <t>Śr</t>
        </is>
      </c>
      <c r="H364">
        <f>'Floor Hours Engine'!$E$4</f>
        <v/>
      </c>
      <c r="I364" t="inlineStr">
        <is>
          <t>W5</t>
        </is>
      </c>
      <c r="J364" t="inlineStr">
        <is>
          <t>2021_Grudzień_W5</t>
        </is>
      </c>
    </row>
    <row r="365" ht="17.25" customHeight="1">
      <c r="A365" s="177" t="n">
        <v>44560</v>
      </c>
      <c r="B365" s="177" t="n">
        <v>44558</v>
      </c>
      <c r="C365" s="177" t="n">
        <v>44564</v>
      </c>
      <c r="D365" t="inlineStr">
        <is>
          <t>BW20211228</t>
        </is>
      </c>
      <c r="E365" t="n">
        <v>2021</v>
      </c>
      <c r="F365" t="inlineStr">
        <is>
          <t>Grudzień</t>
        </is>
      </c>
      <c r="G365" t="inlineStr">
        <is>
          <t>Czw</t>
        </is>
      </c>
      <c r="H365">
        <f>'Floor Hours Engine'!$E$4</f>
        <v/>
      </c>
      <c r="I365" t="inlineStr">
        <is>
          <t>W5</t>
        </is>
      </c>
      <c r="J365" t="inlineStr">
        <is>
          <t>2021_Grudzień_W5</t>
        </is>
      </c>
    </row>
    <row r="366" ht="17.25" customHeight="1">
      <c r="A366" s="177" t="n">
        <v>44561</v>
      </c>
      <c r="B366" s="177" t="n">
        <v>44558</v>
      </c>
      <c r="C366" s="177" t="n">
        <v>44564</v>
      </c>
      <c r="D366" t="inlineStr">
        <is>
          <t>BW20211228</t>
        </is>
      </c>
      <c r="E366" t="n">
        <v>2021</v>
      </c>
      <c r="F366" t="inlineStr">
        <is>
          <t>Grudzień</t>
        </is>
      </c>
      <c r="G366" t="inlineStr">
        <is>
          <t>Pt</t>
        </is>
      </c>
      <c r="H366">
        <f>'Floor Hours Engine'!$E$5</f>
        <v/>
      </c>
      <c r="I366" t="inlineStr">
        <is>
          <t>W5</t>
        </is>
      </c>
      <c r="J366" t="inlineStr">
        <is>
          <t>2021_Grudzień_W5</t>
        </is>
      </c>
    </row>
    <row r="367">
      <c r="A367" s="177" t="n">
        <v>44562</v>
      </c>
      <c r="B367" s="177" t="n">
        <v>44558</v>
      </c>
      <c r="C367" s="177" t="n">
        <v>44564</v>
      </c>
      <c r="D367" t="inlineStr">
        <is>
          <t>BW20211228</t>
        </is>
      </c>
      <c r="E367" t="n">
        <v>2022</v>
      </c>
      <c r="F367" t="inlineStr">
        <is>
          <t>Styczeń</t>
        </is>
      </c>
      <c r="G367" t="inlineStr">
        <is>
          <t>Sob</t>
        </is>
      </c>
      <c r="H367">
        <f>'Floor Hours Engine'!$E$5</f>
        <v/>
      </c>
      <c r="I367" t="inlineStr">
        <is>
          <t>W1</t>
        </is>
      </c>
      <c r="J367" t="inlineStr">
        <is>
          <t>2022_Styczeń_W1</t>
        </is>
      </c>
    </row>
    <row r="368">
      <c r="A368" s="177" t="n">
        <v>44563</v>
      </c>
      <c r="B368" s="177" t="n">
        <v>44558</v>
      </c>
      <c r="C368" s="177" t="n">
        <v>44564</v>
      </c>
      <c r="D368" t="inlineStr">
        <is>
          <t>BW20211228</t>
        </is>
      </c>
      <c r="E368" t="n">
        <v>2022</v>
      </c>
      <c r="F368" t="inlineStr">
        <is>
          <t>Styczeń</t>
        </is>
      </c>
      <c r="G368" t="inlineStr">
        <is>
          <t>Nd</t>
        </is>
      </c>
      <c r="H368">
        <f>'Floor Hours Engine'!$E$6</f>
        <v/>
      </c>
      <c r="I368" t="inlineStr">
        <is>
          <t>W1</t>
        </is>
      </c>
      <c r="J368" t="inlineStr">
        <is>
          <t>2022_Styczeń_W1</t>
        </is>
      </c>
    </row>
    <row r="369">
      <c r="A369" s="177" t="n">
        <v>44564</v>
      </c>
      <c r="B369" s="177" t="n">
        <v>44558</v>
      </c>
      <c r="C369" s="177" t="n">
        <v>44564</v>
      </c>
      <c r="D369" t="inlineStr">
        <is>
          <t>BW20211228</t>
        </is>
      </c>
      <c r="E369" t="n">
        <v>2022</v>
      </c>
      <c r="F369" t="inlineStr">
        <is>
          <t>Styczeń</t>
        </is>
      </c>
      <c r="G369" t="inlineStr">
        <is>
          <t>Pn</t>
        </is>
      </c>
      <c r="H369">
        <f>'Floor Hours Engine'!$E$4</f>
        <v/>
      </c>
      <c r="I369" t="inlineStr">
        <is>
          <t>W1</t>
        </is>
      </c>
      <c r="J369" t="inlineStr">
        <is>
          <t>2022_Styczeń_W1</t>
        </is>
      </c>
    </row>
    <row r="370">
      <c r="A370" s="177" t="n">
        <v>44565</v>
      </c>
      <c r="B370" s="177" t="n">
        <v>44565</v>
      </c>
      <c r="C370" s="177" t="n">
        <v>44571</v>
      </c>
      <c r="D370" t="inlineStr">
        <is>
          <t>BW20220104</t>
        </is>
      </c>
      <c r="E370" t="n">
        <v>2022</v>
      </c>
      <c r="F370" t="inlineStr">
        <is>
          <t>Styczeń</t>
        </is>
      </c>
      <c r="G370" t="inlineStr">
        <is>
          <t>Wt</t>
        </is>
      </c>
      <c r="H370">
        <f>'Floor Hours Engine'!$E$4</f>
        <v/>
      </c>
      <c r="I370" t="inlineStr">
        <is>
          <t>W2</t>
        </is>
      </c>
      <c r="J370" t="inlineStr">
        <is>
          <t>2022_Styczeń_W2</t>
        </is>
      </c>
    </row>
    <row r="371">
      <c r="A371" s="177" t="n">
        <v>44566</v>
      </c>
      <c r="B371" s="177" t="n">
        <v>44565</v>
      </c>
      <c r="C371" s="177" t="n">
        <v>44571</v>
      </c>
      <c r="D371" t="inlineStr">
        <is>
          <t>BW20220104</t>
        </is>
      </c>
      <c r="E371" t="n">
        <v>2022</v>
      </c>
      <c r="F371" t="inlineStr">
        <is>
          <t>Styczeń</t>
        </is>
      </c>
      <c r="G371" t="inlineStr">
        <is>
          <t>Śr</t>
        </is>
      </c>
      <c r="H371">
        <f>'Floor Hours Engine'!$E$4</f>
        <v/>
      </c>
      <c r="I371" t="inlineStr">
        <is>
          <t>W2</t>
        </is>
      </c>
      <c r="J371" t="inlineStr">
        <is>
          <t>2022_Styczeń_W2</t>
        </is>
      </c>
    </row>
    <row r="372">
      <c r="A372" s="177" t="n">
        <v>44567</v>
      </c>
      <c r="B372" s="177" t="n">
        <v>44565</v>
      </c>
      <c r="C372" s="177" t="n">
        <v>44571</v>
      </c>
      <c r="D372" t="inlineStr">
        <is>
          <t>BW20220104</t>
        </is>
      </c>
      <c r="E372" t="n">
        <v>2022</v>
      </c>
      <c r="F372" t="inlineStr">
        <is>
          <t>Styczeń</t>
        </is>
      </c>
      <c r="G372" t="inlineStr">
        <is>
          <t>Czw</t>
        </is>
      </c>
      <c r="H372">
        <f>'Floor Hours Engine'!$E$4</f>
        <v/>
      </c>
      <c r="I372" t="inlineStr">
        <is>
          <t>W2</t>
        </is>
      </c>
      <c r="J372" t="inlineStr">
        <is>
          <t>2022_Styczeń_W2</t>
        </is>
      </c>
    </row>
    <row r="373">
      <c r="A373" s="177" t="n">
        <v>44568</v>
      </c>
      <c r="B373" s="177" t="n">
        <v>44565</v>
      </c>
      <c r="C373" s="177" t="n">
        <v>44571</v>
      </c>
      <c r="D373" t="inlineStr">
        <is>
          <t>BW20220104</t>
        </is>
      </c>
      <c r="E373" t="n">
        <v>2022</v>
      </c>
      <c r="F373" t="inlineStr">
        <is>
          <t>Styczeń</t>
        </is>
      </c>
      <c r="G373" t="inlineStr">
        <is>
          <t>Pt</t>
        </is>
      </c>
      <c r="H373">
        <f>'Floor Hours Engine'!$E$5</f>
        <v/>
      </c>
      <c r="I373" t="inlineStr">
        <is>
          <t>W2</t>
        </is>
      </c>
      <c r="J373" t="inlineStr">
        <is>
          <t>2022_Styczeń_W2</t>
        </is>
      </c>
    </row>
    <row r="374">
      <c r="A374" s="177" t="n">
        <v>44569</v>
      </c>
      <c r="B374" s="177" t="n">
        <v>44565</v>
      </c>
      <c r="C374" s="177" t="n">
        <v>44571</v>
      </c>
      <c r="D374" t="inlineStr">
        <is>
          <t>BW20220104</t>
        </is>
      </c>
      <c r="E374" t="n">
        <v>2022</v>
      </c>
      <c r="F374" t="inlineStr">
        <is>
          <t>Styczeń</t>
        </is>
      </c>
      <c r="G374" t="inlineStr">
        <is>
          <t>Sob</t>
        </is>
      </c>
      <c r="H374">
        <f>'Floor Hours Engine'!$E$5</f>
        <v/>
      </c>
      <c r="I374" t="inlineStr">
        <is>
          <t>W2</t>
        </is>
      </c>
      <c r="J374" t="inlineStr">
        <is>
          <t>2022_Styczeń_W2</t>
        </is>
      </c>
    </row>
    <row r="375">
      <c r="A375" s="177" t="n">
        <v>44570</v>
      </c>
      <c r="B375" s="177" t="n">
        <v>44565</v>
      </c>
      <c r="C375" s="177" t="n">
        <v>44571</v>
      </c>
      <c r="D375" t="inlineStr">
        <is>
          <t>BW20220104</t>
        </is>
      </c>
      <c r="E375" t="n">
        <v>2022</v>
      </c>
      <c r="F375" t="inlineStr">
        <is>
          <t>Styczeń</t>
        </is>
      </c>
      <c r="G375" t="inlineStr">
        <is>
          <t>Nd</t>
        </is>
      </c>
      <c r="H375">
        <f>'Floor Hours Engine'!$E$6</f>
        <v/>
      </c>
      <c r="I375" t="inlineStr">
        <is>
          <t>W2</t>
        </is>
      </c>
      <c r="J375" t="inlineStr">
        <is>
          <t>2022_Styczeń_W2</t>
        </is>
      </c>
    </row>
    <row r="376">
      <c r="A376" s="177" t="n">
        <v>44571</v>
      </c>
      <c r="B376" s="177" t="n">
        <v>44565</v>
      </c>
      <c r="C376" s="177" t="n">
        <v>44571</v>
      </c>
      <c r="D376" t="inlineStr">
        <is>
          <t>BW20220104</t>
        </is>
      </c>
      <c r="E376" t="n">
        <v>2022</v>
      </c>
      <c r="F376" t="inlineStr">
        <is>
          <t>Styczeń</t>
        </is>
      </c>
      <c r="G376" t="inlineStr">
        <is>
          <t>Pn</t>
        </is>
      </c>
      <c r="H376">
        <f>'Floor Hours Engine'!$E$4</f>
        <v/>
      </c>
      <c r="I376" t="inlineStr">
        <is>
          <t>W2</t>
        </is>
      </c>
      <c r="J376" t="inlineStr">
        <is>
          <t>2022_Styczeń_W2</t>
        </is>
      </c>
    </row>
    <row r="377">
      <c r="A377" s="177" t="n">
        <v>44572</v>
      </c>
      <c r="B377" s="177" t="n">
        <v>44572</v>
      </c>
      <c r="C377" s="177" t="n">
        <v>44578</v>
      </c>
      <c r="D377" t="inlineStr">
        <is>
          <t>BW20220111</t>
        </is>
      </c>
      <c r="E377" t="n">
        <v>2022</v>
      </c>
      <c r="F377" t="inlineStr">
        <is>
          <t>Styczeń</t>
        </is>
      </c>
      <c r="G377" t="inlineStr">
        <is>
          <t>Wt</t>
        </is>
      </c>
      <c r="H377">
        <f>'Floor Hours Engine'!$E$4</f>
        <v/>
      </c>
      <c r="I377" t="inlineStr">
        <is>
          <t>W3</t>
        </is>
      </c>
      <c r="J377" t="inlineStr">
        <is>
          <t>2022_Styczeń_W3</t>
        </is>
      </c>
    </row>
    <row r="378">
      <c r="A378" s="177" t="n">
        <v>44573</v>
      </c>
      <c r="B378" s="177" t="n">
        <v>44572</v>
      </c>
      <c r="C378" s="177" t="n">
        <v>44578</v>
      </c>
      <c r="D378" t="inlineStr">
        <is>
          <t>BW20220111</t>
        </is>
      </c>
      <c r="E378" t="n">
        <v>2022</v>
      </c>
      <c r="F378" t="inlineStr">
        <is>
          <t>Styczeń</t>
        </is>
      </c>
      <c r="G378" t="inlineStr">
        <is>
          <t>Śr</t>
        </is>
      </c>
      <c r="H378">
        <f>'Floor Hours Engine'!$E$4</f>
        <v/>
      </c>
      <c r="I378" t="inlineStr">
        <is>
          <t>W3</t>
        </is>
      </c>
      <c r="J378" t="inlineStr">
        <is>
          <t>2022_Styczeń_W3</t>
        </is>
      </c>
    </row>
    <row r="379">
      <c r="A379" s="177" t="n">
        <v>44574</v>
      </c>
      <c r="B379" s="177" t="n">
        <v>44572</v>
      </c>
      <c r="C379" s="177" t="n">
        <v>44578</v>
      </c>
      <c r="D379" t="inlineStr">
        <is>
          <t>BW20220111</t>
        </is>
      </c>
      <c r="E379" t="n">
        <v>2022</v>
      </c>
      <c r="F379" t="inlineStr">
        <is>
          <t>Styczeń</t>
        </is>
      </c>
      <c r="G379" t="inlineStr">
        <is>
          <t>Czw</t>
        </is>
      </c>
      <c r="H379">
        <f>'Floor Hours Engine'!$E$4</f>
        <v/>
      </c>
      <c r="I379" t="inlineStr">
        <is>
          <t>W3</t>
        </is>
      </c>
      <c r="J379" t="inlineStr">
        <is>
          <t>2022_Styczeń_W3</t>
        </is>
      </c>
    </row>
    <row r="380">
      <c r="A380" s="177" t="n">
        <v>44575</v>
      </c>
      <c r="B380" s="177" t="n">
        <v>44572</v>
      </c>
      <c r="C380" s="177" t="n">
        <v>44578</v>
      </c>
      <c r="D380" t="inlineStr">
        <is>
          <t>BW20220111</t>
        </is>
      </c>
      <c r="E380" t="n">
        <v>2022</v>
      </c>
      <c r="F380" t="inlineStr">
        <is>
          <t>Styczeń</t>
        </is>
      </c>
      <c r="G380" t="inlineStr">
        <is>
          <t>Pt</t>
        </is>
      </c>
      <c r="H380">
        <f>'Floor Hours Engine'!$E$5</f>
        <v/>
      </c>
      <c r="I380" t="inlineStr">
        <is>
          <t>W3</t>
        </is>
      </c>
      <c r="J380" t="inlineStr">
        <is>
          <t>2022_Styczeń_W3</t>
        </is>
      </c>
    </row>
    <row r="381">
      <c r="A381" s="177" t="n">
        <v>44576</v>
      </c>
      <c r="B381" s="177" t="n">
        <v>44572</v>
      </c>
      <c r="C381" s="177" t="n">
        <v>44578</v>
      </c>
      <c r="D381" t="inlineStr">
        <is>
          <t>BW20220111</t>
        </is>
      </c>
      <c r="E381" t="n">
        <v>2022</v>
      </c>
      <c r="F381" t="inlineStr">
        <is>
          <t>Styczeń</t>
        </is>
      </c>
      <c r="G381" t="inlineStr">
        <is>
          <t>Sob</t>
        </is>
      </c>
      <c r="H381">
        <f>'Floor Hours Engine'!$E$5</f>
        <v/>
      </c>
      <c r="I381" t="inlineStr">
        <is>
          <t>W3</t>
        </is>
      </c>
      <c r="J381" t="inlineStr">
        <is>
          <t>2022_Styczeń_W3</t>
        </is>
      </c>
    </row>
    <row r="382">
      <c r="A382" s="177" t="n">
        <v>44577</v>
      </c>
      <c r="B382" s="177" t="n">
        <v>44572</v>
      </c>
      <c r="C382" s="177" t="n">
        <v>44578</v>
      </c>
      <c r="D382" t="inlineStr">
        <is>
          <t>BW20220111</t>
        </is>
      </c>
      <c r="E382" t="n">
        <v>2022</v>
      </c>
      <c r="F382" t="inlineStr">
        <is>
          <t>Styczeń</t>
        </is>
      </c>
      <c r="G382" t="inlineStr">
        <is>
          <t>Nd</t>
        </is>
      </c>
      <c r="H382">
        <f>'Floor Hours Engine'!$E$6</f>
        <v/>
      </c>
      <c r="I382" t="inlineStr">
        <is>
          <t>W3</t>
        </is>
      </c>
      <c r="J382" t="inlineStr">
        <is>
          <t>2022_Styczeń_W3</t>
        </is>
      </c>
    </row>
    <row r="383">
      <c r="A383" s="177" t="n">
        <v>44578</v>
      </c>
      <c r="B383" s="177" t="n">
        <v>44572</v>
      </c>
      <c r="C383" s="177" t="n">
        <v>44578</v>
      </c>
      <c r="D383" t="inlineStr">
        <is>
          <t>BW20220111</t>
        </is>
      </c>
      <c r="E383" t="n">
        <v>2022</v>
      </c>
      <c r="F383" t="inlineStr">
        <is>
          <t>Styczeń</t>
        </is>
      </c>
      <c r="G383" t="inlineStr">
        <is>
          <t>Pn</t>
        </is>
      </c>
      <c r="H383">
        <f>'Floor Hours Engine'!$E$4</f>
        <v/>
      </c>
      <c r="I383" t="inlineStr">
        <is>
          <t>W3</t>
        </is>
      </c>
      <c r="J383" t="inlineStr">
        <is>
          <t>2022_Styczeń_W3</t>
        </is>
      </c>
    </row>
    <row r="384">
      <c r="A384" s="177" t="n">
        <v>44579</v>
      </c>
      <c r="B384" s="177" t="n">
        <v>44579</v>
      </c>
      <c r="C384" s="177" t="n">
        <v>44585</v>
      </c>
      <c r="D384" t="inlineStr">
        <is>
          <t>BW20220118</t>
        </is>
      </c>
      <c r="E384" t="n">
        <v>2022</v>
      </c>
      <c r="F384" t="inlineStr">
        <is>
          <t>Styczeń</t>
        </is>
      </c>
      <c r="G384" t="inlineStr">
        <is>
          <t>Wt</t>
        </is>
      </c>
      <c r="H384">
        <f>'Floor Hours Engine'!$E$4</f>
        <v/>
      </c>
      <c r="I384" t="inlineStr">
        <is>
          <t>W4</t>
        </is>
      </c>
      <c r="J384" t="inlineStr">
        <is>
          <t>2022_Styczeń_W4</t>
        </is>
      </c>
    </row>
    <row r="385">
      <c r="A385" s="177" t="n">
        <v>44580</v>
      </c>
      <c r="B385" s="177" t="n">
        <v>44579</v>
      </c>
      <c r="C385" s="177" t="n">
        <v>44585</v>
      </c>
      <c r="D385" t="inlineStr">
        <is>
          <t>BW20220118</t>
        </is>
      </c>
      <c r="E385" t="n">
        <v>2022</v>
      </c>
      <c r="F385" t="inlineStr">
        <is>
          <t>Styczeń</t>
        </is>
      </c>
      <c r="G385" t="inlineStr">
        <is>
          <t>Śr</t>
        </is>
      </c>
      <c r="H385">
        <f>'Floor Hours Engine'!$E$4</f>
        <v/>
      </c>
      <c r="I385" t="inlineStr">
        <is>
          <t>W4</t>
        </is>
      </c>
      <c r="J385" t="inlineStr">
        <is>
          <t>2022_Styczeń_W4</t>
        </is>
      </c>
    </row>
    <row r="386">
      <c r="A386" s="177" t="n">
        <v>44581</v>
      </c>
      <c r="B386" s="177" t="n">
        <v>44579</v>
      </c>
      <c r="C386" s="177" t="n">
        <v>44585</v>
      </c>
      <c r="D386" t="inlineStr">
        <is>
          <t>BW20220118</t>
        </is>
      </c>
      <c r="E386" t="n">
        <v>2022</v>
      </c>
      <c r="F386" t="inlineStr">
        <is>
          <t>Styczeń</t>
        </is>
      </c>
      <c r="G386" t="inlineStr">
        <is>
          <t>Czw</t>
        </is>
      </c>
      <c r="H386">
        <f>'Floor Hours Engine'!$E$4</f>
        <v/>
      </c>
      <c r="I386" t="inlineStr">
        <is>
          <t>W4</t>
        </is>
      </c>
      <c r="J386" t="inlineStr">
        <is>
          <t>2022_Styczeń_W4</t>
        </is>
      </c>
    </row>
    <row r="387">
      <c r="A387" s="177" t="n">
        <v>44582</v>
      </c>
      <c r="B387" s="177" t="n">
        <v>44579</v>
      </c>
      <c r="C387" s="177" t="n">
        <v>44585</v>
      </c>
      <c r="D387" t="inlineStr">
        <is>
          <t>BW20220118</t>
        </is>
      </c>
      <c r="E387" t="n">
        <v>2022</v>
      </c>
      <c r="F387" t="inlineStr">
        <is>
          <t>Styczeń</t>
        </is>
      </c>
      <c r="G387" t="inlineStr">
        <is>
          <t>Pt</t>
        </is>
      </c>
      <c r="H387">
        <f>'Floor Hours Engine'!$E$5</f>
        <v/>
      </c>
      <c r="I387" t="inlineStr">
        <is>
          <t>W4</t>
        </is>
      </c>
      <c r="J387" t="inlineStr">
        <is>
          <t>2022_Styczeń_W4</t>
        </is>
      </c>
    </row>
    <row r="388">
      <c r="A388" s="177" t="n">
        <v>44583</v>
      </c>
      <c r="B388" s="177" t="n">
        <v>44579</v>
      </c>
      <c r="C388" s="177" t="n">
        <v>44585</v>
      </c>
      <c r="D388" t="inlineStr">
        <is>
          <t>BW20220118</t>
        </is>
      </c>
      <c r="E388" t="n">
        <v>2022</v>
      </c>
      <c r="F388" t="inlineStr">
        <is>
          <t>Styczeń</t>
        </is>
      </c>
      <c r="G388" t="inlineStr">
        <is>
          <t>Sob</t>
        </is>
      </c>
      <c r="H388">
        <f>'Floor Hours Engine'!$E$5</f>
        <v/>
      </c>
      <c r="I388" t="inlineStr">
        <is>
          <t>W4</t>
        </is>
      </c>
      <c r="J388" t="inlineStr">
        <is>
          <t>2022_Styczeń_W4</t>
        </is>
      </c>
    </row>
    <row r="389">
      <c r="A389" s="177" t="n">
        <v>44584</v>
      </c>
      <c r="B389" s="177" t="n">
        <v>44579</v>
      </c>
      <c r="C389" s="177" t="n">
        <v>44585</v>
      </c>
      <c r="D389" t="inlineStr">
        <is>
          <t>BW20220118</t>
        </is>
      </c>
      <c r="E389" t="n">
        <v>2022</v>
      </c>
      <c r="F389" t="inlineStr">
        <is>
          <t>Styczeń</t>
        </is>
      </c>
      <c r="G389" t="inlineStr">
        <is>
          <t>Nd</t>
        </is>
      </c>
      <c r="H389">
        <f>'Floor Hours Engine'!$E$6</f>
        <v/>
      </c>
      <c r="I389" t="inlineStr">
        <is>
          <t>W4</t>
        </is>
      </c>
      <c r="J389" t="inlineStr">
        <is>
          <t>2022_Styczeń_W4</t>
        </is>
      </c>
    </row>
    <row r="390">
      <c r="A390" s="177" t="n">
        <v>44585</v>
      </c>
      <c r="B390" s="177" t="n">
        <v>44579</v>
      </c>
      <c r="C390" s="177" t="n">
        <v>44585</v>
      </c>
      <c r="D390" t="inlineStr">
        <is>
          <t>BW20220118</t>
        </is>
      </c>
      <c r="E390" t="n">
        <v>2022</v>
      </c>
      <c r="F390" t="inlineStr">
        <is>
          <t>Styczeń</t>
        </is>
      </c>
      <c r="G390" t="inlineStr">
        <is>
          <t>Pn</t>
        </is>
      </c>
      <c r="H390">
        <f>'Floor Hours Engine'!$E$4</f>
        <v/>
      </c>
      <c r="I390" t="inlineStr">
        <is>
          <t>W4</t>
        </is>
      </c>
      <c r="J390" t="inlineStr">
        <is>
          <t>2022_Styczeń_W4</t>
        </is>
      </c>
    </row>
    <row r="391">
      <c r="A391" s="177" t="n">
        <v>44586</v>
      </c>
      <c r="B391" s="177" t="n">
        <v>44586</v>
      </c>
      <c r="C391" s="177" t="n">
        <v>44592</v>
      </c>
      <c r="D391" t="inlineStr">
        <is>
          <t>BW20220125</t>
        </is>
      </c>
      <c r="E391" t="n">
        <v>2022</v>
      </c>
      <c r="F391" t="inlineStr">
        <is>
          <t>Styczeń</t>
        </is>
      </c>
      <c r="G391" t="inlineStr">
        <is>
          <t>Wt</t>
        </is>
      </c>
      <c r="H391">
        <f>'Floor Hours Engine'!$E$4</f>
        <v/>
      </c>
      <c r="I391" t="inlineStr">
        <is>
          <t>W5</t>
        </is>
      </c>
      <c r="J391" t="inlineStr">
        <is>
          <t>2022_Styczeń_W5</t>
        </is>
      </c>
    </row>
    <row r="392">
      <c r="A392" s="177" t="n">
        <v>44587</v>
      </c>
      <c r="B392" s="177" t="n">
        <v>44586</v>
      </c>
      <c r="C392" s="177" t="n">
        <v>44592</v>
      </c>
      <c r="D392" t="inlineStr">
        <is>
          <t>BW20220125</t>
        </is>
      </c>
      <c r="E392" t="n">
        <v>2022</v>
      </c>
      <c r="F392" t="inlineStr">
        <is>
          <t>Styczeń</t>
        </is>
      </c>
      <c r="G392" t="inlineStr">
        <is>
          <t>Śr</t>
        </is>
      </c>
      <c r="H392">
        <f>'Floor Hours Engine'!$E$4</f>
        <v/>
      </c>
      <c r="I392" t="inlineStr">
        <is>
          <t>W5</t>
        </is>
      </c>
      <c r="J392" t="inlineStr">
        <is>
          <t>2022_Styczeń_W5</t>
        </is>
      </c>
    </row>
    <row r="393">
      <c r="A393" s="177" t="n">
        <v>44588</v>
      </c>
      <c r="B393" s="177" t="n">
        <v>44586</v>
      </c>
      <c r="C393" s="177" t="n">
        <v>44592</v>
      </c>
      <c r="D393" t="inlineStr">
        <is>
          <t>BW20220125</t>
        </is>
      </c>
      <c r="E393" t="n">
        <v>2022</v>
      </c>
      <c r="F393" t="inlineStr">
        <is>
          <t>Styczeń</t>
        </is>
      </c>
      <c r="G393" t="inlineStr">
        <is>
          <t>Czw</t>
        </is>
      </c>
      <c r="H393">
        <f>'Floor Hours Engine'!$E$4</f>
        <v/>
      </c>
      <c r="I393" t="inlineStr">
        <is>
          <t>W5</t>
        </is>
      </c>
      <c r="J393" t="inlineStr">
        <is>
          <t>2022_Styczeń_W5</t>
        </is>
      </c>
    </row>
    <row r="394">
      <c r="A394" s="177" t="n">
        <v>44589</v>
      </c>
      <c r="B394" s="177" t="n">
        <v>44586</v>
      </c>
      <c r="C394" s="177" t="n">
        <v>44592</v>
      </c>
      <c r="D394" t="inlineStr">
        <is>
          <t>BW20220125</t>
        </is>
      </c>
      <c r="E394" t="n">
        <v>2022</v>
      </c>
      <c r="F394" t="inlineStr">
        <is>
          <t>Styczeń</t>
        </is>
      </c>
      <c r="G394" t="inlineStr">
        <is>
          <t>Pt</t>
        </is>
      </c>
      <c r="H394">
        <f>'Floor Hours Engine'!$E$5</f>
        <v/>
      </c>
      <c r="I394" t="inlineStr">
        <is>
          <t>W5</t>
        </is>
      </c>
      <c r="J394" t="inlineStr">
        <is>
          <t>2022_Styczeń_W5</t>
        </is>
      </c>
    </row>
    <row r="395">
      <c r="A395" s="177" t="n">
        <v>44590</v>
      </c>
      <c r="B395" s="177" t="n">
        <v>44586</v>
      </c>
      <c r="C395" s="177" t="n">
        <v>44592</v>
      </c>
      <c r="D395" t="inlineStr">
        <is>
          <t>BW20220125</t>
        </is>
      </c>
      <c r="E395" t="n">
        <v>2022</v>
      </c>
      <c r="F395" t="inlineStr">
        <is>
          <t>Styczeń</t>
        </is>
      </c>
      <c r="G395" t="inlineStr">
        <is>
          <t>Sob</t>
        </is>
      </c>
      <c r="H395">
        <f>'Floor Hours Engine'!$E$5</f>
        <v/>
      </c>
      <c r="I395" t="inlineStr">
        <is>
          <t>W5</t>
        </is>
      </c>
      <c r="J395" t="inlineStr">
        <is>
          <t>2022_Styczeń_W5</t>
        </is>
      </c>
    </row>
    <row r="396">
      <c r="A396" s="177" t="n">
        <v>44591</v>
      </c>
      <c r="B396" s="177" t="n">
        <v>44586</v>
      </c>
      <c r="C396" s="177" t="n">
        <v>44592</v>
      </c>
      <c r="D396" t="inlineStr">
        <is>
          <t>BW20220125</t>
        </is>
      </c>
      <c r="E396" t="n">
        <v>2022</v>
      </c>
      <c r="F396" t="inlineStr">
        <is>
          <t>Styczeń</t>
        </is>
      </c>
      <c r="G396" t="inlineStr">
        <is>
          <t>Nd</t>
        </is>
      </c>
      <c r="H396">
        <f>'Floor Hours Engine'!$E$6</f>
        <v/>
      </c>
      <c r="I396" t="inlineStr">
        <is>
          <t>W5</t>
        </is>
      </c>
      <c r="J396" t="inlineStr">
        <is>
          <t>2022_Styczeń_W5</t>
        </is>
      </c>
    </row>
    <row r="397">
      <c r="A397" s="177" t="n">
        <v>44592</v>
      </c>
      <c r="B397" s="177" t="n">
        <v>44586</v>
      </c>
      <c r="C397" s="177" t="n">
        <v>44592</v>
      </c>
      <c r="D397" t="inlineStr">
        <is>
          <t>BW20220125</t>
        </is>
      </c>
      <c r="E397" t="n">
        <v>2022</v>
      </c>
      <c r="F397" t="inlineStr">
        <is>
          <t>Styczeń</t>
        </is>
      </c>
      <c r="G397" t="inlineStr">
        <is>
          <t>Pn</t>
        </is>
      </c>
      <c r="H397">
        <f>'Floor Hours Engine'!$E$4</f>
        <v/>
      </c>
      <c r="I397" t="inlineStr">
        <is>
          <t>W5</t>
        </is>
      </c>
      <c r="J397" t="inlineStr">
        <is>
          <t>2022_Styczeń_W5</t>
        </is>
      </c>
    </row>
    <row r="398">
      <c r="A398" s="177" t="n">
        <v>44593</v>
      </c>
      <c r="B398" s="177" t="n">
        <v>44593</v>
      </c>
      <c r="C398" s="177" t="n">
        <v>44599</v>
      </c>
      <c r="D398" t="inlineStr">
        <is>
          <t>BW20220201</t>
        </is>
      </c>
      <c r="E398" t="n">
        <v>2022</v>
      </c>
      <c r="F398" t="inlineStr">
        <is>
          <t>Luty</t>
        </is>
      </c>
      <c r="G398" t="inlineStr">
        <is>
          <t>Wt</t>
        </is>
      </c>
      <c r="H398">
        <f>'Floor Hours Engine'!$E$4</f>
        <v/>
      </c>
      <c r="I398" t="inlineStr">
        <is>
          <t>W1</t>
        </is>
      </c>
      <c r="J398" t="inlineStr">
        <is>
          <t>2022_Luty_W1</t>
        </is>
      </c>
    </row>
    <row r="399">
      <c r="A399" s="177" t="n">
        <v>44594</v>
      </c>
      <c r="B399" s="177" t="n">
        <v>44593</v>
      </c>
      <c r="C399" s="177" t="n">
        <v>44599</v>
      </c>
      <c r="D399" t="inlineStr">
        <is>
          <t>BW20220201</t>
        </is>
      </c>
      <c r="E399" t="n">
        <v>2022</v>
      </c>
      <c r="F399" t="inlineStr">
        <is>
          <t>Luty</t>
        </is>
      </c>
      <c r="G399" t="inlineStr">
        <is>
          <t>Śr</t>
        </is>
      </c>
      <c r="H399">
        <f>'Floor Hours Engine'!$E$4</f>
        <v/>
      </c>
      <c r="I399" t="inlineStr">
        <is>
          <t>W1</t>
        </is>
      </c>
      <c r="J399" t="inlineStr">
        <is>
          <t>2022_Luty_W1</t>
        </is>
      </c>
    </row>
    <row r="400">
      <c r="A400" s="177" t="n">
        <v>44595</v>
      </c>
      <c r="B400" s="177" t="n">
        <v>44593</v>
      </c>
      <c r="C400" s="177" t="n">
        <v>44599</v>
      </c>
      <c r="D400" t="inlineStr">
        <is>
          <t>BW20220201</t>
        </is>
      </c>
      <c r="E400" t="n">
        <v>2022</v>
      </c>
      <c r="F400" t="inlineStr">
        <is>
          <t>Luty</t>
        </is>
      </c>
      <c r="G400" t="inlineStr">
        <is>
          <t>Czw</t>
        </is>
      </c>
      <c r="H400">
        <f>'Floor Hours Engine'!$E$4</f>
        <v/>
      </c>
      <c r="I400" t="inlineStr">
        <is>
          <t>W1</t>
        </is>
      </c>
      <c r="J400" t="inlineStr">
        <is>
          <t>2022_Luty_W1</t>
        </is>
      </c>
    </row>
    <row r="401">
      <c r="A401" s="177" t="n">
        <v>44596</v>
      </c>
      <c r="B401" s="177" t="n">
        <v>44593</v>
      </c>
      <c r="C401" s="177" t="n">
        <v>44599</v>
      </c>
      <c r="D401" t="inlineStr">
        <is>
          <t>BW20220201</t>
        </is>
      </c>
      <c r="E401" t="n">
        <v>2022</v>
      </c>
      <c r="F401" t="inlineStr">
        <is>
          <t>Luty</t>
        </is>
      </c>
      <c r="G401" t="inlineStr">
        <is>
          <t>Pt</t>
        </is>
      </c>
      <c r="H401">
        <f>'Floor Hours Engine'!$E$5</f>
        <v/>
      </c>
      <c r="I401" t="inlineStr">
        <is>
          <t>W1</t>
        </is>
      </c>
      <c r="J401" t="inlineStr">
        <is>
          <t>2022_Luty_W1</t>
        </is>
      </c>
    </row>
    <row r="402">
      <c r="A402" s="177" t="n">
        <v>44597</v>
      </c>
      <c r="B402" s="177" t="n">
        <v>44593</v>
      </c>
      <c r="C402" s="177" t="n">
        <v>44599</v>
      </c>
      <c r="D402" t="inlineStr">
        <is>
          <t>BW20220201</t>
        </is>
      </c>
      <c r="E402" t="n">
        <v>2022</v>
      </c>
      <c r="F402" t="inlineStr">
        <is>
          <t>Luty</t>
        </is>
      </c>
      <c r="G402" t="inlineStr">
        <is>
          <t>Sob</t>
        </is>
      </c>
      <c r="H402">
        <f>'Floor Hours Engine'!$E$5</f>
        <v/>
      </c>
      <c r="I402" t="inlineStr">
        <is>
          <t>W1</t>
        </is>
      </c>
      <c r="J402" t="inlineStr">
        <is>
          <t>2022_Luty_W1</t>
        </is>
      </c>
    </row>
    <row r="403">
      <c r="A403" s="177" t="n">
        <v>44598</v>
      </c>
      <c r="B403" s="177" t="n">
        <v>44593</v>
      </c>
      <c r="C403" s="177" t="n">
        <v>44599</v>
      </c>
      <c r="D403" t="inlineStr">
        <is>
          <t>BW20220201</t>
        </is>
      </c>
      <c r="E403" t="n">
        <v>2022</v>
      </c>
      <c r="F403" t="inlineStr">
        <is>
          <t>Luty</t>
        </is>
      </c>
      <c r="G403" t="inlineStr">
        <is>
          <t>Nd</t>
        </is>
      </c>
      <c r="H403">
        <f>'Floor Hours Engine'!$E$6</f>
        <v/>
      </c>
      <c r="I403" t="inlineStr">
        <is>
          <t>W1</t>
        </is>
      </c>
      <c r="J403" t="inlineStr">
        <is>
          <t>2022_Luty_W1</t>
        </is>
      </c>
    </row>
    <row r="404">
      <c r="A404" s="177" t="n">
        <v>44599</v>
      </c>
      <c r="B404" s="177" t="n">
        <v>44593</v>
      </c>
      <c r="C404" s="177" t="n">
        <v>44599</v>
      </c>
      <c r="D404" t="inlineStr">
        <is>
          <t>BW20220201</t>
        </is>
      </c>
      <c r="E404" t="n">
        <v>2022</v>
      </c>
      <c r="F404" t="inlineStr">
        <is>
          <t>Luty</t>
        </is>
      </c>
      <c r="G404" t="inlineStr">
        <is>
          <t>Pn</t>
        </is>
      </c>
      <c r="H404">
        <f>'Floor Hours Engine'!$E$4</f>
        <v/>
      </c>
      <c r="I404" t="inlineStr">
        <is>
          <t>W1</t>
        </is>
      </c>
      <c r="J404" t="inlineStr">
        <is>
          <t>2022_Luty_W1</t>
        </is>
      </c>
    </row>
    <row r="405">
      <c r="A405" s="177" t="n">
        <v>44600</v>
      </c>
      <c r="B405" s="177" t="n">
        <v>44600</v>
      </c>
      <c r="C405" s="177" t="n">
        <v>44606</v>
      </c>
      <c r="D405" t="inlineStr">
        <is>
          <t>BW20220208</t>
        </is>
      </c>
      <c r="E405" t="n">
        <v>2022</v>
      </c>
      <c r="F405" t="inlineStr">
        <is>
          <t>Luty</t>
        </is>
      </c>
      <c r="G405" t="inlineStr">
        <is>
          <t>Wt</t>
        </is>
      </c>
      <c r="H405">
        <f>'Floor Hours Engine'!$E$4</f>
        <v/>
      </c>
      <c r="I405" t="inlineStr">
        <is>
          <t>W2</t>
        </is>
      </c>
      <c r="J405" t="inlineStr">
        <is>
          <t>2022_Luty_W2</t>
        </is>
      </c>
    </row>
    <row r="406">
      <c r="A406" s="177" t="n">
        <v>44601</v>
      </c>
      <c r="B406" s="177" t="n">
        <v>44600</v>
      </c>
      <c r="C406" s="177" t="n">
        <v>44606</v>
      </c>
      <c r="D406" t="inlineStr">
        <is>
          <t>BW20220208</t>
        </is>
      </c>
      <c r="E406" t="n">
        <v>2022</v>
      </c>
      <c r="F406" t="inlineStr">
        <is>
          <t>Luty</t>
        </is>
      </c>
      <c r="G406" t="inlineStr">
        <is>
          <t>Śr</t>
        </is>
      </c>
      <c r="H406">
        <f>'Floor Hours Engine'!$E$4</f>
        <v/>
      </c>
      <c r="I406" t="inlineStr">
        <is>
          <t>W2</t>
        </is>
      </c>
      <c r="J406" t="inlineStr">
        <is>
          <t>2022_Luty_W2</t>
        </is>
      </c>
    </row>
    <row r="407">
      <c r="A407" s="177" t="n">
        <v>44602</v>
      </c>
      <c r="B407" s="177" t="n">
        <v>44600</v>
      </c>
      <c r="C407" s="177" t="n">
        <v>44606</v>
      </c>
      <c r="D407" t="inlineStr">
        <is>
          <t>BW20220208</t>
        </is>
      </c>
      <c r="E407" t="n">
        <v>2022</v>
      </c>
      <c r="F407" t="inlineStr">
        <is>
          <t>Luty</t>
        </is>
      </c>
      <c r="G407" t="inlineStr">
        <is>
          <t>Czw</t>
        </is>
      </c>
      <c r="H407">
        <f>'Floor Hours Engine'!$E$4</f>
        <v/>
      </c>
      <c r="I407" t="inlineStr">
        <is>
          <t>W2</t>
        </is>
      </c>
      <c r="J407" t="inlineStr">
        <is>
          <t>2022_Luty_W2</t>
        </is>
      </c>
    </row>
    <row r="408">
      <c r="A408" s="177" t="n">
        <v>44603</v>
      </c>
      <c r="B408" s="177" t="n">
        <v>44600</v>
      </c>
      <c r="C408" s="177" t="n">
        <v>44606</v>
      </c>
      <c r="D408" t="inlineStr">
        <is>
          <t>BW20220208</t>
        </is>
      </c>
      <c r="E408" t="n">
        <v>2022</v>
      </c>
      <c r="F408" t="inlineStr">
        <is>
          <t>Luty</t>
        </is>
      </c>
      <c r="G408" t="inlineStr">
        <is>
          <t>Pt</t>
        </is>
      </c>
      <c r="H408">
        <f>'Floor Hours Engine'!$E$5</f>
        <v/>
      </c>
      <c r="I408" t="inlineStr">
        <is>
          <t>W2</t>
        </is>
      </c>
      <c r="J408" t="inlineStr">
        <is>
          <t>2022_Luty_W2</t>
        </is>
      </c>
    </row>
    <row r="409">
      <c r="A409" s="177" t="n">
        <v>44604</v>
      </c>
      <c r="B409" s="177" t="n">
        <v>44600</v>
      </c>
      <c r="C409" s="177" t="n">
        <v>44606</v>
      </c>
      <c r="D409" t="inlineStr">
        <is>
          <t>BW20220208</t>
        </is>
      </c>
      <c r="E409" t="n">
        <v>2022</v>
      </c>
      <c r="F409" t="inlineStr">
        <is>
          <t>Luty</t>
        </is>
      </c>
      <c r="G409" t="inlineStr">
        <is>
          <t>Sob</t>
        </is>
      </c>
      <c r="H409">
        <f>'Floor Hours Engine'!$E$5</f>
        <v/>
      </c>
      <c r="I409" t="inlineStr">
        <is>
          <t>W2</t>
        </is>
      </c>
      <c r="J409" t="inlineStr">
        <is>
          <t>2022_Luty_W2</t>
        </is>
      </c>
    </row>
    <row r="410">
      <c r="A410" s="177" t="n">
        <v>44605</v>
      </c>
      <c r="B410" s="177" t="n">
        <v>44600</v>
      </c>
      <c r="C410" s="177" t="n">
        <v>44606</v>
      </c>
      <c r="D410" t="inlineStr">
        <is>
          <t>BW20220208</t>
        </is>
      </c>
      <c r="E410" t="n">
        <v>2022</v>
      </c>
      <c r="F410" t="inlineStr">
        <is>
          <t>Luty</t>
        </is>
      </c>
      <c r="G410" t="inlineStr">
        <is>
          <t>Nd</t>
        </is>
      </c>
      <c r="H410">
        <f>'Floor Hours Engine'!$E$6</f>
        <v/>
      </c>
      <c r="I410" t="inlineStr">
        <is>
          <t>W2</t>
        </is>
      </c>
      <c r="J410" t="inlineStr">
        <is>
          <t>2022_Luty_W2</t>
        </is>
      </c>
    </row>
    <row r="411">
      <c r="A411" s="177" t="n">
        <v>44606</v>
      </c>
      <c r="B411" s="177" t="n">
        <v>44600</v>
      </c>
      <c r="C411" s="177" t="n">
        <v>44606</v>
      </c>
      <c r="D411" t="inlineStr">
        <is>
          <t>BW20220208</t>
        </is>
      </c>
      <c r="E411" t="n">
        <v>2022</v>
      </c>
      <c r="F411" t="inlineStr">
        <is>
          <t>Luty</t>
        </is>
      </c>
      <c r="G411" t="inlineStr">
        <is>
          <t>Pn</t>
        </is>
      </c>
      <c r="H411">
        <f>'Floor Hours Engine'!$E$4</f>
        <v/>
      </c>
      <c r="I411" t="inlineStr">
        <is>
          <t>W2</t>
        </is>
      </c>
      <c r="J411" t="inlineStr">
        <is>
          <t>2022_Luty_W2</t>
        </is>
      </c>
    </row>
    <row r="412">
      <c r="A412" s="177" t="n">
        <v>44607</v>
      </c>
      <c r="B412" s="177" t="n">
        <v>44607</v>
      </c>
      <c r="C412" s="177" t="n">
        <v>44613</v>
      </c>
      <c r="D412" t="inlineStr">
        <is>
          <t>BW20220215</t>
        </is>
      </c>
      <c r="E412" t="n">
        <v>2022</v>
      </c>
      <c r="F412" t="inlineStr">
        <is>
          <t>Luty</t>
        </is>
      </c>
      <c r="G412" t="inlineStr">
        <is>
          <t>Wt</t>
        </is>
      </c>
      <c r="H412">
        <f>'Floor Hours Engine'!$E$4</f>
        <v/>
      </c>
      <c r="I412" t="inlineStr">
        <is>
          <t>W3</t>
        </is>
      </c>
      <c r="J412" t="inlineStr">
        <is>
          <t>2022_Luty_W3</t>
        </is>
      </c>
    </row>
    <row r="413">
      <c r="A413" s="177" t="n">
        <v>44608</v>
      </c>
      <c r="B413" s="177" t="n">
        <v>44607</v>
      </c>
      <c r="C413" s="177" t="n">
        <v>44613</v>
      </c>
      <c r="D413" t="inlineStr">
        <is>
          <t>BW20220215</t>
        </is>
      </c>
      <c r="E413" t="n">
        <v>2022</v>
      </c>
      <c r="F413" t="inlineStr">
        <is>
          <t>Luty</t>
        </is>
      </c>
      <c r="G413" t="inlineStr">
        <is>
          <t>Śr</t>
        </is>
      </c>
      <c r="H413">
        <f>'Floor Hours Engine'!$E$4</f>
        <v/>
      </c>
      <c r="I413" t="inlineStr">
        <is>
          <t>W3</t>
        </is>
      </c>
      <c r="J413" t="inlineStr">
        <is>
          <t>2022_Luty_W3</t>
        </is>
      </c>
    </row>
    <row r="414">
      <c r="A414" s="177" t="n">
        <v>44609</v>
      </c>
      <c r="B414" s="177" t="n">
        <v>44607</v>
      </c>
      <c r="C414" s="177" t="n">
        <v>44613</v>
      </c>
      <c r="D414" t="inlineStr">
        <is>
          <t>BW20220215</t>
        </is>
      </c>
      <c r="E414" t="n">
        <v>2022</v>
      </c>
      <c r="F414" t="inlineStr">
        <is>
          <t>Luty</t>
        </is>
      </c>
      <c r="G414" t="inlineStr">
        <is>
          <t>Czw</t>
        </is>
      </c>
      <c r="H414">
        <f>'Floor Hours Engine'!$E$4</f>
        <v/>
      </c>
      <c r="I414" t="inlineStr">
        <is>
          <t>W3</t>
        </is>
      </c>
      <c r="J414" t="inlineStr">
        <is>
          <t>2022_Luty_W3</t>
        </is>
      </c>
    </row>
    <row r="415">
      <c r="A415" s="177" t="n">
        <v>44610</v>
      </c>
      <c r="B415" s="177" t="n">
        <v>44607</v>
      </c>
      <c r="C415" s="177" t="n">
        <v>44613</v>
      </c>
      <c r="D415" t="inlineStr">
        <is>
          <t>BW20220215</t>
        </is>
      </c>
      <c r="E415" t="n">
        <v>2022</v>
      </c>
      <c r="F415" t="inlineStr">
        <is>
          <t>Luty</t>
        </is>
      </c>
      <c r="G415" t="inlineStr">
        <is>
          <t>Pt</t>
        </is>
      </c>
      <c r="H415">
        <f>'Floor Hours Engine'!$E$5</f>
        <v/>
      </c>
      <c r="I415" t="inlineStr">
        <is>
          <t>W3</t>
        </is>
      </c>
      <c r="J415" t="inlineStr">
        <is>
          <t>2022_Luty_W3</t>
        </is>
      </c>
    </row>
    <row r="416">
      <c r="A416" s="177" t="n">
        <v>44611</v>
      </c>
      <c r="B416" s="177" t="n">
        <v>44607</v>
      </c>
      <c r="C416" s="177" t="n">
        <v>44613</v>
      </c>
      <c r="D416" t="inlineStr">
        <is>
          <t>BW20220215</t>
        </is>
      </c>
      <c r="E416" t="n">
        <v>2022</v>
      </c>
      <c r="F416" t="inlineStr">
        <is>
          <t>Luty</t>
        </is>
      </c>
      <c r="G416" t="inlineStr">
        <is>
          <t>Sob</t>
        </is>
      </c>
      <c r="H416">
        <f>'Floor Hours Engine'!$E$5</f>
        <v/>
      </c>
      <c r="I416" t="inlineStr">
        <is>
          <t>W3</t>
        </is>
      </c>
      <c r="J416" t="inlineStr">
        <is>
          <t>2022_Luty_W3</t>
        </is>
      </c>
    </row>
    <row r="417">
      <c r="A417" s="177" t="n">
        <v>44612</v>
      </c>
      <c r="B417" s="177" t="n">
        <v>44607</v>
      </c>
      <c r="C417" s="177" t="n">
        <v>44613</v>
      </c>
      <c r="D417" t="inlineStr">
        <is>
          <t>BW20220215</t>
        </is>
      </c>
      <c r="E417" t="n">
        <v>2022</v>
      </c>
      <c r="F417" t="inlineStr">
        <is>
          <t>Luty</t>
        </is>
      </c>
      <c r="G417" t="inlineStr">
        <is>
          <t>Nd</t>
        </is>
      </c>
      <c r="H417">
        <f>'Floor Hours Engine'!$E$6</f>
        <v/>
      </c>
      <c r="I417" t="inlineStr">
        <is>
          <t>W3</t>
        </is>
      </c>
      <c r="J417" t="inlineStr">
        <is>
          <t>2022_Luty_W3</t>
        </is>
      </c>
    </row>
    <row r="418">
      <c r="A418" s="177" t="n">
        <v>44613</v>
      </c>
      <c r="B418" s="177" t="n">
        <v>44607</v>
      </c>
      <c r="C418" s="177" t="n">
        <v>44613</v>
      </c>
      <c r="D418" t="inlineStr">
        <is>
          <t>BW20220215</t>
        </is>
      </c>
      <c r="E418" t="n">
        <v>2022</v>
      </c>
      <c r="F418" t="inlineStr">
        <is>
          <t>Luty</t>
        </is>
      </c>
      <c r="G418" t="inlineStr">
        <is>
          <t>Pn</t>
        </is>
      </c>
      <c r="H418">
        <f>'Floor Hours Engine'!$E$4</f>
        <v/>
      </c>
      <c r="I418" t="inlineStr">
        <is>
          <t>W3</t>
        </is>
      </c>
      <c r="J418" t="inlineStr">
        <is>
          <t>2022_Luty_W3</t>
        </is>
      </c>
    </row>
    <row r="419">
      <c r="A419" s="177" t="n">
        <v>44614</v>
      </c>
      <c r="B419" s="177" t="n">
        <v>44614</v>
      </c>
      <c r="C419" s="177" t="n">
        <v>44620</v>
      </c>
      <c r="D419" t="inlineStr">
        <is>
          <t>BW20220222</t>
        </is>
      </c>
      <c r="E419" t="n">
        <v>2022</v>
      </c>
      <c r="F419" t="inlineStr">
        <is>
          <t>Luty</t>
        </is>
      </c>
      <c r="G419" t="inlineStr">
        <is>
          <t>Wt</t>
        </is>
      </c>
      <c r="H419">
        <f>'Floor Hours Engine'!$E$4</f>
        <v/>
      </c>
      <c r="I419" t="inlineStr">
        <is>
          <t>W4</t>
        </is>
      </c>
      <c r="J419" t="inlineStr">
        <is>
          <t>2022_Luty_W4</t>
        </is>
      </c>
    </row>
    <row r="420">
      <c r="A420" s="177" t="n">
        <v>44615</v>
      </c>
      <c r="B420" s="177" t="n">
        <v>44614</v>
      </c>
      <c r="C420" s="177" t="n">
        <v>44620</v>
      </c>
      <c r="D420" t="inlineStr">
        <is>
          <t>BW20220222</t>
        </is>
      </c>
      <c r="E420" t="n">
        <v>2022</v>
      </c>
      <c r="F420" t="inlineStr">
        <is>
          <t>Luty</t>
        </is>
      </c>
      <c r="G420" t="inlineStr">
        <is>
          <t>Śr</t>
        </is>
      </c>
      <c r="H420">
        <f>'Floor Hours Engine'!$E$4</f>
        <v/>
      </c>
      <c r="I420" t="inlineStr">
        <is>
          <t>W4</t>
        </is>
      </c>
      <c r="J420" t="inlineStr">
        <is>
          <t>2022_Luty_W4</t>
        </is>
      </c>
    </row>
    <row r="421">
      <c r="A421" s="177" t="n">
        <v>44616</v>
      </c>
      <c r="B421" s="177" t="n">
        <v>44614</v>
      </c>
      <c r="C421" s="177" t="n">
        <v>44620</v>
      </c>
      <c r="D421" t="inlineStr">
        <is>
          <t>BW20220222</t>
        </is>
      </c>
      <c r="E421" t="n">
        <v>2022</v>
      </c>
      <c r="F421" t="inlineStr">
        <is>
          <t>Luty</t>
        </is>
      </c>
      <c r="G421" t="inlineStr">
        <is>
          <t>Czw</t>
        </is>
      </c>
      <c r="H421">
        <f>'Floor Hours Engine'!$E$4</f>
        <v/>
      </c>
      <c r="I421" t="inlineStr">
        <is>
          <t>W4</t>
        </is>
      </c>
      <c r="J421" t="inlineStr">
        <is>
          <t>2022_Luty_W4</t>
        </is>
      </c>
    </row>
    <row r="422">
      <c r="A422" s="177" t="n">
        <v>44617</v>
      </c>
      <c r="B422" s="177" t="n">
        <v>44614</v>
      </c>
      <c r="C422" s="177" t="n">
        <v>44620</v>
      </c>
      <c r="D422" t="inlineStr">
        <is>
          <t>BW20220222</t>
        </is>
      </c>
      <c r="E422" t="n">
        <v>2022</v>
      </c>
      <c r="F422" t="inlineStr">
        <is>
          <t>Luty</t>
        </is>
      </c>
      <c r="G422" t="inlineStr">
        <is>
          <t>Pt</t>
        </is>
      </c>
      <c r="H422">
        <f>'Floor Hours Engine'!$E$5</f>
        <v/>
      </c>
      <c r="I422" t="inlineStr">
        <is>
          <t>W4</t>
        </is>
      </c>
      <c r="J422" t="inlineStr">
        <is>
          <t>2022_Luty_W4</t>
        </is>
      </c>
    </row>
    <row r="423">
      <c r="A423" s="177" t="n">
        <v>44618</v>
      </c>
      <c r="B423" s="177" t="n">
        <v>44614</v>
      </c>
      <c r="C423" s="177" t="n">
        <v>44620</v>
      </c>
      <c r="D423" t="inlineStr">
        <is>
          <t>BW20220222</t>
        </is>
      </c>
      <c r="E423" t="n">
        <v>2022</v>
      </c>
      <c r="F423" t="inlineStr">
        <is>
          <t>Luty</t>
        </is>
      </c>
      <c r="G423" t="inlineStr">
        <is>
          <t>Sob</t>
        </is>
      </c>
      <c r="H423">
        <f>'Floor Hours Engine'!$E$5</f>
        <v/>
      </c>
      <c r="I423" t="inlineStr">
        <is>
          <t>W4</t>
        </is>
      </c>
      <c r="J423" t="inlineStr">
        <is>
          <t>2022_Luty_W4</t>
        </is>
      </c>
    </row>
    <row r="424">
      <c r="A424" s="177" t="n">
        <v>44619</v>
      </c>
      <c r="B424" s="177" t="n">
        <v>44614</v>
      </c>
      <c r="C424" s="177" t="n">
        <v>44620</v>
      </c>
      <c r="D424" t="inlineStr">
        <is>
          <t>BW20220222</t>
        </is>
      </c>
      <c r="E424" t="n">
        <v>2022</v>
      </c>
      <c r="F424" t="inlineStr">
        <is>
          <t>Luty</t>
        </is>
      </c>
      <c r="G424" t="inlineStr">
        <is>
          <t>Nd</t>
        </is>
      </c>
      <c r="H424">
        <f>'Floor Hours Engine'!$E$6</f>
        <v/>
      </c>
      <c r="I424" t="inlineStr">
        <is>
          <t>W4</t>
        </is>
      </c>
      <c r="J424" t="inlineStr">
        <is>
          <t>2022_Luty_W4</t>
        </is>
      </c>
    </row>
    <row r="425">
      <c r="A425" s="177" t="n">
        <v>44620</v>
      </c>
      <c r="B425" s="177" t="n">
        <v>44614</v>
      </c>
      <c r="C425" s="177" t="n">
        <v>44620</v>
      </c>
      <c r="D425" t="inlineStr">
        <is>
          <t>BW20220222</t>
        </is>
      </c>
      <c r="E425" t="n">
        <v>2022</v>
      </c>
      <c r="F425" t="inlineStr">
        <is>
          <t>Luty</t>
        </is>
      </c>
      <c r="G425" t="inlineStr">
        <is>
          <t>Pn</t>
        </is>
      </c>
      <c r="H425">
        <f>'Floor Hours Engine'!$E$4</f>
        <v/>
      </c>
      <c r="I425" t="inlineStr">
        <is>
          <t>W4</t>
        </is>
      </c>
      <c r="J425" t="inlineStr">
        <is>
          <t>2022_Luty_W4</t>
        </is>
      </c>
    </row>
    <row r="426">
      <c r="A426" s="177" t="n">
        <v>44621</v>
      </c>
      <c r="B426" s="177" t="n">
        <v>44621</v>
      </c>
      <c r="C426" s="177" t="n">
        <v>44627</v>
      </c>
      <c r="D426" t="inlineStr">
        <is>
          <t>BW20220301</t>
        </is>
      </c>
      <c r="E426" t="n">
        <v>2022</v>
      </c>
      <c r="F426" t="inlineStr">
        <is>
          <t>Marzec</t>
        </is>
      </c>
      <c r="G426" t="inlineStr">
        <is>
          <t>Wt</t>
        </is>
      </c>
      <c r="H426">
        <f>'Floor Hours Engine'!$E$4</f>
        <v/>
      </c>
      <c r="I426" t="inlineStr">
        <is>
          <t>W1</t>
        </is>
      </c>
      <c r="J426" t="inlineStr">
        <is>
          <t>2022_Marzec_W1</t>
        </is>
      </c>
    </row>
    <row r="427">
      <c r="A427" s="177" t="n">
        <v>44622</v>
      </c>
      <c r="B427" s="177" t="n">
        <v>44621</v>
      </c>
      <c r="C427" s="177" t="n">
        <v>44627</v>
      </c>
      <c r="D427" t="inlineStr">
        <is>
          <t>BW20220301</t>
        </is>
      </c>
      <c r="E427" t="n">
        <v>2022</v>
      </c>
      <c r="F427" t="inlineStr">
        <is>
          <t>Marzec</t>
        </is>
      </c>
      <c r="G427" t="inlineStr">
        <is>
          <t>Śr</t>
        </is>
      </c>
      <c r="H427">
        <f>'Floor Hours Engine'!$E$4</f>
        <v/>
      </c>
      <c r="I427" t="inlineStr">
        <is>
          <t>W1</t>
        </is>
      </c>
      <c r="J427" t="inlineStr">
        <is>
          <t>2022_Marzec_W1</t>
        </is>
      </c>
    </row>
    <row r="428">
      <c r="A428" s="177" t="n">
        <v>44623</v>
      </c>
      <c r="B428" s="177" t="n">
        <v>44621</v>
      </c>
      <c r="C428" s="177" t="n">
        <v>44627</v>
      </c>
      <c r="D428" t="inlineStr">
        <is>
          <t>BW20220301</t>
        </is>
      </c>
      <c r="E428" t="n">
        <v>2022</v>
      </c>
      <c r="F428" t="inlineStr">
        <is>
          <t>Marzec</t>
        </is>
      </c>
      <c r="G428" t="inlineStr">
        <is>
          <t>Czw</t>
        </is>
      </c>
      <c r="H428">
        <f>'Floor Hours Engine'!$E$4</f>
        <v/>
      </c>
      <c r="I428" t="inlineStr">
        <is>
          <t>W1</t>
        </is>
      </c>
      <c r="J428" t="inlineStr">
        <is>
          <t>2022_Marzec_W1</t>
        </is>
      </c>
    </row>
    <row r="429">
      <c r="A429" s="177" t="n">
        <v>44624</v>
      </c>
      <c r="B429" s="177" t="n">
        <v>44621</v>
      </c>
      <c r="C429" s="177" t="n">
        <v>44627</v>
      </c>
      <c r="D429" t="inlineStr">
        <is>
          <t>BW20220301</t>
        </is>
      </c>
      <c r="E429" t="n">
        <v>2022</v>
      </c>
      <c r="F429" t="inlineStr">
        <is>
          <t>Marzec</t>
        </is>
      </c>
      <c r="G429" t="inlineStr">
        <is>
          <t>Pt</t>
        </is>
      </c>
      <c r="H429">
        <f>'Floor Hours Engine'!$E$5</f>
        <v/>
      </c>
      <c r="I429" t="inlineStr">
        <is>
          <t>W1</t>
        </is>
      </c>
      <c r="J429" t="inlineStr">
        <is>
          <t>2022_Marzec_W1</t>
        </is>
      </c>
    </row>
    <row r="430">
      <c r="A430" s="177" t="n">
        <v>44625</v>
      </c>
      <c r="B430" s="177" t="n">
        <v>44621</v>
      </c>
      <c r="C430" s="177" t="n">
        <v>44627</v>
      </c>
      <c r="D430" t="inlineStr">
        <is>
          <t>BW20220301</t>
        </is>
      </c>
      <c r="E430" t="n">
        <v>2022</v>
      </c>
      <c r="F430" t="inlineStr">
        <is>
          <t>Marzec</t>
        </is>
      </c>
      <c r="G430" t="inlineStr">
        <is>
          <t>Sob</t>
        </is>
      </c>
      <c r="H430">
        <f>'Floor Hours Engine'!$E$5</f>
        <v/>
      </c>
      <c r="I430" t="inlineStr">
        <is>
          <t>W1</t>
        </is>
      </c>
      <c r="J430" t="inlineStr">
        <is>
          <t>2022_Marzec_W1</t>
        </is>
      </c>
    </row>
    <row r="431">
      <c r="A431" s="177" t="n">
        <v>44626</v>
      </c>
      <c r="B431" s="177" t="n">
        <v>44621</v>
      </c>
      <c r="C431" s="177" t="n">
        <v>44627</v>
      </c>
      <c r="D431" t="inlineStr">
        <is>
          <t>BW20220301</t>
        </is>
      </c>
      <c r="E431" t="n">
        <v>2022</v>
      </c>
      <c r="F431" t="inlineStr">
        <is>
          <t>Marzec</t>
        </is>
      </c>
      <c r="G431" t="inlineStr">
        <is>
          <t>Nd</t>
        </is>
      </c>
      <c r="H431">
        <f>'Floor Hours Engine'!$E$6</f>
        <v/>
      </c>
      <c r="I431" t="inlineStr">
        <is>
          <t>W1</t>
        </is>
      </c>
      <c r="J431" t="inlineStr">
        <is>
          <t>2022_Marzec_W1</t>
        </is>
      </c>
    </row>
    <row r="432">
      <c r="A432" s="177" t="n">
        <v>44627</v>
      </c>
      <c r="B432" s="177" t="n">
        <v>44621</v>
      </c>
      <c r="C432" s="177" t="n">
        <v>44627</v>
      </c>
      <c r="D432" t="inlineStr">
        <is>
          <t>BW20220301</t>
        </is>
      </c>
      <c r="E432" t="n">
        <v>2022</v>
      </c>
      <c r="F432" t="inlineStr">
        <is>
          <t>Marzec</t>
        </is>
      </c>
      <c r="G432" t="inlineStr">
        <is>
          <t>Pn</t>
        </is>
      </c>
      <c r="H432">
        <f>'Floor Hours Engine'!$E$4</f>
        <v/>
      </c>
      <c r="I432" t="inlineStr">
        <is>
          <t>W1</t>
        </is>
      </c>
      <c r="J432" t="inlineStr">
        <is>
          <t>2022_Marzec_W1</t>
        </is>
      </c>
    </row>
    <row r="433">
      <c r="A433" s="177" t="n">
        <v>44628</v>
      </c>
      <c r="B433" s="177" t="n">
        <v>44628</v>
      </c>
      <c r="C433" s="177" t="n">
        <v>44634</v>
      </c>
      <c r="D433" t="inlineStr">
        <is>
          <t>BW20220308</t>
        </is>
      </c>
      <c r="E433" t="n">
        <v>2022</v>
      </c>
      <c r="F433" t="inlineStr">
        <is>
          <t>Marzec</t>
        </is>
      </c>
      <c r="G433" t="inlineStr">
        <is>
          <t>Wt</t>
        </is>
      </c>
      <c r="H433">
        <f>'Floor Hours Engine'!$E$4</f>
        <v/>
      </c>
      <c r="I433" t="inlineStr">
        <is>
          <t>W2</t>
        </is>
      </c>
      <c r="J433" t="inlineStr">
        <is>
          <t>2022_Marzec_W2</t>
        </is>
      </c>
    </row>
    <row r="434">
      <c r="A434" s="177" t="n">
        <v>44629</v>
      </c>
      <c r="B434" s="177" t="n">
        <v>44628</v>
      </c>
      <c r="C434" s="177" t="n">
        <v>44634</v>
      </c>
      <c r="D434" t="inlineStr">
        <is>
          <t>BW20220308</t>
        </is>
      </c>
      <c r="E434" t="n">
        <v>2022</v>
      </c>
      <c r="F434" t="inlineStr">
        <is>
          <t>Marzec</t>
        </is>
      </c>
      <c r="G434" t="inlineStr">
        <is>
          <t>Śr</t>
        </is>
      </c>
      <c r="H434">
        <f>'Floor Hours Engine'!$E$4</f>
        <v/>
      </c>
      <c r="I434" t="inlineStr">
        <is>
          <t>W2</t>
        </is>
      </c>
      <c r="J434" t="inlineStr">
        <is>
          <t>2022_Marzec_W2</t>
        </is>
      </c>
    </row>
    <row r="435">
      <c r="A435" s="177" t="n">
        <v>44630</v>
      </c>
      <c r="B435" s="177" t="n">
        <v>44628</v>
      </c>
      <c r="C435" s="177" t="n">
        <v>44634</v>
      </c>
      <c r="D435" t="inlineStr">
        <is>
          <t>BW20220308</t>
        </is>
      </c>
      <c r="E435" t="n">
        <v>2022</v>
      </c>
      <c r="F435" t="inlineStr">
        <is>
          <t>Marzec</t>
        </is>
      </c>
      <c r="G435" t="inlineStr">
        <is>
          <t>Czw</t>
        </is>
      </c>
      <c r="H435">
        <f>'Floor Hours Engine'!$E$4</f>
        <v/>
      </c>
      <c r="I435" t="inlineStr">
        <is>
          <t>W2</t>
        </is>
      </c>
      <c r="J435" t="inlineStr">
        <is>
          <t>2022_Marzec_W2</t>
        </is>
      </c>
    </row>
    <row r="436">
      <c r="A436" s="177" t="n">
        <v>44631</v>
      </c>
      <c r="B436" s="177" t="n">
        <v>44628</v>
      </c>
      <c r="C436" s="177" t="n">
        <v>44634</v>
      </c>
      <c r="D436" t="inlineStr">
        <is>
          <t>BW20220308</t>
        </is>
      </c>
      <c r="E436" t="n">
        <v>2022</v>
      </c>
      <c r="F436" t="inlineStr">
        <is>
          <t>Marzec</t>
        </is>
      </c>
      <c r="G436" t="inlineStr">
        <is>
          <t>Pt</t>
        </is>
      </c>
      <c r="H436">
        <f>'Floor Hours Engine'!$E$5</f>
        <v/>
      </c>
      <c r="I436" t="inlineStr">
        <is>
          <t>W2</t>
        </is>
      </c>
      <c r="J436" t="inlineStr">
        <is>
          <t>2022_Marzec_W2</t>
        </is>
      </c>
    </row>
    <row r="437">
      <c r="A437" s="177" t="n">
        <v>44632</v>
      </c>
      <c r="B437" s="177" t="n">
        <v>44628</v>
      </c>
      <c r="C437" s="177" t="n">
        <v>44634</v>
      </c>
      <c r="D437" t="inlineStr">
        <is>
          <t>BW20220308</t>
        </is>
      </c>
      <c r="E437" t="n">
        <v>2022</v>
      </c>
      <c r="F437" t="inlineStr">
        <is>
          <t>Marzec</t>
        </is>
      </c>
      <c r="G437" t="inlineStr">
        <is>
          <t>Sob</t>
        </is>
      </c>
      <c r="H437">
        <f>'Floor Hours Engine'!$E$5</f>
        <v/>
      </c>
      <c r="I437" t="inlineStr">
        <is>
          <t>W2</t>
        </is>
      </c>
      <c r="J437" t="inlineStr">
        <is>
          <t>2022_Marzec_W2</t>
        </is>
      </c>
    </row>
    <row r="438">
      <c r="A438" s="177" t="n">
        <v>44633</v>
      </c>
      <c r="B438" s="177" t="n">
        <v>44628</v>
      </c>
      <c r="C438" s="177" t="n">
        <v>44634</v>
      </c>
      <c r="D438" t="inlineStr">
        <is>
          <t>BW20220308</t>
        </is>
      </c>
      <c r="E438" t="n">
        <v>2022</v>
      </c>
      <c r="F438" t="inlineStr">
        <is>
          <t>Marzec</t>
        </is>
      </c>
      <c r="G438" t="inlineStr">
        <is>
          <t>Nd</t>
        </is>
      </c>
      <c r="H438">
        <f>'Floor Hours Engine'!$E$6</f>
        <v/>
      </c>
      <c r="I438" t="inlineStr">
        <is>
          <t>W2</t>
        </is>
      </c>
      <c r="J438" t="inlineStr">
        <is>
          <t>2022_Marzec_W2</t>
        </is>
      </c>
    </row>
    <row r="439">
      <c r="A439" s="177" t="n">
        <v>44634</v>
      </c>
      <c r="B439" s="177" t="n">
        <v>44628</v>
      </c>
      <c r="C439" s="177" t="n">
        <v>44634</v>
      </c>
      <c r="D439" t="inlineStr">
        <is>
          <t>BW20220308</t>
        </is>
      </c>
      <c r="E439" t="n">
        <v>2022</v>
      </c>
      <c r="F439" t="inlineStr">
        <is>
          <t>Marzec</t>
        </is>
      </c>
      <c r="G439" t="inlineStr">
        <is>
          <t>Pn</t>
        </is>
      </c>
      <c r="H439">
        <f>'Floor Hours Engine'!$E$4</f>
        <v/>
      </c>
      <c r="I439" t="inlineStr">
        <is>
          <t>W2</t>
        </is>
      </c>
      <c r="J439" t="inlineStr">
        <is>
          <t>2022_Marzec_W2</t>
        </is>
      </c>
    </row>
    <row r="440">
      <c r="A440" s="177" t="n">
        <v>44635</v>
      </c>
      <c r="B440" s="177" t="n">
        <v>44635</v>
      </c>
      <c r="C440" s="177" t="n">
        <v>44641</v>
      </c>
      <c r="D440" t="inlineStr">
        <is>
          <t>BW20220315</t>
        </is>
      </c>
      <c r="E440" t="n">
        <v>2022</v>
      </c>
      <c r="F440" t="inlineStr">
        <is>
          <t>Marzec</t>
        </is>
      </c>
      <c r="G440" t="inlineStr">
        <is>
          <t>Wt</t>
        </is>
      </c>
      <c r="H440">
        <f>'Floor Hours Engine'!$E$4</f>
        <v/>
      </c>
      <c r="I440" t="inlineStr">
        <is>
          <t>W3</t>
        </is>
      </c>
      <c r="J440" t="inlineStr">
        <is>
          <t>2022_Marzec_W3</t>
        </is>
      </c>
    </row>
    <row r="441">
      <c r="A441" s="177" t="n">
        <v>44636</v>
      </c>
      <c r="B441" s="177" t="n">
        <v>44635</v>
      </c>
      <c r="C441" s="177" t="n">
        <v>44641</v>
      </c>
      <c r="D441" t="inlineStr">
        <is>
          <t>BW20220315</t>
        </is>
      </c>
      <c r="E441" t="n">
        <v>2022</v>
      </c>
      <c r="F441" t="inlineStr">
        <is>
          <t>Marzec</t>
        </is>
      </c>
      <c r="G441" t="inlineStr">
        <is>
          <t>Śr</t>
        </is>
      </c>
      <c r="H441">
        <f>'Floor Hours Engine'!$E$4</f>
        <v/>
      </c>
      <c r="I441" t="inlineStr">
        <is>
          <t>W3</t>
        </is>
      </c>
      <c r="J441" t="inlineStr">
        <is>
          <t>2022_Marzec_W3</t>
        </is>
      </c>
    </row>
    <row r="442">
      <c r="A442" s="177" t="n">
        <v>44637</v>
      </c>
      <c r="B442" s="177" t="n">
        <v>44635</v>
      </c>
      <c r="C442" s="177" t="n">
        <v>44641</v>
      </c>
      <c r="D442" t="inlineStr">
        <is>
          <t>BW20220315</t>
        </is>
      </c>
      <c r="E442" t="n">
        <v>2022</v>
      </c>
      <c r="F442" t="inlineStr">
        <is>
          <t>Marzec</t>
        </is>
      </c>
      <c r="G442" t="inlineStr">
        <is>
          <t>Czw</t>
        </is>
      </c>
      <c r="H442">
        <f>'Floor Hours Engine'!$E$4</f>
        <v/>
      </c>
      <c r="I442" t="inlineStr">
        <is>
          <t>W3</t>
        </is>
      </c>
      <c r="J442" t="inlineStr">
        <is>
          <t>2022_Marzec_W3</t>
        </is>
      </c>
    </row>
    <row r="443">
      <c r="A443" s="177" t="n">
        <v>44638</v>
      </c>
      <c r="B443" s="177" t="n">
        <v>44635</v>
      </c>
      <c r="C443" s="177" t="n">
        <v>44641</v>
      </c>
      <c r="D443" t="inlineStr">
        <is>
          <t>BW20220315</t>
        </is>
      </c>
      <c r="E443" t="n">
        <v>2022</v>
      </c>
      <c r="F443" t="inlineStr">
        <is>
          <t>Marzec</t>
        </is>
      </c>
      <c r="G443" t="inlineStr">
        <is>
          <t>Pt</t>
        </is>
      </c>
      <c r="H443">
        <f>'Floor Hours Engine'!$E$5</f>
        <v/>
      </c>
      <c r="I443" t="inlineStr">
        <is>
          <t>W3</t>
        </is>
      </c>
      <c r="J443" t="inlineStr">
        <is>
          <t>2022_Marzec_W3</t>
        </is>
      </c>
    </row>
    <row r="444">
      <c r="A444" s="177" t="n">
        <v>44639</v>
      </c>
      <c r="B444" s="177" t="n">
        <v>44635</v>
      </c>
      <c r="C444" s="177" t="n">
        <v>44641</v>
      </c>
      <c r="D444" t="inlineStr">
        <is>
          <t>BW20220315</t>
        </is>
      </c>
      <c r="E444" t="n">
        <v>2022</v>
      </c>
      <c r="F444" t="inlineStr">
        <is>
          <t>Marzec</t>
        </is>
      </c>
      <c r="G444" t="inlineStr">
        <is>
          <t>Sob</t>
        </is>
      </c>
      <c r="H444">
        <f>'Floor Hours Engine'!$E$5</f>
        <v/>
      </c>
      <c r="I444" t="inlineStr">
        <is>
          <t>W3</t>
        </is>
      </c>
      <c r="J444" t="inlineStr">
        <is>
          <t>2022_Marzec_W3</t>
        </is>
      </c>
    </row>
    <row r="445">
      <c r="A445" s="177" t="n">
        <v>44640</v>
      </c>
      <c r="B445" s="177" t="n">
        <v>44635</v>
      </c>
      <c r="C445" s="177" t="n">
        <v>44641</v>
      </c>
      <c r="D445" t="inlineStr">
        <is>
          <t>BW20220315</t>
        </is>
      </c>
      <c r="E445" t="n">
        <v>2022</v>
      </c>
      <c r="F445" t="inlineStr">
        <is>
          <t>Marzec</t>
        </is>
      </c>
      <c r="G445" t="inlineStr">
        <is>
          <t>Nd</t>
        </is>
      </c>
      <c r="H445">
        <f>'Floor Hours Engine'!$E$6</f>
        <v/>
      </c>
      <c r="I445" t="inlineStr">
        <is>
          <t>W3</t>
        </is>
      </c>
      <c r="J445" t="inlineStr">
        <is>
          <t>2022_Marzec_W3</t>
        </is>
      </c>
    </row>
    <row r="446">
      <c r="A446" s="177" t="n">
        <v>44641</v>
      </c>
      <c r="B446" s="177" t="n">
        <v>44635</v>
      </c>
      <c r="C446" s="177" t="n">
        <v>44641</v>
      </c>
      <c r="D446" t="inlineStr">
        <is>
          <t>BW20220315</t>
        </is>
      </c>
      <c r="E446" t="n">
        <v>2022</v>
      </c>
      <c r="F446" t="inlineStr">
        <is>
          <t>Marzec</t>
        </is>
      </c>
      <c r="G446" t="inlineStr">
        <is>
          <t>Pn</t>
        </is>
      </c>
      <c r="H446">
        <f>'Floor Hours Engine'!$E$4</f>
        <v/>
      </c>
      <c r="I446" t="inlineStr">
        <is>
          <t>W3</t>
        </is>
      </c>
      <c r="J446" t="inlineStr">
        <is>
          <t>2022_Marzec_W3</t>
        </is>
      </c>
    </row>
    <row r="447">
      <c r="A447" s="177" t="n">
        <v>44642</v>
      </c>
      <c r="B447" s="177" t="n">
        <v>44642</v>
      </c>
      <c r="C447" s="177" t="n">
        <v>44648</v>
      </c>
      <c r="D447" t="inlineStr">
        <is>
          <t>BW20220322</t>
        </is>
      </c>
      <c r="E447" t="n">
        <v>2022</v>
      </c>
      <c r="F447" t="inlineStr">
        <is>
          <t>Marzec</t>
        </is>
      </c>
      <c r="G447" t="inlineStr">
        <is>
          <t>Wt</t>
        </is>
      </c>
      <c r="H447">
        <f>'Floor Hours Engine'!$E$4</f>
        <v/>
      </c>
      <c r="I447" t="inlineStr">
        <is>
          <t>W4</t>
        </is>
      </c>
      <c r="J447" t="inlineStr">
        <is>
          <t>2022_Marzec_W4</t>
        </is>
      </c>
    </row>
    <row r="448">
      <c r="A448" s="177" t="n">
        <v>44643</v>
      </c>
      <c r="B448" s="177" t="n">
        <v>44642</v>
      </c>
      <c r="C448" s="177" t="n">
        <v>44648</v>
      </c>
      <c r="D448" t="inlineStr">
        <is>
          <t>BW20220322</t>
        </is>
      </c>
      <c r="E448" t="n">
        <v>2022</v>
      </c>
      <c r="F448" t="inlineStr">
        <is>
          <t>Marzec</t>
        </is>
      </c>
      <c r="G448" t="inlineStr">
        <is>
          <t>Śr</t>
        </is>
      </c>
      <c r="H448">
        <f>'Floor Hours Engine'!$E$4</f>
        <v/>
      </c>
      <c r="I448" t="inlineStr">
        <is>
          <t>W4</t>
        </is>
      </c>
      <c r="J448" t="inlineStr">
        <is>
          <t>2022_Marzec_W4</t>
        </is>
      </c>
    </row>
    <row r="449">
      <c r="A449" s="177" t="n">
        <v>44644</v>
      </c>
      <c r="B449" s="177" t="n">
        <v>44642</v>
      </c>
      <c r="C449" s="177" t="n">
        <v>44648</v>
      </c>
      <c r="D449" t="inlineStr">
        <is>
          <t>BW20220322</t>
        </is>
      </c>
      <c r="E449" t="n">
        <v>2022</v>
      </c>
      <c r="F449" t="inlineStr">
        <is>
          <t>Marzec</t>
        </is>
      </c>
      <c r="G449" t="inlineStr">
        <is>
          <t>Czw</t>
        </is>
      </c>
      <c r="H449">
        <f>'Floor Hours Engine'!$E$4</f>
        <v/>
      </c>
      <c r="I449" t="inlineStr">
        <is>
          <t>W4</t>
        </is>
      </c>
      <c r="J449" t="inlineStr">
        <is>
          <t>2022_Marzec_W4</t>
        </is>
      </c>
    </row>
    <row r="450">
      <c r="A450" s="177" t="n">
        <v>44645</v>
      </c>
      <c r="B450" s="177" t="n">
        <v>44642</v>
      </c>
      <c r="C450" s="177" t="n">
        <v>44648</v>
      </c>
      <c r="D450" t="inlineStr">
        <is>
          <t>BW20220322</t>
        </is>
      </c>
      <c r="E450" t="n">
        <v>2022</v>
      </c>
      <c r="F450" t="inlineStr">
        <is>
          <t>Marzec</t>
        </is>
      </c>
      <c r="G450" t="inlineStr">
        <is>
          <t>Pt</t>
        </is>
      </c>
      <c r="H450">
        <f>'Floor Hours Engine'!$E$5</f>
        <v/>
      </c>
      <c r="I450" t="inlineStr">
        <is>
          <t>W4</t>
        </is>
      </c>
      <c r="J450" t="inlineStr">
        <is>
          <t>2022_Marzec_W4</t>
        </is>
      </c>
    </row>
    <row r="451">
      <c r="A451" s="177" t="n">
        <v>44646</v>
      </c>
      <c r="B451" s="177" t="n">
        <v>44642</v>
      </c>
      <c r="C451" s="177" t="n">
        <v>44648</v>
      </c>
      <c r="D451" t="inlineStr">
        <is>
          <t>BW20220322</t>
        </is>
      </c>
      <c r="E451" t="n">
        <v>2022</v>
      </c>
      <c r="F451" t="inlineStr">
        <is>
          <t>Marzec</t>
        </is>
      </c>
      <c r="G451" t="inlineStr">
        <is>
          <t>Sob</t>
        </is>
      </c>
      <c r="H451">
        <f>'Floor Hours Engine'!$E$5</f>
        <v/>
      </c>
      <c r="I451" t="inlineStr">
        <is>
          <t>W4</t>
        </is>
      </c>
      <c r="J451" t="inlineStr">
        <is>
          <t>2022_Marzec_W4</t>
        </is>
      </c>
    </row>
    <row r="452">
      <c r="A452" s="177" t="n">
        <v>44647</v>
      </c>
      <c r="B452" s="177" t="n">
        <v>44642</v>
      </c>
      <c r="C452" s="177" t="n">
        <v>44648</v>
      </c>
      <c r="D452" t="inlineStr">
        <is>
          <t>BW20220322</t>
        </is>
      </c>
      <c r="E452" t="n">
        <v>2022</v>
      </c>
      <c r="F452" t="inlineStr">
        <is>
          <t>Marzec</t>
        </is>
      </c>
      <c r="G452" t="inlineStr">
        <is>
          <t>Nd</t>
        </is>
      </c>
      <c r="H452">
        <f>'Floor Hours Engine'!$E$6</f>
        <v/>
      </c>
      <c r="I452" t="inlineStr">
        <is>
          <t>W4</t>
        </is>
      </c>
      <c r="J452" t="inlineStr">
        <is>
          <t>2022_Marzec_W4</t>
        </is>
      </c>
    </row>
    <row r="453">
      <c r="A453" s="177" t="n">
        <v>44648</v>
      </c>
      <c r="B453" s="177" t="n">
        <v>44642</v>
      </c>
      <c r="C453" s="177" t="n">
        <v>44648</v>
      </c>
      <c r="D453" t="inlineStr">
        <is>
          <t>BW20220322</t>
        </is>
      </c>
      <c r="E453" t="n">
        <v>2022</v>
      </c>
      <c r="F453" t="inlineStr">
        <is>
          <t>Marzec</t>
        </is>
      </c>
      <c r="G453" t="inlineStr">
        <is>
          <t>Pn</t>
        </is>
      </c>
      <c r="H453">
        <f>'Floor Hours Engine'!$E$4</f>
        <v/>
      </c>
      <c r="I453" t="inlineStr">
        <is>
          <t>W4</t>
        </is>
      </c>
      <c r="J453" t="inlineStr">
        <is>
          <t>2022_Marzec_W4</t>
        </is>
      </c>
    </row>
    <row r="454">
      <c r="A454" s="177" t="n">
        <v>44649</v>
      </c>
      <c r="B454" s="177" t="n">
        <v>44649</v>
      </c>
      <c r="C454" s="177" t="n">
        <v>44655</v>
      </c>
      <c r="D454" t="inlineStr">
        <is>
          <t>BW20220329</t>
        </is>
      </c>
      <c r="E454" t="n">
        <v>2022</v>
      </c>
      <c r="F454" t="inlineStr">
        <is>
          <t>Marzec</t>
        </is>
      </c>
      <c r="G454" t="inlineStr">
        <is>
          <t>Wt</t>
        </is>
      </c>
      <c r="H454">
        <f>'Floor Hours Engine'!$E$4</f>
        <v/>
      </c>
      <c r="I454" t="inlineStr">
        <is>
          <t>W5</t>
        </is>
      </c>
      <c r="J454" t="inlineStr">
        <is>
          <t>2022_Marzec_W5</t>
        </is>
      </c>
    </row>
    <row r="455">
      <c r="A455" s="177" t="n">
        <v>44650</v>
      </c>
      <c r="B455" s="177" t="n">
        <v>44649</v>
      </c>
      <c r="C455" s="177" t="n">
        <v>44655</v>
      </c>
      <c r="D455" t="inlineStr">
        <is>
          <t>BW20220329</t>
        </is>
      </c>
      <c r="E455" t="n">
        <v>2022</v>
      </c>
      <c r="F455" t="inlineStr">
        <is>
          <t>Marzec</t>
        </is>
      </c>
      <c r="G455" t="inlineStr">
        <is>
          <t>Śr</t>
        </is>
      </c>
      <c r="H455">
        <f>'Floor Hours Engine'!$E$4</f>
        <v/>
      </c>
      <c r="I455" t="inlineStr">
        <is>
          <t>W5</t>
        </is>
      </c>
      <c r="J455" t="inlineStr">
        <is>
          <t>2022_Marzec_W5</t>
        </is>
      </c>
    </row>
    <row r="456">
      <c r="A456" s="177" t="n">
        <v>44651</v>
      </c>
      <c r="B456" s="177" t="n">
        <v>44649</v>
      </c>
      <c r="C456" s="177" t="n">
        <v>44655</v>
      </c>
      <c r="D456" t="inlineStr">
        <is>
          <t>BW20220329</t>
        </is>
      </c>
      <c r="E456" t="n">
        <v>2022</v>
      </c>
      <c r="F456" t="inlineStr">
        <is>
          <t>Marzec</t>
        </is>
      </c>
      <c r="G456" t="inlineStr">
        <is>
          <t>Czw</t>
        </is>
      </c>
      <c r="H456">
        <f>'Floor Hours Engine'!$E$4</f>
        <v/>
      </c>
      <c r="I456" t="inlineStr">
        <is>
          <t>W5</t>
        </is>
      </c>
      <c r="J456" t="inlineStr">
        <is>
          <t>2022_Marzec_W5</t>
        </is>
      </c>
    </row>
    <row r="457">
      <c r="A457" s="177" t="n">
        <v>44652</v>
      </c>
      <c r="B457" s="177" t="n">
        <v>44649</v>
      </c>
      <c r="C457" s="177" t="n">
        <v>44655</v>
      </c>
      <c r="D457" t="inlineStr">
        <is>
          <t>BW20220329</t>
        </is>
      </c>
      <c r="E457" t="n">
        <v>2022</v>
      </c>
      <c r="F457" t="inlineStr">
        <is>
          <t>Kwiecień</t>
        </is>
      </c>
      <c r="G457" t="inlineStr">
        <is>
          <t>Pt</t>
        </is>
      </c>
      <c r="H457">
        <f>'Floor Hours Engine'!$E$5</f>
        <v/>
      </c>
      <c r="I457" t="inlineStr">
        <is>
          <t>W1</t>
        </is>
      </c>
      <c r="J457" t="inlineStr">
        <is>
          <t>2022_Kwiecień_W1</t>
        </is>
      </c>
    </row>
    <row r="458">
      <c r="A458" s="177" t="n">
        <v>44653</v>
      </c>
      <c r="B458" s="177" t="n">
        <v>44649</v>
      </c>
      <c r="C458" s="177" t="n">
        <v>44655</v>
      </c>
      <c r="D458" t="inlineStr">
        <is>
          <t>BW20220329</t>
        </is>
      </c>
      <c r="E458" t="n">
        <v>2022</v>
      </c>
      <c r="F458" t="inlineStr">
        <is>
          <t>Kwiecień</t>
        </is>
      </c>
      <c r="G458" t="inlineStr">
        <is>
          <t>Sob</t>
        </is>
      </c>
      <c r="H458">
        <f>'Floor Hours Engine'!$E$5</f>
        <v/>
      </c>
      <c r="I458" t="inlineStr">
        <is>
          <t>W1</t>
        </is>
      </c>
      <c r="J458" t="inlineStr">
        <is>
          <t>2022_Kwiecień_W1</t>
        </is>
      </c>
    </row>
    <row r="459">
      <c r="A459" s="177" t="n">
        <v>44654</v>
      </c>
      <c r="B459" s="177" t="n">
        <v>44649</v>
      </c>
      <c r="C459" s="177" t="n">
        <v>44655</v>
      </c>
      <c r="D459" t="inlineStr">
        <is>
          <t>BW20220329</t>
        </is>
      </c>
      <c r="E459" t="n">
        <v>2022</v>
      </c>
      <c r="F459" t="inlineStr">
        <is>
          <t>Kwiecień</t>
        </is>
      </c>
      <c r="G459" t="inlineStr">
        <is>
          <t>Nd</t>
        </is>
      </c>
      <c r="H459">
        <f>'Floor Hours Engine'!$E$6</f>
        <v/>
      </c>
      <c r="I459" t="inlineStr">
        <is>
          <t>W1</t>
        </is>
      </c>
      <c r="J459" t="inlineStr">
        <is>
          <t>2022_Kwiecień_W1</t>
        </is>
      </c>
    </row>
    <row r="460">
      <c r="A460" s="177" t="n">
        <v>44655</v>
      </c>
      <c r="B460" s="177" t="n">
        <v>44649</v>
      </c>
      <c r="C460" s="177" t="n">
        <v>44655</v>
      </c>
      <c r="D460" t="inlineStr">
        <is>
          <t>BW20220329</t>
        </is>
      </c>
      <c r="E460" t="n">
        <v>2022</v>
      </c>
      <c r="F460" t="inlineStr">
        <is>
          <t>Kwiecień</t>
        </is>
      </c>
      <c r="G460" t="inlineStr">
        <is>
          <t>Pn</t>
        </is>
      </c>
      <c r="H460">
        <f>'Floor Hours Engine'!$E$4</f>
        <v/>
      </c>
      <c r="I460" t="inlineStr">
        <is>
          <t>W1</t>
        </is>
      </c>
      <c r="J460" t="inlineStr">
        <is>
          <t>2022_Kwiecień_W1</t>
        </is>
      </c>
    </row>
    <row r="461">
      <c r="A461" s="177" t="n">
        <v>44656</v>
      </c>
      <c r="B461" s="177" t="n">
        <v>44656</v>
      </c>
      <c r="C461" s="177" t="n">
        <v>44662</v>
      </c>
      <c r="D461" t="inlineStr">
        <is>
          <t>BW20220405</t>
        </is>
      </c>
      <c r="E461" t="n">
        <v>2022</v>
      </c>
      <c r="F461" t="inlineStr">
        <is>
          <t>Kwiecień</t>
        </is>
      </c>
      <c r="G461" t="inlineStr">
        <is>
          <t>Wt</t>
        </is>
      </c>
      <c r="H461">
        <f>'Floor Hours Engine'!$E$4</f>
        <v/>
      </c>
      <c r="I461" t="inlineStr">
        <is>
          <t>W2</t>
        </is>
      </c>
      <c r="J461" t="inlineStr">
        <is>
          <t>2022_Kwiecień_W2</t>
        </is>
      </c>
    </row>
    <row r="462">
      <c r="A462" s="177" t="n">
        <v>44657</v>
      </c>
      <c r="B462" s="177" t="n">
        <v>44656</v>
      </c>
      <c r="C462" s="177" t="n">
        <v>44662</v>
      </c>
      <c r="D462" t="inlineStr">
        <is>
          <t>BW20220405</t>
        </is>
      </c>
      <c r="E462" t="n">
        <v>2022</v>
      </c>
      <c r="F462" t="inlineStr">
        <is>
          <t>Kwiecień</t>
        </is>
      </c>
      <c r="G462" t="inlineStr">
        <is>
          <t>Śr</t>
        </is>
      </c>
      <c r="H462">
        <f>'Floor Hours Engine'!$E$4</f>
        <v/>
      </c>
      <c r="I462" t="inlineStr">
        <is>
          <t>W2</t>
        </is>
      </c>
      <c r="J462" t="inlineStr">
        <is>
          <t>2022_Kwiecień_W2</t>
        </is>
      </c>
    </row>
    <row r="463">
      <c r="A463" s="177" t="n">
        <v>44658</v>
      </c>
      <c r="B463" s="177" t="n">
        <v>44656</v>
      </c>
      <c r="C463" s="177" t="n">
        <v>44662</v>
      </c>
      <c r="D463" t="inlineStr">
        <is>
          <t>BW20220405</t>
        </is>
      </c>
      <c r="E463" t="n">
        <v>2022</v>
      </c>
      <c r="F463" t="inlineStr">
        <is>
          <t>Kwiecień</t>
        </is>
      </c>
      <c r="G463" t="inlineStr">
        <is>
          <t>Czw</t>
        </is>
      </c>
      <c r="H463">
        <f>'Floor Hours Engine'!$E$4</f>
        <v/>
      </c>
      <c r="I463" t="inlineStr">
        <is>
          <t>W2</t>
        </is>
      </c>
      <c r="J463" t="inlineStr">
        <is>
          <t>2022_Kwiecień_W2</t>
        </is>
      </c>
    </row>
    <row r="464">
      <c r="A464" s="177" t="n">
        <v>44659</v>
      </c>
      <c r="B464" s="177" t="n">
        <v>44656</v>
      </c>
      <c r="C464" s="177" t="n">
        <v>44662</v>
      </c>
      <c r="D464" t="inlineStr">
        <is>
          <t>BW20220405</t>
        </is>
      </c>
      <c r="E464" t="n">
        <v>2022</v>
      </c>
      <c r="F464" t="inlineStr">
        <is>
          <t>Kwiecień</t>
        </is>
      </c>
      <c r="G464" t="inlineStr">
        <is>
          <t>Pt</t>
        </is>
      </c>
      <c r="H464">
        <f>'Floor Hours Engine'!$E$5</f>
        <v/>
      </c>
      <c r="I464" t="inlineStr">
        <is>
          <t>W2</t>
        </is>
      </c>
      <c r="J464" t="inlineStr">
        <is>
          <t>2022_Kwiecień_W2</t>
        </is>
      </c>
    </row>
    <row r="465">
      <c r="A465" s="177" t="n">
        <v>44660</v>
      </c>
      <c r="B465" s="177" t="n">
        <v>44656</v>
      </c>
      <c r="C465" s="177" t="n">
        <v>44662</v>
      </c>
      <c r="D465" t="inlineStr">
        <is>
          <t>BW20220405</t>
        </is>
      </c>
      <c r="E465" t="n">
        <v>2022</v>
      </c>
      <c r="F465" t="inlineStr">
        <is>
          <t>Kwiecień</t>
        </is>
      </c>
      <c r="G465" t="inlineStr">
        <is>
          <t>Sob</t>
        </is>
      </c>
      <c r="H465">
        <f>'Floor Hours Engine'!$E$5</f>
        <v/>
      </c>
      <c r="I465" t="inlineStr">
        <is>
          <t>W2</t>
        </is>
      </c>
      <c r="J465" t="inlineStr">
        <is>
          <t>2022_Kwiecień_W2</t>
        </is>
      </c>
    </row>
    <row r="466">
      <c r="A466" s="177" t="n">
        <v>44661</v>
      </c>
      <c r="B466" s="177" t="n">
        <v>44656</v>
      </c>
      <c r="C466" s="177" t="n">
        <v>44662</v>
      </c>
      <c r="D466" t="inlineStr">
        <is>
          <t>BW20220405</t>
        </is>
      </c>
      <c r="E466" t="n">
        <v>2022</v>
      </c>
      <c r="F466" t="inlineStr">
        <is>
          <t>Kwiecień</t>
        </is>
      </c>
      <c r="G466" t="inlineStr">
        <is>
          <t>Nd</t>
        </is>
      </c>
      <c r="H466">
        <f>'Floor Hours Engine'!$E$6</f>
        <v/>
      </c>
      <c r="I466" t="inlineStr">
        <is>
          <t>W2</t>
        </is>
      </c>
      <c r="J466" t="inlineStr">
        <is>
          <t>2022_Kwiecień_W2</t>
        </is>
      </c>
    </row>
    <row r="467">
      <c r="A467" s="177" t="n">
        <v>44662</v>
      </c>
      <c r="B467" s="177" t="n">
        <v>44656</v>
      </c>
      <c r="C467" s="177" t="n">
        <v>44662</v>
      </c>
      <c r="D467" t="inlineStr">
        <is>
          <t>BW20220405</t>
        </is>
      </c>
      <c r="E467" t="n">
        <v>2022</v>
      </c>
      <c r="F467" t="inlineStr">
        <is>
          <t>Kwiecień</t>
        </is>
      </c>
      <c r="G467" t="inlineStr">
        <is>
          <t>Pn</t>
        </is>
      </c>
      <c r="H467">
        <f>'Floor Hours Engine'!$E$4</f>
        <v/>
      </c>
      <c r="I467" t="inlineStr">
        <is>
          <t>W2</t>
        </is>
      </c>
      <c r="J467" t="inlineStr">
        <is>
          <t>2022_Kwiecień_W2</t>
        </is>
      </c>
    </row>
    <row r="468">
      <c r="A468" s="177" t="n">
        <v>44663</v>
      </c>
      <c r="B468" s="177" t="n">
        <v>44663</v>
      </c>
      <c r="C468" s="177" t="n">
        <v>44669</v>
      </c>
      <c r="D468" t="inlineStr">
        <is>
          <t>BW20220412</t>
        </is>
      </c>
      <c r="E468" t="n">
        <v>2022</v>
      </c>
      <c r="F468" t="inlineStr">
        <is>
          <t>Kwiecień</t>
        </is>
      </c>
      <c r="G468" t="inlineStr">
        <is>
          <t>Wt</t>
        </is>
      </c>
      <c r="H468">
        <f>'Floor Hours Engine'!$E$4</f>
        <v/>
      </c>
      <c r="I468" t="inlineStr">
        <is>
          <t>W3</t>
        </is>
      </c>
      <c r="J468" t="inlineStr">
        <is>
          <t>2022_Kwiecień_W3</t>
        </is>
      </c>
    </row>
    <row r="469">
      <c r="A469" s="177" t="n">
        <v>44664</v>
      </c>
      <c r="B469" s="177" t="n">
        <v>44663</v>
      </c>
      <c r="C469" s="177" t="n">
        <v>44669</v>
      </c>
      <c r="D469" t="inlineStr">
        <is>
          <t>BW20220412</t>
        </is>
      </c>
      <c r="E469" t="n">
        <v>2022</v>
      </c>
      <c r="F469" t="inlineStr">
        <is>
          <t>Kwiecień</t>
        </is>
      </c>
      <c r="G469" t="inlineStr">
        <is>
          <t>Śr</t>
        </is>
      </c>
      <c r="H469">
        <f>'Floor Hours Engine'!$E$4</f>
        <v/>
      </c>
      <c r="I469" t="inlineStr">
        <is>
          <t>W3</t>
        </is>
      </c>
      <c r="J469" t="inlineStr">
        <is>
          <t>2022_Kwiecień_W3</t>
        </is>
      </c>
    </row>
    <row r="470">
      <c r="A470" s="177" t="n">
        <v>44665</v>
      </c>
      <c r="B470" s="177" t="n">
        <v>44663</v>
      </c>
      <c r="C470" s="177" t="n">
        <v>44669</v>
      </c>
      <c r="D470" t="inlineStr">
        <is>
          <t>BW20220412</t>
        </is>
      </c>
      <c r="E470" t="n">
        <v>2022</v>
      </c>
      <c r="F470" t="inlineStr">
        <is>
          <t>Kwiecień</t>
        </is>
      </c>
      <c r="G470" t="inlineStr">
        <is>
          <t>Czw</t>
        </is>
      </c>
      <c r="H470">
        <f>'Floor Hours Engine'!$E$4</f>
        <v/>
      </c>
      <c r="I470" t="inlineStr">
        <is>
          <t>W3</t>
        </is>
      </c>
      <c r="J470" t="inlineStr">
        <is>
          <t>2022_Kwiecień_W3</t>
        </is>
      </c>
    </row>
    <row r="471">
      <c r="A471" s="177" t="n">
        <v>44666</v>
      </c>
      <c r="B471" s="177" t="n">
        <v>44663</v>
      </c>
      <c r="C471" s="177" t="n">
        <v>44669</v>
      </c>
      <c r="D471" t="inlineStr">
        <is>
          <t>BW20220412</t>
        </is>
      </c>
      <c r="E471" t="n">
        <v>2022</v>
      </c>
      <c r="F471" t="inlineStr">
        <is>
          <t>Kwiecień</t>
        </is>
      </c>
      <c r="G471" t="inlineStr">
        <is>
          <t>Pt</t>
        </is>
      </c>
      <c r="H471">
        <f>'Floor Hours Engine'!$E$5</f>
        <v/>
      </c>
      <c r="I471" t="inlineStr">
        <is>
          <t>W3</t>
        </is>
      </c>
      <c r="J471" t="inlineStr">
        <is>
          <t>2022_Kwiecień_W3</t>
        </is>
      </c>
    </row>
    <row r="472">
      <c r="A472" s="177" t="n">
        <v>44667</v>
      </c>
      <c r="B472" s="177" t="n">
        <v>44663</v>
      </c>
      <c r="C472" s="177" t="n">
        <v>44669</v>
      </c>
      <c r="D472" t="inlineStr">
        <is>
          <t>BW20220412</t>
        </is>
      </c>
      <c r="E472" t="n">
        <v>2022</v>
      </c>
      <c r="F472" t="inlineStr">
        <is>
          <t>Kwiecień</t>
        </is>
      </c>
      <c r="G472" t="inlineStr">
        <is>
          <t>Sob</t>
        </is>
      </c>
      <c r="H472">
        <f>'Floor Hours Engine'!$E$5</f>
        <v/>
      </c>
      <c r="I472" t="inlineStr">
        <is>
          <t>W3</t>
        </is>
      </c>
      <c r="J472" t="inlineStr">
        <is>
          <t>2022_Kwiecień_W3</t>
        </is>
      </c>
    </row>
    <row r="473">
      <c r="A473" s="177" t="n">
        <v>44668</v>
      </c>
      <c r="B473" s="177" t="n">
        <v>44663</v>
      </c>
      <c r="C473" s="177" t="n">
        <v>44669</v>
      </c>
      <c r="D473" t="inlineStr">
        <is>
          <t>BW20220412</t>
        </is>
      </c>
      <c r="E473" t="n">
        <v>2022</v>
      </c>
      <c r="F473" t="inlineStr">
        <is>
          <t>Kwiecień</t>
        </is>
      </c>
      <c r="G473" t="inlineStr">
        <is>
          <t>Nd</t>
        </is>
      </c>
      <c r="H473">
        <f>'Floor Hours Engine'!$E$6</f>
        <v/>
      </c>
      <c r="I473" t="inlineStr">
        <is>
          <t>W3</t>
        </is>
      </c>
      <c r="J473" t="inlineStr">
        <is>
          <t>2022_Kwiecień_W3</t>
        </is>
      </c>
    </row>
    <row r="474">
      <c r="A474" s="177" t="n">
        <v>44669</v>
      </c>
      <c r="B474" s="177" t="n">
        <v>44663</v>
      </c>
      <c r="C474" s="177" t="n">
        <v>44669</v>
      </c>
      <c r="D474" t="inlineStr">
        <is>
          <t>BW20220412</t>
        </is>
      </c>
      <c r="E474" t="n">
        <v>2022</v>
      </c>
      <c r="F474" t="inlineStr">
        <is>
          <t>Kwiecień</t>
        </is>
      </c>
      <c r="G474" t="inlineStr">
        <is>
          <t>Pn</t>
        </is>
      </c>
      <c r="H474">
        <f>'Floor Hours Engine'!$E$4</f>
        <v/>
      </c>
      <c r="I474" t="inlineStr">
        <is>
          <t>W3</t>
        </is>
      </c>
      <c r="J474" t="inlineStr">
        <is>
          <t>2022_Kwiecień_W3</t>
        </is>
      </c>
    </row>
    <row r="475">
      <c r="A475" s="177" t="n">
        <v>44670</v>
      </c>
      <c r="B475" s="177" t="n">
        <v>44670</v>
      </c>
      <c r="C475" s="177" t="n">
        <v>44676</v>
      </c>
      <c r="D475" t="inlineStr">
        <is>
          <t>BW20220419</t>
        </is>
      </c>
      <c r="E475" t="n">
        <v>2022</v>
      </c>
      <c r="F475" t="inlineStr">
        <is>
          <t>Kwiecień</t>
        </is>
      </c>
      <c r="G475" t="inlineStr">
        <is>
          <t>Wt</t>
        </is>
      </c>
      <c r="H475">
        <f>'Floor Hours Engine'!$E$4</f>
        <v/>
      </c>
      <c r="I475" t="inlineStr">
        <is>
          <t>W4</t>
        </is>
      </c>
      <c r="J475" t="inlineStr">
        <is>
          <t>2022_Kwiecień_W4</t>
        </is>
      </c>
    </row>
    <row r="476">
      <c r="A476" s="177" t="n">
        <v>44671</v>
      </c>
      <c r="B476" s="177" t="n">
        <v>44670</v>
      </c>
      <c r="C476" s="177" t="n">
        <v>44676</v>
      </c>
      <c r="D476" t="inlineStr">
        <is>
          <t>BW20220419</t>
        </is>
      </c>
      <c r="E476" t="n">
        <v>2022</v>
      </c>
      <c r="F476" t="inlineStr">
        <is>
          <t>Kwiecień</t>
        </is>
      </c>
      <c r="G476" t="inlineStr">
        <is>
          <t>Śr</t>
        </is>
      </c>
      <c r="H476">
        <f>'Floor Hours Engine'!$E$4</f>
        <v/>
      </c>
      <c r="I476" t="inlineStr">
        <is>
          <t>W4</t>
        </is>
      </c>
      <c r="J476" t="inlineStr">
        <is>
          <t>2022_Kwiecień_W4</t>
        </is>
      </c>
    </row>
    <row r="477">
      <c r="A477" s="177" t="n">
        <v>44672</v>
      </c>
      <c r="B477" s="177" t="n">
        <v>44670</v>
      </c>
      <c r="C477" s="177" t="n">
        <v>44676</v>
      </c>
      <c r="D477" t="inlineStr">
        <is>
          <t>BW20220419</t>
        </is>
      </c>
      <c r="E477" t="n">
        <v>2022</v>
      </c>
      <c r="F477" t="inlineStr">
        <is>
          <t>Kwiecień</t>
        </is>
      </c>
      <c r="G477" t="inlineStr">
        <is>
          <t>Czw</t>
        </is>
      </c>
      <c r="H477">
        <f>'Floor Hours Engine'!$E$4</f>
        <v/>
      </c>
      <c r="I477" t="inlineStr">
        <is>
          <t>W4</t>
        </is>
      </c>
      <c r="J477" t="inlineStr">
        <is>
          <t>2022_Kwiecień_W4</t>
        </is>
      </c>
    </row>
    <row r="478">
      <c r="A478" s="177" t="n">
        <v>44673</v>
      </c>
      <c r="B478" s="177" t="n">
        <v>44670</v>
      </c>
      <c r="C478" s="177" t="n">
        <v>44676</v>
      </c>
      <c r="D478" t="inlineStr">
        <is>
          <t>BW20220419</t>
        </is>
      </c>
      <c r="E478" t="n">
        <v>2022</v>
      </c>
      <c r="F478" t="inlineStr">
        <is>
          <t>Kwiecień</t>
        </is>
      </c>
      <c r="G478" t="inlineStr">
        <is>
          <t>Pt</t>
        </is>
      </c>
      <c r="H478">
        <f>'Floor Hours Engine'!$E$5</f>
        <v/>
      </c>
      <c r="I478" t="inlineStr">
        <is>
          <t>W4</t>
        </is>
      </c>
      <c r="J478" t="inlineStr">
        <is>
          <t>2022_Kwiecień_W4</t>
        </is>
      </c>
    </row>
    <row r="479">
      <c r="A479" s="177" t="n">
        <v>44674</v>
      </c>
      <c r="B479" s="177" t="n">
        <v>44670</v>
      </c>
      <c r="C479" s="177" t="n">
        <v>44676</v>
      </c>
      <c r="D479" t="inlineStr">
        <is>
          <t>BW20220419</t>
        </is>
      </c>
      <c r="E479" t="n">
        <v>2022</v>
      </c>
      <c r="F479" t="inlineStr">
        <is>
          <t>Kwiecień</t>
        </is>
      </c>
      <c r="G479" t="inlineStr">
        <is>
          <t>Sob</t>
        </is>
      </c>
      <c r="H479">
        <f>'Floor Hours Engine'!$E$5</f>
        <v/>
      </c>
      <c r="I479" t="inlineStr">
        <is>
          <t>W4</t>
        </is>
      </c>
      <c r="J479" t="inlineStr">
        <is>
          <t>2022_Kwiecień_W4</t>
        </is>
      </c>
    </row>
    <row r="480">
      <c r="A480" s="177" t="n">
        <v>44675</v>
      </c>
      <c r="B480" s="177" t="n">
        <v>44670</v>
      </c>
      <c r="C480" s="177" t="n">
        <v>44676</v>
      </c>
      <c r="D480" t="inlineStr">
        <is>
          <t>BW20220419</t>
        </is>
      </c>
      <c r="E480" t="n">
        <v>2022</v>
      </c>
      <c r="F480" t="inlineStr">
        <is>
          <t>Kwiecień</t>
        </is>
      </c>
      <c r="G480" t="inlineStr">
        <is>
          <t>Nd</t>
        </is>
      </c>
      <c r="H480">
        <f>'Floor Hours Engine'!$E$6</f>
        <v/>
      </c>
      <c r="I480" t="inlineStr">
        <is>
          <t>W4</t>
        </is>
      </c>
      <c r="J480" t="inlineStr">
        <is>
          <t>2022_Kwiecień_W4</t>
        </is>
      </c>
    </row>
    <row r="481">
      <c r="A481" s="177" t="n">
        <v>44676</v>
      </c>
      <c r="B481" s="177" t="n">
        <v>44670</v>
      </c>
      <c r="C481" s="177" t="n">
        <v>44676</v>
      </c>
      <c r="D481" t="inlineStr">
        <is>
          <t>BW20220419</t>
        </is>
      </c>
      <c r="E481" t="n">
        <v>2022</v>
      </c>
      <c r="F481" t="inlineStr">
        <is>
          <t>Kwiecień</t>
        </is>
      </c>
      <c r="G481" t="inlineStr">
        <is>
          <t>Pn</t>
        </is>
      </c>
      <c r="H481">
        <f>'Floor Hours Engine'!$E$4</f>
        <v/>
      </c>
      <c r="I481" t="inlineStr">
        <is>
          <t>W4</t>
        </is>
      </c>
      <c r="J481" t="inlineStr">
        <is>
          <t>2022_Kwiecień_W4</t>
        </is>
      </c>
    </row>
    <row r="482">
      <c r="A482" s="177" t="n">
        <v>44677</v>
      </c>
      <c r="B482" s="177" t="n">
        <v>44677</v>
      </c>
      <c r="C482" s="177" t="n">
        <v>44683</v>
      </c>
      <c r="D482" t="inlineStr">
        <is>
          <t>BW20220426</t>
        </is>
      </c>
      <c r="E482" t="n">
        <v>2022</v>
      </c>
      <c r="F482" t="inlineStr">
        <is>
          <t>Kwiecień</t>
        </is>
      </c>
      <c r="G482" t="inlineStr">
        <is>
          <t>Wt</t>
        </is>
      </c>
      <c r="H482">
        <f>'Floor Hours Engine'!$E$4</f>
        <v/>
      </c>
      <c r="I482" t="inlineStr">
        <is>
          <t>W5</t>
        </is>
      </c>
      <c r="J482" t="inlineStr">
        <is>
          <t>2022_Kwiecień_W5</t>
        </is>
      </c>
    </row>
    <row r="483">
      <c r="A483" s="177" t="n">
        <v>44678</v>
      </c>
      <c r="B483" s="177" t="n">
        <v>44677</v>
      </c>
      <c r="C483" s="177" t="n">
        <v>44683</v>
      </c>
      <c r="D483" t="inlineStr">
        <is>
          <t>BW20220426</t>
        </is>
      </c>
      <c r="E483" t="n">
        <v>2022</v>
      </c>
      <c r="F483" t="inlineStr">
        <is>
          <t>Kwiecień</t>
        </is>
      </c>
      <c r="G483" t="inlineStr">
        <is>
          <t>Śr</t>
        </is>
      </c>
      <c r="H483">
        <f>'Floor Hours Engine'!$E$4</f>
        <v/>
      </c>
      <c r="I483" t="inlineStr">
        <is>
          <t>W5</t>
        </is>
      </c>
      <c r="J483" t="inlineStr">
        <is>
          <t>2022_Kwiecień_W5</t>
        </is>
      </c>
    </row>
    <row r="484">
      <c r="A484" s="177" t="n">
        <v>44679</v>
      </c>
      <c r="B484" s="177" t="n">
        <v>44677</v>
      </c>
      <c r="C484" s="177" t="n">
        <v>44683</v>
      </c>
      <c r="D484" t="inlineStr">
        <is>
          <t>BW20220426</t>
        </is>
      </c>
      <c r="E484" t="n">
        <v>2022</v>
      </c>
      <c r="F484" t="inlineStr">
        <is>
          <t>Kwiecień</t>
        </is>
      </c>
      <c r="G484" t="inlineStr">
        <is>
          <t>Czw</t>
        </is>
      </c>
      <c r="H484">
        <f>'Floor Hours Engine'!$E$4</f>
        <v/>
      </c>
      <c r="I484" t="inlineStr">
        <is>
          <t>W5</t>
        </is>
      </c>
      <c r="J484" t="inlineStr">
        <is>
          <t>2022_Kwiecień_W5</t>
        </is>
      </c>
    </row>
    <row r="485">
      <c r="A485" s="177" t="n">
        <v>44680</v>
      </c>
      <c r="B485" s="177" t="n">
        <v>44677</v>
      </c>
      <c r="C485" s="177" t="n">
        <v>44683</v>
      </c>
      <c r="D485" t="inlineStr">
        <is>
          <t>BW20220426</t>
        </is>
      </c>
      <c r="E485" t="n">
        <v>2022</v>
      </c>
      <c r="F485" t="inlineStr">
        <is>
          <t>Kwiecień</t>
        </is>
      </c>
      <c r="G485" t="inlineStr">
        <is>
          <t>Pt</t>
        </is>
      </c>
      <c r="H485">
        <f>'Floor Hours Engine'!$E$5</f>
        <v/>
      </c>
      <c r="I485" t="inlineStr">
        <is>
          <t>W5</t>
        </is>
      </c>
      <c r="J485" t="inlineStr">
        <is>
          <t>2022_Kwiecień_W5</t>
        </is>
      </c>
    </row>
    <row r="486">
      <c r="A486" s="177" t="n">
        <v>44681</v>
      </c>
      <c r="B486" s="177" t="n">
        <v>44677</v>
      </c>
      <c r="C486" s="177" t="n">
        <v>44683</v>
      </c>
      <c r="D486" t="inlineStr">
        <is>
          <t>BW20220426</t>
        </is>
      </c>
      <c r="E486" t="n">
        <v>2022</v>
      </c>
      <c r="F486" t="inlineStr">
        <is>
          <t>Kwiecień</t>
        </is>
      </c>
      <c r="G486" t="inlineStr">
        <is>
          <t>Sob</t>
        </is>
      </c>
      <c r="H486">
        <f>'Floor Hours Engine'!$E$5</f>
        <v/>
      </c>
      <c r="I486" t="inlineStr">
        <is>
          <t>W5</t>
        </is>
      </c>
      <c r="J486" t="inlineStr">
        <is>
          <t>2022_Kwiecień_W5</t>
        </is>
      </c>
    </row>
    <row r="487">
      <c r="A487" s="177" t="n">
        <v>44682</v>
      </c>
      <c r="B487" s="177" t="n">
        <v>44677</v>
      </c>
      <c r="C487" s="177" t="n">
        <v>44683</v>
      </c>
      <c r="D487" t="inlineStr">
        <is>
          <t>BW20220426</t>
        </is>
      </c>
      <c r="E487" t="n">
        <v>2022</v>
      </c>
      <c r="F487" t="inlineStr">
        <is>
          <t>Maj</t>
        </is>
      </c>
      <c r="G487" t="inlineStr">
        <is>
          <t>Nd</t>
        </is>
      </c>
      <c r="H487">
        <f>'Floor Hours Engine'!$E$6</f>
        <v/>
      </c>
      <c r="I487" t="inlineStr">
        <is>
          <t>W1</t>
        </is>
      </c>
      <c r="J487" t="inlineStr">
        <is>
          <t>2022_Maj_W1</t>
        </is>
      </c>
    </row>
    <row r="488">
      <c r="A488" s="177" t="n">
        <v>44683</v>
      </c>
      <c r="B488" s="177" t="n">
        <v>44677</v>
      </c>
      <c r="C488" s="177" t="n">
        <v>44683</v>
      </c>
      <c r="D488" t="inlineStr">
        <is>
          <t>BW20220426</t>
        </is>
      </c>
      <c r="E488" t="n">
        <v>2022</v>
      </c>
      <c r="F488" t="inlineStr">
        <is>
          <t>Maj</t>
        </is>
      </c>
      <c r="G488" t="inlineStr">
        <is>
          <t>Pn</t>
        </is>
      </c>
      <c r="H488">
        <f>'Floor Hours Engine'!$E$4</f>
        <v/>
      </c>
      <c r="I488" t="inlineStr">
        <is>
          <t>W1</t>
        </is>
      </c>
      <c r="J488" t="inlineStr">
        <is>
          <t>2022_Maj_W1</t>
        </is>
      </c>
    </row>
    <row r="489">
      <c r="A489" s="177" t="n">
        <v>44684</v>
      </c>
      <c r="B489" s="177" t="n">
        <v>44684</v>
      </c>
      <c r="C489" s="177" t="n">
        <v>44690</v>
      </c>
      <c r="D489" t="inlineStr">
        <is>
          <t>BW20220503</t>
        </is>
      </c>
      <c r="E489" t="n">
        <v>2022</v>
      </c>
      <c r="F489" t="inlineStr">
        <is>
          <t>Maj</t>
        </is>
      </c>
      <c r="G489" t="inlineStr">
        <is>
          <t>Wt</t>
        </is>
      </c>
      <c r="H489">
        <f>'Floor Hours Engine'!$E$4</f>
        <v/>
      </c>
      <c r="I489" t="inlineStr">
        <is>
          <t>W2</t>
        </is>
      </c>
      <c r="J489" t="inlineStr">
        <is>
          <t>2022_Maj_W2</t>
        </is>
      </c>
    </row>
    <row r="490">
      <c r="A490" s="177" t="n">
        <v>44685</v>
      </c>
      <c r="B490" s="177" t="n">
        <v>44684</v>
      </c>
      <c r="C490" s="177" t="n">
        <v>44690</v>
      </c>
      <c r="D490" t="inlineStr">
        <is>
          <t>BW20220503</t>
        </is>
      </c>
      <c r="E490" t="n">
        <v>2022</v>
      </c>
      <c r="F490" t="inlineStr">
        <is>
          <t>Maj</t>
        </is>
      </c>
      <c r="G490" t="inlineStr">
        <is>
          <t>Śr</t>
        </is>
      </c>
      <c r="H490">
        <f>'Floor Hours Engine'!$E$4</f>
        <v/>
      </c>
      <c r="I490" t="inlineStr">
        <is>
          <t>W2</t>
        </is>
      </c>
      <c r="J490" t="inlineStr">
        <is>
          <t>2022_Maj_W2</t>
        </is>
      </c>
    </row>
    <row r="491">
      <c r="A491" s="177" t="n">
        <v>44686</v>
      </c>
      <c r="B491" s="177" t="n">
        <v>44684</v>
      </c>
      <c r="C491" s="177" t="n">
        <v>44690</v>
      </c>
      <c r="D491" t="inlineStr">
        <is>
          <t>BW20220503</t>
        </is>
      </c>
      <c r="E491" t="n">
        <v>2022</v>
      </c>
      <c r="F491" t="inlineStr">
        <is>
          <t>Maj</t>
        </is>
      </c>
      <c r="G491" t="inlineStr">
        <is>
          <t>Czw</t>
        </is>
      </c>
      <c r="H491">
        <f>'Floor Hours Engine'!$E$4</f>
        <v/>
      </c>
      <c r="I491" t="inlineStr">
        <is>
          <t>W2</t>
        </is>
      </c>
      <c r="J491" t="inlineStr">
        <is>
          <t>2022_Maj_W2</t>
        </is>
      </c>
    </row>
    <row r="492">
      <c r="A492" s="177" t="n">
        <v>44687</v>
      </c>
      <c r="B492" s="177" t="n">
        <v>44684</v>
      </c>
      <c r="C492" s="177" t="n">
        <v>44690</v>
      </c>
      <c r="D492" t="inlineStr">
        <is>
          <t>BW20220503</t>
        </is>
      </c>
      <c r="E492" t="n">
        <v>2022</v>
      </c>
      <c r="F492" t="inlineStr">
        <is>
          <t>Maj</t>
        </is>
      </c>
      <c r="G492" t="inlineStr">
        <is>
          <t>Pt</t>
        </is>
      </c>
      <c r="H492">
        <f>'Floor Hours Engine'!$E$5</f>
        <v/>
      </c>
      <c r="I492" t="inlineStr">
        <is>
          <t>W2</t>
        </is>
      </c>
      <c r="J492" t="inlineStr">
        <is>
          <t>2022_Maj_W2</t>
        </is>
      </c>
    </row>
    <row r="493">
      <c r="A493" s="177" t="n">
        <v>44688</v>
      </c>
      <c r="B493" s="177" t="n">
        <v>44684</v>
      </c>
      <c r="C493" s="177" t="n">
        <v>44690</v>
      </c>
      <c r="D493" t="inlineStr">
        <is>
          <t>BW20220503</t>
        </is>
      </c>
      <c r="E493" t="n">
        <v>2022</v>
      </c>
      <c r="F493" t="inlineStr">
        <is>
          <t>Maj</t>
        </is>
      </c>
      <c r="G493" t="inlineStr">
        <is>
          <t>Sob</t>
        </is>
      </c>
      <c r="H493">
        <f>'Floor Hours Engine'!$E$5</f>
        <v/>
      </c>
      <c r="I493" t="inlineStr">
        <is>
          <t>W2</t>
        </is>
      </c>
      <c r="J493" t="inlineStr">
        <is>
          <t>2022_Maj_W2</t>
        </is>
      </c>
    </row>
    <row r="494">
      <c r="A494" s="177" t="n">
        <v>44689</v>
      </c>
      <c r="B494" s="177" t="n">
        <v>44684</v>
      </c>
      <c r="C494" s="177" t="n">
        <v>44690</v>
      </c>
      <c r="D494" t="inlineStr">
        <is>
          <t>BW20220503</t>
        </is>
      </c>
      <c r="E494" t="n">
        <v>2022</v>
      </c>
      <c r="F494" t="inlineStr">
        <is>
          <t>Maj</t>
        </is>
      </c>
      <c r="G494" t="inlineStr">
        <is>
          <t>Nd</t>
        </is>
      </c>
      <c r="H494">
        <f>'Floor Hours Engine'!$E$6</f>
        <v/>
      </c>
      <c r="I494" t="inlineStr">
        <is>
          <t>W2</t>
        </is>
      </c>
      <c r="J494" t="inlineStr">
        <is>
          <t>2022_Maj_W2</t>
        </is>
      </c>
    </row>
    <row r="495">
      <c r="A495" s="177" t="n">
        <v>44690</v>
      </c>
      <c r="B495" s="177" t="n">
        <v>44684</v>
      </c>
      <c r="C495" s="177" t="n">
        <v>44690</v>
      </c>
      <c r="D495" t="inlineStr">
        <is>
          <t>BW20220503</t>
        </is>
      </c>
      <c r="E495" t="n">
        <v>2022</v>
      </c>
      <c r="F495" t="inlineStr">
        <is>
          <t>Maj</t>
        </is>
      </c>
      <c r="G495" t="inlineStr">
        <is>
          <t>Pn</t>
        </is>
      </c>
      <c r="H495">
        <f>'Floor Hours Engine'!$E$4</f>
        <v/>
      </c>
      <c r="I495" t="inlineStr">
        <is>
          <t>W2</t>
        </is>
      </c>
      <c r="J495" t="inlineStr">
        <is>
          <t>2022_Maj_W2</t>
        </is>
      </c>
    </row>
    <row r="496">
      <c r="A496" s="177" t="n">
        <v>44691</v>
      </c>
      <c r="B496" s="177" t="n">
        <v>44691</v>
      </c>
      <c r="C496" s="177" t="n">
        <v>44697</v>
      </c>
      <c r="D496" t="inlineStr">
        <is>
          <t>BW20220510</t>
        </is>
      </c>
      <c r="E496" t="n">
        <v>2022</v>
      </c>
      <c r="F496" t="inlineStr">
        <is>
          <t>Maj</t>
        </is>
      </c>
      <c r="G496" t="inlineStr">
        <is>
          <t>Wt</t>
        </is>
      </c>
      <c r="H496">
        <f>'Floor Hours Engine'!$E$4</f>
        <v/>
      </c>
      <c r="I496" t="inlineStr">
        <is>
          <t>W3</t>
        </is>
      </c>
      <c r="J496" t="inlineStr">
        <is>
          <t>2022_Maj_W3</t>
        </is>
      </c>
    </row>
    <row r="497">
      <c r="A497" s="177" t="n">
        <v>44692</v>
      </c>
      <c r="B497" s="177" t="n">
        <v>44691</v>
      </c>
      <c r="C497" s="177" t="n">
        <v>44697</v>
      </c>
      <c r="D497" t="inlineStr">
        <is>
          <t>BW20220510</t>
        </is>
      </c>
      <c r="E497" t="n">
        <v>2022</v>
      </c>
      <c r="F497" t="inlineStr">
        <is>
          <t>Maj</t>
        </is>
      </c>
      <c r="G497" t="inlineStr">
        <is>
          <t>Śr</t>
        </is>
      </c>
      <c r="H497">
        <f>'Floor Hours Engine'!$E$4</f>
        <v/>
      </c>
      <c r="I497" t="inlineStr">
        <is>
          <t>W3</t>
        </is>
      </c>
      <c r="J497" t="inlineStr">
        <is>
          <t>2022_Maj_W3</t>
        </is>
      </c>
    </row>
    <row r="498">
      <c r="A498" s="177" t="n">
        <v>44693</v>
      </c>
      <c r="B498" s="177" t="n">
        <v>44691</v>
      </c>
      <c r="C498" s="177" t="n">
        <v>44697</v>
      </c>
      <c r="D498" t="inlineStr">
        <is>
          <t>BW20220510</t>
        </is>
      </c>
      <c r="E498" t="n">
        <v>2022</v>
      </c>
      <c r="F498" t="inlineStr">
        <is>
          <t>Maj</t>
        </is>
      </c>
      <c r="G498" t="inlineStr">
        <is>
          <t>Czw</t>
        </is>
      </c>
      <c r="H498">
        <f>'Floor Hours Engine'!$E$4</f>
        <v/>
      </c>
      <c r="I498" t="inlineStr">
        <is>
          <t>W3</t>
        </is>
      </c>
      <c r="J498" t="inlineStr">
        <is>
          <t>2022_Maj_W3</t>
        </is>
      </c>
    </row>
    <row r="499">
      <c r="A499" s="177" t="n">
        <v>44694</v>
      </c>
      <c r="B499" s="177" t="n">
        <v>44691</v>
      </c>
      <c r="C499" s="177" t="n">
        <v>44697</v>
      </c>
      <c r="D499" t="inlineStr">
        <is>
          <t>BW20220510</t>
        </is>
      </c>
      <c r="E499" t="n">
        <v>2022</v>
      </c>
      <c r="F499" t="inlineStr">
        <is>
          <t>Maj</t>
        </is>
      </c>
      <c r="G499" t="inlineStr">
        <is>
          <t>Pt</t>
        </is>
      </c>
      <c r="H499">
        <f>'Floor Hours Engine'!$E$5</f>
        <v/>
      </c>
      <c r="I499" t="inlineStr">
        <is>
          <t>W3</t>
        </is>
      </c>
      <c r="J499" t="inlineStr">
        <is>
          <t>2022_Maj_W3</t>
        </is>
      </c>
    </row>
    <row r="500">
      <c r="A500" s="177" t="n">
        <v>44695</v>
      </c>
      <c r="B500" s="177" t="n">
        <v>44691</v>
      </c>
      <c r="C500" s="177" t="n">
        <v>44697</v>
      </c>
      <c r="D500" t="inlineStr">
        <is>
          <t>BW20220510</t>
        </is>
      </c>
      <c r="E500" t="n">
        <v>2022</v>
      </c>
      <c r="F500" t="inlineStr">
        <is>
          <t>Maj</t>
        </is>
      </c>
      <c r="G500" t="inlineStr">
        <is>
          <t>Sob</t>
        </is>
      </c>
      <c r="H500">
        <f>'Floor Hours Engine'!$E$5</f>
        <v/>
      </c>
      <c r="I500" t="inlineStr">
        <is>
          <t>W3</t>
        </is>
      </c>
      <c r="J500" t="inlineStr">
        <is>
          <t>2022_Maj_W3</t>
        </is>
      </c>
    </row>
    <row r="501">
      <c r="A501" s="177" t="n">
        <v>44696</v>
      </c>
      <c r="B501" s="177" t="n">
        <v>44691</v>
      </c>
      <c r="C501" s="177" t="n">
        <v>44697</v>
      </c>
      <c r="D501" t="inlineStr">
        <is>
          <t>BW20220510</t>
        </is>
      </c>
      <c r="E501" t="n">
        <v>2022</v>
      </c>
      <c r="F501" t="inlineStr">
        <is>
          <t>Maj</t>
        </is>
      </c>
      <c r="G501" t="inlineStr">
        <is>
          <t>Nd</t>
        </is>
      </c>
      <c r="H501">
        <f>'Floor Hours Engine'!$E$6</f>
        <v/>
      </c>
      <c r="I501" t="inlineStr">
        <is>
          <t>W3</t>
        </is>
      </c>
      <c r="J501" t="inlineStr">
        <is>
          <t>2022_Maj_W3</t>
        </is>
      </c>
    </row>
    <row r="502">
      <c r="A502" s="177" t="n">
        <v>44697</v>
      </c>
      <c r="B502" s="177" t="n">
        <v>44691</v>
      </c>
      <c r="C502" s="177" t="n">
        <v>44697</v>
      </c>
      <c r="D502" t="inlineStr">
        <is>
          <t>BW20220510</t>
        </is>
      </c>
      <c r="E502" t="n">
        <v>2022</v>
      </c>
      <c r="F502" t="inlineStr">
        <is>
          <t>Maj</t>
        </is>
      </c>
      <c r="G502" t="inlineStr">
        <is>
          <t>Pn</t>
        </is>
      </c>
      <c r="H502">
        <f>'Floor Hours Engine'!$E$4</f>
        <v/>
      </c>
      <c r="I502" t="inlineStr">
        <is>
          <t>W3</t>
        </is>
      </c>
      <c r="J502" t="inlineStr">
        <is>
          <t>2022_Maj_W3</t>
        </is>
      </c>
    </row>
    <row r="503">
      <c r="A503" s="177" t="n">
        <v>44698</v>
      </c>
      <c r="B503" s="177" t="n">
        <v>44698</v>
      </c>
      <c r="C503" s="177" t="n">
        <v>44704</v>
      </c>
      <c r="D503" t="inlineStr">
        <is>
          <t>BW20220517</t>
        </is>
      </c>
      <c r="E503" t="n">
        <v>2022</v>
      </c>
      <c r="F503" t="inlineStr">
        <is>
          <t>Maj</t>
        </is>
      </c>
      <c r="G503" t="inlineStr">
        <is>
          <t>Wt</t>
        </is>
      </c>
      <c r="H503">
        <f>'Floor Hours Engine'!$E$4</f>
        <v/>
      </c>
      <c r="I503" t="inlineStr">
        <is>
          <t>W4</t>
        </is>
      </c>
      <c r="J503" t="inlineStr">
        <is>
          <t>2022_Maj_W4</t>
        </is>
      </c>
    </row>
    <row r="504">
      <c r="A504" s="177" t="n">
        <v>44699</v>
      </c>
      <c r="B504" s="177" t="n">
        <v>44698</v>
      </c>
      <c r="C504" s="177" t="n">
        <v>44704</v>
      </c>
      <c r="D504" t="inlineStr">
        <is>
          <t>BW20220517</t>
        </is>
      </c>
      <c r="E504" t="n">
        <v>2022</v>
      </c>
      <c r="F504" t="inlineStr">
        <is>
          <t>Maj</t>
        </is>
      </c>
      <c r="G504" t="inlineStr">
        <is>
          <t>Śr</t>
        </is>
      </c>
      <c r="H504">
        <f>'Floor Hours Engine'!$E$4</f>
        <v/>
      </c>
      <c r="I504" t="inlineStr">
        <is>
          <t>W4</t>
        </is>
      </c>
      <c r="J504" t="inlineStr">
        <is>
          <t>2022_Maj_W4</t>
        </is>
      </c>
    </row>
    <row r="505">
      <c r="A505" s="177" t="n">
        <v>44700</v>
      </c>
      <c r="B505" s="177" t="n">
        <v>44698</v>
      </c>
      <c r="C505" s="177" t="n">
        <v>44704</v>
      </c>
      <c r="D505" t="inlineStr">
        <is>
          <t>BW20220517</t>
        </is>
      </c>
      <c r="E505" t="n">
        <v>2022</v>
      </c>
      <c r="F505" t="inlineStr">
        <is>
          <t>Maj</t>
        </is>
      </c>
      <c r="G505" t="inlineStr">
        <is>
          <t>Czw</t>
        </is>
      </c>
      <c r="H505">
        <f>'Floor Hours Engine'!$E$4</f>
        <v/>
      </c>
      <c r="I505" t="inlineStr">
        <is>
          <t>W4</t>
        </is>
      </c>
      <c r="J505" t="inlineStr">
        <is>
          <t>2022_Maj_W4</t>
        </is>
      </c>
    </row>
    <row r="506">
      <c r="A506" s="177" t="n">
        <v>44701</v>
      </c>
      <c r="B506" s="177" t="n">
        <v>44698</v>
      </c>
      <c r="C506" s="177" t="n">
        <v>44704</v>
      </c>
      <c r="D506" t="inlineStr">
        <is>
          <t>BW20220517</t>
        </is>
      </c>
      <c r="E506" t="n">
        <v>2022</v>
      </c>
      <c r="F506" t="inlineStr">
        <is>
          <t>Maj</t>
        </is>
      </c>
      <c r="G506" t="inlineStr">
        <is>
          <t>Pt</t>
        </is>
      </c>
      <c r="H506">
        <f>'Floor Hours Engine'!$E$5</f>
        <v/>
      </c>
      <c r="I506" t="inlineStr">
        <is>
          <t>W4</t>
        </is>
      </c>
      <c r="J506" t="inlineStr">
        <is>
          <t>2022_Maj_W4</t>
        </is>
      </c>
    </row>
    <row r="507">
      <c r="A507" s="177" t="n">
        <v>44702</v>
      </c>
      <c r="B507" s="177" t="n">
        <v>44698</v>
      </c>
      <c r="C507" s="177" t="n">
        <v>44704</v>
      </c>
      <c r="D507" t="inlineStr">
        <is>
          <t>BW20220517</t>
        </is>
      </c>
      <c r="E507" t="n">
        <v>2022</v>
      </c>
      <c r="F507" t="inlineStr">
        <is>
          <t>Maj</t>
        </is>
      </c>
      <c r="G507" t="inlineStr">
        <is>
          <t>Sob</t>
        </is>
      </c>
      <c r="H507">
        <f>'Floor Hours Engine'!$E$5</f>
        <v/>
      </c>
      <c r="I507" t="inlineStr">
        <is>
          <t>W4</t>
        </is>
      </c>
      <c r="J507" t="inlineStr">
        <is>
          <t>2022_Maj_W4</t>
        </is>
      </c>
    </row>
    <row r="508">
      <c r="A508" s="177" t="n">
        <v>44703</v>
      </c>
      <c r="B508" s="177" t="n">
        <v>44698</v>
      </c>
      <c r="C508" s="177" t="n">
        <v>44704</v>
      </c>
      <c r="D508" t="inlineStr">
        <is>
          <t>BW20220517</t>
        </is>
      </c>
      <c r="E508" t="n">
        <v>2022</v>
      </c>
      <c r="F508" t="inlineStr">
        <is>
          <t>Maj</t>
        </is>
      </c>
      <c r="G508" t="inlineStr">
        <is>
          <t>Nd</t>
        </is>
      </c>
      <c r="H508">
        <f>'Floor Hours Engine'!$E$6</f>
        <v/>
      </c>
      <c r="I508" t="inlineStr">
        <is>
          <t>W4</t>
        </is>
      </c>
      <c r="J508" t="inlineStr">
        <is>
          <t>2022_Maj_W4</t>
        </is>
      </c>
    </row>
    <row r="509">
      <c r="A509" s="177" t="n">
        <v>44704</v>
      </c>
      <c r="B509" s="177" t="n">
        <v>44698</v>
      </c>
      <c r="C509" s="177" t="n">
        <v>44704</v>
      </c>
      <c r="D509" t="inlineStr">
        <is>
          <t>BW20220517</t>
        </is>
      </c>
      <c r="E509" t="n">
        <v>2022</v>
      </c>
      <c r="F509" t="inlineStr">
        <is>
          <t>Maj</t>
        </is>
      </c>
      <c r="G509" t="inlineStr">
        <is>
          <t>Pn</t>
        </is>
      </c>
      <c r="H509">
        <f>'Floor Hours Engine'!$E$4</f>
        <v/>
      </c>
      <c r="I509" t="inlineStr">
        <is>
          <t>W4</t>
        </is>
      </c>
      <c r="J509" t="inlineStr">
        <is>
          <t>2022_Maj_W4</t>
        </is>
      </c>
    </row>
    <row r="510">
      <c r="A510" s="177" t="n">
        <v>44705</v>
      </c>
      <c r="B510" s="177" t="n">
        <v>44705</v>
      </c>
      <c r="C510" s="177" t="n">
        <v>44711</v>
      </c>
      <c r="D510" t="inlineStr">
        <is>
          <t>BW20220524</t>
        </is>
      </c>
      <c r="E510" t="n">
        <v>2022</v>
      </c>
      <c r="F510" t="inlineStr">
        <is>
          <t>Maj</t>
        </is>
      </c>
      <c r="G510" t="inlineStr">
        <is>
          <t>Wt</t>
        </is>
      </c>
      <c r="H510">
        <f>'Floor Hours Engine'!$E$4</f>
        <v/>
      </c>
      <c r="I510" t="inlineStr">
        <is>
          <t>W5</t>
        </is>
      </c>
      <c r="J510" t="inlineStr">
        <is>
          <t>2022_Maj_W5</t>
        </is>
      </c>
    </row>
    <row r="511">
      <c r="A511" s="177" t="n">
        <v>44706</v>
      </c>
      <c r="B511" s="177" t="n">
        <v>44705</v>
      </c>
      <c r="C511" s="177" t="n">
        <v>44711</v>
      </c>
      <c r="D511" t="inlineStr">
        <is>
          <t>BW20220524</t>
        </is>
      </c>
      <c r="E511" t="n">
        <v>2022</v>
      </c>
      <c r="F511" t="inlineStr">
        <is>
          <t>Maj</t>
        </is>
      </c>
      <c r="G511" t="inlineStr">
        <is>
          <t>Śr</t>
        </is>
      </c>
      <c r="H511">
        <f>'Floor Hours Engine'!$E$4</f>
        <v/>
      </c>
      <c r="I511" t="inlineStr">
        <is>
          <t>W5</t>
        </is>
      </c>
      <c r="J511" t="inlineStr">
        <is>
          <t>2022_Maj_W5</t>
        </is>
      </c>
    </row>
    <row r="512">
      <c r="A512" s="177" t="n">
        <v>44707</v>
      </c>
      <c r="B512" s="177" t="n">
        <v>44705</v>
      </c>
      <c r="C512" s="177" t="n">
        <v>44711</v>
      </c>
      <c r="D512" t="inlineStr">
        <is>
          <t>BW20220524</t>
        </is>
      </c>
      <c r="E512" t="n">
        <v>2022</v>
      </c>
      <c r="F512" t="inlineStr">
        <is>
          <t>Maj</t>
        </is>
      </c>
      <c r="G512" t="inlineStr">
        <is>
          <t>Czw</t>
        </is>
      </c>
      <c r="H512">
        <f>'Floor Hours Engine'!$E$4</f>
        <v/>
      </c>
      <c r="I512" t="inlineStr">
        <is>
          <t>W5</t>
        </is>
      </c>
      <c r="J512" t="inlineStr">
        <is>
          <t>2022_Maj_W5</t>
        </is>
      </c>
    </row>
    <row r="513">
      <c r="A513" s="177" t="n">
        <v>44708</v>
      </c>
      <c r="B513" s="177" t="n">
        <v>44705</v>
      </c>
      <c r="C513" s="177" t="n">
        <v>44711</v>
      </c>
      <c r="D513" t="inlineStr">
        <is>
          <t>BW20220524</t>
        </is>
      </c>
      <c r="E513" t="n">
        <v>2022</v>
      </c>
      <c r="F513" t="inlineStr">
        <is>
          <t>Maj</t>
        </is>
      </c>
      <c r="G513" t="inlineStr">
        <is>
          <t>Pt</t>
        </is>
      </c>
      <c r="H513">
        <f>'Floor Hours Engine'!$E$5</f>
        <v/>
      </c>
      <c r="I513" t="inlineStr">
        <is>
          <t>W5</t>
        </is>
      </c>
      <c r="J513" t="inlineStr">
        <is>
          <t>2022_Maj_W5</t>
        </is>
      </c>
    </row>
    <row r="514">
      <c r="A514" s="177" t="n">
        <v>44709</v>
      </c>
      <c r="B514" s="177" t="n">
        <v>44705</v>
      </c>
      <c r="C514" s="177" t="n">
        <v>44711</v>
      </c>
      <c r="D514" t="inlineStr">
        <is>
          <t>BW20220524</t>
        </is>
      </c>
      <c r="E514" t="n">
        <v>2022</v>
      </c>
      <c r="F514" t="inlineStr">
        <is>
          <t>Maj</t>
        </is>
      </c>
      <c r="G514" t="inlineStr">
        <is>
          <t>Sob</t>
        </is>
      </c>
      <c r="H514">
        <f>'Floor Hours Engine'!$E$5</f>
        <v/>
      </c>
      <c r="I514" t="inlineStr">
        <is>
          <t>W5</t>
        </is>
      </c>
      <c r="J514" t="inlineStr">
        <is>
          <t>2022_Maj_W5</t>
        </is>
      </c>
    </row>
    <row r="515">
      <c r="A515" s="177" t="n">
        <v>44710</v>
      </c>
      <c r="B515" s="177" t="n">
        <v>44705</v>
      </c>
      <c r="C515" s="177" t="n">
        <v>44711</v>
      </c>
      <c r="D515" t="inlineStr">
        <is>
          <t>BW20220524</t>
        </is>
      </c>
      <c r="E515" t="n">
        <v>2022</v>
      </c>
      <c r="F515" t="inlineStr">
        <is>
          <t>Maj</t>
        </is>
      </c>
      <c r="G515" t="inlineStr">
        <is>
          <t>Nd</t>
        </is>
      </c>
      <c r="H515">
        <f>'Floor Hours Engine'!$E$6</f>
        <v/>
      </c>
      <c r="I515" t="inlineStr">
        <is>
          <t>W5</t>
        </is>
      </c>
      <c r="J515" t="inlineStr">
        <is>
          <t>2022_Maj_W5</t>
        </is>
      </c>
    </row>
    <row r="516">
      <c r="A516" s="177" t="n">
        <v>44711</v>
      </c>
      <c r="B516" s="177" t="n">
        <v>44705</v>
      </c>
      <c r="C516" s="177" t="n">
        <v>44711</v>
      </c>
      <c r="D516" t="inlineStr">
        <is>
          <t>BW20220524</t>
        </is>
      </c>
      <c r="E516" t="n">
        <v>2022</v>
      </c>
      <c r="F516" t="inlineStr">
        <is>
          <t>Maj</t>
        </is>
      </c>
      <c r="G516" t="inlineStr">
        <is>
          <t>Pn</t>
        </is>
      </c>
      <c r="H516">
        <f>'Floor Hours Engine'!$E$4</f>
        <v/>
      </c>
      <c r="I516" t="inlineStr">
        <is>
          <t>W5</t>
        </is>
      </c>
      <c r="J516" t="inlineStr">
        <is>
          <t>2022_Maj_W5</t>
        </is>
      </c>
    </row>
    <row r="517">
      <c r="A517" s="177" t="n">
        <v>44712</v>
      </c>
      <c r="B517" s="177" t="n">
        <v>44712</v>
      </c>
      <c r="C517" s="177" t="n">
        <v>44718</v>
      </c>
      <c r="D517" t="inlineStr">
        <is>
          <t>BW20220531</t>
        </is>
      </c>
      <c r="E517" t="n">
        <v>2022</v>
      </c>
      <c r="F517" t="inlineStr">
        <is>
          <t>Maj</t>
        </is>
      </c>
      <c r="G517" t="inlineStr">
        <is>
          <t>Wt</t>
        </is>
      </c>
      <c r="H517">
        <f>'Floor Hours Engine'!$E$4</f>
        <v/>
      </c>
      <c r="I517" t="inlineStr">
        <is>
          <t>W6</t>
        </is>
      </c>
      <c r="J517" t="inlineStr">
        <is>
          <t>2022_Maj_W6</t>
        </is>
      </c>
    </row>
    <row r="518">
      <c r="A518" s="177" t="n">
        <v>44713</v>
      </c>
      <c r="B518" s="177" t="n">
        <v>44712</v>
      </c>
      <c r="C518" s="177" t="n">
        <v>44718</v>
      </c>
      <c r="D518" t="inlineStr">
        <is>
          <t>BW20220531</t>
        </is>
      </c>
      <c r="E518" t="n">
        <v>2022</v>
      </c>
      <c r="F518" t="inlineStr">
        <is>
          <t>Czerwiec</t>
        </is>
      </c>
      <c r="G518" t="inlineStr">
        <is>
          <t>Śr</t>
        </is>
      </c>
      <c r="H518">
        <f>'Floor Hours Engine'!$E$4</f>
        <v/>
      </c>
      <c r="I518" t="inlineStr">
        <is>
          <t>W1</t>
        </is>
      </c>
      <c r="J518" t="inlineStr">
        <is>
          <t>2022_Czerwiec_W1</t>
        </is>
      </c>
    </row>
    <row r="519">
      <c r="A519" s="177" t="n">
        <v>44714</v>
      </c>
      <c r="B519" s="177" t="n">
        <v>44712</v>
      </c>
      <c r="C519" s="177" t="n">
        <v>44718</v>
      </c>
      <c r="D519" t="inlineStr">
        <is>
          <t>BW20220531</t>
        </is>
      </c>
      <c r="E519" t="n">
        <v>2022</v>
      </c>
      <c r="F519" t="inlineStr">
        <is>
          <t>Czerwiec</t>
        </is>
      </c>
      <c r="G519" t="inlineStr">
        <is>
          <t>Czw</t>
        </is>
      </c>
      <c r="H519">
        <f>'Floor Hours Engine'!$E$4</f>
        <v/>
      </c>
      <c r="I519" t="inlineStr">
        <is>
          <t>W1</t>
        </is>
      </c>
      <c r="J519" t="inlineStr">
        <is>
          <t>2022_Czerwiec_W1</t>
        </is>
      </c>
    </row>
    <row r="520">
      <c r="A520" s="177" t="n">
        <v>44715</v>
      </c>
      <c r="B520" s="177" t="n">
        <v>44712</v>
      </c>
      <c r="C520" s="177" t="n">
        <v>44718</v>
      </c>
      <c r="D520" t="inlineStr">
        <is>
          <t>BW20220531</t>
        </is>
      </c>
      <c r="E520" t="n">
        <v>2022</v>
      </c>
      <c r="F520" t="inlineStr">
        <is>
          <t>Czerwiec</t>
        </is>
      </c>
      <c r="G520" t="inlineStr">
        <is>
          <t>Pt</t>
        </is>
      </c>
      <c r="H520">
        <f>'Floor Hours Engine'!$E$5</f>
        <v/>
      </c>
      <c r="I520" t="inlineStr">
        <is>
          <t>W1</t>
        </is>
      </c>
      <c r="J520" t="inlineStr">
        <is>
          <t>2022_Czerwiec_W1</t>
        </is>
      </c>
    </row>
    <row r="521">
      <c r="A521" s="177" t="n">
        <v>44716</v>
      </c>
      <c r="B521" s="177" t="n">
        <v>44712</v>
      </c>
      <c r="C521" s="177" t="n">
        <v>44718</v>
      </c>
      <c r="D521" t="inlineStr">
        <is>
          <t>BW20220531</t>
        </is>
      </c>
      <c r="E521" t="n">
        <v>2022</v>
      </c>
      <c r="F521" t="inlineStr">
        <is>
          <t>Czerwiec</t>
        </is>
      </c>
      <c r="G521" t="inlineStr">
        <is>
          <t>Sob</t>
        </is>
      </c>
      <c r="H521">
        <f>'Floor Hours Engine'!$E$5</f>
        <v/>
      </c>
      <c r="I521" t="inlineStr">
        <is>
          <t>W1</t>
        </is>
      </c>
      <c r="J521" t="inlineStr">
        <is>
          <t>2022_Czerwiec_W1</t>
        </is>
      </c>
    </row>
    <row r="522">
      <c r="A522" s="177" t="n">
        <v>44717</v>
      </c>
      <c r="B522" s="177" t="n">
        <v>44712</v>
      </c>
      <c r="C522" s="177" t="n">
        <v>44718</v>
      </c>
      <c r="D522" t="inlineStr">
        <is>
          <t>BW20220531</t>
        </is>
      </c>
      <c r="E522" t="n">
        <v>2022</v>
      </c>
      <c r="F522" t="inlineStr">
        <is>
          <t>Czerwiec</t>
        </is>
      </c>
      <c r="G522" t="inlineStr">
        <is>
          <t>Nd</t>
        </is>
      </c>
      <c r="H522">
        <f>'Floor Hours Engine'!$E$6</f>
        <v/>
      </c>
      <c r="I522" t="inlineStr">
        <is>
          <t>W1</t>
        </is>
      </c>
      <c r="J522" t="inlineStr">
        <is>
          <t>2022_Czerwiec_W1</t>
        </is>
      </c>
    </row>
    <row r="523">
      <c r="A523" s="177" t="n">
        <v>44718</v>
      </c>
      <c r="B523" s="177" t="n">
        <v>44712</v>
      </c>
      <c r="C523" s="177" t="n">
        <v>44718</v>
      </c>
      <c r="D523" t="inlineStr">
        <is>
          <t>BW20220531</t>
        </is>
      </c>
      <c r="E523" t="n">
        <v>2022</v>
      </c>
      <c r="F523" t="inlineStr">
        <is>
          <t>Czerwiec</t>
        </is>
      </c>
      <c r="G523" t="inlineStr">
        <is>
          <t>Pn</t>
        </is>
      </c>
      <c r="H523">
        <f>'Floor Hours Engine'!$E$4</f>
        <v/>
      </c>
      <c r="I523" t="inlineStr">
        <is>
          <t>W1</t>
        </is>
      </c>
      <c r="J523" t="inlineStr">
        <is>
          <t>2022_Czerwiec_W1</t>
        </is>
      </c>
    </row>
    <row r="524">
      <c r="A524" s="177" t="n">
        <v>44719</v>
      </c>
      <c r="B524" s="177" t="n">
        <v>44719</v>
      </c>
      <c r="C524" s="177" t="n">
        <v>44725</v>
      </c>
      <c r="D524" t="inlineStr">
        <is>
          <t>BW20220607</t>
        </is>
      </c>
      <c r="E524" t="n">
        <v>2022</v>
      </c>
      <c r="F524" t="inlineStr">
        <is>
          <t>Czerwiec</t>
        </is>
      </c>
      <c r="G524" t="inlineStr">
        <is>
          <t>Wt</t>
        </is>
      </c>
      <c r="H524">
        <f>'Floor Hours Engine'!$E$4</f>
        <v/>
      </c>
      <c r="I524" t="inlineStr">
        <is>
          <t>W2</t>
        </is>
      </c>
      <c r="J524" t="inlineStr">
        <is>
          <t>2022_Czerwiec_W2</t>
        </is>
      </c>
    </row>
    <row r="525">
      <c r="A525" s="177" t="n">
        <v>44720</v>
      </c>
      <c r="B525" s="177" t="n">
        <v>44719</v>
      </c>
      <c r="C525" s="177" t="n">
        <v>44725</v>
      </c>
      <c r="D525" t="inlineStr">
        <is>
          <t>BW20220607</t>
        </is>
      </c>
      <c r="E525" t="n">
        <v>2022</v>
      </c>
      <c r="F525" t="inlineStr">
        <is>
          <t>Czerwiec</t>
        </is>
      </c>
      <c r="G525" t="inlineStr">
        <is>
          <t>Śr</t>
        </is>
      </c>
      <c r="H525">
        <f>'Floor Hours Engine'!$E$4</f>
        <v/>
      </c>
      <c r="I525" t="inlineStr">
        <is>
          <t>W2</t>
        </is>
      </c>
      <c r="J525" t="inlineStr">
        <is>
          <t>2022_Czerwiec_W2</t>
        </is>
      </c>
    </row>
    <row r="526">
      <c r="A526" s="177" t="n">
        <v>44721</v>
      </c>
      <c r="B526" s="177" t="n">
        <v>44719</v>
      </c>
      <c r="C526" s="177" t="n">
        <v>44725</v>
      </c>
      <c r="D526" t="inlineStr">
        <is>
          <t>BW20220607</t>
        </is>
      </c>
      <c r="E526" t="n">
        <v>2022</v>
      </c>
      <c r="F526" t="inlineStr">
        <is>
          <t>Czerwiec</t>
        </is>
      </c>
      <c r="G526" t="inlineStr">
        <is>
          <t>Czw</t>
        </is>
      </c>
      <c r="H526">
        <f>'Floor Hours Engine'!$E$4</f>
        <v/>
      </c>
      <c r="I526" t="inlineStr">
        <is>
          <t>W2</t>
        </is>
      </c>
      <c r="J526" t="inlineStr">
        <is>
          <t>2022_Czerwiec_W2</t>
        </is>
      </c>
    </row>
    <row r="527">
      <c r="A527" s="177" t="n">
        <v>44722</v>
      </c>
      <c r="B527" s="177" t="n">
        <v>44719</v>
      </c>
      <c r="C527" s="177" t="n">
        <v>44725</v>
      </c>
      <c r="D527" t="inlineStr">
        <is>
          <t>BW20220607</t>
        </is>
      </c>
      <c r="E527" t="n">
        <v>2022</v>
      </c>
      <c r="F527" t="inlineStr">
        <is>
          <t>Czerwiec</t>
        </is>
      </c>
      <c r="G527" t="inlineStr">
        <is>
          <t>Pt</t>
        </is>
      </c>
      <c r="H527">
        <f>'Floor Hours Engine'!$E$5</f>
        <v/>
      </c>
      <c r="I527" t="inlineStr">
        <is>
          <t>W2</t>
        </is>
      </c>
      <c r="J527" t="inlineStr">
        <is>
          <t>2022_Czerwiec_W2</t>
        </is>
      </c>
    </row>
    <row r="528">
      <c r="A528" s="177" t="n">
        <v>44723</v>
      </c>
      <c r="B528" s="177" t="n">
        <v>44719</v>
      </c>
      <c r="C528" s="177" t="n">
        <v>44725</v>
      </c>
      <c r="D528" t="inlineStr">
        <is>
          <t>BW20220607</t>
        </is>
      </c>
      <c r="E528" t="n">
        <v>2022</v>
      </c>
      <c r="F528" t="inlineStr">
        <is>
          <t>Czerwiec</t>
        </is>
      </c>
      <c r="G528" t="inlineStr">
        <is>
          <t>Sob</t>
        </is>
      </c>
      <c r="H528">
        <f>'Floor Hours Engine'!$E$5</f>
        <v/>
      </c>
      <c r="I528" t="inlineStr">
        <is>
          <t>W2</t>
        </is>
      </c>
      <c r="J528" t="inlineStr">
        <is>
          <t>2022_Czerwiec_W2</t>
        </is>
      </c>
    </row>
    <row r="529">
      <c r="A529" s="177" t="n">
        <v>44724</v>
      </c>
      <c r="B529" s="177" t="n">
        <v>44719</v>
      </c>
      <c r="C529" s="177" t="n">
        <v>44725</v>
      </c>
      <c r="D529" t="inlineStr">
        <is>
          <t>BW20220607</t>
        </is>
      </c>
      <c r="E529" t="n">
        <v>2022</v>
      </c>
      <c r="F529" t="inlineStr">
        <is>
          <t>Czerwiec</t>
        </is>
      </c>
      <c r="G529" t="inlineStr">
        <is>
          <t>Nd</t>
        </is>
      </c>
      <c r="H529">
        <f>'Floor Hours Engine'!$E$6</f>
        <v/>
      </c>
      <c r="I529" t="inlineStr">
        <is>
          <t>W2</t>
        </is>
      </c>
      <c r="J529" t="inlineStr">
        <is>
          <t>2022_Czerwiec_W2</t>
        </is>
      </c>
    </row>
    <row r="530">
      <c r="A530" s="177" t="n">
        <v>44725</v>
      </c>
      <c r="B530" s="177" t="n">
        <v>44719</v>
      </c>
      <c r="C530" s="177" t="n">
        <v>44725</v>
      </c>
      <c r="D530" t="inlineStr">
        <is>
          <t>BW20220607</t>
        </is>
      </c>
      <c r="E530" t="n">
        <v>2022</v>
      </c>
      <c r="F530" t="inlineStr">
        <is>
          <t>Czerwiec</t>
        </is>
      </c>
      <c r="G530" t="inlineStr">
        <is>
          <t>Pn</t>
        </is>
      </c>
      <c r="H530">
        <f>'Floor Hours Engine'!$E$4</f>
        <v/>
      </c>
      <c r="I530" t="inlineStr">
        <is>
          <t>W2</t>
        </is>
      </c>
      <c r="J530" t="inlineStr">
        <is>
          <t>2022_Czerwiec_W2</t>
        </is>
      </c>
    </row>
    <row r="531">
      <c r="A531" s="177" t="n">
        <v>44726</v>
      </c>
      <c r="B531" s="177" t="n">
        <v>44726</v>
      </c>
      <c r="C531" s="177" t="n">
        <v>44732</v>
      </c>
      <c r="D531" t="inlineStr">
        <is>
          <t>BW20220614</t>
        </is>
      </c>
      <c r="E531" t="n">
        <v>2022</v>
      </c>
      <c r="F531" t="inlineStr">
        <is>
          <t>Czerwiec</t>
        </is>
      </c>
      <c r="G531" t="inlineStr">
        <is>
          <t>Wt</t>
        </is>
      </c>
      <c r="H531">
        <f>'Floor Hours Engine'!$E$4</f>
        <v/>
      </c>
      <c r="I531" t="inlineStr">
        <is>
          <t>W3</t>
        </is>
      </c>
      <c r="J531" t="inlineStr">
        <is>
          <t>2022_Czerwiec_W3</t>
        </is>
      </c>
    </row>
    <row r="532">
      <c r="A532" s="177" t="n">
        <v>44727</v>
      </c>
      <c r="B532" s="177" t="n">
        <v>44726</v>
      </c>
      <c r="C532" s="177" t="n">
        <v>44732</v>
      </c>
      <c r="D532" t="inlineStr">
        <is>
          <t>BW20220614</t>
        </is>
      </c>
      <c r="E532" t="n">
        <v>2022</v>
      </c>
      <c r="F532" t="inlineStr">
        <is>
          <t>Czerwiec</t>
        </is>
      </c>
      <c r="G532" t="inlineStr">
        <is>
          <t>Śr</t>
        </is>
      </c>
      <c r="H532">
        <f>'Floor Hours Engine'!$E$4</f>
        <v/>
      </c>
      <c r="I532" t="inlineStr">
        <is>
          <t>W3</t>
        </is>
      </c>
      <c r="J532" t="inlineStr">
        <is>
          <t>2022_Czerwiec_W3</t>
        </is>
      </c>
    </row>
    <row r="533">
      <c r="A533" s="177" t="n">
        <v>44728</v>
      </c>
      <c r="B533" s="177" t="n">
        <v>44726</v>
      </c>
      <c r="C533" s="177" t="n">
        <v>44732</v>
      </c>
      <c r="D533" t="inlineStr">
        <is>
          <t>BW20220614</t>
        </is>
      </c>
      <c r="E533" t="n">
        <v>2022</v>
      </c>
      <c r="F533" t="inlineStr">
        <is>
          <t>Czerwiec</t>
        </is>
      </c>
      <c r="G533" t="inlineStr">
        <is>
          <t>Czw</t>
        </is>
      </c>
      <c r="H533">
        <f>'Floor Hours Engine'!$E$4</f>
        <v/>
      </c>
      <c r="I533" t="inlineStr">
        <is>
          <t>W3</t>
        </is>
      </c>
      <c r="J533" t="inlineStr">
        <is>
          <t>2022_Czerwiec_W3</t>
        </is>
      </c>
    </row>
    <row r="534">
      <c r="A534" s="177" t="n">
        <v>44729</v>
      </c>
      <c r="B534" s="177" t="n">
        <v>44726</v>
      </c>
      <c r="C534" s="177" t="n">
        <v>44732</v>
      </c>
      <c r="D534" t="inlineStr">
        <is>
          <t>BW20220614</t>
        </is>
      </c>
      <c r="E534" t="n">
        <v>2022</v>
      </c>
      <c r="F534" t="inlineStr">
        <is>
          <t>Czerwiec</t>
        </is>
      </c>
      <c r="G534" t="inlineStr">
        <is>
          <t>Pt</t>
        </is>
      </c>
      <c r="H534">
        <f>'Floor Hours Engine'!$E$5</f>
        <v/>
      </c>
      <c r="I534" t="inlineStr">
        <is>
          <t>W3</t>
        </is>
      </c>
      <c r="J534" t="inlineStr">
        <is>
          <t>2022_Czerwiec_W3</t>
        </is>
      </c>
    </row>
    <row r="535">
      <c r="A535" s="177" t="n">
        <v>44730</v>
      </c>
      <c r="B535" s="177" t="n">
        <v>44726</v>
      </c>
      <c r="C535" s="177" t="n">
        <v>44732</v>
      </c>
      <c r="D535" t="inlineStr">
        <is>
          <t>BW20220614</t>
        </is>
      </c>
      <c r="E535" t="n">
        <v>2022</v>
      </c>
      <c r="F535" t="inlineStr">
        <is>
          <t>Czerwiec</t>
        </is>
      </c>
      <c r="G535" t="inlineStr">
        <is>
          <t>Sob</t>
        </is>
      </c>
      <c r="H535">
        <f>'Floor Hours Engine'!$E$5</f>
        <v/>
      </c>
      <c r="I535" t="inlineStr">
        <is>
          <t>W3</t>
        </is>
      </c>
      <c r="J535" t="inlineStr">
        <is>
          <t>2022_Czerwiec_W3</t>
        </is>
      </c>
    </row>
    <row r="536">
      <c r="A536" s="177" t="n">
        <v>44731</v>
      </c>
      <c r="B536" s="177" t="n">
        <v>44726</v>
      </c>
      <c r="C536" s="177" t="n">
        <v>44732</v>
      </c>
      <c r="D536" t="inlineStr">
        <is>
          <t>BW20220614</t>
        </is>
      </c>
      <c r="E536" t="n">
        <v>2022</v>
      </c>
      <c r="F536" t="inlineStr">
        <is>
          <t>Czerwiec</t>
        </is>
      </c>
      <c r="G536" t="inlineStr">
        <is>
          <t>Nd</t>
        </is>
      </c>
      <c r="H536">
        <f>'Floor Hours Engine'!$E$6</f>
        <v/>
      </c>
      <c r="I536" t="inlineStr">
        <is>
          <t>W3</t>
        </is>
      </c>
      <c r="J536" t="inlineStr">
        <is>
          <t>2022_Czerwiec_W3</t>
        </is>
      </c>
    </row>
    <row r="537">
      <c r="A537" s="177" t="n">
        <v>44732</v>
      </c>
      <c r="B537" s="177" t="n">
        <v>44726</v>
      </c>
      <c r="C537" s="177" t="n">
        <v>44732</v>
      </c>
      <c r="D537" t="inlineStr">
        <is>
          <t>BW20220614</t>
        </is>
      </c>
      <c r="E537" t="n">
        <v>2022</v>
      </c>
      <c r="F537" t="inlineStr">
        <is>
          <t>Czerwiec</t>
        </is>
      </c>
      <c r="G537" t="inlineStr">
        <is>
          <t>Pn</t>
        </is>
      </c>
      <c r="H537">
        <f>'Floor Hours Engine'!$E$4</f>
        <v/>
      </c>
      <c r="I537" t="inlineStr">
        <is>
          <t>W3</t>
        </is>
      </c>
      <c r="J537" t="inlineStr">
        <is>
          <t>2022_Czerwiec_W3</t>
        </is>
      </c>
    </row>
    <row r="538">
      <c r="A538" s="177" t="n">
        <v>44733</v>
      </c>
      <c r="B538" s="177" t="n">
        <v>44733</v>
      </c>
      <c r="C538" s="177" t="n">
        <v>44739</v>
      </c>
      <c r="D538" t="inlineStr">
        <is>
          <t>BW20220621</t>
        </is>
      </c>
      <c r="E538" t="n">
        <v>2022</v>
      </c>
      <c r="F538" t="inlineStr">
        <is>
          <t>Czerwiec</t>
        </is>
      </c>
      <c r="G538" t="inlineStr">
        <is>
          <t>Wt</t>
        </is>
      </c>
      <c r="H538">
        <f>'Floor Hours Engine'!$E$4</f>
        <v/>
      </c>
      <c r="I538" t="inlineStr">
        <is>
          <t>W4</t>
        </is>
      </c>
      <c r="J538" t="inlineStr">
        <is>
          <t>2022_Czerwiec_W4</t>
        </is>
      </c>
    </row>
    <row r="539">
      <c r="A539" s="177" t="n">
        <v>44734</v>
      </c>
      <c r="B539" s="177" t="n">
        <v>44733</v>
      </c>
      <c r="C539" s="177" t="n">
        <v>44739</v>
      </c>
      <c r="D539" t="inlineStr">
        <is>
          <t>BW20220621</t>
        </is>
      </c>
      <c r="E539" t="n">
        <v>2022</v>
      </c>
      <c r="F539" t="inlineStr">
        <is>
          <t>Czerwiec</t>
        </is>
      </c>
      <c r="G539" t="inlineStr">
        <is>
          <t>Śr</t>
        </is>
      </c>
      <c r="H539">
        <f>'Floor Hours Engine'!$E$4</f>
        <v/>
      </c>
      <c r="I539" t="inlineStr">
        <is>
          <t>W4</t>
        </is>
      </c>
      <c r="J539" t="inlineStr">
        <is>
          <t>2022_Czerwiec_W4</t>
        </is>
      </c>
    </row>
    <row r="540">
      <c r="A540" s="177" t="n">
        <v>44735</v>
      </c>
      <c r="B540" s="177" t="n">
        <v>44733</v>
      </c>
      <c r="C540" s="177" t="n">
        <v>44739</v>
      </c>
      <c r="D540" t="inlineStr">
        <is>
          <t>BW20220621</t>
        </is>
      </c>
      <c r="E540" t="n">
        <v>2022</v>
      </c>
      <c r="F540" t="inlineStr">
        <is>
          <t>Czerwiec</t>
        </is>
      </c>
      <c r="G540" t="inlineStr">
        <is>
          <t>Czw</t>
        </is>
      </c>
      <c r="H540">
        <f>'Floor Hours Engine'!$E$4</f>
        <v/>
      </c>
      <c r="I540" t="inlineStr">
        <is>
          <t>W4</t>
        </is>
      </c>
      <c r="J540" t="inlineStr">
        <is>
          <t>2022_Czerwiec_W4</t>
        </is>
      </c>
    </row>
    <row r="541">
      <c r="A541" s="177" t="n">
        <v>44736</v>
      </c>
      <c r="B541" s="177" t="n">
        <v>44733</v>
      </c>
      <c r="C541" s="177" t="n">
        <v>44739</v>
      </c>
      <c r="D541" t="inlineStr">
        <is>
          <t>BW20220621</t>
        </is>
      </c>
      <c r="E541" t="n">
        <v>2022</v>
      </c>
      <c r="F541" t="inlineStr">
        <is>
          <t>Czerwiec</t>
        </is>
      </c>
      <c r="G541" t="inlineStr">
        <is>
          <t>Pt</t>
        </is>
      </c>
      <c r="H541">
        <f>'Floor Hours Engine'!$E$5</f>
        <v/>
      </c>
      <c r="I541" t="inlineStr">
        <is>
          <t>W4</t>
        </is>
      </c>
      <c r="J541" t="inlineStr">
        <is>
          <t>2022_Czerwiec_W4</t>
        </is>
      </c>
    </row>
    <row r="542">
      <c r="A542" s="177" t="n">
        <v>44737</v>
      </c>
      <c r="B542" s="177" t="n">
        <v>44733</v>
      </c>
      <c r="C542" s="177" t="n">
        <v>44739</v>
      </c>
      <c r="D542" t="inlineStr">
        <is>
          <t>BW20220621</t>
        </is>
      </c>
      <c r="E542" t="n">
        <v>2022</v>
      </c>
      <c r="F542" t="inlineStr">
        <is>
          <t>Czerwiec</t>
        </is>
      </c>
      <c r="G542" t="inlineStr">
        <is>
          <t>Sob</t>
        </is>
      </c>
      <c r="H542">
        <f>'Floor Hours Engine'!$E$5</f>
        <v/>
      </c>
      <c r="I542" t="inlineStr">
        <is>
          <t>W4</t>
        </is>
      </c>
      <c r="J542" t="inlineStr">
        <is>
          <t>2022_Czerwiec_W4</t>
        </is>
      </c>
    </row>
    <row r="543">
      <c r="A543" s="177" t="n">
        <v>44738</v>
      </c>
      <c r="B543" s="177" t="n">
        <v>44733</v>
      </c>
      <c r="C543" s="177" t="n">
        <v>44739</v>
      </c>
      <c r="D543" t="inlineStr">
        <is>
          <t>BW20220621</t>
        </is>
      </c>
      <c r="E543" t="n">
        <v>2022</v>
      </c>
      <c r="F543" t="inlineStr">
        <is>
          <t>Czerwiec</t>
        </is>
      </c>
      <c r="G543" t="inlineStr">
        <is>
          <t>Nd</t>
        </is>
      </c>
      <c r="H543">
        <f>'Floor Hours Engine'!$E$6</f>
        <v/>
      </c>
      <c r="I543" t="inlineStr">
        <is>
          <t>W4</t>
        </is>
      </c>
      <c r="J543" t="inlineStr">
        <is>
          <t>2022_Czerwiec_W4</t>
        </is>
      </c>
    </row>
    <row r="544">
      <c r="A544" s="177" t="n">
        <v>44739</v>
      </c>
      <c r="B544" s="177" t="n">
        <v>44733</v>
      </c>
      <c r="C544" s="177" t="n">
        <v>44739</v>
      </c>
      <c r="D544" t="inlineStr">
        <is>
          <t>BW20220621</t>
        </is>
      </c>
      <c r="E544" t="n">
        <v>2022</v>
      </c>
      <c r="F544" t="inlineStr">
        <is>
          <t>Czerwiec</t>
        </is>
      </c>
      <c r="G544" t="inlineStr">
        <is>
          <t>Pn</t>
        </is>
      </c>
      <c r="H544">
        <f>'Floor Hours Engine'!$E$4</f>
        <v/>
      </c>
      <c r="I544" t="inlineStr">
        <is>
          <t>W4</t>
        </is>
      </c>
      <c r="J544" t="inlineStr">
        <is>
          <t>2022_Czerwiec_W4</t>
        </is>
      </c>
    </row>
    <row r="545">
      <c r="A545" s="177" t="n">
        <v>44740</v>
      </c>
      <c r="B545" s="177" t="n">
        <v>44740</v>
      </c>
      <c r="C545" s="177" t="n">
        <v>44746</v>
      </c>
      <c r="D545" t="inlineStr">
        <is>
          <t>BW20220628</t>
        </is>
      </c>
      <c r="E545" t="n">
        <v>2022</v>
      </c>
      <c r="F545" t="inlineStr">
        <is>
          <t>Czerwiec</t>
        </is>
      </c>
      <c r="G545" t="inlineStr">
        <is>
          <t>Wt</t>
        </is>
      </c>
      <c r="H545">
        <f>'Floor Hours Engine'!$E$4</f>
        <v/>
      </c>
      <c r="I545" t="inlineStr">
        <is>
          <t>W5</t>
        </is>
      </c>
      <c r="J545" t="inlineStr">
        <is>
          <t>2022_Czerwiec_W5</t>
        </is>
      </c>
    </row>
    <row r="546">
      <c r="A546" s="177" t="n">
        <v>44741</v>
      </c>
      <c r="B546" s="177" t="n">
        <v>44740</v>
      </c>
      <c r="C546" s="177" t="n">
        <v>44746</v>
      </c>
      <c r="D546" t="inlineStr">
        <is>
          <t>BW20220628</t>
        </is>
      </c>
      <c r="E546" t="n">
        <v>2022</v>
      </c>
      <c r="F546" t="inlineStr">
        <is>
          <t>Czerwiec</t>
        </is>
      </c>
      <c r="G546" t="inlineStr">
        <is>
          <t>Śr</t>
        </is>
      </c>
      <c r="H546">
        <f>'Floor Hours Engine'!$E$4</f>
        <v/>
      </c>
      <c r="I546" t="inlineStr">
        <is>
          <t>W5</t>
        </is>
      </c>
      <c r="J546" t="inlineStr">
        <is>
          <t>2022_Czerwiec_W5</t>
        </is>
      </c>
    </row>
    <row r="547">
      <c r="A547" s="177" t="n">
        <v>44742</v>
      </c>
      <c r="B547" s="177" t="n">
        <v>44740</v>
      </c>
      <c r="C547" s="177" t="n">
        <v>44746</v>
      </c>
      <c r="D547" t="inlineStr">
        <is>
          <t>BW20220628</t>
        </is>
      </c>
      <c r="E547" t="n">
        <v>2022</v>
      </c>
      <c r="F547" t="inlineStr">
        <is>
          <t>Czerwiec</t>
        </is>
      </c>
      <c r="G547" t="inlineStr">
        <is>
          <t>Czw</t>
        </is>
      </c>
      <c r="H547">
        <f>'Floor Hours Engine'!$E$4</f>
        <v/>
      </c>
      <c r="I547" t="inlineStr">
        <is>
          <t>W5</t>
        </is>
      </c>
      <c r="J547" t="inlineStr">
        <is>
          <t>2022_Czerwiec_W5</t>
        </is>
      </c>
    </row>
    <row r="548">
      <c r="A548" s="177" t="n">
        <v>44743</v>
      </c>
      <c r="B548" s="177" t="n">
        <v>44740</v>
      </c>
      <c r="C548" s="177" t="n">
        <v>44746</v>
      </c>
      <c r="D548" t="inlineStr">
        <is>
          <t>BW20220628</t>
        </is>
      </c>
      <c r="E548" t="n">
        <v>2022</v>
      </c>
      <c r="F548" t="inlineStr">
        <is>
          <t>Lipiec</t>
        </is>
      </c>
      <c r="G548" t="inlineStr">
        <is>
          <t>Pt</t>
        </is>
      </c>
      <c r="H548">
        <f>'Floor Hours Engine'!$E$5</f>
        <v/>
      </c>
      <c r="I548" t="inlineStr">
        <is>
          <t>W1</t>
        </is>
      </c>
      <c r="J548" t="inlineStr">
        <is>
          <t>2022_Lipiec_W1</t>
        </is>
      </c>
    </row>
    <row r="549">
      <c r="A549" s="177" t="n">
        <v>44744</v>
      </c>
      <c r="B549" s="177" t="n">
        <v>44740</v>
      </c>
      <c r="C549" s="177" t="n">
        <v>44746</v>
      </c>
      <c r="D549" t="inlineStr">
        <is>
          <t>BW20220628</t>
        </is>
      </c>
      <c r="E549" t="n">
        <v>2022</v>
      </c>
      <c r="F549" t="inlineStr">
        <is>
          <t>Lipiec</t>
        </is>
      </c>
      <c r="G549" t="inlineStr">
        <is>
          <t>Sob</t>
        </is>
      </c>
      <c r="H549">
        <f>'Floor Hours Engine'!$E$5</f>
        <v/>
      </c>
      <c r="I549" t="inlineStr">
        <is>
          <t>W1</t>
        </is>
      </c>
      <c r="J549" t="inlineStr">
        <is>
          <t>2022_Lipiec_W1</t>
        </is>
      </c>
    </row>
    <row r="550">
      <c r="A550" s="177" t="n">
        <v>44745</v>
      </c>
      <c r="B550" s="177" t="n">
        <v>44740</v>
      </c>
      <c r="C550" s="177" t="n">
        <v>44746</v>
      </c>
      <c r="D550" t="inlineStr">
        <is>
          <t>BW20220628</t>
        </is>
      </c>
      <c r="E550" t="n">
        <v>2022</v>
      </c>
      <c r="F550" t="inlineStr">
        <is>
          <t>Lipiec</t>
        </is>
      </c>
      <c r="G550" t="inlineStr">
        <is>
          <t>Nd</t>
        </is>
      </c>
      <c r="H550">
        <f>'Floor Hours Engine'!$E$6</f>
        <v/>
      </c>
      <c r="I550" t="inlineStr">
        <is>
          <t>W1</t>
        </is>
      </c>
      <c r="J550" t="inlineStr">
        <is>
          <t>2022_Lipiec_W1</t>
        </is>
      </c>
    </row>
    <row r="551">
      <c r="A551" s="177" t="n">
        <v>44746</v>
      </c>
      <c r="B551" s="177" t="n">
        <v>44740</v>
      </c>
      <c r="C551" s="177" t="n">
        <v>44746</v>
      </c>
      <c r="D551" t="inlineStr">
        <is>
          <t>BW20220628</t>
        </is>
      </c>
      <c r="E551" t="n">
        <v>2022</v>
      </c>
      <c r="F551" t="inlineStr">
        <is>
          <t>Lipiec</t>
        </is>
      </c>
      <c r="G551" t="inlineStr">
        <is>
          <t>Pn</t>
        </is>
      </c>
      <c r="H551">
        <f>'Floor Hours Engine'!$E$4</f>
        <v/>
      </c>
      <c r="I551" t="inlineStr">
        <is>
          <t>W1</t>
        </is>
      </c>
      <c r="J551" t="inlineStr">
        <is>
          <t>2022_Lipiec_W1</t>
        </is>
      </c>
    </row>
    <row r="552">
      <c r="A552" s="177" t="n">
        <v>44747</v>
      </c>
      <c r="B552" s="177" t="n">
        <v>44747</v>
      </c>
      <c r="C552" s="177" t="n">
        <v>44753</v>
      </c>
      <c r="D552" t="inlineStr">
        <is>
          <t>BW20220705</t>
        </is>
      </c>
      <c r="E552" t="n">
        <v>2022</v>
      </c>
      <c r="F552" t="inlineStr">
        <is>
          <t>Lipiec</t>
        </is>
      </c>
      <c r="G552" t="inlineStr">
        <is>
          <t>Wt</t>
        </is>
      </c>
      <c r="H552">
        <f>'Floor Hours Engine'!$E$4</f>
        <v/>
      </c>
      <c r="I552" t="inlineStr">
        <is>
          <t>W2</t>
        </is>
      </c>
      <c r="J552" t="inlineStr">
        <is>
          <t>2022_Lipiec_W2</t>
        </is>
      </c>
    </row>
    <row r="553">
      <c r="A553" s="177" t="n">
        <v>44748</v>
      </c>
      <c r="B553" s="177" t="n">
        <v>44747</v>
      </c>
      <c r="C553" s="177" t="n">
        <v>44753</v>
      </c>
      <c r="D553" t="inlineStr">
        <is>
          <t>BW20220705</t>
        </is>
      </c>
      <c r="E553" t="n">
        <v>2022</v>
      </c>
      <c r="F553" t="inlineStr">
        <is>
          <t>Lipiec</t>
        </is>
      </c>
      <c r="G553" t="inlineStr">
        <is>
          <t>Śr</t>
        </is>
      </c>
      <c r="H553">
        <f>'Floor Hours Engine'!$E$4</f>
        <v/>
      </c>
      <c r="I553" t="inlineStr">
        <is>
          <t>W2</t>
        </is>
      </c>
      <c r="J553" t="inlineStr">
        <is>
          <t>2022_Lipiec_W2</t>
        </is>
      </c>
    </row>
    <row r="554">
      <c r="A554" s="177" t="n">
        <v>44749</v>
      </c>
      <c r="B554" s="177" t="n">
        <v>44747</v>
      </c>
      <c r="C554" s="177" t="n">
        <v>44753</v>
      </c>
      <c r="D554" t="inlineStr">
        <is>
          <t>BW20220705</t>
        </is>
      </c>
      <c r="E554" t="n">
        <v>2022</v>
      </c>
      <c r="F554" t="inlineStr">
        <is>
          <t>Lipiec</t>
        </is>
      </c>
      <c r="G554" t="inlineStr">
        <is>
          <t>Czw</t>
        </is>
      </c>
      <c r="H554">
        <f>'Floor Hours Engine'!$E$4</f>
        <v/>
      </c>
      <c r="I554" t="inlineStr">
        <is>
          <t>W2</t>
        </is>
      </c>
      <c r="J554" t="inlineStr">
        <is>
          <t>2022_Lipiec_W2</t>
        </is>
      </c>
    </row>
    <row r="555">
      <c r="A555" s="177" t="n">
        <v>44750</v>
      </c>
      <c r="B555" s="177" t="n">
        <v>44747</v>
      </c>
      <c r="C555" s="177" t="n">
        <v>44753</v>
      </c>
      <c r="D555" t="inlineStr">
        <is>
          <t>BW20220705</t>
        </is>
      </c>
      <c r="E555" t="n">
        <v>2022</v>
      </c>
      <c r="F555" t="inlineStr">
        <is>
          <t>Lipiec</t>
        </is>
      </c>
      <c r="G555" t="inlineStr">
        <is>
          <t>Pt</t>
        </is>
      </c>
      <c r="H555">
        <f>'Floor Hours Engine'!$E$5</f>
        <v/>
      </c>
      <c r="I555" t="inlineStr">
        <is>
          <t>W2</t>
        </is>
      </c>
      <c r="J555" t="inlineStr">
        <is>
          <t>2022_Lipiec_W2</t>
        </is>
      </c>
    </row>
    <row r="556">
      <c r="A556" s="177" t="n">
        <v>44751</v>
      </c>
      <c r="B556" s="177" t="n">
        <v>44747</v>
      </c>
      <c r="C556" s="177" t="n">
        <v>44753</v>
      </c>
      <c r="D556" t="inlineStr">
        <is>
          <t>BW20220705</t>
        </is>
      </c>
      <c r="E556" t="n">
        <v>2022</v>
      </c>
      <c r="F556" t="inlineStr">
        <is>
          <t>Lipiec</t>
        </is>
      </c>
      <c r="G556" t="inlineStr">
        <is>
          <t>Sob</t>
        </is>
      </c>
      <c r="H556">
        <f>'Floor Hours Engine'!$E$5</f>
        <v/>
      </c>
      <c r="I556" t="inlineStr">
        <is>
          <t>W2</t>
        </is>
      </c>
      <c r="J556" t="inlineStr">
        <is>
          <t>2022_Lipiec_W2</t>
        </is>
      </c>
    </row>
    <row r="557">
      <c r="A557" s="177" t="n">
        <v>44752</v>
      </c>
      <c r="B557" s="177" t="n">
        <v>44747</v>
      </c>
      <c r="C557" s="177" t="n">
        <v>44753</v>
      </c>
      <c r="D557" t="inlineStr">
        <is>
          <t>BW20220705</t>
        </is>
      </c>
      <c r="E557" t="n">
        <v>2022</v>
      </c>
      <c r="F557" t="inlineStr">
        <is>
          <t>Lipiec</t>
        </is>
      </c>
      <c r="G557" t="inlineStr">
        <is>
          <t>Nd</t>
        </is>
      </c>
      <c r="H557">
        <f>'Floor Hours Engine'!$E$6</f>
        <v/>
      </c>
      <c r="I557" t="inlineStr">
        <is>
          <t>W2</t>
        </is>
      </c>
      <c r="J557" t="inlineStr">
        <is>
          <t>2022_Lipiec_W2</t>
        </is>
      </c>
    </row>
    <row r="558">
      <c r="A558" s="177" t="n">
        <v>44753</v>
      </c>
      <c r="B558" s="177" t="n">
        <v>44747</v>
      </c>
      <c r="C558" s="177" t="n">
        <v>44753</v>
      </c>
      <c r="D558" t="inlineStr">
        <is>
          <t>BW20220705</t>
        </is>
      </c>
      <c r="E558" t="n">
        <v>2022</v>
      </c>
      <c r="F558" t="inlineStr">
        <is>
          <t>Lipiec</t>
        </is>
      </c>
      <c r="G558" t="inlineStr">
        <is>
          <t>Pn</t>
        </is>
      </c>
      <c r="H558">
        <f>'Floor Hours Engine'!$E$4</f>
        <v/>
      </c>
      <c r="I558" t="inlineStr">
        <is>
          <t>W2</t>
        </is>
      </c>
      <c r="J558" t="inlineStr">
        <is>
          <t>2022_Lipiec_W2</t>
        </is>
      </c>
    </row>
    <row r="559">
      <c r="A559" s="177" t="n">
        <v>44754</v>
      </c>
      <c r="B559" s="177" t="n">
        <v>44754</v>
      </c>
      <c r="C559" s="177" t="n">
        <v>44760</v>
      </c>
      <c r="D559" t="inlineStr">
        <is>
          <t>BW20220712</t>
        </is>
      </c>
      <c r="E559" t="n">
        <v>2022</v>
      </c>
      <c r="F559" t="inlineStr">
        <is>
          <t>Lipiec</t>
        </is>
      </c>
      <c r="G559" t="inlineStr">
        <is>
          <t>Wt</t>
        </is>
      </c>
      <c r="H559">
        <f>'Floor Hours Engine'!$E$4</f>
        <v/>
      </c>
      <c r="I559" t="inlineStr">
        <is>
          <t>W3</t>
        </is>
      </c>
      <c r="J559" t="inlineStr">
        <is>
          <t>2022_Lipiec_W3</t>
        </is>
      </c>
    </row>
    <row r="560">
      <c r="A560" s="177" t="n">
        <v>44755</v>
      </c>
      <c r="B560" s="177" t="n">
        <v>44754</v>
      </c>
      <c r="C560" s="177" t="n">
        <v>44760</v>
      </c>
      <c r="D560" t="inlineStr">
        <is>
          <t>BW20220712</t>
        </is>
      </c>
      <c r="E560" t="n">
        <v>2022</v>
      </c>
      <c r="F560" t="inlineStr">
        <is>
          <t>Lipiec</t>
        </is>
      </c>
      <c r="G560" t="inlineStr">
        <is>
          <t>Śr</t>
        </is>
      </c>
      <c r="H560">
        <f>'Floor Hours Engine'!$E$4</f>
        <v/>
      </c>
      <c r="I560" t="inlineStr">
        <is>
          <t>W3</t>
        </is>
      </c>
      <c r="J560" t="inlineStr">
        <is>
          <t>2022_Lipiec_W3</t>
        </is>
      </c>
    </row>
    <row r="561">
      <c r="A561" s="177" t="n">
        <v>44756</v>
      </c>
      <c r="B561" s="177" t="n">
        <v>44754</v>
      </c>
      <c r="C561" s="177" t="n">
        <v>44760</v>
      </c>
      <c r="D561" t="inlineStr">
        <is>
          <t>BW20220712</t>
        </is>
      </c>
      <c r="E561" t="n">
        <v>2022</v>
      </c>
      <c r="F561" t="inlineStr">
        <is>
          <t>Lipiec</t>
        </is>
      </c>
      <c r="G561" t="inlineStr">
        <is>
          <t>Czw</t>
        </is>
      </c>
      <c r="H561">
        <f>'Floor Hours Engine'!$E$4</f>
        <v/>
      </c>
      <c r="I561" t="inlineStr">
        <is>
          <t>W3</t>
        </is>
      </c>
      <c r="J561" t="inlineStr">
        <is>
          <t>2022_Lipiec_W3</t>
        </is>
      </c>
    </row>
    <row r="562">
      <c r="A562" s="177" t="n">
        <v>44757</v>
      </c>
      <c r="B562" s="177" t="n">
        <v>44754</v>
      </c>
      <c r="C562" s="177" t="n">
        <v>44760</v>
      </c>
      <c r="D562" t="inlineStr">
        <is>
          <t>BW20220712</t>
        </is>
      </c>
      <c r="E562" t="n">
        <v>2022</v>
      </c>
      <c r="F562" t="inlineStr">
        <is>
          <t>Lipiec</t>
        </is>
      </c>
      <c r="G562" t="inlineStr">
        <is>
          <t>Pt</t>
        </is>
      </c>
      <c r="H562">
        <f>'Floor Hours Engine'!$E$5</f>
        <v/>
      </c>
      <c r="I562" t="inlineStr">
        <is>
          <t>W3</t>
        </is>
      </c>
      <c r="J562" t="inlineStr">
        <is>
          <t>2022_Lipiec_W3</t>
        </is>
      </c>
    </row>
    <row r="563">
      <c r="A563" s="177" t="n">
        <v>44758</v>
      </c>
      <c r="B563" s="177" t="n">
        <v>44754</v>
      </c>
      <c r="C563" s="177" t="n">
        <v>44760</v>
      </c>
      <c r="D563" t="inlineStr">
        <is>
          <t>BW20220712</t>
        </is>
      </c>
      <c r="E563" t="n">
        <v>2022</v>
      </c>
      <c r="F563" t="inlineStr">
        <is>
          <t>Lipiec</t>
        </is>
      </c>
      <c r="G563" t="inlineStr">
        <is>
          <t>Sob</t>
        </is>
      </c>
      <c r="H563">
        <f>'Floor Hours Engine'!$E$5</f>
        <v/>
      </c>
      <c r="I563" t="inlineStr">
        <is>
          <t>W3</t>
        </is>
      </c>
      <c r="J563" t="inlineStr">
        <is>
          <t>2022_Lipiec_W3</t>
        </is>
      </c>
    </row>
    <row r="564">
      <c r="A564" s="177" t="n">
        <v>44759</v>
      </c>
      <c r="B564" s="177" t="n">
        <v>44754</v>
      </c>
      <c r="C564" s="177" t="n">
        <v>44760</v>
      </c>
      <c r="D564" t="inlineStr">
        <is>
          <t>BW20220712</t>
        </is>
      </c>
      <c r="E564" t="n">
        <v>2022</v>
      </c>
      <c r="F564" t="inlineStr">
        <is>
          <t>Lipiec</t>
        </is>
      </c>
      <c r="G564" t="inlineStr">
        <is>
          <t>Nd</t>
        </is>
      </c>
      <c r="H564">
        <f>'Floor Hours Engine'!$E$6</f>
        <v/>
      </c>
      <c r="I564" t="inlineStr">
        <is>
          <t>W3</t>
        </is>
      </c>
      <c r="J564" t="inlineStr">
        <is>
          <t>2022_Lipiec_W3</t>
        </is>
      </c>
    </row>
    <row r="565">
      <c r="A565" s="177" t="n">
        <v>44760</v>
      </c>
      <c r="B565" s="177" t="n">
        <v>44754</v>
      </c>
      <c r="C565" s="177" t="n">
        <v>44760</v>
      </c>
      <c r="D565" t="inlineStr">
        <is>
          <t>BW20220712</t>
        </is>
      </c>
      <c r="E565" t="n">
        <v>2022</v>
      </c>
      <c r="F565" t="inlineStr">
        <is>
          <t>Lipiec</t>
        </is>
      </c>
      <c r="G565" t="inlineStr">
        <is>
          <t>Pn</t>
        </is>
      </c>
      <c r="H565">
        <f>'Floor Hours Engine'!$E$4</f>
        <v/>
      </c>
      <c r="I565" t="inlineStr">
        <is>
          <t>W3</t>
        </is>
      </c>
      <c r="J565" t="inlineStr">
        <is>
          <t>2022_Lipiec_W3</t>
        </is>
      </c>
    </row>
    <row r="566">
      <c r="A566" s="177" t="n">
        <v>44761</v>
      </c>
      <c r="B566" s="177" t="n">
        <v>44761</v>
      </c>
      <c r="C566" s="177" t="n">
        <v>44767</v>
      </c>
      <c r="D566" t="inlineStr">
        <is>
          <t>BW20220719</t>
        </is>
      </c>
      <c r="E566" t="n">
        <v>2022</v>
      </c>
      <c r="F566" t="inlineStr">
        <is>
          <t>Lipiec</t>
        </is>
      </c>
      <c r="G566" t="inlineStr">
        <is>
          <t>Wt</t>
        </is>
      </c>
      <c r="H566">
        <f>'Floor Hours Engine'!$E$4</f>
        <v/>
      </c>
      <c r="I566" t="inlineStr">
        <is>
          <t>W4</t>
        </is>
      </c>
      <c r="J566" t="inlineStr">
        <is>
          <t>2022_Lipiec_W4</t>
        </is>
      </c>
    </row>
    <row r="567">
      <c r="A567" s="177" t="n">
        <v>44762</v>
      </c>
      <c r="B567" s="177" t="n">
        <v>44761</v>
      </c>
      <c r="C567" s="177" t="n">
        <v>44767</v>
      </c>
      <c r="D567" t="inlineStr">
        <is>
          <t>BW20220719</t>
        </is>
      </c>
      <c r="E567" t="n">
        <v>2022</v>
      </c>
      <c r="F567" t="inlineStr">
        <is>
          <t>Lipiec</t>
        </is>
      </c>
      <c r="G567" t="inlineStr">
        <is>
          <t>Śr</t>
        </is>
      </c>
      <c r="H567">
        <f>'Floor Hours Engine'!$E$4</f>
        <v/>
      </c>
      <c r="I567" t="inlineStr">
        <is>
          <t>W4</t>
        </is>
      </c>
      <c r="J567" t="inlineStr">
        <is>
          <t>2022_Lipiec_W4</t>
        </is>
      </c>
    </row>
    <row r="568">
      <c r="A568" s="177" t="n">
        <v>44763</v>
      </c>
      <c r="B568" s="177" t="n">
        <v>44761</v>
      </c>
      <c r="C568" s="177" t="n">
        <v>44767</v>
      </c>
      <c r="D568" t="inlineStr">
        <is>
          <t>BW20220719</t>
        </is>
      </c>
      <c r="E568" t="n">
        <v>2022</v>
      </c>
      <c r="F568" t="inlineStr">
        <is>
          <t>Lipiec</t>
        </is>
      </c>
      <c r="G568" t="inlineStr">
        <is>
          <t>Czw</t>
        </is>
      </c>
      <c r="H568">
        <f>'Floor Hours Engine'!$E$4</f>
        <v/>
      </c>
      <c r="I568" t="inlineStr">
        <is>
          <t>W4</t>
        </is>
      </c>
      <c r="J568" t="inlineStr">
        <is>
          <t>2022_Lipiec_W4</t>
        </is>
      </c>
    </row>
    <row r="569">
      <c r="A569" s="177" t="n">
        <v>44764</v>
      </c>
      <c r="B569" s="177" t="n">
        <v>44761</v>
      </c>
      <c r="C569" s="177" t="n">
        <v>44767</v>
      </c>
      <c r="D569" t="inlineStr">
        <is>
          <t>BW20220719</t>
        </is>
      </c>
      <c r="E569" t="n">
        <v>2022</v>
      </c>
      <c r="F569" t="inlineStr">
        <is>
          <t>Lipiec</t>
        </is>
      </c>
      <c r="G569" t="inlineStr">
        <is>
          <t>Pt</t>
        </is>
      </c>
      <c r="H569">
        <f>'Floor Hours Engine'!$E$5</f>
        <v/>
      </c>
      <c r="I569" t="inlineStr">
        <is>
          <t>W4</t>
        </is>
      </c>
      <c r="J569" t="inlineStr">
        <is>
          <t>2022_Lipiec_W4</t>
        </is>
      </c>
    </row>
    <row r="570">
      <c r="A570" s="177" t="n">
        <v>44765</v>
      </c>
      <c r="B570" s="177" t="n">
        <v>44761</v>
      </c>
      <c r="C570" s="177" t="n">
        <v>44767</v>
      </c>
      <c r="D570" t="inlineStr">
        <is>
          <t>BW20220719</t>
        </is>
      </c>
      <c r="E570" t="n">
        <v>2022</v>
      </c>
      <c r="F570" t="inlineStr">
        <is>
          <t>Lipiec</t>
        </is>
      </c>
      <c r="G570" t="inlineStr">
        <is>
          <t>Sob</t>
        </is>
      </c>
      <c r="H570">
        <f>'Floor Hours Engine'!$E$5</f>
        <v/>
      </c>
      <c r="I570" t="inlineStr">
        <is>
          <t>W4</t>
        </is>
      </c>
      <c r="J570" t="inlineStr">
        <is>
          <t>2022_Lipiec_W4</t>
        </is>
      </c>
    </row>
    <row r="571">
      <c r="A571" s="177" t="n">
        <v>44766</v>
      </c>
      <c r="B571" s="177" t="n">
        <v>44761</v>
      </c>
      <c r="C571" s="177" t="n">
        <v>44767</v>
      </c>
      <c r="D571" t="inlineStr">
        <is>
          <t>BW20220719</t>
        </is>
      </c>
      <c r="E571" t="n">
        <v>2022</v>
      </c>
      <c r="F571" t="inlineStr">
        <is>
          <t>Lipiec</t>
        </is>
      </c>
      <c r="G571" t="inlineStr">
        <is>
          <t>Nd</t>
        </is>
      </c>
      <c r="H571">
        <f>'Floor Hours Engine'!$E$6</f>
        <v/>
      </c>
      <c r="I571" t="inlineStr">
        <is>
          <t>W4</t>
        </is>
      </c>
      <c r="J571" t="inlineStr">
        <is>
          <t>2022_Lipiec_W4</t>
        </is>
      </c>
    </row>
    <row r="572">
      <c r="A572" s="177" t="n">
        <v>44767</v>
      </c>
      <c r="B572" s="177" t="n">
        <v>44761</v>
      </c>
      <c r="C572" s="177" t="n">
        <v>44767</v>
      </c>
      <c r="D572" t="inlineStr">
        <is>
          <t>BW20220719</t>
        </is>
      </c>
      <c r="E572" t="n">
        <v>2022</v>
      </c>
      <c r="F572" t="inlineStr">
        <is>
          <t>Lipiec</t>
        </is>
      </c>
      <c r="G572" t="inlineStr">
        <is>
          <t>Pn</t>
        </is>
      </c>
      <c r="H572">
        <f>'Floor Hours Engine'!$E$4</f>
        <v/>
      </c>
      <c r="I572" t="inlineStr">
        <is>
          <t>W4</t>
        </is>
      </c>
      <c r="J572" t="inlineStr">
        <is>
          <t>2022_Lipiec_W4</t>
        </is>
      </c>
    </row>
    <row r="573">
      <c r="A573" s="177" t="n">
        <v>44768</v>
      </c>
      <c r="B573" s="177" t="n">
        <v>44768</v>
      </c>
      <c r="C573" s="177" t="n">
        <v>44774</v>
      </c>
      <c r="D573" t="inlineStr">
        <is>
          <t>BW20220726</t>
        </is>
      </c>
      <c r="E573" t="n">
        <v>2022</v>
      </c>
      <c r="F573" t="inlineStr">
        <is>
          <t>Lipiec</t>
        </is>
      </c>
      <c r="G573" t="inlineStr">
        <is>
          <t>Wt</t>
        </is>
      </c>
      <c r="H573">
        <f>'Floor Hours Engine'!$E$4</f>
        <v/>
      </c>
      <c r="I573" t="inlineStr">
        <is>
          <t>W5</t>
        </is>
      </c>
      <c r="J573" t="inlineStr">
        <is>
          <t>2022_Lipiec_W5</t>
        </is>
      </c>
    </row>
    <row r="574">
      <c r="A574" s="177" t="n">
        <v>44769</v>
      </c>
      <c r="B574" s="177" t="n">
        <v>44768</v>
      </c>
      <c r="C574" s="177" t="n">
        <v>44774</v>
      </c>
      <c r="D574" t="inlineStr">
        <is>
          <t>BW20220726</t>
        </is>
      </c>
      <c r="E574" t="n">
        <v>2022</v>
      </c>
      <c r="F574" t="inlineStr">
        <is>
          <t>Lipiec</t>
        </is>
      </c>
      <c r="G574" t="inlineStr">
        <is>
          <t>Śr</t>
        </is>
      </c>
      <c r="H574">
        <f>'Floor Hours Engine'!$E$4</f>
        <v/>
      </c>
      <c r="I574" t="inlineStr">
        <is>
          <t>W5</t>
        </is>
      </c>
      <c r="J574" t="inlineStr">
        <is>
          <t>2022_Lipiec_W5</t>
        </is>
      </c>
    </row>
    <row r="575">
      <c r="A575" s="177" t="n">
        <v>44770</v>
      </c>
      <c r="B575" s="177" t="n">
        <v>44768</v>
      </c>
      <c r="C575" s="177" t="n">
        <v>44774</v>
      </c>
      <c r="D575" t="inlineStr">
        <is>
          <t>BW20220726</t>
        </is>
      </c>
      <c r="E575" t="n">
        <v>2022</v>
      </c>
      <c r="F575" t="inlineStr">
        <is>
          <t>Lipiec</t>
        </is>
      </c>
      <c r="G575" t="inlineStr">
        <is>
          <t>Czw</t>
        </is>
      </c>
      <c r="H575">
        <f>'Floor Hours Engine'!$E$4</f>
        <v/>
      </c>
      <c r="I575" t="inlineStr">
        <is>
          <t>W5</t>
        </is>
      </c>
      <c r="J575" t="inlineStr">
        <is>
          <t>2022_Lipiec_W5</t>
        </is>
      </c>
    </row>
    <row r="576">
      <c r="A576" s="177" t="n">
        <v>44771</v>
      </c>
      <c r="B576" s="177" t="n">
        <v>44768</v>
      </c>
      <c r="C576" s="177" t="n">
        <v>44774</v>
      </c>
      <c r="D576" t="inlineStr">
        <is>
          <t>BW20220726</t>
        </is>
      </c>
      <c r="E576" t="n">
        <v>2022</v>
      </c>
      <c r="F576" t="inlineStr">
        <is>
          <t>Lipiec</t>
        </is>
      </c>
      <c r="G576" t="inlineStr">
        <is>
          <t>Pt</t>
        </is>
      </c>
      <c r="H576">
        <f>'Floor Hours Engine'!$E$5</f>
        <v/>
      </c>
      <c r="I576" t="inlineStr">
        <is>
          <t>W5</t>
        </is>
      </c>
      <c r="J576" t="inlineStr">
        <is>
          <t>2022_Lipiec_W5</t>
        </is>
      </c>
    </row>
    <row r="577">
      <c r="A577" s="177" t="n">
        <v>44772</v>
      </c>
      <c r="B577" s="177" t="n">
        <v>44768</v>
      </c>
      <c r="C577" s="177" t="n">
        <v>44774</v>
      </c>
      <c r="D577" t="inlineStr">
        <is>
          <t>BW20220726</t>
        </is>
      </c>
      <c r="E577" t="n">
        <v>2022</v>
      </c>
      <c r="F577" t="inlineStr">
        <is>
          <t>Lipiec</t>
        </is>
      </c>
      <c r="G577" t="inlineStr">
        <is>
          <t>Sob</t>
        </is>
      </c>
      <c r="H577">
        <f>'Floor Hours Engine'!$E$5</f>
        <v/>
      </c>
      <c r="I577" t="inlineStr">
        <is>
          <t>W5</t>
        </is>
      </c>
      <c r="J577" t="inlineStr">
        <is>
          <t>2022_Lipiec_W5</t>
        </is>
      </c>
    </row>
    <row r="578">
      <c r="A578" s="177" t="n">
        <v>44773</v>
      </c>
      <c r="B578" s="177" t="n">
        <v>44768</v>
      </c>
      <c r="C578" s="177" t="n">
        <v>44774</v>
      </c>
      <c r="D578" t="inlineStr">
        <is>
          <t>BW20220726</t>
        </is>
      </c>
      <c r="E578" t="n">
        <v>2022</v>
      </c>
      <c r="F578" t="inlineStr">
        <is>
          <t>Lipiec</t>
        </is>
      </c>
      <c r="G578" t="inlineStr">
        <is>
          <t>Nd</t>
        </is>
      </c>
      <c r="H578">
        <f>'Floor Hours Engine'!$E$6</f>
        <v/>
      </c>
      <c r="I578" t="inlineStr">
        <is>
          <t>W5</t>
        </is>
      </c>
      <c r="J578" t="inlineStr">
        <is>
          <t>2022_Lipiec_W5</t>
        </is>
      </c>
    </row>
    <row r="579">
      <c r="A579" s="177" t="n">
        <v>44774</v>
      </c>
      <c r="B579" s="177" t="n">
        <v>44768</v>
      </c>
      <c r="C579" s="177" t="n">
        <v>44774</v>
      </c>
      <c r="D579" t="inlineStr">
        <is>
          <t>BW20220726</t>
        </is>
      </c>
      <c r="E579" t="n">
        <v>2022</v>
      </c>
      <c r="F579" t="inlineStr">
        <is>
          <t>Sierpień</t>
        </is>
      </c>
      <c r="G579" t="inlineStr">
        <is>
          <t>Pn</t>
        </is>
      </c>
      <c r="H579">
        <f>'Floor Hours Engine'!$E$4</f>
        <v/>
      </c>
      <c r="I579" t="inlineStr">
        <is>
          <t>W1</t>
        </is>
      </c>
      <c r="J579" t="inlineStr">
        <is>
          <t>2022_Sierpień_W1</t>
        </is>
      </c>
    </row>
    <row r="580">
      <c r="A580" s="177" t="n">
        <v>44775</v>
      </c>
      <c r="B580" s="177" t="n">
        <v>44775</v>
      </c>
      <c r="C580" s="177" t="n">
        <v>44781</v>
      </c>
      <c r="D580" t="inlineStr">
        <is>
          <t>BW20220802</t>
        </is>
      </c>
      <c r="E580" t="n">
        <v>2022</v>
      </c>
      <c r="F580" t="inlineStr">
        <is>
          <t>Sierpień</t>
        </is>
      </c>
      <c r="G580" t="inlineStr">
        <is>
          <t>Wt</t>
        </is>
      </c>
      <c r="H580">
        <f>'Floor Hours Engine'!$E$4</f>
        <v/>
      </c>
      <c r="I580" t="inlineStr">
        <is>
          <t>W2</t>
        </is>
      </c>
      <c r="J580" t="inlineStr">
        <is>
          <t>2022_Sierpień_W2</t>
        </is>
      </c>
    </row>
    <row r="581">
      <c r="A581" s="177" t="n">
        <v>44776</v>
      </c>
      <c r="B581" s="177" t="n">
        <v>44775</v>
      </c>
      <c r="C581" s="177" t="n">
        <v>44781</v>
      </c>
      <c r="D581" t="inlineStr">
        <is>
          <t>BW20220802</t>
        </is>
      </c>
      <c r="E581" t="n">
        <v>2022</v>
      </c>
      <c r="F581" t="inlineStr">
        <is>
          <t>Sierpień</t>
        </is>
      </c>
      <c r="G581" t="inlineStr">
        <is>
          <t>Śr</t>
        </is>
      </c>
      <c r="H581">
        <f>'Floor Hours Engine'!$E$4</f>
        <v/>
      </c>
      <c r="I581" t="inlineStr">
        <is>
          <t>W2</t>
        </is>
      </c>
      <c r="J581" t="inlineStr">
        <is>
          <t>2022_Sierpień_W2</t>
        </is>
      </c>
    </row>
    <row r="582">
      <c r="A582" s="177" t="n">
        <v>44777</v>
      </c>
      <c r="B582" s="177" t="n">
        <v>44775</v>
      </c>
      <c r="C582" s="177" t="n">
        <v>44781</v>
      </c>
      <c r="D582" t="inlineStr">
        <is>
          <t>BW20220802</t>
        </is>
      </c>
      <c r="E582" t="n">
        <v>2022</v>
      </c>
      <c r="F582" t="inlineStr">
        <is>
          <t>Sierpień</t>
        </is>
      </c>
      <c r="G582" t="inlineStr">
        <is>
          <t>Czw</t>
        </is>
      </c>
      <c r="H582">
        <f>'Floor Hours Engine'!$E$4</f>
        <v/>
      </c>
      <c r="I582" t="inlineStr">
        <is>
          <t>W2</t>
        </is>
      </c>
      <c r="J582" t="inlineStr">
        <is>
          <t>2022_Sierpień_W2</t>
        </is>
      </c>
    </row>
    <row r="583">
      <c r="A583" s="177" t="n">
        <v>44778</v>
      </c>
      <c r="B583" s="177" t="n">
        <v>44775</v>
      </c>
      <c r="C583" s="177" t="n">
        <v>44781</v>
      </c>
      <c r="D583" t="inlineStr">
        <is>
          <t>BW20220802</t>
        </is>
      </c>
      <c r="E583" t="n">
        <v>2022</v>
      </c>
      <c r="F583" t="inlineStr">
        <is>
          <t>Sierpień</t>
        </is>
      </c>
      <c r="G583" t="inlineStr">
        <is>
          <t>Pt</t>
        </is>
      </c>
      <c r="H583">
        <f>'Floor Hours Engine'!$E$5</f>
        <v/>
      </c>
      <c r="I583" t="inlineStr">
        <is>
          <t>W2</t>
        </is>
      </c>
      <c r="J583" t="inlineStr">
        <is>
          <t>2022_Sierpień_W2</t>
        </is>
      </c>
    </row>
    <row r="584">
      <c r="A584" s="177" t="n">
        <v>44779</v>
      </c>
      <c r="B584" s="177" t="n">
        <v>44775</v>
      </c>
      <c r="C584" s="177" t="n">
        <v>44781</v>
      </c>
      <c r="D584" t="inlineStr">
        <is>
          <t>BW20220802</t>
        </is>
      </c>
      <c r="E584" t="n">
        <v>2022</v>
      </c>
      <c r="F584" t="inlineStr">
        <is>
          <t>Sierpień</t>
        </is>
      </c>
      <c r="G584" t="inlineStr">
        <is>
          <t>Sob</t>
        </is>
      </c>
      <c r="H584">
        <f>'Floor Hours Engine'!$E$5</f>
        <v/>
      </c>
      <c r="I584" t="inlineStr">
        <is>
          <t>W2</t>
        </is>
      </c>
      <c r="J584" t="inlineStr">
        <is>
          <t>2022_Sierpień_W2</t>
        </is>
      </c>
    </row>
    <row r="585">
      <c r="A585" s="177" t="n">
        <v>44780</v>
      </c>
      <c r="B585" s="177" t="n">
        <v>44775</v>
      </c>
      <c r="C585" s="177" t="n">
        <v>44781</v>
      </c>
      <c r="D585" t="inlineStr">
        <is>
          <t>BW20220802</t>
        </is>
      </c>
      <c r="E585" t="n">
        <v>2022</v>
      </c>
      <c r="F585" t="inlineStr">
        <is>
          <t>Sierpień</t>
        </is>
      </c>
      <c r="G585" t="inlineStr">
        <is>
          <t>Nd</t>
        </is>
      </c>
      <c r="H585">
        <f>'Floor Hours Engine'!$E$6</f>
        <v/>
      </c>
      <c r="I585" t="inlineStr">
        <is>
          <t>W2</t>
        </is>
      </c>
      <c r="J585" t="inlineStr">
        <is>
          <t>2022_Sierpień_W2</t>
        </is>
      </c>
    </row>
    <row r="586">
      <c r="A586" s="177" t="n">
        <v>44781</v>
      </c>
      <c r="B586" s="177" t="n">
        <v>44775</v>
      </c>
      <c r="C586" s="177" t="n">
        <v>44781</v>
      </c>
      <c r="D586" t="inlineStr">
        <is>
          <t>BW20220802</t>
        </is>
      </c>
      <c r="E586" t="n">
        <v>2022</v>
      </c>
      <c r="F586" t="inlineStr">
        <is>
          <t>Sierpień</t>
        </is>
      </c>
      <c r="G586" t="inlineStr">
        <is>
          <t>Pn</t>
        </is>
      </c>
      <c r="H586">
        <f>'Floor Hours Engine'!$E$4</f>
        <v/>
      </c>
      <c r="I586" t="inlineStr">
        <is>
          <t>W2</t>
        </is>
      </c>
      <c r="J586" t="inlineStr">
        <is>
          <t>2022_Sierpień_W2</t>
        </is>
      </c>
    </row>
    <row r="587">
      <c r="A587" s="177" t="n">
        <v>44782</v>
      </c>
      <c r="B587" s="177" t="n">
        <v>44782</v>
      </c>
      <c r="C587" s="177" t="n">
        <v>44788</v>
      </c>
      <c r="D587" t="inlineStr">
        <is>
          <t>BW20220809</t>
        </is>
      </c>
      <c r="E587" t="n">
        <v>2022</v>
      </c>
      <c r="F587" t="inlineStr">
        <is>
          <t>Sierpień</t>
        </is>
      </c>
      <c r="G587" t="inlineStr">
        <is>
          <t>Wt</t>
        </is>
      </c>
      <c r="H587">
        <f>'Floor Hours Engine'!$E$4</f>
        <v/>
      </c>
      <c r="I587" t="inlineStr">
        <is>
          <t>W3</t>
        </is>
      </c>
      <c r="J587" t="inlineStr">
        <is>
          <t>2022_Sierpień_W3</t>
        </is>
      </c>
    </row>
    <row r="588">
      <c r="A588" s="177" t="n">
        <v>44783</v>
      </c>
      <c r="B588" s="177" t="n">
        <v>44782</v>
      </c>
      <c r="C588" s="177" t="n">
        <v>44788</v>
      </c>
      <c r="D588" t="inlineStr">
        <is>
          <t>BW20220809</t>
        </is>
      </c>
      <c r="E588" t="n">
        <v>2022</v>
      </c>
      <c r="F588" t="inlineStr">
        <is>
          <t>Sierpień</t>
        </is>
      </c>
      <c r="G588" t="inlineStr">
        <is>
          <t>Śr</t>
        </is>
      </c>
      <c r="H588">
        <f>'Floor Hours Engine'!$E$4</f>
        <v/>
      </c>
      <c r="I588" t="inlineStr">
        <is>
          <t>W3</t>
        </is>
      </c>
      <c r="J588" t="inlineStr">
        <is>
          <t>2022_Sierpień_W3</t>
        </is>
      </c>
    </row>
    <row r="589">
      <c r="A589" s="177" t="n">
        <v>44784</v>
      </c>
      <c r="B589" s="177" t="n">
        <v>44782</v>
      </c>
      <c r="C589" s="177" t="n">
        <v>44788</v>
      </c>
      <c r="D589" t="inlineStr">
        <is>
          <t>BW20220809</t>
        </is>
      </c>
      <c r="E589" t="n">
        <v>2022</v>
      </c>
      <c r="F589" t="inlineStr">
        <is>
          <t>Sierpień</t>
        </is>
      </c>
      <c r="G589" t="inlineStr">
        <is>
          <t>Czw</t>
        </is>
      </c>
      <c r="H589">
        <f>'Floor Hours Engine'!$E$4</f>
        <v/>
      </c>
      <c r="I589" t="inlineStr">
        <is>
          <t>W3</t>
        </is>
      </c>
      <c r="J589" t="inlineStr">
        <is>
          <t>2022_Sierpień_W3</t>
        </is>
      </c>
    </row>
    <row r="590">
      <c r="A590" s="177" t="n">
        <v>44785</v>
      </c>
      <c r="B590" s="177" t="n">
        <v>44782</v>
      </c>
      <c r="C590" s="177" t="n">
        <v>44788</v>
      </c>
      <c r="D590" t="inlineStr">
        <is>
          <t>BW20220809</t>
        </is>
      </c>
      <c r="E590" t="n">
        <v>2022</v>
      </c>
      <c r="F590" t="inlineStr">
        <is>
          <t>Sierpień</t>
        </is>
      </c>
      <c r="G590" t="inlineStr">
        <is>
          <t>Pt</t>
        </is>
      </c>
      <c r="H590">
        <f>'Floor Hours Engine'!$E$5</f>
        <v/>
      </c>
      <c r="I590" t="inlineStr">
        <is>
          <t>W3</t>
        </is>
      </c>
      <c r="J590" t="inlineStr">
        <is>
          <t>2022_Sierpień_W3</t>
        </is>
      </c>
    </row>
    <row r="591">
      <c r="A591" s="177" t="n">
        <v>44786</v>
      </c>
      <c r="B591" s="177" t="n">
        <v>44782</v>
      </c>
      <c r="C591" s="177" t="n">
        <v>44788</v>
      </c>
      <c r="D591" t="inlineStr">
        <is>
          <t>BW20220809</t>
        </is>
      </c>
      <c r="E591" t="n">
        <v>2022</v>
      </c>
      <c r="F591" t="inlineStr">
        <is>
          <t>Sierpień</t>
        </is>
      </c>
      <c r="G591" t="inlineStr">
        <is>
          <t>Sob</t>
        </is>
      </c>
      <c r="H591">
        <f>'Floor Hours Engine'!$E$5</f>
        <v/>
      </c>
      <c r="I591" t="inlineStr">
        <is>
          <t>W3</t>
        </is>
      </c>
      <c r="J591" t="inlineStr">
        <is>
          <t>2022_Sierpień_W3</t>
        </is>
      </c>
    </row>
    <row r="592">
      <c r="A592" s="177" t="n">
        <v>44787</v>
      </c>
      <c r="B592" s="177" t="n">
        <v>44782</v>
      </c>
      <c r="C592" s="177" t="n">
        <v>44788</v>
      </c>
      <c r="D592" t="inlineStr">
        <is>
          <t>BW20220809</t>
        </is>
      </c>
      <c r="E592" t="n">
        <v>2022</v>
      </c>
      <c r="F592" t="inlineStr">
        <is>
          <t>Sierpień</t>
        </is>
      </c>
      <c r="G592" t="inlineStr">
        <is>
          <t>Nd</t>
        </is>
      </c>
      <c r="H592">
        <f>'Floor Hours Engine'!$E$6</f>
        <v/>
      </c>
      <c r="I592" t="inlineStr">
        <is>
          <t>W3</t>
        </is>
      </c>
      <c r="J592" t="inlineStr">
        <is>
          <t>2022_Sierpień_W3</t>
        </is>
      </c>
    </row>
    <row r="593">
      <c r="A593" s="177" t="n">
        <v>44788</v>
      </c>
      <c r="B593" s="177" t="n">
        <v>44782</v>
      </c>
      <c r="C593" s="177" t="n">
        <v>44788</v>
      </c>
      <c r="D593" t="inlineStr">
        <is>
          <t>BW20220809</t>
        </is>
      </c>
      <c r="E593" t="n">
        <v>2022</v>
      </c>
      <c r="F593" t="inlineStr">
        <is>
          <t>Sierpień</t>
        </is>
      </c>
      <c r="G593" t="inlineStr">
        <is>
          <t>Pn</t>
        </is>
      </c>
      <c r="H593">
        <f>'Floor Hours Engine'!$E$4</f>
        <v/>
      </c>
      <c r="I593" t="inlineStr">
        <is>
          <t>W3</t>
        </is>
      </c>
      <c r="J593" t="inlineStr">
        <is>
          <t>2022_Sierpień_W3</t>
        </is>
      </c>
    </row>
    <row r="594">
      <c r="A594" s="177" t="n">
        <v>44789</v>
      </c>
      <c r="B594" s="177" t="n">
        <v>44789</v>
      </c>
      <c r="C594" s="177" t="n">
        <v>44795</v>
      </c>
      <c r="D594" t="inlineStr">
        <is>
          <t>BW20220816</t>
        </is>
      </c>
      <c r="E594" t="n">
        <v>2022</v>
      </c>
      <c r="F594" t="inlineStr">
        <is>
          <t>Sierpień</t>
        </is>
      </c>
      <c r="G594" t="inlineStr">
        <is>
          <t>Wt</t>
        </is>
      </c>
      <c r="H594">
        <f>'Floor Hours Engine'!$E$4</f>
        <v/>
      </c>
      <c r="I594" t="inlineStr">
        <is>
          <t>W4</t>
        </is>
      </c>
      <c r="J594" t="inlineStr">
        <is>
          <t>2022_Sierpień_W4</t>
        </is>
      </c>
    </row>
    <row r="595">
      <c r="A595" s="177" t="n">
        <v>44790</v>
      </c>
      <c r="B595" s="177" t="n">
        <v>44789</v>
      </c>
      <c r="C595" s="177" t="n">
        <v>44795</v>
      </c>
      <c r="D595" t="inlineStr">
        <is>
          <t>BW20220816</t>
        </is>
      </c>
      <c r="E595" t="n">
        <v>2022</v>
      </c>
      <c r="F595" t="inlineStr">
        <is>
          <t>Sierpień</t>
        </is>
      </c>
      <c r="G595" t="inlineStr">
        <is>
          <t>Śr</t>
        </is>
      </c>
      <c r="H595">
        <f>'Floor Hours Engine'!$E$4</f>
        <v/>
      </c>
      <c r="I595" t="inlineStr">
        <is>
          <t>W4</t>
        </is>
      </c>
      <c r="J595" t="inlineStr">
        <is>
          <t>2022_Sierpień_W4</t>
        </is>
      </c>
    </row>
    <row r="596">
      <c r="A596" s="177" t="n">
        <v>44791</v>
      </c>
      <c r="B596" s="177" t="n">
        <v>44789</v>
      </c>
      <c r="C596" s="177" t="n">
        <v>44795</v>
      </c>
      <c r="D596" t="inlineStr">
        <is>
          <t>BW20220816</t>
        </is>
      </c>
      <c r="E596" t="n">
        <v>2022</v>
      </c>
      <c r="F596" t="inlineStr">
        <is>
          <t>Sierpień</t>
        </is>
      </c>
      <c r="G596" t="inlineStr">
        <is>
          <t>Czw</t>
        </is>
      </c>
      <c r="H596">
        <f>'Floor Hours Engine'!$E$4</f>
        <v/>
      </c>
      <c r="I596" t="inlineStr">
        <is>
          <t>W4</t>
        </is>
      </c>
      <c r="J596" t="inlineStr">
        <is>
          <t>2022_Sierpień_W4</t>
        </is>
      </c>
    </row>
    <row r="597">
      <c r="A597" s="177" t="n">
        <v>44792</v>
      </c>
      <c r="B597" s="177" t="n">
        <v>44789</v>
      </c>
      <c r="C597" s="177" t="n">
        <v>44795</v>
      </c>
      <c r="D597" t="inlineStr">
        <is>
          <t>BW20220816</t>
        </is>
      </c>
      <c r="E597" t="n">
        <v>2022</v>
      </c>
      <c r="F597" t="inlineStr">
        <is>
          <t>Sierpień</t>
        </is>
      </c>
      <c r="G597" t="inlineStr">
        <is>
          <t>Pt</t>
        </is>
      </c>
      <c r="H597">
        <f>'Floor Hours Engine'!$E$5</f>
        <v/>
      </c>
      <c r="I597" t="inlineStr">
        <is>
          <t>W4</t>
        </is>
      </c>
      <c r="J597" t="inlineStr">
        <is>
          <t>2022_Sierpień_W4</t>
        </is>
      </c>
    </row>
    <row r="598">
      <c r="A598" s="177" t="n">
        <v>44793</v>
      </c>
      <c r="B598" s="177" t="n">
        <v>44789</v>
      </c>
      <c r="C598" s="177" t="n">
        <v>44795</v>
      </c>
      <c r="D598" t="inlineStr">
        <is>
          <t>BW20220816</t>
        </is>
      </c>
      <c r="E598" t="n">
        <v>2022</v>
      </c>
      <c r="F598" t="inlineStr">
        <is>
          <t>Sierpień</t>
        </is>
      </c>
      <c r="G598" t="inlineStr">
        <is>
          <t>Sob</t>
        </is>
      </c>
      <c r="H598">
        <f>'Floor Hours Engine'!$E$5</f>
        <v/>
      </c>
      <c r="I598" t="inlineStr">
        <is>
          <t>W4</t>
        </is>
      </c>
      <c r="J598" t="inlineStr">
        <is>
          <t>2022_Sierpień_W4</t>
        </is>
      </c>
    </row>
    <row r="599">
      <c r="A599" s="177" t="n">
        <v>44794</v>
      </c>
      <c r="B599" s="177" t="n">
        <v>44789</v>
      </c>
      <c r="C599" s="177" t="n">
        <v>44795</v>
      </c>
      <c r="D599" t="inlineStr">
        <is>
          <t>BW20220816</t>
        </is>
      </c>
      <c r="E599" t="n">
        <v>2022</v>
      </c>
      <c r="F599" t="inlineStr">
        <is>
          <t>Sierpień</t>
        </is>
      </c>
      <c r="G599" t="inlineStr">
        <is>
          <t>Nd</t>
        </is>
      </c>
      <c r="H599">
        <f>'Floor Hours Engine'!$E$6</f>
        <v/>
      </c>
      <c r="I599" t="inlineStr">
        <is>
          <t>W4</t>
        </is>
      </c>
      <c r="J599" t="inlineStr">
        <is>
          <t>2022_Sierpień_W4</t>
        </is>
      </c>
    </row>
    <row r="600">
      <c r="A600" s="177" t="n">
        <v>44795</v>
      </c>
      <c r="B600" s="177" t="n">
        <v>44789</v>
      </c>
      <c r="C600" s="177" t="n">
        <v>44795</v>
      </c>
      <c r="D600" t="inlineStr">
        <is>
          <t>BW20220816</t>
        </is>
      </c>
      <c r="E600" t="n">
        <v>2022</v>
      </c>
      <c r="F600" t="inlineStr">
        <is>
          <t>Sierpień</t>
        </is>
      </c>
      <c r="G600" t="inlineStr">
        <is>
          <t>Pn</t>
        </is>
      </c>
      <c r="H600">
        <f>'Floor Hours Engine'!$E$4</f>
        <v/>
      </c>
      <c r="I600" t="inlineStr">
        <is>
          <t>W4</t>
        </is>
      </c>
      <c r="J600" t="inlineStr">
        <is>
          <t>2022_Sierpień_W4</t>
        </is>
      </c>
    </row>
    <row r="601">
      <c r="A601" s="177" t="n">
        <v>44796</v>
      </c>
      <c r="B601" s="177" t="n">
        <v>44796</v>
      </c>
      <c r="C601" s="177" t="n">
        <v>44802</v>
      </c>
      <c r="D601" t="inlineStr">
        <is>
          <t>BW20220823</t>
        </is>
      </c>
      <c r="E601" t="n">
        <v>2022</v>
      </c>
      <c r="F601" t="inlineStr">
        <is>
          <t>Sierpień</t>
        </is>
      </c>
      <c r="G601" t="inlineStr">
        <is>
          <t>Wt</t>
        </is>
      </c>
      <c r="H601">
        <f>'Floor Hours Engine'!$E$4</f>
        <v/>
      </c>
      <c r="I601" t="inlineStr">
        <is>
          <t>W5</t>
        </is>
      </c>
      <c r="J601" t="inlineStr">
        <is>
          <t>2022_Sierpień_W5</t>
        </is>
      </c>
    </row>
    <row r="602">
      <c r="A602" s="177" t="n">
        <v>44797</v>
      </c>
      <c r="B602" s="177" t="n">
        <v>44796</v>
      </c>
      <c r="C602" s="177" t="n">
        <v>44802</v>
      </c>
      <c r="D602" t="inlineStr">
        <is>
          <t>BW20220823</t>
        </is>
      </c>
      <c r="E602" t="n">
        <v>2022</v>
      </c>
      <c r="F602" t="inlineStr">
        <is>
          <t>Sierpień</t>
        </is>
      </c>
      <c r="G602" t="inlineStr">
        <is>
          <t>Śr</t>
        </is>
      </c>
      <c r="H602">
        <f>'Floor Hours Engine'!$E$4</f>
        <v/>
      </c>
      <c r="I602" t="inlineStr">
        <is>
          <t>W5</t>
        </is>
      </c>
      <c r="J602" t="inlineStr">
        <is>
          <t>2022_Sierpień_W5</t>
        </is>
      </c>
    </row>
    <row r="603">
      <c r="A603" s="177" t="n">
        <v>44798</v>
      </c>
      <c r="B603" s="177" t="n">
        <v>44796</v>
      </c>
      <c r="C603" s="177" t="n">
        <v>44802</v>
      </c>
      <c r="D603" t="inlineStr">
        <is>
          <t>BW20220823</t>
        </is>
      </c>
      <c r="E603" t="n">
        <v>2022</v>
      </c>
      <c r="F603" t="inlineStr">
        <is>
          <t>Sierpień</t>
        </is>
      </c>
      <c r="G603" t="inlineStr">
        <is>
          <t>Czw</t>
        </is>
      </c>
      <c r="H603">
        <f>'Floor Hours Engine'!$E$4</f>
        <v/>
      </c>
      <c r="I603" t="inlineStr">
        <is>
          <t>W5</t>
        </is>
      </c>
      <c r="J603" t="inlineStr">
        <is>
          <t>2022_Sierpień_W5</t>
        </is>
      </c>
    </row>
    <row r="604">
      <c r="A604" s="177" t="n">
        <v>44799</v>
      </c>
      <c r="B604" s="177" t="n">
        <v>44796</v>
      </c>
      <c r="C604" s="177" t="n">
        <v>44802</v>
      </c>
      <c r="D604" t="inlineStr">
        <is>
          <t>BW20220823</t>
        </is>
      </c>
      <c r="E604" t="n">
        <v>2022</v>
      </c>
      <c r="F604" t="inlineStr">
        <is>
          <t>Sierpień</t>
        </is>
      </c>
      <c r="G604" t="inlineStr">
        <is>
          <t>Pt</t>
        </is>
      </c>
      <c r="H604">
        <f>'Floor Hours Engine'!$E$5</f>
        <v/>
      </c>
      <c r="I604" t="inlineStr">
        <is>
          <t>W5</t>
        </is>
      </c>
      <c r="J604" t="inlineStr">
        <is>
          <t>2022_Sierpień_W5</t>
        </is>
      </c>
    </row>
    <row r="605">
      <c r="A605" s="177" t="n">
        <v>44800</v>
      </c>
      <c r="B605" s="177" t="n">
        <v>44796</v>
      </c>
      <c r="C605" s="177" t="n">
        <v>44802</v>
      </c>
      <c r="D605" t="inlineStr">
        <is>
          <t>BW20220823</t>
        </is>
      </c>
      <c r="E605" t="n">
        <v>2022</v>
      </c>
      <c r="F605" t="inlineStr">
        <is>
          <t>Sierpień</t>
        </is>
      </c>
      <c r="G605" t="inlineStr">
        <is>
          <t>Sob</t>
        </is>
      </c>
      <c r="H605">
        <f>'Floor Hours Engine'!$E$5</f>
        <v/>
      </c>
      <c r="I605" t="inlineStr">
        <is>
          <t>W5</t>
        </is>
      </c>
      <c r="J605" t="inlineStr">
        <is>
          <t>2022_Sierpień_W5</t>
        </is>
      </c>
    </row>
    <row r="606">
      <c r="A606" s="177" t="n">
        <v>44801</v>
      </c>
      <c r="B606" s="177" t="n">
        <v>44796</v>
      </c>
      <c r="C606" s="177" t="n">
        <v>44802</v>
      </c>
      <c r="D606" t="inlineStr">
        <is>
          <t>BW20220823</t>
        </is>
      </c>
      <c r="E606" t="n">
        <v>2022</v>
      </c>
      <c r="F606" t="inlineStr">
        <is>
          <t>Sierpień</t>
        </is>
      </c>
      <c r="G606" t="inlineStr">
        <is>
          <t>Nd</t>
        </is>
      </c>
      <c r="H606">
        <f>'Floor Hours Engine'!$E$6</f>
        <v/>
      </c>
      <c r="I606" t="inlineStr">
        <is>
          <t>W5</t>
        </is>
      </c>
      <c r="J606" t="inlineStr">
        <is>
          <t>2022_Sierpień_W5</t>
        </is>
      </c>
    </row>
    <row r="607">
      <c r="A607" s="177" t="n">
        <v>44802</v>
      </c>
      <c r="B607" s="177" t="n">
        <v>44796</v>
      </c>
      <c r="C607" s="177" t="n">
        <v>44802</v>
      </c>
      <c r="D607" t="inlineStr">
        <is>
          <t>BW20220823</t>
        </is>
      </c>
      <c r="E607" t="n">
        <v>2022</v>
      </c>
      <c r="F607" t="inlineStr">
        <is>
          <t>Sierpień</t>
        </is>
      </c>
      <c r="G607" t="inlineStr">
        <is>
          <t>Pn</t>
        </is>
      </c>
      <c r="H607">
        <f>'Floor Hours Engine'!$E$4</f>
        <v/>
      </c>
      <c r="I607" t="inlineStr">
        <is>
          <t>W5</t>
        </is>
      </c>
      <c r="J607" t="inlineStr">
        <is>
          <t>2022_Sierpień_W5</t>
        </is>
      </c>
    </row>
    <row r="608">
      <c r="A608" s="177" t="n">
        <v>44803</v>
      </c>
      <c r="B608" s="177" t="n">
        <v>44803</v>
      </c>
      <c r="C608" s="177" t="n">
        <v>44809</v>
      </c>
      <c r="D608" t="inlineStr">
        <is>
          <t>BW20220830</t>
        </is>
      </c>
      <c r="E608" t="n">
        <v>2022</v>
      </c>
      <c r="F608" t="inlineStr">
        <is>
          <t>Sierpień</t>
        </is>
      </c>
      <c r="G608" t="inlineStr">
        <is>
          <t>Wt</t>
        </is>
      </c>
      <c r="H608">
        <f>'Floor Hours Engine'!$E$4</f>
        <v/>
      </c>
      <c r="I608" t="inlineStr">
        <is>
          <t>W6</t>
        </is>
      </c>
      <c r="J608" t="inlineStr">
        <is>
          <t>2022_Sierpień_W6</t>
        </is>
      </c>
    </row>
    <row r="609">
      <c r="A609" s="177" t="n">
        <v>44804</v>
      </c>
      <c r="B609" s="177" t="n">
        <v>44803</v>
      </c>
      <c r="C609" s="177" t="n">
        <v>44809</v>
      </c>
      <c r="D609" t="inlineStr">
        <is>
          <t>BW20220830</t>
        </is>
      </c>
      <c r="E609" t="n">
        <v>2022</v>
      </c>
      <c r="F609" t="inlineStr">
        <is>
          <t>Sierpień</t>
        </is>
      </c>
      <c r="G609" t="inlineStr">
        <is>
          <t>Śr</t>
        </is>
      </c>
      <c r="H609">
        <f>'Floor Hours Engine'!$E$4</f>
        <v/>
      </c>
      <c r="I609" t="inlineStr">
        <is>
          <t>W6</t>
        </is>
      </c>
      <c r="J609" t="inlineStr">
        <is>
          <t>2022_Sierpień_W6</t>
        </is>
      </c>
    </row>
    <row r="610">
      <c r="A610" s="177" t="n">
        <v>44805</v>
      </c>
      <c r="B610" s="177" t="n">
        <v>44803</v>
      </c>
      <c r="C610" s="177" t="n">
        <v>44809</v>
      </c>
      <c r="D610" t="inlineStr">
        <is>
          <t>BW20220830</t>
        </is>
      </c>
      <c r="E610" t="n">
        <v>2022</v>
      </c>
      <c r="F610" t="inlineStr">
        <is>
          <t>Wrzesień</t>
        </is>
      </c>
      <c r="G610" t="inlineStr">
        <is>
          <t>Czw</t>
        </is>
      </c>
      <c r="H610">
        <f>'Floor Hours Engine'!$E$4</f>
        <v/>
      </c>
      <c r="I610" t="inlineStr">
        <is>
          <t>W1</t>
        </is>
      </c>
      <c r="J610" t="inlineStr">
        <is>
          <t>2022_Wrzesień_W1</t>
        </is>
      </c>
    </row>
    <row r="611">
      <c r="A611" s="177" t="n">
        <v>44806</v>
      </c>
      <c r="B611" s="177" t="n">
        <v>44803</v>
      </c>
      <c r="C611" s="177" t="n">
        <v>44809</v>
      </c>
      <c r="D611" t="inlineStr">
        <is>
          <t>BW20220830</t>
        </is>
      </c>
      <c r="E611" t="n">
        <v>2022</v>
      </c>
      <c r="F611" t="inlineStr">
        <is>
          <t>Wrzesień</t>
        </is>
      </c>
      <c r="G611" t="inlineStr">
        <is>
          <t>Pt</t>
        </is>
      </c>
      <c r="H611">
        <f>'Floor Hours Engine'!$E$5</f>
        <v/>
      </c>
      <c r="I611" t="inlineStr">
        <is>
          <t>W1</t>
        </is>
      </c>
      <c r="J611" t="inlineStr">
        <is>
          <t>2022_Wrzesień_W1</t>
        </is>
      </c>
    </row>
    <row r="612">
      <c r="A612" s="177" t="n">
        <v>44807</v>
      </c>
      <c r="B612" s="177" t="n">
        <v>44803</v>
      </c>
      <c r="C612" s="177" t="n">
        <v>44809</v>
      </c>
      <c r="D612" t="inlineStr">
        <is>
          <t>BW20220830</t>
        </is>
      </c>
      <c r="E612" t="n">
        <v>2022</v>
      </c>
      <c r="F612" t="inlineStr">
        <is>
          <t>Wrzesień</t>
        </is>
      </c>
      <c r="G612" t="inlineStr">
        <is>
          <t>Sob</t>
        </is>
      </c>
      <c r="H612">
        <f>'Floor Hours Engine'!$E$5</f>
        <v/>
      </c>
      <c r="I612" t="inlineStr">
        <is>
          <t>W1</t>
        </is>
      </c>
      <c r="J612" t="inlineStr">
        <is>
          <t>2022_Wrzesień_W1</t>
        </is>
      </c>
    </row>
    <row r="613">
      <c r="A613" s="177" t="n">
        <v>44808</v>
      </c>
      <c r="B613" s="177" t="n">
        <v>44803</v>
      </c>
      <c r="C613" s="177" t="n">
        <v>44809</v>
      </c>
      <c r="D613" t="inlineStr">
        <is>
          <t>BW20220830</t>
        </is>
      </c>
      <c r="E613" t="n">
        <v>2022</v>
      </c>
      <c r="F613" t="inlineStr">
        <is>
          <t>Wrzesień</t>
        </is>
      </c>
      <c r="G613" t="inlineStr">
        <is>
          <t>Nd</t>
        </is>
      </c>
      <c r="H613">
        <f>'Floor Hours Engine'!$E$6</f>
        <v/>
      </c>
      <c r="I613" t="inlineStr">
        <is>
          <t>W1</t>
        </is>
      </c>
      <c r="J613" t="inlineStr">
        <is>
          <t>2022_Wrzesień_W1</t>
        </is>
      </c>
    </row>
    <row r="614">
      <c r="A614" s="177" t="n">
        <v>44809</v>
      </c>
      <c r="B614" s="177" t="n">
        <v>44803</v>
      </c>
      <c r="C614" s="177" t="n">
        <v>44809</v>
      </c>
      <c r="D614" t="inlineStr">
        <is>
          <t>BW20220830</t>
        </is>
      </c>
      <c r="E614" t="n">
        <v>2022</v>
      </c>
      <c r="F614" t="inlineStr">
        <is>
          <t>Wrzesień</t>
        </is>
      </c>
      <c r="G614" t="inlineStr">
        <is>
          <t>Pn</t>
        </is>
      </c>
      <c r="H614">
        <f>'Floor Hours Engine'!$E$4</f>
        <v/>
      </c>
      <c r="I614" t="inlineStr">
        <is>
          <t>W1</t>
        </is>
      </c>
      <c r="J614" t="inlineStr">
        <is>
          <t>2022_Wrzesień_W1</t>
        </is>
      </c>
    </row>
    <row r="615">
      <c r="A615" s="177" t="n">
        <v>44810</v>
      </c>
      <c r="B615" s="177" t="n">
        <v>44810</v>
      </c>
      <c r="C615" s="177" t="n">
        <v>44816</v>
      </c>
      <c r="D615" t="inlineStr">
        <is>
          <t>BW20220906</t>
        </is>
      </c>
      <c r="E615" t="n">
        <v>2022</v>
      </c>
      <c r="F615" t="inlineStr">
        <is>
          <t>Wrzesień</t>
        </is>
      </c>
      <c r="G615" t="inlineStr">
        <is>
          <t>Wt</t>
        </is>
      </c>
      <c r="H615">
        <f>'Floor Hours Engine'!$E$4</f>
        <v/>
      </c>
      <c r="I615" t="inlineStr">
        <is>
          <t>W2</t>
        </is>
      </c>
      <c r="J615" t="inlineStr">
        <is>
          <t>2022_Wrzesień_W2</t>
        </is>
      </c>
    </row>
    <row r="616">
      <c r="A616" s="177" t="n">
        <v>44811</v>
      </c>
      <c r="B616" s="177" t="n">
        <v>44810</v>
      </c>
      <c r="C616" s="177" t="n">
        <v>44816</v>
      </c>
      <c r="D616" t="inlineStr">
        <is>
          <t>BW20220906</t>
        </is>
      </c>
      <c r="E616" t="n">
        <v>2022</v>
      </c>
      <c r="F616" t="inlineStr">
        <is>
          <t>Wrzesień</t>
        </is>
      </c>
      <c r="G616" t="inlineStr">
        <is>
          <t>Śr</t>
        </is>
      </c>
      <c r="H616">
        <f>'Floor Hours Engine'!$E$4</f>
        <v/>
      </c>
      <c r="I616" t="inlineStr">
        <is>
          <t>W2</t>
        </is>
      </c>
      <c r="J616" t="inlineStr">
        <is>
          <t>2022_Wrzesień_W2</t>
        </is>
      </c>
    </row>
    <row r="617">
      <c r="A617" s="177" t="n">
        <v>44812</v>
      </c>
      <c r="B617" s="177" t="n">
        <v>44810</v>
      </c>
      <c r="C617" s="177" t="n">
        <v>44816</v>
      </c>
      <c r="D617" t="inlineStr">
        <is>
          <t>BW20220906</t>
        </is>
      </c>
      <c r="E617" t="n">
        <v>2022</v>
      </c>
      <c r="F617" t="inlineStr">
        <is>
          <t>Wrzesień</t>
        </is>
      </c>
      <c r="G617" t="inlineStr">
        <is>
          <t>Czw</t>
        </is>
      </c>
      <c r="H617">
        <f>'Floor Hours Engine'!$E$4</f>
        <v/>
      </c>
      <c r="I617" t="inlineStr">
        <is>
          <t>W2</t>
        </is>
      </c>
      <c r="J617" t="inlineStr">
        <is>
          <t>2022_Wrzesień_W2</t>
        </is>
      </c>
    </row>
    <row r="618">
      <c r="A618" s="177" t="n">
        <v>44813</v>
      </c>
      <c r="B618" s="177" t="n">
        <v>44810</v>
      </c>
      <c r="C618" s="177" t="n">
        <v>44816</v>
      </c>
      <c r="D618" t="inlineStr">
        <is>
          <t>BW20220906</t>
        </is>
      </c>
      <c r="E618" t="n">
        <v>2022</v>
      </c>
      <c r="F618" t="inlineStr">
        <is>
          <t>Wrzesień</t>
        </is>
      </c>
      <c r="G618" t="inlineStr">
        <is>
          <t>Pt</t>
        </is>
      </c>
      <c r="H618">
        <f>'Floor Hours Engine'!$E$5</f>
        <v/>
      </c>
      <c r="I618" t="inlineStr">
        <is>
          <t>W2</t>
        </is>
      </c>
      <c r="J618" t="inlineStr">
        <is>
          <t>2022_Wrzesień_W2</t>
        </is>
      </c>
    </row>
    <row r="619">
      <c r="A619" s="177" t="n">
        <v>44814</v>
      </c>
      <c r="B619" s="177" t="n">
        <v>44810</v>
      </c>
      <c r="C619" s="177" t="n">
        <v>44816</v>
      </c>
      <c r="D619" t="inlineStr">
        <is>
          <t>BW20220906</t>
        </is>
      </c>
      <c r="E619" t="n">
        <v>2022</v>
      </c>
      <c r="F619" t="inlineStr">
        <is>
          <t>Wrzesień</t>
        </is>
      </c>
      <c r="G619" t="inlineStr">
        <is>
          <t>Sob</t>
        </is>
      </c>
      <c r="H619">
        <f>'Floor Hours Engine'!$E$5</f>
        <v/>
      </c>
      <c r="I619" t="inlineStr">
        <is>
          <t>W2</t>
        </is>
      </c>
      <c r="J619" t="inlineStr">
        <is>
          <t>2022_Wrzesień_W2</t>
        </is>
      </c>
    </row>
    <row r="620">
      <c r="A620" s="177" t="n">
        <v>44815</v>
      </c>
      <c r="B620" s="177" t="n">
        <v>44810</v>
      </c>
      <c r="C620" s="177" t="n">
        <v>44816</v>
      </c>
      <c r="D620" t="inlineStr">
        <is>
          <t>BW20220906</t>
        </is>
      </c>
      <c r="E620" t="n">
        <v>2022</v>
      </c>
      <c r="F620" t="inlineStr">
        <is>
          <t>Wrzesień</t>
        </is>
      </c>
      <c r="G620" t="inlineStr">
        <is>
          <t>Nd</t>
        </is>
      </c>
      <c r="H620">
        <f>'Floor Hours Engine'!$E$6</f>
        <v/>
      </c>
      <c r="I620" t="inlineStr">
        <is>
          <t>W2</t>
        </is>
      </c>
      <c r="J620" t="inlineStr">
        <is>
          <t>2022_Wrzesień_W2</t>
        </is>
      </c>
    </row>
    <row r="621">
      <c r="A621" s="177" t="n">
        <v>44816</v>
      </c>
      <c r="B621" s="177" t="n">
        <v>44810</v>
      </c>
      <c r="C621" s="177" t="n">
        <v>44816</v>
      </c>
      <c r="D621" t="inlineStr">
        <is>
          <t>BW20220906</t>
        </is>
      </c>
      <c r="E621" t="n">
        <v>2022</v>
      </c>
      <c r="F621" t="inlineStr">
        <is>
          <t>Wrzesień</t>
        </is>
      </c>
      <c r="G621" t="inlineStr">
        <is>
          <t>Pn</t>
        </is>
      </c>
      <c r="H621">
        <f>'Floor Hours Engine'!$E$4</f>
        <v/>
      </c>
      <c r="I621" t="inlineStr">
        <is>
          <t>W2</t>
        </is>
      </c>
      <c r="J621" t="inlineStr">
        <is>
          <t>2022_Wrzesień_W2</t>
        </is>
      </c>
    </row>
    <row r="622">
      <c r="A622" s="177" t="n">
        <v>44817</v>
      </c>
      <c r="B622" s="177" t="n">
        <v>44817</v>
      </c>
      <c r="C622" s="177" t="n">
        <v>44823</v>
      </c>
      <c r="D622" t="inlineStr">
        <is>
          <t>BW20220913</t>
        </is>
      </c>
      <c r="E622" t="n">
        <v>2022</v>
      </c>
      <c r="F622" t="inlineStr">
        <is>
          <t>Wrzesień</t>
        </is>
      </c>
      <c r="G622" t="inlineStr">
        <is>
          <t>Wt</t>
        </is>
      </c>
      <c r="H622">
        <f>'Floor Hours Engine'!$E$4</f>
        <v/>
      </c>
      <c r="I622" t="inlineStr">
        <is>
          <t>W3</t>
        </is>
      </c>
      <c r="J622" t="inlineStr">
        <is>
          <t>2022_Wrzesień_W3</t>
        </is>
      </c>
    </row>
    <row r="623">
      <c r="A623" s="177" t="n">
        <v>44818</v>
      </c>
      <c r="B623" s="177" t="n">
        <v>44817</v>
      </c>
      <c r="C623" s="177" t="n">
        <v>44823</v>
      </c>
      <c r="D623" t="inlineStr">
        <is>
          <t>BW20220913</t>
        </is>
      </c>
      <c r="E623" t="n">
        <v>2022</v>
      </c>
      <c r="F623" t="inlineStr">
        <is>
          <t>Wrzesień</t>
        </is>
      </c>
      <c r="G623" t="inlineStr">
        <is>
          <t>Śr</t>
        </is>
      </c>
      <c r="H623">
        <f>'Floor Hours Engine'!$E$4</f>
        <v/>
      </c>
      <c r="I623" t="inlineStr">
        <is>
          <t>W3</t>
        </is>
      </c>
      <c r="J623" t="inlineStr">
        <is>
          <t>2022_Wrzesień_W3</t>
        </is>
      </c>
    </row>
    <row r="624">
      <c r="A624" s="177" t="n">
        <v>44819</v>
      </c>
      <c r="B624" s="177" t="n">
        <v>44817</v>
      </c>
      <c r="C624" s="177" t="n">
        <v>44823</v>
      </c>
      <c r="D624" t="inlineStr">
        <is>
          <t>BW20220913</t>
        </is>
      </c>
      <c r="E624" t="n">
        <v>2022</v>
      </c>
      <c r="F624" t="inlineStr">
        <is>
          <t>Wrzesień</t>
        </is>
      </c>
      <c r="G624" t="inlineStr">
        <is>
          <t>Czw</t>
        </is>
      </c>
      <c r="H624">
        <f>'Floor Hours Engine'!$E$4</f>
        <v/>
      </c>
      <c r="I624" t="inlineStr">
        <is>
          <t>W3</t>
        </is>
      </c>
      <c r="J624" t="inlineStr">
        <is>
          <t>2022_Wrzesień_W3</t>
        </is>
      </c>
    </row>
    <row r="625">
      <c r="A625" s="177" t="n">
        <v>44820</v>
      </c>
      <c r="B625" s="177" t="n">
        <v>44817</v>
      </c>
      <c r="C625" s="177" t="n">
        <v>44823</v>
      </c>
      <c r="D625" t="inlineStr">
        <is>
          <t>BW20220913</t>
        </is>
      </c>
      <c r="E625" t="n">
        <v>2022</v>
      </c>
      <c r="F625" t="inlineStr">
        <is>
          <t>Wrzesień</t>
        </is>
      </c>
      <c r="G625" t="inlineStr">
        <is>
          <t>Pt</t>
        </is>
      </c>
      <c r="H625">
        <f>'Floor Hours Engine'!$E$5</f>
        <v/>
      </c>
      <c r="I625" t="inlineStr">
        <is>
          <t>W3</t>
        </is>
      </c>
      <c r="J625" t="inlineStr">
        <is>
          <t>2022_Wrzesień_W3</t>
        </is>
      </c>
    </row>
    <row r="626">
      <c r="A626" s="177" t="n">
        <v>44821</v>
      </c>
      <c r="B626" s="177" t="n">
        <v>44817</v>
      </c>
      <c r="C626" s="177" t="n">
        <v>44823</v>
      </c>
      <c r="D626" t="inlineStr">
        <is>
          <t>BW20220913</t>
        </is>
      </c>
      <c r="E626" t="n">
        <v>2022</v>
      </c>
      <c r="F626" t="inlineStr">
        <is>
          <t>Wrzesień</t>
        </is>
      </c>
      <c r="G626" t="inlineStr">
        <is>
          <t>Sob</t>
        </is>
      </c>
      <c r="H626">
        <f>'Floor Hours Engine'!$E$5</f>
        <v/>
      </c>
      <c r="I626" t="inlineStr">
        <is>
          <t>W3</t>
        </is>
      </c>
      <c r="J626" t="inlineStr">
        <is>
          <t>2022_Wrzesień_W3</t>
        </is>
      </c>
    </row>
    <row r="627">
      <c r="A627" s="177" t="n">
        <v>44822</v>
      </c>
      <c r="B627" s="177" t="n">
        <v>44817</v>
      </c>
      <c r="C627" s="177" t="n">
        <v>44823</v>
      </c>
      <c r="D627" t="inlineStr">
        <is>
          <t>BW20220913</t>
        </is>
      </c>
      <c r="E627" t="n">
        <v>2022</v>
      </c>
      <c r="F627" t="inlineStr">
        <is>
          <t>Wrzesień</t>
        </is>
      </c>
      <c r="G627" t="inlineStr">
        <is>
          <t>Nd</t>
        </is>
      </c>
      <c r="H627">
        <f>'Floor Hours Engine'!$E$6</f>
        <v/>
      </c>
      <c r="I627" t="inlineStr">
        <is>
          <t>W3</t>
        </is>
      </c>
      <c r="J627" t="inlineStr">
        <is>
          <t>2022_Wrzesień_W3</t>
        </is>
      </c>
    </row>
    <row r="628">
      <c r="A628" s="177" t="n">
        <v>44823</v>
      </c>
      <c r="B628" s="177" t="n">
        <v>44817</v>
      </c>
      <c r="C628" s="177" t="n">
        <v>44823</v>
      </c>
      <c r="D628" t="inlineStr">
        <is>
          <t>BW20220913</t>
        </is>
      </c>
      <c r="E628" t="n">
        <v>2022</v>
      </c>
      <c r="F628" t="inlineStr">
        <is>
          <t>Wrzesień</t>
        </is>
      </c>
      <c r="G628" t="inlineStr">
        <is>
          <t>Pn</t>
        </is>
      </c>
      <c r="H628">
        <f>'Floor Hours Engine'!$E$4</f>
        <v/>
      </c>
      <c r="I628" t="inlineStr">
        <is>
          <t>W3</t>
        </is>
      </c>
      <c r="J628" t="inlineStr">
        <is>
          <t>2022_Wrzesień_W3</t>
        </is>
      </c>
    </row>
    <row r="629">
      <c r="A629" s="177" t="n">
        <v>44824</v>
      </c>
      <c r="B629" s="177" t="n">
        <v>44824</v>
      </c>
      <c r="C629" s="177" t="n">
        <v>44830</v>
      </c>
      <c r="D629" t="inlineStr">
        <is>
          <t>BW20220920</t>
        </is>
      </c>
      <c r="E629" t="n">
        <v>2022</v>
      </c>
      <c r="F629" t="inlineStr">
        <is>
          <t>Wrzesień</t>
        </is>
      </c>
      <c r="G629" t="inlineStr">
        <is>
          <t>Wt</t>
        </is>
      </c>
      <c r="H629">
        <f>'Floor Hours Engine'!$E$4</f>
        <v/>
      </c>
      <c r="I629" t="inlineStr">
        <is>
          <t>W4</t>
        </is>
      </c>
      <c r="J629" t="inlineStr">
        <is>
          <t>2022_Wrzesień_W4</t>
        </is>
      </c>
    </row>
    <row r="630">
      <c r="A630" s="177" t="n">
        <v>44825</v>
      </c>
      <c r="B630" s="177" t="n">
        <v>44824</v>
      </c>
      <c r="C630" s="177" t="n">
        <v>44830</v>
      </c>
      <c r="D630" t="inlineStr">
        <is>
          <t>BW20220920</t>
        </is>
      </c>
      <c r="E630" t="n">
        <v>2022</v>
      </c>
      <c r="F630" t="inlineStr">
        <is>
          <t>Wrzesień</t>
        </is>
      </c>
      <c r="G630" t="inlineStr">
        <is>
          <t>Śr</t>
        </is>
      </c>
      <c r="H630">
        <f>'Floor Hours Engine'!$E$4</f>
        <v/>
      </c>
      <c r="I630" t="inlineStr">
        <is>
          <t>W4</t>
        </is>
      </c>
      <c r="J630" t="inlineStr">
        <is>
          <t>2022_Wrzesień_W4</t>
        </is>
      </c>
    </row>
    <row r="631">
      <c r="A631" s="177" t="n">
        <v>44826</v>
      </c>
      <c r="B631" s="177" t="n">
        <v>44824</v>
      </c>
      <c r="C631" s="177" t="n">
        <v>44830</v>
      </c>
      <c r="D631" t="inlineStr">
        <is>
          <t>BW20220920</t>
        </is>
      </c>
      <c r="E631" t="n">
        <v>2022</v>
      </c>
      <c r="F631" t="inlineStr">
        <is>
          <t>Wrzesień</t>
        </is>
      </c>
      <c r="G631" t="inlineStr">
        <is>
          <t>Czw</t>
        </is>
      </c>
      <c r="H631">
        <f>'Floor Hours Engine'!$E$4</f>
        <v/>
      </c>
      <c r="I631" t="inlineStr">
        <is>
          <t>W4</t>
        </is>
      </c>
      <c r="J631" t="inlineStr">
        <is>
          <t>2022_Wrzesień_W4</t>
        </is>
      </c>
    </row>
    <row r="632">
      <c r="A632" s="177" t="n">
        <v>44827</v>
      </c>
      <c r="B632" s="177" t="n">
        <v>44824</v>
      </c>
      <c r="C632" s="177" t="n">
        <v>44830</v>
      </c>
      <c r="D632" t="inlineStr">
        <is>
          <t>BW20220920</t>
        </is>
      </c>
      <c r="E632" t="n">
        <v>2022</v>
      </c>
      <c r="F632" t="inlineStr">
        <is>
          <t>Wrzesień</t>
        </is>
      </c>
      <c r="G632" t="inlineStr">
        <is>
          <t>Pt</t>
        </is>
      </c>
      <c r="H632">
        <f>'Floor Hours Engine'!$E$5</f>
        <v/>
      </c>
      <c r="I632" t="inlineStr">
        <is>
          <t>W4</t>
        </is>
      </c>
      <c r="J632" t="inlineStr">
        <is>
          <t>2022_Wrzesień_W4</t>
        </is>
      </c>
    </row>
    <row r="633">
      <c r="A633" s="177" t="n">
        <v>44828</v>
      </c>
      <c r="B633" s="177" t="n">
        <v>44824</v>
      </c>
      <c r="C633" s="177" t="n">
        <v>44830</v>
      </c>
      <c r="D633" t="inlineStr">
        <is>
          <t>BW20220920</t>
        </is>
      </c>
      <c r="E633" t="n">
        <v>2022</v>
      </c>
      <c r="F633" t="inlineStr">
        <is>
          <t>Wrzesień</t>
        </is>
      </c>
      <c r="G633" t="inlineStr">
        <is>
          <t>Sob</t>
        </is>
      </c>
      <c r="H633">
        <f>'Floor Hours Engine'!$E$5</f>
        <v/>
      </c>
      <c r="I633" t="inlineStr">
        <is>
          <t>W4</t>
        </is>
      </c>
      <c r="J633" t="inlineStr">
        <is>
          <t>2022_Wrzesień_W4</t>
        </is>
      </c>
    </row>
    <row r="634">
      <c r="A634" s="177" t="n">
        <v>44829</v>
      </c>
      <c r="B634" s="177" t="n">
        <v>44824</v>
      </c>
      <c r="C634" s="177" t="n">
        <v>44830</v>
      </c>
      <c r="D634" t="inlineStr">
        <is>
          <t>BW20220920</t>
        </is>
      </c>
      <c r="E634" t="n">
        <v>2022</v>
      </c>
      <c r="F634" t="inlineStr">
        <is>
          <t>Wrzesień</t>
        </is>
      </c>
      <c r="G634" t="inlineStr">
        <is>
          <t>Nd</t>
        </is>
      </c>
      <c r="H634">
        <f>'Floor Hours Engine'!$E$6</f>
        <v/>
      </c>
      <c r="I634" t="inlineStr">
        <is>
          <t>W4</t>
        </is>
      </c>
      <c r="J634" t="inlineStr">
        <is>
          <t>2022_Wrzesień_W4</t>
        </is>
      </c>
    </row>
    <row r="635">
      <c r="A635" s="177" t="n">
        <v>44830</v>
      </c>
      <c r="B635" s="177" t="n">
        <v>44824</v>
      </c>
      <c r="C635" s="177" t="n">
        <v>44830</v>
      </c>
      <c r="D635" t="inlineStr">
        <is>
          <t>BW20220920</t>
        </is>
      </c>
      <c r="E635" t="n">
        <v>2022</v>
      </c>
      <c r="F635" t="inlineStr">
        <is>
          <t>Wrzesień</t>
        </is>
      </c>
      <c r="G635" t="inlineStr">
        <is>
          <t>Pn</t>
        </is>
      </c>
      <c r="H635">
        <f>'Floor Hours Engine'!$E$4</f>
        <v/>
      </c>
      <c r="I635" t="inlineStr">
        <is>
          <t>W4</t>
        </is>
      </c>
      <c r="J635" t="inlineStr">
        <is>
          <t>2022_Wrzesień_W4</t>
        </is>
      </c>
    </row>
    <row r="636">
      <c r="A636" s="177" t="n">
        <v>44831</v>
      </c>
      <c r="B636" s="177" t="n">
        <v>44831</v>
      </c>
      <c r="C636" s="177" t="n">
        <v>44837</v>
      </c>
      <c r="D636" t="inlineStr">
        <is>
          <t>BW20220927</t>
        </is>
      </c>
      <c r="E636" t="n">
        <v>2022</v>
      </c>
      <c r="F636" t="inlineStr">
        <is>
          <t>Wrzesień</t>
        </is>
      </c>
      <c r="G636" t="inlineStr">
        <is>
          <t>Wt</t>
        </is>
      </c>
      <c r="H636">
        <f>'Floor Hours Engine'!$E$4</f>
        <v/>
      </c>
      <c r="I636" t="inlineStr">
        <is>
          <t>W5</t>
        </is>
      </c>
      <c r="J636" t="inlineStr">
        <is>
          <t>2022_Wrzesień_W5</t>
        </is>
      </c>
    </row>
    <row r="637">
      <c r="A637" s="177" t="n">
        <v>44832</v>
      </c>
      <c r="B637" s="177" t="n">
        <v>44831</v>
      </c>
      <c r="C637" s="177" t="n">
        <v>44837</v>
      </c>
      <c r="D637" t="inlineStr">
        <is>
          <t>BW20220927</t>
        </is>
      </c>
      <c r="E637" t="n">
        <v>2022</v>
      </c>
      <c r="F637" t="inlineStr">
        <is>
          <t>Wrzesień</t>
        </is>
      </c>
      <c r="G637" t="inlineStr">
        <is>
          <t>Śr</t>
        </is>
      </c>
      <c r="H637">
        <f>'Floor Hours Engine'!$E$4</f>
        <v/>
      </c>
      <c r="I637" t="inlineStr">
        <is>
          <t>W5</t>
        </is>
      </c>
      <c r="J637" t="inlineStr">
        <is>
          <t>2022_Wrzesień_W5</t>
        </is>
      </c>
    </row>
    <row r="638">
      <c r="A638" s="177" t="n">
        <v>44833</v>
      </c>
      <c r="B638" s="177" t="n">
        <v>44831</v>
      </c>
      <c r="C638" s="177" t="n">
        <v>44837</v>
      </c>
      <c r="D638" t="inlineStr">
        <is>
          <t>BW20220927</t>
        </is>
      </c>
      <c r="E638" t="n">
        <v>2022</v>
      </c>
      <c r="F638" t="inlineStr">
        <is>
          <t>Wrzesień</t>
        </is>
      </c>
      <c r="G638" t="inlineStr">
        <is>
          <t>Czw</t>
        </is>
      </c>
      <c r="H638">
        <f>'Floor Hours Engine'!$E$4</f>
        <v/>
      </c>
      <c r="I638" t="inlineStr">
        <is>
          <t>W5</t>
        </is>
      </c>
      <c r="J638" t="inlineStr">
        <is>
          <t>2022_Wrzesień_W5</t>
        </is>
      </c>
    </row>
    <row r="639">
      <c r="A639" s="177" t="n">
        <v>44834</v>
      </c>
      <c r="B639" s="177" t="n">
        <v>44831</v>
      </c>
      <c r="C639" s="177" t="n">
        <v>44837</v>
      </c>
      <c r="D639" t="inlineStr">
        <is>
          <t>BW20220927</t>
        </is>
      </c>
      <c r="E639" t="n">
        <v>2022</v>
      </c>
      <c r="F639" t="inlineStr">
        <is>
          <t>Wrzesień</t>
        </is>
      </c>
      <c r="G639" t="inlineStr">
        <is>
          <t>Pt</t>
        </is>
      </c>
      <c r="H639">
        <f>'Floor Hours Engine'!$E$5</f>
        <v/>
      </c>
      <c r="I639" t="inlineStr">
        <is>
          <t>W5</t>
        </is>
      </c>
      <c r="J639" t="inlineStr">
        <is>
          <t>2022_Wrzesień_W5</t>
        </is>
      </c>
    </row>
    <row r="640">
      <c r="A640" s="177" t="n">
        <v>44835</v>
      </c>
      <c r="B640" s="177" t="n">
        <v>44831</v>
      </c>
      <c r="C640" s="177" t="n">
        <v>44837</v>
      </c>
      <c r="D640" t="inlineStr">
        <is>
          <t>BW20220927</t>
        </is>
      </c>
      <c r="E640" t="n">
        <v>2022</v>
      </c>
      <c r="F640" t="inlineStr">
        <is>
          <t>Październik</t>
        </is>
      </c>
      <c r="G640" t="inlineStr">
        <is>
          <t>Sob</t>
        </is>
      </c>
      <c r="H640">
        <f>'Floor Hours Engine'!$E$5</f>
        <v/>
      </c>
      <c r="I640" t="inlineStr">
        <is>
          <t>W1</t>
        </is>
      </c>
      <c r="J640" t="inlineStr">
        <is>
          <t>2022_Październik_W1</t>
        </is>
      </c>
    </row>
    <row r="641">
      <c r="A641" s="177" t="n">
        <v>44836</v>
      </c>
      <c r="B641" s="177" t="n">
        <v>44831</v>
      </c>
      <c r="C641" s="177" t="n">
        <v>44837</v>
      </c>
      <c r="D641" t="inlineStr">
        <is>
          <t>BW20220927</t>
        </is>
      </c>
      <c r="E641" t="n">
        <v>2022</v>
      </c>
      <c r="F641" t="inlineStr">
        <is>
          <t>Październik</t>
        </is>
      </c>
      <c r="G641" t="inlineStr">
        <is>
          <t>Nd</t>
        </is>
      </c>
      <c r="H641">
        <f>'Floor Hours Engine'!$E$6</f>
        <v/>
      </c>
      <c r="I641" t="inlineStr">
        <is>
          <t>W1</t>
        </is>
      </c>
      <c r="J641" t="inlineStr">
        <is>
          <t>2022_Październik_W1</t>
        </is>
      </c>
    </row>
    <row r="642">
      <c r="A642" s="177" t="n">
        <v>44837</v>
      </c>
      <c r="B642" s="177" t="n">
        <v>44831</v>
      </c>
      <c r="C642" s="177" t="n">
        <v>44837</v>
      </c>
      <c r="D642" t="inlineStr">
        <is>
          <t>BW20220927</t>
        </is>
      </c>
      <c r="E642" t="n">
        <v>2022</v>
      </c>
      <c r="F642" t="inlineStr">
        <is>
          <t>Październik</t>
        </is>
      </c>
      <c r="G642" t="inlineStr">
        <is>
          <t>Pn</t>
        </is>
      </c>
      <c r="H642">
        <f>'Floor Hours Engine'!$E$4</f>
        <v/>
      </c>
      <c r="I642" t="inlineStr">
        <is>
          <t>W1</t>
        </is>
      </c>
      <c r="J642" t="inlineStr">
        <is>
          <t>2022_Październik_W1</t>
        </is>
      </c>
    </row>
    <row r="643">
      <c r="A643" s="177" t="n">
        <v>44838</v>
      </c>
      <c r="B643" s="177" t="n">
        <v>44838</v>
      </c>
      <c r="C643" s="177" t="n">
        <v>44844</v>
      </c>
      <c r="D643" t="inlineStr">
        <is>
          <t>BW20221004</t>
        </is>
      </c>
      <c r="E643" t="n">
        <v>2022</v>
      </c>
      <c r="F643" t="inlineStr">
        <is>
          <t>Październik</t>
        </is>
      </c>
      <c r="G643" t="inlineStr">
        <is>
          <t>Wt</t>
        </is>
      </c>
      <c r="H643">
        <f>'Floor Hours Engine'!$E$4</f>
        <v/>
      </c>
      <c r="I643" t="inlineStr">
        <is>
          <t>W2</t>
        </is>
      </c>
      <c r="J643" t="inlineStr">
        <is>
          <t>2022_Październik_W2</t>
        </is>
      </c>
    </row>
    <row r="644">
      <c r="A644" s="177" t="n">
        <v>44839</v>
      </c>
      <c r="B644" s="177" t="n">
        <v>44838</v>
      </c>
      <c r="C644" s="177" t="n">
        <v>44844</v>
      </c>
      <c r="D644" t="inlineStr">
        <is>
          <t>BW20221004</t>
        </is>
      </c>
      <c r="E644" t="n">
        <v>2022</v>
      </c>
      <c r="F644" t="inlineStr">
        <is>
          <t>Październik</t>
        </is>
      </c>
      <c r="G644" t="inlineStr">
        <is>
          <t>Śr</t>
        </is>
      </c>
      <c r="H644">
        <f>'Floor Hours Engine'!$E$4</f>
        <v/>
      </c>
      <c r="I644" t="inlineStr">
        <is>
          <t>W2</t>
        </is>
      </c>
      <c r="J644" t="inlineStr">
        <is>
          <t>2022_Październik_W2</t>
        </is>
      </c>
    </row>
    <row r="645">
      <c r="A645" s="177" t="n">
        <v>44840</v>
      </c>
      <c r="B645" s="177" t="n">
        <v>44838</v>
      </c>
      <c r="C645" s="177" t="n">
        <v>44844</v>
      </c>
      <c r="D645" t="inlineStr">
        <is>
          <t>BW20221004</t>
        </is>
      </c>
      <c r="E645" t="n">
        <v>2022</v>
      </c>
      <c r="F645" t="inlineStr">
        <is>
          <t>Październik</t>
        </is>
      </c>
      <c r="G645" t="inlineStr">
        <is>
          <t>Czw</t>
        </is>
      </c>
      <c r="H645">
        <f>'Floor Hours Engine'!$E$4</f>
        <v/>
      </c>
      <c r="I645" t="inlineStr">
        <is>
          <t>W2</t>
        </is>
      </c>
      <c r="J645" t="inlineStr">
        <is>
          <t>2022_Październik_W2</t>
        </is>
      </c>
    </row>
    <row r="646">
      <c r="A646" s="177" t="n">
        <v>44841</v>
      </c>
      <c r="B646" s="177" t="n">
        <v>44838</v>
      </c>
      <c r="C646" s="177" t="n">
        <v>44844</v>
      </c>
      <c r="D646" t="inlineStr">
        <is>
          <t>BW20221004</t>
        </is>
      </c>
      <c r="E646" t="n">
        <v>2022</v>
      </c>
      <c r="F646" t="inlineStr">
        <is>
          <t>Październik</t>
        </is>
      </c>
      <c r="G646" t="inlineStr">
        <is>
          <t>Pt</t>
        </is>
      </c>
      <c r="H646">
        <f>'Floor Hours Engine'!$E$5</f>
        <v/>
      </c>
      <c r="I646" t="inlineStr">
        <is>
          <t>W2</t>
        </is>
      </c>
      <c r="J646" t="inlineStr">
        <is>
          <t>2022_Październik_W2</t>
        </is>
      </c>
    </row>
    <row r="647">
      <c r="A647" s="177" t="n">
        <v>44842</v>
      </c>
      <c r="B647" s="177" t="n">
        <v>44838</v>
      </c>
      <c r="C647" s="177" t="n">
        <v>44844</v>
      </c>
      <c r="D647" t="inlineStr">
        <is>
          <t>BW20221004</t>
        </is>
      </c>
      <c r="E647" t="n">
        <v>2022</v>
      </c>
      <c r="F647" t="inlineStr">
        <is>
          <t>Październik</t>
        </is>
      </c>
      <c r="G647" t="inlineStr">
        <is>
          <t>Sob</t>
        </is>
      </c>
      <c r="H647">
        <f>'Floor Hours Engine'!$E$5</f>
        <v/>
      </c>
      <c r="I647" t="inlineStr">
        <is>
          <t>W2</t>
        </is>
      </c>
      <c r="J647" t="inlineStr">
        <is>
          <t>2022_Październik_W2</t>
        </is>
      </c>
    </row>
    <row r="648">
      <c r="A648" s="177" t="n">
        <v>44843</v>
      </c>
      <c r="B648" s="177" t="n">
        <v>44838</v>
      </c>
      <c r="C648" s="177" t="n">
        <v>44844</v>
      </c>
      <c r="D648" t="inlineStr">
        <is>
          <t>BW20221004</t>
        </is>
      </c>
      <c r="E648" t="n">
        <v>2022</v>
      </c>
      <c r="F648" t="inlineStr">
        <is>
          <t>Październik</t>
        </is>
      </c>
      <c r="G648" t="inlineStr">
        <is>
          <t>Nd</t>
        </is>
      </c>
      <c r="H648">
        <f>'Floor Hours Engine'!$E$6</f>
        <v/>
      </c>
      <c r="I648" t="inlineStr">
        <is>
          <t>W2</t>
        </is>
      </c>
      <c r="J648" t="inlineStr">
        <is>
          <t>2022_Październik_W2</t>
        </is>
      </c>
    </row>
    <row r="649">
      <c r="A649" s="177" t="n">
        <v>44844</v>
      </c>
      <c r="B649" s="177" t="n">
        <v>44838</v>
      </c>
      <c r="C649" s="177" t="n">
        <v>44844</v>
      </c>
      <c r="D649" t="inlineStr">
        <is>
          <t>BW20221004</t>
        </is>
      </c>
      <c r="E649" t="n">
        <v>2022</v>
      </c>
      <c r="F649" t="inlineStr">
        <is>
          <t>Październik</t>
        </is>
      </c>
      <c r="G649" t="inlineStr">
        <is>
          <t>Pn</t>
        </is>
      </c>
      <c r="H649">
        <f>'Floor Hours Engine'!$E$4</f>
        <v/>
      </c>
      <c r="I649" t="inlineStr">
        <is>
          <t>W2</t>
        </is>
      </c>
      <c r="J649" t="inlineStr">
        <is>
          <t>2022_Październik_W2</t>
        </is>
      </c>
    </row>
    <row r="650">
      <c r="A650" s="177" t="n">
        <v>44845</v>
      </c>
      <c r="B650" s="177" t="n">
        <v>44845</v>
      </c>
      <c r="C650" s="177" t="n">
        <v>44851</v>
      </c>
      <c r="D650" t="inlineStr">
        <is>
          <t>BW20221011</t>
        </is>
      </c>
      <c r="E650" t="n">
        <v>2022</v>
      </c>
      <c r="F650" t="inlineStr">
        <is>
          <t>Październik</t>
        </is>
      </c>
      <c r="G650" t="inlineStr">
        <is>
          <t>Wt</t>
        </is>
      </c>
      <c r="H650">
        <f>'Floor Hours Engine'!$E$4</f>
        <v/>
      </c>
      <c r="I650" t="inlineStr">
        <is>
          <t>W3</t>
        </is>
      </c>
      <c r="J650" t="inlineStr">
        <is>
          <t>2022_Październik_W3</t>
        </is>
      </c>
    </row>
    <row r="651">
      <c r="A651" s="177" t="n">
        <v>44846</v>
      </c>
      <c r="B651" s="177" t="n">
        <v>44845</v>
      </c>
      <c r="C651" s="177" t="n">
        <v>44851</v>
      </c>
      <c r="D651" t="inlineStr">
        <is>
          <t>BW20221011</t>
        </is>
      </c>
      <c r="E651" t="n">
        <v>2022</v>
      </c>
      <c r="F651" t="inlineStr">
        <is>
          <t>Październik</t>
        </is>
      </c>
      <c r="G651" t="inlineStr">
        <is>
          <t>Śr</t>
        </is>
      </c>
      <c r="H651">
        <f>'Floor Hours Engine'!$E$4</f>
        <v/>
      </c>
      <c r="I651" t="inlineStr">
        <is>
          <t>W3</t>
        </is>
      </c>
      <c r="J651" t="inlineStr">
        <is>
          <t>2022_Październik_W3</t>
        </is>
      </c>
    </row>
    <row r="652">
      <c r="A652" s="177" t="n">
        <v>44847</v>
      </c>
      <c r="B652" s="177" t="n">
        <v>44845</v>
      </c>
      <c r="C652" s="177" t="n">
        <v>44851</v>
      </c>
      <c r="D652" t="inlineStr">
        <is>
          <t>BW20221011</t>
        </is>
      </c>
      <c r="E652" t="n">
        <v>2022</v>
      </c>
      <c r="F652" t="inlineStr">
        <is>
          <t>Październik</t>
        </is>
      </c>
      <c r="G652" t="inlineStr">
        <is>
          <t>Czw</t>
        </is>
      </c>
      <c r="H652">
        <f>'Floor Hours Engine'!$E$4</f>
        <v/>
      </c>
      <c r="I652" t="inlineStr">
        <is>
          <t>W3</t>
        </is>
      </c>
      <c r="J652" t="inlineStr">
        <is>
          <t>2022_Październik_W3</t>
        </is>
      </c>
    </row>
    <row r="653">
      <c r="A653" s="177" t="n">
        <v>44848</v>
      </c>
      <c r="B653" s="177" t="n">
        <v>44845</v>
      </c>
      <c r="C653" s="177" t="n">
        <v>44851</v>
      </c>
      <c r="D653" t="inlineStr">
        <is>
          <t>BW20221011</t>
        </is>
      </c>
      <c r="E653" t="n">
        <v>2022</v>
      </c>
      <c r="F653" t="inlineStr">
        <is>
          <t>Październik</t>
        </is>
      </c>
      <c r="G653" t="inlineStr">
        <is>
          <t>Pt</t>
        </is>
      </c>
      <c r="H653">
        <f>'Floor Hours Engine'!$E$5</f>
        <v/>
      </c>
      <c r="I653" t="inlineStr">
        <is>
          <t>W3</t>
        </is>
      </c>
      <c r="J653" t="inlineStr">
        <is>
          <t>2022_Październik_W3</t>
        </is>
      </c>
    </row>
    <row r="654">
      <c r="A654" s="177" t="n">
        <v>44849</v>
      </c>
      <c r="B654" s="177" t="n">
        <v>44845</v>
      </c>
      <c r="C654" s="177" t="n">
        <v>44851</v>
      </c>
      <c r="D654" t="inlineStr">
        <is>
          <t>BW20221011</t>
        </is>
      </c>
      <c r="E654" t="n">
        <v>2022</v>
      </c>
      <c r="F654" t="inlineStr">
        <is>
          <t>Październik</t>
        </is>
      </c>
      <c r="G654" t="inlineStr">
        <is>
          <t>Sob</t>
        </is>
      </c>
      <c r="H654">
        <f>'Floor Hours Engine'!$E$5</f>
        <v/>
      </c>
      <c r="I654" t="inlineStr">
        <is>
          <t>W3</t>
        </is>
      </c>
      <c r="J654" t="inlineStr">
        <is>
          <t>2022_Październik_W3</t>
        </is>
      </c>
    </row>
    <row r="655">
      <c r="A655" s="177" t="n">
        <v>44850</v>
      </c>
      <c r="B655" s="177" t="n">
        <v>44845</v>
      </c>
      <c r="C655" s="177" t="n">
        <v>44851</v>
      </c>
      <c r="D655" t="inlineStr">
        <is>
          <t>BW20221011</t>
        </is>
      </c>
      <c r="E655" t="n">
        <v>2022</v>
      </c>
      <c r="F655" t="inlineStr">
        <is>
          <t>Październik</t>
        </is>
      </c>
      <c r="G655" t="inlineStr">
        <is>
          <t>Nd</t>
        </is>
      </c>
      <c r="H655">
        <f>'Floor Hours Engine'!$E$6</f>
        <v/>
      </c>
      <c r="I655" t="inlineStr">
        <is>
          <t>W3</t>
        </is>
      </c>
      <c r="J655" t="inlineStr">
        <is>
          <t>2022_Październik_W3</t>
        </is>
      </c>
    </row>
    <row r="656">
      <c r="A656" s="177" t="n">
        <v>44851</v>
      </c>
      <c r="B656" s="177" t="n">
        <v>44845</v>
      </c>
      <c r="C656" s="177" t="n">
        <v>44851</v>
      </c>
      <c r="D656" t="inlineStr">
        <is>
          <t>BW20221011</t>
        </is>
      </c>
      <c r="E656" t="n">
        <v>2022</v>
      </c>
      <c r="F656" t="inlineStr">
        <is>
          <t>Październik</t>
        </is>
      </c>
      <c r="G656" t="inlineStr">
        <is>
          <t>Pn</t>
        </is>
      </c>
      <c r="H656">
        <f>'Floor Hours Engine'!$E$4</f>
        <v/>
      </c>
      <c r="I656" t="inlineStr">
        <is>
          <t>W3</t>
        </is>
      </c>
      <c r="J656" t="inlineStr">
        <is>
          <t>2022_Październik_W3</t>
        </is>
      </c>
    </row>
    <row r="657">
      <c r="A657" s="177" t="n">
        <v>44852</v>
      </c>
      <c r="B657" s="177" t="n">
        <v>44852</v>
      </c>
      <c r="C657" s="177" t="n">
        <v>44858</v>
      </c>
      <c r="D657" t="inlineStr">
        <is>
          <t>BW20221018</t>
        </is>
      </c>
      <c r="E657" t="n">
        <v>2022</v>
      </c>
      <c r="F657" t="inlineStr">
        <is>
          <t>Październik</t>
        </is>
      </c>
      <c r="G657" t="inlineStr">
        <is>
          <t>Wt</t>
        </is>
      </c>
      <c r="H657">
        <f>'Floor Hours Engine'!$E$4</f>
        <v/>
      </c>
      <c r="I657" t="inlineStr">
        <is>
          <t>W4</t>
        </is>
      </c>
      <c r="J657" t="inlineStr">
        <is>
          <t>2022_Październik_W4</t>
        </is>
      </c>
    </row>
    <row r="658">
      <c r="A658" s="177" t="n">
        <v>44853</v>
      </c>
      <c r="B658" s="177" t="n">
        <v>44852</v>
      </c>
      <c r="C658" s="177" t="n">
        <v>44858</v>
      </c>
      <c r="D658" t="inlineStr">
        <is>
          <t>BW20221018</t>
        </is>
      </c>
      <c r="E658" t="n">
        <v>2022</v>
      </c>
      <c r="F658" t="inlineStr">
        <is>
          <t>Październik</t>
        </is>
      </c>
      <c r="G658" t="inlineStr">
        <is>
          <t>Śr</t>
        </is>
      </c>
      <c r="H658">
        <f>'Floor Hours Engine'!$E$4</f>
        <v/>
      </c>
      <c r="I658" t="inlineStr">
        <is>
          <t>W4</t>
        </is>
      </c>
      <c r="J658" t="inlineStr">
        <is>
          <t>2022_Październik_W4</t>
        </is>
      </c>
    </row>
    <row r="659">
      <c r="A659" s="177" t="n">
        <v>44854</v>
      </c>
      <c r="B659" s="177" t="n">
        <v>44852</v>
      </c>
      <c r="C659" s="177" t="n">
        <v>44858</v>
      </c>
      <c r="D659" t="inlineStr">
        <is>
          <t>BW20221018</t>
        </is>
      </c>
      <c r="E659" t="n">
        <v>2022</v>
      </c>
      <c r="F659" t="inlineStr">
        <is>
          <t>Październik</t>
        </is>
      </c>
      <c r="G659" t="inlineStr">
        <is>
          <t>Czw</t>
        </is>
      </c>
      <c r="H659">
        <f>'Floor Hours Engine'!$E$4</f>
        <v/>
      </c>
      <c r="I659" t="inlineStr">
        <is>
          <t>W4</t>
        </is>
      </c>
      <c r="J659" t="inlineStr">
        <is>
          <t>2022_Październik_W4</t>
        </is>
      </c>
    </row>
    <row r="660">
      <c r="A660" s="177" t="n">
        <v>44855</v>
      </c>
      <c r="B660" s="177" t="n">
        <v>44852</v>
      </c>
      <c r="C660" s="177" t="n">
        <v>44858</v>
      </c>
      <c r="D660" t="inlineStr">
        <is>
          <t>BW20221018</t>
        </is>
      </c>
      <c r="E660" t="n">
        <v>2022</v>
      </c>
      <c r="F660" t="inlineStr">
        <is>
          <t>Październik</t>
        </is>
      </c>
      <c r="G660" t="inlineStr">
        <is>
          <t>Pt</t>
        </is>
      </c>
      <c r="H660">
        <f>'Floor Hours Engine'!$E$5</f>
        <v/>
      </c>
      <c r="I660" t="inlineStr">
        <is>
          <t>W4</t>
        </is>
      </c>
      <c r="J660" t="inlineStr">
        <is>
          <t>2022_Październik_W4</t>
        </is>
      </c>
    </row>
    <row r="661">
      <c r="A661" s="177" t="n">
        <v>44856</v>
      </c>
      <c r="B661" s="177" t="n">
        <v>44852</v>
      </c>
      <c r="C661" s="177" t="n">
        <v>44858</v>
      </c>
      <c r="D661" t="inlineStr">
        <is>
          <t>BW20221018</t>
        </is>
      </c>
      <c r="E661" t="n">
        <v>2022</v>
      </c>
      <c r="F661" t="inlineStr">
        <is>
          <t>Październik</t>
        </is>
      </c>
      <c r="G661" t="inlineStr">
        <is>
          <t>Sob</t>
        </is>
      </c>
      <c r="H661">
        <f>'Floor Hours Engine'!$E$5</f>
        <v/>
      </c>
      <c r="I661" t="inlineStr">
        <is>
          <t>W4</t>
        </is>
      </c>
      <c r="J661" t="inlineStr">
        <is>
          <t>2022_Październik_W4</t>
        </is>
      </c>
    </row>
    <row r="662">
      <c r="A662" s="177" t="n">
        <v>44857</v>
      </c>
      <c r="B662" s="177" t="n">
        <v>44852</v>
      </c>
      <c r="C662" s="177" t="n">
        <v>44858</v>
      </c>
      <c r="D662" t="inlineStr">
        <is>
          <t>BW20221018</t>
        </is>
      </c>
      <c r="E662" t="n">
        <v>2022</v>
      </c>
      <c r="F662" t="inlineStr">
        <is>
          <t>Październik</t>
        </is>
      </c>
      <c r="G662" t="inlineStr">
        <is>
          <t>Nd</t>
        </is>
      </c>
      <c r="H662">
        <f>'Floor Hours Engine'!$E$6</f>
        <v/>
      </c>
      <c r="I662" t="inlineStr">
        <is>
          <t>W4</t>
        </is>
      </c>
      <c r="J662" t="inlineStr">
        <is>
          <t>2022_Październik_W4</t>
        </is>
      </c>
    </row>
    <row r="663">
      <c r="A663" s="177" t="n">
        <v>44858</v>
      </c>
      <c r="B663" s="177" t="n">
        <v>44852</v>
      </c>
      <c r="C663" s="177" t="n">
        <v>44858</v>
      </c>
      <c r="D663" t="inlineStr">
        <is>
          <t>BW20221018</t>
        </is>
      </c>
      <c r="E663" t="n">
        <v>2022</v>
      </c>
      <c r="F663" t="inlineStr">
        <is>
          <t>Październik</t>
        </is>
      </c>
      <c r="G663" t="inlineStr">
        <is>
          <t>Pn</t>
        </is>
      </c>
      <c r="H663">
        <f>'Floor Hours Engine'!$E$4</f>
        <v/>
      </c>
      <c r="I663" t="inlineStr">
        <is>
          <t>W4</t>
        </is>
      </c>
      <c r="J663" t="inlineStr">
        <is>
          <t>2022_Październik_W4</t>
        </is>
      </c>
    </row>
    <row r="664">
      <c r="A664" s="177" t="n">
        <v>44859</v>
      </c>
      <c r="B664" s="177" t="n">
        <v>44859</v>
      </c>
      <c r="C664" s="177" t="n">
        <v>44865</v>
      </c>
      <c r="D664" t="inlineStr">
        <is>
          <t>BW20221025</t>
        </is>
      </c>
      <c r="E664" t="n">
        <v>2022</v>
      </c>
      <c r="F664" t="inlineStr">
        <is>
          <t>Październik</t>
        </is>
      </c>
      <c r="G664" t="inlineStr">
        <is>
          <t>Wt</t>
        </is>
      </c>
      <c r="H664">
        <f>'Floor Hours Engine'!$E$4</f>
        <v/>
      </c>
      <c r="I664" t="inlineStr">
        <is>
          <t>W5</t>
        </is>
      </c>
      <c r="J664" t="inlineStr">
        <is>
          <t>2022_Październik_W5</t>
        </is>
      </c>
    </row>
    <row r="665">
      <c r="A665" s="177" t="n">
        <v>44860</v>
      </c>
      <c r="B665" s="177" t="n">
        <v>44859</v>
      </c>
      <c r="C665" s="177" t="n">
        <v>44865</v>
      </c>
      <c r="D665" t="inlineStr">
        <is>
          <t>BW20221025</t>
        </is>
      </c>
      <c r="E665" t="n">
        <v>2022</v>
      </c>
      <c r="F665" t="inlineStr">
        <is>
          <t>Październik</t>
        </is>
      </c>
      <c r="G665" t="inlineStr">
        <is>
          <t>Śr</t>
        </is>
      </c>
      <c r="H665">
        <f>'Floor Hours Engine'!$E$4</f>
        <v/>
      </c>
      <c r="I665" t="inlineStr">
        <is>
          <t>W5</t>
        </is>
      </c>
      <c r="J665" t="inlineStr">
        <is>
          <t>2022_Październik_W5</t>
        </is>
      </c>
    </row>
    <row r="666">
      <c r="A666" s="177" t="n">
        <v>44861</v>
      </c>
      <c r="B666" s="177" t="n">
        <v>44859</v>
      </c>
      <c r="C666" s="177" t="n">
        <v>44865</v>
      </c>
      <c r="D666" t="inlineStr">
        <is>
          <t>BW20221025</t>
        </is>
      </c>
      <c r="E666" t="n">
        <v>2022</v>
      </c>
      <c r="F666" t="inlineStr">
        <is>
          <t>Październik</t>
        </is>
      </c>
      <c r="G666" t="inlineStr">
        <is>
          <t>Czw</t>
        </is>
      </c>
      <c r="H666">
        <f>'Floor Hours Engine'!$E$4</f>
        <v/>
      </c>
      <c r="I666" t="inlineStr">
        <is>
          <t>W5</t>
        </is>
      </c>
      <c r="J666" t="inlineStr">
        <is>
          <t>2022_Październik_W5</t>
        </is>
      </c>
    </row>
    <row r="667">
      <c r="A667" s="177" t="n">
        <v>44862</v>
      </c>
      <c r="B667" s="177" t="n">
        <v>44859</v>
      </c>
      <c r="C667" s="177" t="n">
        <v>44865</v>
      </c>
      <c r="D667" t="inlineStr">
        <is>
          <t>BW20221025</t>
        </is>
      </c>
      <c r="E667" t="n">
        <v>2022</v>
      </c>
      <c r="F667" t="inlineStr">
        <is>
          <t>Październik</t>
        </is>
      </c>
      <c r="G667" t="inlineStr">
        <is>
          <t>Pt</t>
        </is>
      </c>
      <c r="H667">
        <f>'Floor Hours Engine'!$E$5</f>
        <v/>
      </c>
      <c r="I667" t="inlineStr">
        <is>
          <t>W5</t>
        </is>
      </c>
      <c r="J667" t="inlineStr">
        <is>
          <t>2022_Październik_W5</t>
        </is>
      </c>
    </row>
    <row r="668">
      <c r="A668" s="177" t="n">
        <v>44863</v>
      </c>
      <c r="B668" s="177" t="n">
        <v>44859</v>
      </c>
      <c r="C668" s="177" t="n">
        <v>44865</v>
      </c>
      <c r="D668" t="inlineStr">
        <is>
          <t>BW20221025</t>
        </is>
      </c>
      <c r="E668" t="n">
        <v>2022</v>
      </c>
      <c r="F668" t="inlineStr">
        <is>
          <t>Październik</t>
        </is>
      </c>
      <c r="G668" t="inlineStr">
        <is>
          <t>Sob</t>
        </is>
      </c>
      <c r="H668">
        <f>'Floor Hours Engine'!$E$5</f>
        <v/>
      </c>
      <c r="I668" t="inlineStr">
        <is>
          <t>W5</t>
        </is>
      </c>
      <c r="J668" t="inlineStr">
        <is>
          <t>2022_Październik_W5</t>
        </is>
      </c>
    </row>
    <row r="669">
      <c r="A669" s="177" t="n">
        <v>44864</v>
      </c>
      <c r="B669" s="177" t="n">
        <v>44859</v>
      </c>
      <c r="C669" s="177" t="n">
        <v>44865</v>
      </c>
      <c r="D669" t="inlineStr">
        <is>
          <t>BW20221025</t>
        </is>
      </c>
      <c r="E669" t="n">
        <v>2022</v>
      </c>
      <c r="F669" t="inlineStr">
        <is>
          <t>Październik</t>
        </is>
      </c>
      <c r="G669" t="inlineStr">
        <is>
          <t>Nd</t>
        </is>
      </c>
      <c r="H669">
        <f>'Floor Hours Engine'!$E$6</f>
        <v/>
      </c>
      <c r="I669" t="inlineStr">
        <is>
          <t>W5</t>
        </is>
      </c>
      <c r="J669" t="inlineStr">
        <is>
          <t>2022_Październik_W5</t>
        </is>
      </c>
    </row>
    <row r="670">
      <c r="A670" s="177" t="n">
        <v>44865</v>
      </c>
      <c r="B670" s="177" t="n">
        <v>44859</v>
      </c>
      <c r="C670" s="177" t="n">
        <v>44865</v>
      </c>
      <c r="D670" t="inlineStr">
        <is>
          <t>BW20221025</t>
        </is>
      </c>
      <c r="E670" t="n">
        <v>2022</v>
      </c>
      <c r="F670" t="inlineStr">
        <is>
          <t>Październik</t>
        </is>
      </c>
      <c r="G670" t="inlineStr">
        <is>
          <t>Pn</t>
        </is>
      </c>
      <c r="H670">
        <f>'Floor Hours Engine'!$E$4</f>
        <v/>
      </c>
      <c r="I670" t="inlineStr">
        <is>
          <t>W5</t>
        </is>
      </c>
      <c r="J670" t="inlineStr">
        <is>
          <t>2022_Październik_W5</t>
        </is>
      </c>
    </row>
    <row r="671">
      <c r="A671" s="177" t="n">
        <v>44866</v>
      </c>
      <c r="B671" s="177" t="n">
        <v>44866</v>
      </c>
      <c r="C671" s="177" t="n">
        <v>44872</v>
      </c>
      <c r="D671" t="inlineStr">
        <is>
          <t>BW20221101</t>
        </is>
      </c>
      <c r="E671" t="n">
        <v>2022</v>
      </c>
      <c r="F671" t="inlineStr">
        <is>
          <t>Listopad</t>
        </is>
      </c>
      <c r="G671" t="inlineStr">
        <is>
          <t>Wt</t>
        </is>
      </c>
      <c r="H671">
        <f>'Floor Hours Engine'!$E$4</f>
        <v/>
      </c>
      <c r="I671" t="inlineStr">
        <is>
          <t>W1</t>
        </is>
      </c>
      <c r="J671" t="inlineStr">
        <is>
          <t>2022_Listopad_W1</t>
        </is>
      </c>
    </row>
    <row r="672">
      <c r="A672" s="177" t="n">
        <v>44867</v>
      </c>
      <c r="B672" s="177" t="n">
        <v>44866</v>
      </c>
      <c r="C672" s="177" t="n">
        <v>44872</v>
      </c>
      <c r="D672" t="inlineStr">
        <is>
          <t>BW20221101</t>
        </is>
      </c>
      <c r="E672" t="n">
        <v>2022</v>
      </c>
      <c r="F672" t="inlineStr">
        <is>
          <t>Listopad</t>
        </is>
      </c>
      <c r="G672" t="inlineStr">
        <is>
          <t>Śr</t>
        </is>
      </c>
      <c r="H672">
        <f>'Floor Hours Engine'!$E$4</f>
        <v/>
      </c>
      <c r="I672" t="inlineStr">
        <is>
          <t>W1</t>
        </is>
      </c>
      <c r="J672" t="inlineStr">
        <is>
          <t>2022_Listopad_W1</t>
        </is>
      </c>
    </row>
    <row r="673">
      <c r="A673" s="177" t="n">
        <v>44868</v>
      </c>
      <c r="B673" s="177" t="n">
        <v>44866</v>
      </c>
      <c r="C673" s="177" t="n">
        <v>44872</v>
      </c>
      <c r="D673" t="inlineStr">
        <is>
          <t>BW20221101</t>
        </is>
      </c>
      <c r="E673" t="n">
        <v>2022</v>
      </c>
      <c r="F673" t="inlineStr">
        <is>
          <t>Listopad</t>
        </is>
      </c>
      <c r="G673" t="inlineStr">
        <is>
          <t>Czw</t>
        </is>
      </c>
      <c r="H673">
        <f>'Floor Hours Engine'!$E$4</f>
        <v/>
      </c>
      <c r="I673" t="inlineStr">
        <is>
          <t>W1</t>
        </is>
      </c>
      <c r="J673" t="inlineStr">
        <is>
          <t>2022_Listopad_W1</t>
        </is>
      </c>
    </row>
    <row r="674">
      <c r="A674" s="177" t="n">
        <v>44869</v>
      </c>
      <c r="B674" s="177" t="n">
        <v>44866</v>
      </c>
      <c r="C674" s="177" t="n">
        <v>44872</v>
      </c>
      <c r="D674" t="inlineStr">
        <is>
          <t>BW20221101</t>
        </is>
      </c>
      <c r="E674" t="n">
        <v>2022</v>
      </c>
      <c r="F674" t="inlineStr">
        <is>
          <t>Listopad</t>
        </is>
      </c>
      <c r="G674" t="inlineStr">
        <is>
          <t>Pt</t>
        </is>
      </c>
      <c r="H674">
        <f>'Floor Hours Engine'!$E$5</f>
        <v/>
      </c>
      <c r="I674" t="inlineStr">
        <is>
          <t>W1</t>
        </is>
      </c>
      <c r="J674" t="inlineStr">
        <is>
          <t>2022_Listopad_W1</t>
        </is>
      </c>
    </row>
    <row r="675">
      <c r="A675" s="177" t="n">
        <v>44870</v>
      </c>
      <c r="B675" s="177" t="n">
        <v>44866</v>
      </c>
      <c r="C675" s="177" t="n">
        <v>44872</v>
      </c>
      <c r="D675" t="inlineStr">
        <is>
          <t>BW20221101</t>
        </is>
      </c>
      <c r="E675" t="n">
        <v>2022</v>
      </c>
      <c r="F675" t="inlineStr">
        <is>
          <t>Listopad</t>
        </is>
      </c>
      <c r="G675" t="inlineStr">
        <is>
          <t>Sob</t>
        </is>
      </c>
      <c r="H675">
        <f>'Floor Hours Engine'!$E$5</f>
        <v/>
      </c>
      <c r="I675" t="inlineStr">
        <is>
          <t>W1</t>
        </is>
      </c>
      <c r="J675" t="inlineStr">
        <is>
          <t>2022_Listopad_W1</t>
        </is>
      </c>
    </row>
    <row r="676">
      <c r="A676" s="177" t="n">
        <v>44871</v>
      </c>
      <c r="B676" s="177" t="n">
        <v>44866</v>
      </c>
      <c r="C676" s="177" t="n">
        <v>44872</v>
      </c>
      <c r="D676" t="inlineStr">
        <is>
          <t>BW20221101</t>
        </is>
      </c>
      <c r="E676" t="n">
        <v>2022</v>
      </c>
      <c r="F676" t="inlineStr">
        <is>
          <t>Listopad</t>
        </is>
      </c>
      <c r="G676" t="inlineStr">
        <is>
          <t>Nd</t>
        </is>
      </c>
      <c r="H676">
        <f>'Floor Hours Engine'!$E$6</f>
        <v/>
      </c>
      <c r="I676" t="inlineStr">
        <is>
          <t>W1</t>
        </is>
      </c>
      <c r="J676" t="inlineStr">
        <is>
          <t>2022_Listopad_W1</t>
        </is>
      </c>
    </row>
    <row r="677">
      <c r="A677" s="177" t="n">
        <v>44872</v>
      </c>
      <c r="B677" s="177" t="n">
        <v>44866</v>
      </c>
      <c r="C677" s="177" t="n">
        <v>44872</v>
      </c>
      <c r="D677" t="inlineStr">
        <is>
          <t>BW20221101</t>
        </is>
      </c>
      <c r="E677" t="n">
        <v>2022</v>
      </c>
      <c r="F677" t="inlineStr">
        <is>
          <t>Listopad</t>
        </is>
      </c>
      <c r="G677" t="inlineStr">
        <is>
          <t>Pn</t>
        </is>
      </c>
      <c r="H677">
        <f>'Floor Hours Engine'!$E$4</f>
        <v/>
      </c>
      <c r="I677" t="inlineStr">
        <is>
          <t>W1</t>
        </is>
      </c>
      <c r="J677" t="inlineStr">
        <is>
          <t>2022_Listopad_W1</t>
        </is>
      </c>
    </row>
    <row r="678">
      <c r="A678" s="177" t="n">
        <v>44873</v>
      </c>
      <c r="B678" s="177" t="n">
        <v>44873</v>
      </c>
      <c r="C678" s="177" t="n">
        <v>44879</v>
      </c>
      <c r="D678" t="inlineStr">
        <is>
          <t>BW20221108</t>
        </is>
      </c>
      <c r="E678" t="n">
        <v>2022</v>
      </c>
      <c r="F678" t="inlineStr">
        <is>
          <t>Listopad</t>
        </is>
      </c>
      <c r="G678" t="inlineStr">
        <is>
          <t>Wt</t>
        </is>
      </c>
      <c r="H678">
        <f>'Floor Hours Engine'!$E$4</f>
        <v/>
      </c>
      <c r="I678" t="inlineStr">
        <is>
          <t>W2</t>
        </is>
      </c>
      <c r="J678" t="inlineStr">
        <is>
          <t>2022_Listopad_W2</t>
        </is>
      </c>
    </row>
    <row r="679">
      <c r="A679" s="177" t="n">
        <v>44874</v>
      </c>
      <c r="B679" s="177" t="n">
        <v>44873</v>
      </c>
      <c r="C679" s="177" t="n">
        <v>44879</v>
      </c>
      <c r="D679" t="inlineStr">
        <is>
          <t>BW20221108</t>
        </is>
      </c>
      <c r="E679" t="n">
        <v>2022</v>
      </c>
      <c r="F679" t="inlineStr">
        <is>
          <t>Listopad</t>
        </is>
      </c>
      <c r="G679" t="inlineStr">
        <is>
          <t>Śr</t>
        </is>
      </c>
      <c r="H679">
        <f>'Floor Hours Engine'!$E$4</f>
        <v/>
      </c>
      <c r="I679" t="inlineStr">
        <is>
          <t>W2</t>
        </is>
      </c>
      <c r="J679" t="inlineStr">
        <is>
          <t>2022_Listopad_W2</t>
        </is>
      </c>
    </row>
    <row r="680">
      <c r="A680" s="177" t="n">
        <v>44875</v>
      </c>
      <c r="B680" s="177" t="n">
        <v>44873</v>
      </c>
      <c r="C680" s="177" t="n">
        <v>44879</v>
      </c>
      <c r="D680" t="inlineStr">
        <is>
          <t>BW20221108</t>
        </is>
      </c>
      <c r="E680" t="n">
        <v>2022</v>
      </c>
      <c r="F680" t="inlineStr">
        <is>
          <t>Listopad</t>
        </is>
      </c>
      <c r="G680" t="inlineStr">
        <is>
          <t>Czw</t>
        </is>
      </c>
      <c r="H680">
        <f>'Floor Hours Engine'!$E$4</f>
        <v/>
      </c>
      <c r="I680" t="inlineStr">
        <is>
          <t>W2</t>
        </is>
      </c>
      <c r="J680" t="inlineStr">
        <is>
          <t>2022_Listopad_W2</t>
        </is>
      </c>
    </row>
    <row r="681">
      <c r="A681" s="177" t="n">
        <v>44876</v>
      </c>
      <c r="B681" s="177" t="n">
        <v>44873</v>
      </c>
      <c r="C681" s="177" t="n">
        <v>44879</v>
      </c>
      <c r="D681" t="inlineStr">
        <is>
          <t>BW20221108</t>
        </is>
      </c>
      <c r="E681" t="n">
        <v>2022</v>
      </c>
      <c r="F681" t="inlineStr">
        <is>
          <t>Listopad</t>
        </is>
      </c>
      <c r="G681" t="inlineStr">
        <is>
          <t>Pt</t>
        </is>
      </c>
      <c r="H681">
        <f>'Floor Hours Engine'!$E$5</f>
        <v/>
      </c>
      <c r="I681" t="inlineStr">
        <is>
          <t>W2</t>
        </is>
      </c>
      <c r="J681" t="inlineStr">
        <is>
          <t>2022_Listopad_W2</t>
        </is>
      </c>
    </row>
    <row r="682">
      <c r="A682" s="177" t="n">
        <v>44877</v>
      </c>
      <c r="B682" s="177" t="n">
        <v>44873</v>
      </c>
      <c r="C682" s="177" t="n">
        <v>44879</v>
      </c>
      <c r="D682" t="inlineStr">
        <is>
          <t>BW20221108</t>
        </is>
      </c>
      <c r="E682" t="n">
        <v>2022</v>
      </c>
      <c r="F682" t="inlineStr">
        <is>
          <t>Listopad</t>
        </is>
      </c>
      <c r="G682" t="inlineStr">
        <is>
          <t>Sob</t>
        </is>
      </c>
      <c r="H682">
        <f>'Floor Hours Engine'!$E$5</f>
        <v/>
      </c>
      <c r="I682" t="inlineStr">
        <is>
          <t>W2</t>
        </is>
      </c>
      <c r="J682" t="inlineStr">
        <is>
          <t>2022_Listopad_W2</t>
        </is>
      </c>
    </row>
    <row r="683">
      <c r="A683" s="177" t="n">
        <v>44878</v>
      </c>
      <c r="B683" s="177" t="n">
        <v>44873</v>
      </c>
      <c r="C683" s="177" t="n">
        <v>44879</v>
      </c>
      <c r="D683" t="inlineStr">
        <is>
          <t>BW20221108</t>
        </is>
      </c>
      <c r="E683" t="n">
        <v>2022</v>
      </c>
      <c r="F683" t="inlineStr">
        <is>
          <t>Listopad</t>
        </is>
      </c>
      <c r="G683" t="inlineStr">
        <is>
          <t>Nd</t>
        </is>
      </c>
      <c r="H683">
        <f>'Floor Hours Engine'!$E$6</f>
        <v/>
      </c>
      <c r="I683" t="inlineStr">
        <is>
          <t>W2</t>
        </is>
      </c>
      <c r="J683" t="inlineStr">
        <is>
          <t>2022_Listopad_W2</t>
        </is>
      </c>
    </row>
    <row r="684">
      <c r="A684" s="177" t="n">
        <v>44879</v>
      </c>
      <c r="B684" s="177" t="n">
        <v>44873</v>
      </c>
      <c r="C684" s="177" t="n">
        <v>44879</v>
      </c>
      <c r="D684" t="inlineStr">
        <is>
          <t>BW20221108</t>
        </is>
      </c>
      <c r="E684" t="n">
        <v>2022</v>
      </c>
      <c r="F684" t="inlineStr">
        <is>
          <t>Listopad</t>
        </is>
      </c>
      <c r="G684" t="inlineStr">
        <is>
          <t>Pn</t>
        </is>
      </c>
      <c r="H684">
        <f>'Floor Hours Engine'!$E$4</f>
        <v/>
      </c>
      <c r="I684" t="inlineStr">
        <is>
          <t>W2</t>
        </is>
      </c>
      <c r="J684" t="inlineStr">
        <is>
          <t>2022_Listopad_W2</t>
        </is>
      </c>
    </row>
    <row r="685">
      <c r="A685" s="177" t="n">
        <v>44880</v>
      </c>
      <c r="B685" s="177" t="n">
        <v>44880</v>
      </c>
      <c r="C685" s="177" t="n">
        <v>44886</v>
      </c>
      <c r="D685" t="inlineStr">
        <is>
          <t>BW20221115</t>
        </is>
      </c>
      <c r="E685" t="n">
        <v>2022</v>
      </c>
      <c r="F685" t="inlineStr">
        <is>
          <t>Listopad</t>
        </is>
      </c>
      <c r="G685" t="inlineStr">
        <is>
          <t>Wt</t>
        </is>
      </c>
      <c r="H685">
        <f>'Floor Hours Engine'!$E$4</f>
        <v/>
      </c>
      <c r="I685" t="inlineStr">
        <is>
          <t>W3</t>
        </is>
      </c>
      <c r="J685" t="inlineStr">
        <is>
          <t>2022_Listopad_W3</t>
        </is>
      </c>
    </row>
    <row r="686">
      <c r="A686" s="177" t="n">
        <v>44881</v>
      </c>
      <c r="B686" s="177" t="n">
        <v>44880</v>
      </c>
      <c r="C686" s="177" t="n">
        <v>44886</v>
      </c>
      <c r="D686" t="inlineStr">
        <is>
          <t>BW20221115</t>
        </is>
      </c>
      <c r="E686" t="n">
        <v>2022</v>
      </c>
      <c r="F686" t="inlineStr">
        <is>
          <t>Listopad</t>
        </is>
      </c>
      <c r="G686" t="inlineStr">
        <is>
          <t>Śr</t>
        </is>
      </c>
      <c r="H686">
        <f>'Floor Hours Engine'!$E$4</f>
        <v/>
      </c>
      <c r="I686" t="inlineStr">
        <is>
          <t>W3</t>
        </is>
      </c>
      <c r="J686" t="inlineStr">
        <is>
          <t>2022_Listopad_W3</t>
        </is>
      </c>
    </row>
    <row r="687">
      <c r="A687" s="177" t="n">
        <v>44882</v>
      </c>
      <c r="B687" s="177" t="n">
        <v>44880</v>
      </c>
      <c r="C687" s="177" t="n">
        <v>44886</v>
      </c>
      <c r="D687" t="inlineStr">
        <is>
          <t>BW20221115</t>
        </is>
      </c>
      <c r="E687" t="n">
        <v>2022</v>
      </c>
      <c r="F687" t="inlineStr">
        <is>
          <t>Listopad</t>
        </is>
      </c>
      <c r="G687" t="inlineStr">
        <is>
          <t>Czw</t>
        </is>
      </c>
      <c r="H687">
        <f>'Floor Hours Engine'!$E$4</f>
        <v/>
      </c>
      <c r="I687" t="inlineStr">
        <is>
          <t>W3</t>
        </is>
      </c>
      <c r="J687" t="inlineStr">
        <is>
          <t>2022_Listopad_W3</t>
        </is>
      </c>
    </row>
    <row r="688">
      <c r="A688" s="177" t="n">
        <v>44883</v>
      </c>
      <c r="B688" s="177" t="n">
        <v>44880</v>
      </c>
      <c r="C688" s="177" t="n">
        <v>44886</v>
      </c>
      <c r="D688" t="inlineStr">
        <is>
          <t>BW20221115</t>
        </is>
      </c>
      <c r="E688" t="n">
        <v>2022</v>
      </c>
      <c r="F688" t="inlineStr">
        <is>
          <t>Listopad</t>
        </is>
      </c>
      <c r="G688" t="inlineStr">
        <is>
          <t>Pt</t>
        </is>
      </c>
      <c r="H688">
        <f>'Floor Hours Engine'!$E$5</f>
        <v/>
      </c>
      <c r="I688" t="inlineStr">
        <is>
          <t>W3</t>
        </is>
      </c>
      <c r="J688" t="inlineStr">
        <is>
          <t>2022_Listopad_W3</t>
        </is>
      </c>
    </row>
    <row r="689">
      <c r="A689" s="177" t="n">
        <v>44884</v>
      </c>
      <c r="B689" s="177" t="n">
        <v>44880</v>
      </c>
      <c r="C689" s="177" t="n">
        <v>44886</v>
      </c>
      <c r="D689" t="inlineStr">
        <is>
          <t>BW20221115</t>
        </is>
      </c>
      <c r="E689" t="n">
        <v>2022</v>
      </c>
      <c r="F689" t="inlineStr">
        <is>
          <t>Listopad</t>
        </is>
      </c>
      <c r="G689" t="inlineStr">
        <is>
          <t>Sob</t>
        </is>
      </c>
      <c r="H689">
        <f>'Floor Hours Engine'!$E$5</f>
        <v/>
      </c>
      <c r="I689" t="inlineStr">
        <is>
          <t>W3</t>
        </is>
      </c>
      <c r="J689" t="inlineStr">
        <is>
          <t>2022_Listopad_W3</t>
        </is>
      </c>
    </row>
    <row r="690">
      <c r="A690" s="177" t="n">
        <v>44885</v>
      </c>
      <c r="B690" s="177" t="n">
        <v>44880</v>
      </c>
      <c r="C690" s="177" t="n">
        <v>44886</v>
      </c>
      <c r="D690" t="inlineStr">
        <is>
          <t>BW20221115</t>
        </is>
      </c>
      <c r="E690" t="n">
        <v>2022</v>
      </c>
      <c r="F690" t="inlineStr">
        <is>
          <t>Listopad</t>
        </is>
      </c>
      <c r="G690" t="inlineStr">
        <is>
          <t>Nd</t>
        </is>
      </c>
      <c r="H690">
        <f>'Floor Hours Engine'!$E$6</f>
        <v/>
      </c>
      <c r="I690" t="inlineStr">
        <is>
          <t>W3</t>
        </is>
      </c>
      <c r="J690" t="inlineStr">
        <is>
          <t>2022_Listopad_W3</t>
        </is>
      </c>
    </row>
    <row r="691">
      <c r="A691" s="177" t="n">
        <v>44886</v>
      </c>
      <c r="B691" s="177" t="n">
        <v>44880</v>
      </c>
      <c r="C691" s="177" t="n">
        <v>44886</v>
      </c>
      <c r="D691" t="inlineStr">
        <is>
          <t>BW20221115</t>
        </is>
      </c>
      <c r="E691" t="n">
        <v>2022</v>
      </c>
      <c r="F691" t="inlineStr">
        <is>
          <t>Listopad</t>
        </is>
      </c>
      <c r="G691" t="inlineStr">
        <is>
          <t>Pn</t>
        </is>
      </c>
      <c r="H691">
        <f>'Floor Hours Engine'!$E$4</f>
        <v/>
      </c>
      <c r="I691" t="inlineStr">
        <is>
          <t>W3</t>
        </is>
      </c>
      <c r="J691" t="inlineStr">
        <is>
          <t>2022_Listopad_W3</t>
        </is>
      </c>
    </row>
    <row r="692">
      <c r="A692" s="177" t="n">
        <v>44887</v>
      </c>
      <c r="B692" s="177" t="n">
        <v>44887</v>
      </c>
      <c r="C692" s="177" t="n">
        <v>44893</v>
      </c>
      <c r="D692" t="inlineStr">
        <is>
          <t>BW20221122</t>
        </is>
      </c>
      <c r="E692" t="n">
        <v>2022</v>
      </c>
      <c r="F692" t="inlineStr">
        <is>
          <t>Listopad</t>
        </is>
      </c>
      <c r="G692" t="inlineStr">
        <is>
          <t>Wt</t>
        </is>
      </c>
      <c r="H692">
        <f>'Floor Hours Engine'!$E$4</f>
        <v/>
      </c>
      <c r="I692" t="inlineStr">
        <is>
          <t>W4</t>
        </is>
      </c>
      <c r="J692" t="inlineStr">
        <is>
          <t>2022_Listopad_W4</t>
        </is>
      </c>
    </row>
    <row r="693">
      <c r="A693" s="177" t="n">
        <v>44888</v>
      </c>
      <c r="B693" s="177" t="n">
        <v>44887</v>
      </c>
      <c r="C693" s="177" t="n">
        <v>44893</v>
      </c>
      <c r="D693" t="inlineStr">
        <is>
          <t>BW20221122</t>
        </is>
      </c>
      <c r="E693" t="n">
        <v>2022</v>
      </c>
      <c r="F693" t="inlineStr">
        <is>
          <t>Listopad</t>
        </is>
      </c>
      <c r="G693" t="inlineStr">
        <is>
          <t>Śr</t>
        </is>
      </c>
      <c r="H693">
        <f>'Floor Hours Engine'!$E$4</f>
        <v/>
      </c>
      <c r="I693" t="inlineStr">
        <is>
          <t>W4</t>
        </is>
      </c>
      <c r="J693" t="inlineStr">
        <is>
          <t>2022_Listopad_W4</t>
        </is>
      </c>
    </row>
    <row r="694">
      <c r="A694" s="177" t="n">
        <v>44889</v>
      </c>
      <c r="B694" s="177" t="n">
        <v>44887</v>
      </c>
      <c r="C694" s="177" t="n">
        <v>44893</v>
      </c>
      <c r="D694" t="inlineStr">
        <is>
          <t>BW20221122</t>
        </is>
      </c>
      <c r="E694" t="n">
        <v>2022</v>
      </c>
      <c r="F694" t="inlineStr">
        <is>
          <t>Listopad</t>
        </is>
      </c>
      <c r="G694" t="inlineStr">
        <is>
          <t>Czw</t>
        </is>
      </c>
      <c r="H694">
        <f>'Floor Hours Engine'!$E$4</f>
        <v/>
      </c>
      <c r="I694" t="inlineStr">
        <is>
          <t>W4</t>
        </is>
      </c>
      <c r="J694" t="inlineStr">
        <is>
          <t>2022_Listopad_W4</t>
        </is>
      </c>
    </row>
    <row r="695">
      <c r="A695" s="177" t="n">
        <v>44890</v>
      </c>
      <c r="B695" s="177" t="n">
        <v>44887</v>
      </c>
      <c r="C695" s="177" t="n">
        <v>44893</v>
      </c>
      <c r="D695" t="inlineStr">
        <is>
          <t>BW20221122</t>
        </is>
      </c>
      <c r="E695" t="n">
        <v>2022</v>
      </c>
      <c r="F695" t="inlineStr">
        <is>
          <t>Listopad</t>
        </is>
      </c>
      <c r="G695" t="inlineStr">
        <is>
          <t>Pt</t>
        </is>
      </c>
      <c r="H695">
        <f>'Floor Hours Engine'!$E$5</f>
        <v/>
      </c>
      <c r="I695" t="inlineStr">
        <is>
          <t>W4</t>
        </is>
      </c>
      <c r="J695" t="inlineStr">
        <is>
          <t>2022_Listopad_W4</t>
        </is>
      </c>
    </row>
    <row r="696">
      <c r="A696" s="177" t="n">
        <v>44891</v>
      </c>
      <c r="B696" s="177" t="n">
        <v>44887</v>
      </c>
      <c r="C696" s="177" t="n">
        <v>44893</v>
      </c>
      <c r="D696" t="inlineStr">
        <is>
          <t>BW20221122</t>
        </is>
      </c>
      <c r="E696" t="n">
        <v>2022</v>
      </c>
      <c r="F696" t="inlineStr">
        <is>
          <t>Listopad</t>
        </is>
      </c>
      <c r="G696" t="inlineStr">
        <is>
          <t>Sob</t>
        </is>
      </c>
      <c r="H696">
        <f>'Floor Hours Engine'!$E$5</f>
        <v/>
      </c>
      <c r="I696" t="inlineStr">
        <is>
          <t>W4</t>
        </is>
      </c>
      <c r="J696" t="inlineStr">
        <is>
          <t>2022_Listopad_W4</t>
        </is>
      </c>
    </row>
    <row r="697">
      <c r="A697" s="177" t="n">
        <v>44892</v>
      </c>
      <c r="B697" s="177" t="n">
        <v>44887</v>
      </c>
      <c r="C697" s="177" t="n">
        <v>44893</v>
      </c>
      <c r="D697" t="inlineStr">
        <is>
          <t>BW20221122</t>
        </is>
      </c>
      <c r="E697" t="n">
        <v>2022</v>
      </c>
      <c r="F697" t="inlineStr">
        <is>
          <t>Listopad</t>
        </is>
      </c>
      <c r="G697" t="inlineStr">
        <is>
          <t>Nd</t>
        </is>
      </c>
      <c r="H697">
        <f>'Floor Hours Engine'!$E$6</f>
        <v/>
      </c>
      <c r="I697" t="inlineStr">
        <is>
          <t>W4</t>
        </is>
      </c>
      <c r="J697" t="inlineStr">
        <is>
          <t>2022_Listopad_W4</t>
        </is>
      </c>
    </row>
    <row r="698">
      <c r="A698" s="177" t="n">
        <v>44893</v>
      </c>
      <c r="B698" s="177" t="n">
        <v>44887</v>
      </c>
      <c r="C698" s="177" t="n">
        <v>44893</v>
      </c>
      <c r="D698" t="inlineStr">
        <is>
          <t>BW20221122</t>
        </is>
      </c>
      <c r="E698" t="n">
        <v>2022</v>
      </c>
      <c r="F698" t="inlineStr">
        <is>
          <t>Listopad</t>
        </is>
      </c>
      <c r="G698" t="inlineStr">
        <is>
          <t>Pn</t>
        </is>
      </c>
      <c r="H698">
        <f>'Floor Hours Engine'!$E$4</f>
        <v/>
      </c>
      <c r="I698" t="inlineStr">
        <is>
          <t>W4</t>
        </is>
      </c>
      <c r="J698" t="inlineStr">
        <is>
          <t>2022_Listopad_W4</t>
        </is>
      </c>
    </row>
    <row r="699">
      <c r="A699" s="177" t="n">
        <v>44894</v>
      </c>
      <c r="B699" s="177" t="n">
        <v>44894</v>
      </c>
      <c r="C699" s="177" t="n">
        <v>44900</v>
      </c>
      <c r="D699" t="inlineStr">
        <is>
          <t>BW20221129</t>
        </is>
      </c>
      <c r="E699" t="n">
        <v>2022</v>
      </c>
      <c r="F699" t="inlineStr">
        <is>
          <t>Listopad</t>
        </is>
      </c>
      <c r="G699" t="inlineStr">
        <is>
          <t>Wt</t>
        </is>
      </c>
      <c r="H699">
        <f>'Floor Hours Engine'!$E$4</f>
        <v/>
      </c>
      <c r="I699" t="inlineStr">
        <is>
          <t>W5</t>
        </is>
      </c>
      <c r="J699" t="inlineStr">
        <is>
          <t>2022_Listopad_W5</t>
        </is>
      </c>
    </row>
    <row r="700">
      <c r="A700" s="177" t="n">
        <v>44895</v>
      </c>
      <c r="B700" s="177" t="n">
        <v>44894</v>
      </c>
      <c r="C700" s="177" t="n">
        <v>44900</v>
      </c>
      <c r="D700" t="inlineStr">
        <is>
          <t>BW20221129</t>
        </is>
      </c>
      <c r="E700" t="n">
        <v>2022</v>
      </c>
      <c r="F700" t="inlineStr">
        <is>
          <t>Listopad</t>
        </is>
      </c>
      <c r="G700" t="inlineStr">
        <is>
          <t>Śr</t>
        </is>
      </c>
      <c r="H700">
        <f>'Floor Hours Engine'!$E$4</f>
        <v/>
      </c>
      <c r="I700" t="inlineStr">
        <is>
          <t>W5</t>
        </is>
      </c>
      <c r="J700" t="inlineStr">
        <is>
          <t>2022_Listopad_W5</t>
        </is>
      </c>
    </row>
    <row r="701">
      <c r="A701" s="177" t="n">
        <v>44896</v>
      </c>
      <c r="B701" s="177" t="n">
        <v>44894</v>
      </c>
      <c r="C701" s="177" t="n">
        <v>44900</v>
      </c>
      <c r="D701" t="inlineStr">
        <is>
          <t>BW20221129</t>
        </is>
      </c>
      <c r="E701" t="n">
        <v>2022</v>
      </c>
      <c r="F701" t="inlineStr">
        <is>
          <t>Grudzień</t>
        </is>
      </c>
      <c r="G701" t="inlineStr">
        <is>
          <t>Czw</t>
        </is>
      </c>
      <c r="H701">
        <f>'Floor Hours Engine'!$E$4</f>
        <v/>
      </c>
      <c r="I701" t="inlineStr">
        <is>
          <t>W1</t>
        </is>
      </c>
      <c r="J701" t="inlineStr">
        <is>
          <t>2022_Grudzień_W1</t>
        </is>
      </c>
    </row>
    <row r="702">
      <c r="A702" s="177" t="n">
        <v>44897</v>
      </c>
      <c r="B702" s="177" t="n">
        <v>44894</v>
      </c>
      <c r="C702" s="177" t="n">
        <v>44900</v>
      </c>
      <c r="D702" t="inlineStr">
        <is>
          <t>BW20221129</t>
        </is>
      </c>
      <c r="E702" t="n">
        <v>2022</v>
      </c>
      <c r="F702" t="inlineStr">
        <is>
          <t>Grudzień</t>
        </is>
      </c>
      <c r="G702" t="inlineStr">
        <is>
          <t>Pt</t>
        </is>
      </c>
      <c r="H702">
        <f>'Floor Hours Engine'!$E$5</f>
        <v/>
      </c>
      <c r="I702" t="inlineStr">
        <is>
          <t>W1</t>
        </is>
      </c>
      <c r="J702" t="inlineStr">
        <is>
          <t>2022_Grudzień_W1</t>
        </is>
      </c>
    </row>
    <row r="703">
      <c r="A703" s="177" t="n">
        <v>44898</v>
      </c>
      <c r="B703" s="177" t="n">
        <v>44894</v>
      </c>
      <c r="C703" s="177" t="n">
        <v>44900</v>
      </c>
      <c r="D703" t="inlineStr">
        <is>
          <t>BW20221129</t>
        </is>
      </c>
      <c r="E703" t="n">
        <v>2022</v>
      </c>
      <c r="F703" t="inlineStr">
        <is>
          <t>Grudzień</t>
        </is>
      </c>
      <c r="G703" t="inlineStr">
        <is>
          <t>Sob</t>
        </is>
      </c>
      <c r="H703">
        <f>'Floor Hours Engine'!$E$5</f>
        <v/>
      </c>
      <c r="I703" t="inlineStr">
        <is>
          <t>W1</t>
        </is>
      </c>
      <c r="J703" t="inlineStr">
        <is>
          <t>2022_Grudzień_W1</t>
        </is>
      </c>
    </row>
    <row r="704">
      <c r="A704" s="177" t="n">
        <v>44899</v>
      </c>
      <c r="B704" s="177" t="n">
        <v>44894</v>
      </c>
      <c r="C704" s="177" t="n">
        <v>44900</v>
      </c>
      <c r="D704" t="inlineStr">
        <is>
          <t>BW20221129</t>
        </is>
      </c>
      <c r="E704" t="n">
        <v>2022</v>
      </c>
      <c r="F704" t="inlineStr">
        <is>
          <t>Grudzień</t>
        </is>
      </c>
      <c r="G704" t="inlineStr">
        <is>
          <t>Nd</t>
        </is>
      </c>
      <c r="H704">
        <f>'Floor Hours Engine'!$E$6</f>
        <v/>
      </c>
      <c r="I704" t="inlineStr">
        <is>
          <t>W1</t>
        </is>
      </c>
      <c r="J704" t="inlineStr">
        <is>
          <t>2022_Grudzień_W1</t>
        </is>
      </c>
    </row>
    <row r="705">
      <c r="A705" s="177" t="n">
        <v>44900</v>
      </c>
      <c r="B705" s="177" t="n">
        <v>44894</v>
      </c>
      <c r="C705" s="177" t="n">
        <v>44900</v>
      </c>
      <c r="D705" t="inlineStr">
        <is>
          <t>BW20221129</t>
        </is>
      </c>
      <c r="E705" t="n">
        <v>2022</v>
      </c>
      <c r="F705" t="inlineStr">
        <is>
          <t>Grudzień</t>
        </is>
      </c>
      <c r="G705" t="inlineStr">
        <is>
          <t>Pn</t>
        </is>
      </c>
      <c r="H705">
        <f>'Floor Hours Engine'!$E$4</f>
        <v/>
      </c>
      <c r="I705" t="inlineStr">
        <is>
          <t>W1</t>
        </is>
      </c>
      <c r="J705" t="inlineStr">
        <is>
          <t>2022_Grudzień_W1</t>
        </is>
      </c>
    </row>
    <row r="706">
      <c r="A706" s="177" t="n">
        <v>44901</v>
      </c>
      <c r="B706" s="177" t="n">
        <v>44901</v>
      </c>
      <c r="C706" s="177" t="n">
        <v>44907</v>
      </c>
      <c r="D706" t="inlineStr">
        <is>
          <t>BW20221206</t>
        </is>
      </c>
      <c r="E706" t="n">
        <v>2022</v>
      </c>
      <c r="F706" t="inlineStr">
        <is>
          <t>Grudzień</t>
        </is>
      </c>
      <c r="G706" t="inlineStr">
        <is>
          <t>Wt</t>
        </is>
      </c>
      <c r="H706">
        <f>'Floor Hours Engine'!$E$4</f>
        <v/>
      </c>
      <c r="I706" t="inlineStr">
        <is>
          <t>W2</t>
        </is>
      </c>
      <c r="J706" t="inlineStr">
        <is>
          <t>2022_Grudzień_W2</t>
        </is>
      </c>
    </row>
    <row r="707">
      <c r="A707" s="177" t="n">
        <v>44902</v>
      </c>
      <c r="B707" s="177" t="n">
        <v>44901</v>
      </c>
      <c r="C707" s="177" t="n">
        <v>44907</v>
      </c>
      <c r="D707" t="inlineStr">
        <is>
          <t>BW20221206</t>
        </is>
      </c>
      <c r="E707" t="n">
        <v>2022</v>
      </c>
      <c r="F707" t="inlineStr">
        <is>
          <t>Grudzień</t>
        </is>
      </c>
      <c r="G707" t="inlineStr">
        <is>
          <t>Śr</t>
        </is>
      </c>
      <c r="H707">
        <f>'Floor Hours Engine'!$E$4</f>
        <v/>
      </c>
      <c r="I707" t="inlineStr">
        <is>
          <t>W2</t>
        </is>
      </c>
      <c r="J707" t="inlineStr">
        <is>
          <t>2022_Grudzień_W2</t>
        </is>
      </c>
    </row>
    <row r="708">
      <c r="A708" s="177" t="n">
        <v>44903</v>
      </c>
      <c r="B708" s="177" t="n">
        <v>44901</v>
      </c>
      <c r="C708" s="177" t="n">
        <v>44907</v>
      </c>
      <c r="D708" t="inlineStr">
        <is>
          <t>BW20221206</t>
        </is>
      </c>
      <c r="E708" t="n">
        <v>2022</v>
      </c>
      <c r="F708" t="inlineStr">
        <is>
          <t>Grudzień</t>
        </is>
      </c>
      <c r="G708" t="inlineStr">
        <is>
          <t>Czw</t>
        </is>
      </c>
      <c r="H708">
        <f>'Floor Hours Engine'!$E$4</f>
        <v/>
      </c>
      <c r="I708" t="inlineStr">
        <is>
          <t>W2</t>
        </is>
      </c>
      <c r="J708" t="inlineStr">
        <is>
          <t>2022_Grudzień_W2</t>
        </is>
      </c>
    </row>
    <row r="709">
      <c r="A709" s="177" t="n">
        <v>44904</v>
      </c>
      <c r="B709" s="177" t="n">
        <v>44901</v>
      </c>
      <c r="C709" s="177" t="n">
        <v>44907</v>
      </c>
      <c r="D709" t="inlineStr">
        <is>
          <t>BW20221206</t>
        </is>
      </c>
      <c r="E709" t="n">
        <v>2022</v>
      </c>
      <c r="F709" t="inlineStr">
        <is>
          <t>Grudzień</t>
        </is>
      </c>
      <c r="G709" t="inlineStr">
        <is>
          <t>Pt</t>
        </is>
      </c>
      <c r="H709">
        <f>'Floor Hours Engine'!$E$5</f>
        <v/>
      </c>
      <c r="I709" t="inlineStr">
        <is>
          <t>W2</t>
        </is>
      </c>
      <c r="J709" t="inlineStr">
        <is>
          <t>2022_Grudzień_W2</t>
        </is>
      </c>
    </row>
    <row r="710">
      <c r="A710" s="177" t="n">
        <v>44905</v>
      </c>
      <c r="B710" s="177" t="n">
        <v>44901</v>
      </c>
      <c r="C710" s="177" t="n">
        <v>44907</v>
      </c>
      <c r="D710" t="inlineStr">
        <is>
          <t>BW20221206</t>
        </is>
      </c>
      <c r="E710" t="n">
        <v>2022</v>
      </c>
      <c r="F710" t="inlineStr">
        <is>
          <t>Grudzień</t>
        </is>
      </c>
      <c r="G710" t="inlineStr">
        <is>
          <t>Sob</t>
        </is>
      </c>
      <c r="H710">
        <f>'Floor Hours Engine'!$E$5</f>
        <v/>
      </c>
      <c r="I710" t="inlineStr">
        <is>
          <t>W2</t>
        </is>
      </c>
      <c r="J710" t="inlineStr">
        <is>
          <t>2022_Grudzień_W2</t>
        </is>
      </c>
    </row>
    <row r="711">
      <c r="A711" s="177" t="n">
        <v>44906</v>
      </c>
      <c r="B711" s="177" t="n">
        <v>44901</v>
      </c>
      <c r="C711" s="177" t="n">
        <v>44907</v>
      </c>
      <c r="D711" t="inlineStr">
        <is>
          <t>BW20221206</t>
        </is>
      </c>
      <c r="E711" t="n">
        <v>2022</v>
      </c>
      <c r="F711" t="inlineStr">
        <is>
          <t>Grudzień</t>
        </is>
      </c>
      <c r="G711" t="inlineStr">
        <is>
          <t>Nd</t>
        </is>
      </c>
      <c r="H711">
        <f>'Floor Hours Engine'!$E$6</f>
        <v/>
      </c>
      <c r="I711" t="inlineStr">
        <is>
          <t>W2</t>
        </is>
      </c>
      <c r="J711" t="inlineStr">
        <is>
          <t>2022_Grudzień_W2</t>
        </is>
      </c>
    </row>
    <row r="712">
      <c r="A712" s="177" t="n">
        <v>44907</v>
      </c>
      <c r="B712" s="177" t="n">
        <v>44901</v>
      </c>
      <c r="C712" s="177" t="n">
        <v>44907</v>
      </c>
      <c r="D712" t="inlineStr">
        <is>
          <t>BW20221206</t>
        </is>
      </c>
      <c r="E712" t="n">
        <v>2022</v>
      </c>
      <c r="F712" t="inlineStr">
        <is>
          <t>Grudzień</t>
        </is>
      </c>
      <c r="G712" t="inlineStr">
        <is>
          <t>Pn</t>
        </is>
      </c>
      <c r="H712">
        <f>'Floor Hours Engine'!$E$4</f>
        <v/>
      </c>
      <c r="I712" t="inlineStr">
        <is>
          <t>W2</t>
        </is>
      </c>
      <c r="J712" t="inlineStr">
        <is>
          <t>2022_Grudzień_W2</t>
        </is>
      </c>
    </row>
    <row r="713">
      <c r="A713" s="177" t="n">
        <v>44908</v>
      </c>
      <c r="B713" s="177" t="n">
        <v>44908</v>
      </c>
      <c r="C713" s="177" t="n">
        <v>44914</v>
      </c>
      <c r="D713" t="inlineStr">
        <is>
          <t>BW20221213</t>
        </is>
      </c>
      <c r="E713" t="n">
        <v>2022</v>
      </c>
      <c r="F713" t="inlineStr">
        <is>
          <t>Grudzień</t>
        </is>
      </c>
      <c r="G713" t="inlineStr">
        <is>
          <t>Wt</t>
        </is>
      </c>
      <c r="H713">
        <f>'Floor Hours Engine'!$E$4</f>
        <v/>
      </c>
      <c r="I713" t="inlineStr">
        <is>
          <t>W3</t>
        </is>
      </c>
      <c r="J713" t="inlineStr">
        <is>
          <t>2022_Grudzień_W3</t>
        </is>
      </c>
    </row>
    <row r="714">
      <c r="A714" s="177" t="n">
        <v>44909</v>
      </c>
      <c r="B714" s="177" t="n">
        <v>44908</v>
      </c>
      <c r="C714" s="177" t="n">
        <v>44914</v>
      </c>
      <c r="D714" t="inlineStr">
        <is>
          <t>BW20221213</t>
        </is>
      </c>
      <c r="E714" t="n">
        <v>2022</v>
      </c>
      <c r="F714" t="inlineStr">
        <is>
          <t>Grudzień</t>
        </is>
      </c>
      <c r="G714" t="inlineStr">
        <is>
          <t>Śr</t>
        </is>
      </c>
      <c r="H714">
        <f>'Floor Hours Engine'!$E$4</f>
        <v/>
      </c>
      <c r="I714" t="inlineStr">
        <is>
          <t>W3</t>
        </is>
      </c>
      <c r="J714" t="inlineStr">
        <is>
          <t>2022_Grudzień_W3</t>
        </is>
      </c>
    </row>
    <row r="715">
      <c r="A715" s="177" t="n">
        <v>44910</v>
      </c>
      <c r="B715" s="177" t="n">
        <v>44908</v>
      </c>
      <c r="C715" s="177" t="n">
        <v>44914</v>
      </c>
      <c r="D715" t="inlineStr">
        <is>
          <t>BW20221213</t>
        </is>
      </c>
      <c r="E715" t="n">
        <v>2022</v>
      </c>
      <c r="F715" t="inlineStr">
        <is>
          <t>Grudzień</t>
        </is>
      </c>
      <c r="G715" t="inlineStr">
        <is>
          <t>Czw</t>
        </is>
      </c>
      <c r="H715">
        <f>'Floor Hours Engine'!$E$4</f>
        <v/>
      </c>
      <c r="I715" t="inlineStr">
        <is>
          <t>W3</t>
        </is>
      </c>
      <c r="J715" t="inlineStr">
        <is>
          <t>2022_Grudzień_W3</t>
        </is>
      </c>
    </row>
    <row r="716">
      <c r="A716" s="177" t="n">
        <v>44911</v>
      </c>
      <c r="B716" s="177" t="n">
        <v>44908</v>
      </c>
      <c r="C716" s="177" t="n">
        <v>44914</v>
      </c>
      <c r="D716" t="inlineStr">
        <is>
          <t>BW20221213</t>
        </is>
      </c>
      <c r="E716" t="n">
        <v>2022</v>
      </c>
      <c r="F716" t="inlineStr">
        <is>
          <t>Grudzień</t>
        </is>
      </c>
      <c r="G716" t="inlineStr">
        <is>
          <t>Pt</t>
        </is>
      </c>
      <c r="H716">
        <f>'Floor Hours Engine'!$E$5</f>
        <v/>
      </c>
      <c r="I716" t="inlineStr">
        <is>
          <t>W3</t>
        </is>
      </c>
      <c r="J716" t="inlineStr">
        <is>
          <t>2022_Grudzień_W3</t>
        </is>
      </c>
    </row>
    <row r="717">
      <c r="A717" s="177" t="n">
        <v>44912</v>
      </c>
      <c r="B717" s="177" t="n">
        <v>44908</v>
      </c>
      <c r="C717" s="177" t="n">
        <v>44914</v>
      </c>
      <c r="D717" t="inlineStr">
        <is>
          <t>BW20221213</t>
        </is>
      </c>
      <c r="E717" t="n">
        <v>2022</v>
      </c>
      <c r="F717" t="inlineStr">
        <is>
          <t>Grudzień</t>
        </is>
      </c>
      <c r="G717" t="inlineStr">
        <is>
          <t>Sob</t>
        </is>
      </c>
      <c r="H717">
        <f>'Floor Hours Engine'!$E$5</f>
        <v/>
      </c>
      <c r="I717" t="inlineStr">
        <is>
          <t>W3</t>
        </is>
      </c>
      <c r="J717" t="inlineStr">
        <is>
          <t>2022_Grudzień_W3</t>
        </is>
      </c>
    </row>
    <row r="718">
      <c r="A718" s="177" t="n">
        <v>44913</v>
      </c>
      <c r="B718" s="177" t="n">
        <v>44908</v>
      </c>
      <c r="C718" s="177" t="n">
        <v>44914</v>
      </c>
      <c r="D718" t="inlineStr">
        <is>
          <t>BW20221213</t>
        </is>
      </c>
      <c r="E718" t="n">
        <v>2022</v>
      </c>
      <c r="F718" t="inlineStr">
        <is>
          <t>Grudzień</t>
        </is>
      </c>
      <c r="G718" t="inlineStr">
        <is>
          <t>Nd</t>
        </is>
      </c>
      <c r="H718">
        <f>'Floor Hours Engine'!$E$6</f>
        <v/>
      </c>
      <c r="I718" t="inlineStr">
        <is>
          <t>W3</t>
        </is>
      </c>
      <c r="J718" t="inlineStr">
        <is>
          <t>2022_Grudzień_W3</t>
        </is>
      </c>
    </row>
    <row r="719">
      <c r="A719" s="177" t="n">
        <v>44914</v>
      </c>
      <c r="B719" s="177" t="n">
        <v>44908</v>
      </c>
      <c r="C719" s="177" t="n">
        <v>44914</v>
      </c>
      <c r="D719" t="inlineStr">
        <is>
          <t>BW20221213</t>
        </is>
      </c>
      <c r="E719" t="n">
        <v>2022</v>
      </c>
      <c r="F719" t="inlineStr">
        <is>
          <t>Grudzień</t>
        </is>
      </c>
      <c r="G719" t="inlineStr">
        <is>
          <t>Pn</t>
        </is>
      </c>
      <c r="H719">
        <f>'Floor Hours Engine'!$E$4</f>
        <v/>
      </c>
      <c r="I719" t="inlineStr">
        <is>
          <t>W3</t>
        </is>
      </c>
      <c r="J719" t="inlineStr">
        <is>
          <t>2022_Grudzień_W3</t>
        </is>
      </c>
    </row>
    <row r="720">
      <c r="A720" s="177" t="n">
        <v>44915</v>
      </c>
      <c r="B720" s="177" t="n">
        <v>44915</v>
      </c>
      <c r="C720" s="177" t="n">
        <v>44921</v>
      </c>
      <c r="D720" t="inlineStr">
        <is>
          <t>BW20221220</t>
        </is>
      </c>
      <c r="E720" t="n">
        <v>2022</v>
      </c>
      <c r="F720" t="inlineStr">
        <is>
          <t>Grudzień</t>
        </is>
      </c>
      <c r="G720" t="inlineStr">
        <is>
          <t>Wt</t>
        </is>
      </c>
      <c r="H720">
        <f>'Floor Hours Engine'!$E$4</f>
        <v/>
      </c>
      <c r="I720" t="inlineStr">
        <is>
          <t>W4</t>
        </is>
      </c>
      <c r="J720" t="inlineStr">
        <is>
          <t>2022_Grudzień_W4</t>
        </is>
      </c>
    </row>
    <row r="721">
      <c r="A721" s="177" t="n">
        <v>44916</v>
      </c>
      <c r="B721" s="177" t="n">
        <v>44915</v>
      </c>
      <c r="C721" s="177" t="n">
        <v>44921</v>
      </c>
      <c r="D721" t="inlineStr">
        <is>
          <t>BW20221220</t>
        </is>
      </c>
      <c r="E721" t="n">
        <v>2022</v>
      </c>
      <c r="F721" t="inlineStr">
        <is>
          <t>Grudzień</t>
        </is>
      </c>
      <c r="G721" t="inlineStr">
        <is>
          <t>Śr</t>
        </is>
      </c>
      <c r="H721">
        <f>'Floor Hours Engine'!$E$4</f>
        <v/>
      </c>
      <c r="I721" t="inlineStr">
        <is>
          <t>W4</t>
        </is>
      </c>
      <c r="J721" t="inlineStr">
        <is>
          <t>2022_Grudzień_W4</t>
        </is>
      </c>
    </row>
    <row r="722">
      <c r="A722" s="177" t="n">
        <v>44917</v>
      </c>
      <c r="B722" s="177" t="n">
        <v>44915</v>
      </c>
      <c r="C722" s="177" t="n">
        <v>44921</v>
      </c>
      <c r="D722" t="inlineStr">
        <is>
          <t>BW20221220</t>
        </is>
      </c>
      <c r="E722" t="n">
        <v>2022</v>
      </c>
      <c r="F722" t="inlineStr">
        <is>
          <t>Grudzień</t>
        </is>
      </c>
      <c r="G722" t="inlineStr">
        <is>
          <t>Czw</t>
        </is>
      </c>
      <c r="H722">
        <f>'Floor Hours Engine'!$E$4</f>
        <v/>
      </c>
      <c r="I722" t="inlineStr">
        <is>
          <t>W4</t>
        </is>
      </c>
      <c r="J722" t="inlineStr">
        <is>
          <t>2022_Grudzień_W4</t>
        </is>
      </c>
    </row>
    <row r="723">
      <c r="A723" s="177" t="n">
        <v>44918</v>
      </c>
      <c r="B723" s="177" t="n">
        <v>44915</v>
      </c>
      <c r="C723" s="177" t="n">
        <v>44921</v>
      </c>
      <c r="D723" t="inlineStr">
        <is>
          <t>BW20221220</t>
        </is>
      </c>
      <c r="E723" t="n">
        <v>2022</v>
      </c>
      <c r="F723" t="inlineStr">
        <is>
          <t>Grudzień</t>
        </is>
      </c>
      <c r="G723" t="inlineStr">
        <is>
          <t>Pt</t>
        </is>
      </c>
      <c r="H723">
        <f>'Floor Hours Engine'!$E$5</f>
        <v/>
      </c>
      <c r="I723" t="inlineStr">
        <is>
          <t>W4</t>
        </is>
      </c>
      <c r="J723" t="inlineStr">
        <is>
          <t>2022_Grudzień_W4</t>
        </is>
      </c>
    </row>
    <row r="724">
      <c r="A724" s="177" t="n">
        <v>44919</v>
      </c>
      <c r="B724" s="177" t="n">
        <v>44915</v>
      </c>
      <c r="C724" s="177" t="n">
        <v>44921</v>
      </c>
      <c r="D724" t="inlineStr">
        <is>
          <t>BW20221220</t>
        </is>
      </c>
      <c r="E724" t="n">
        <v>2022</v>
      </c>
      <c r="F724" t="inlineStr">
        <is>
          <t>Grudzień</t>
        </is>
      </c>
      <c r="G724" t="inlineStr">
        <is>
          <t>Sob</t>
        </is>
      </c>
      <c r="H724">
        <f>'Floor Hours Engine'!$E$5</f>
        <v/>
      </c>
      <c r="I724" t="inlineStr">
        <is>
          <t>W4</t>
        </is>
      </c>
      <c r="J724" t="inlineStr">
        <is>
          <t>2022_Grudzień_W4</t>
        </is>
      </c>
    </row>
    <row r="725">
      <c r="A725" s="177" t="n">
        <v>44920</v>
      </c>
      <c r="B725" s="177" t="n">
        <v>44915</v>
      </c>
      <c r="C725" s="177" t="n">
        <v>44921</v>
      </c>
      <c r="D725" t="inlineStr">
        <is>
          <t>BW20221220</t>
        </is>
      </c>
      <c r="E725" t="n">
        <v>2022</v>
      </c>
      <c r="F725" t="inlineStr">
        <is>
          <t>Grudzień</t>
        </is>
      </c>
      <c r="G725" t="inlineStr">
        <is>
          <t>Nd</t>
        </is>
      </c>
      <c r="H725">
        <f>'Floor Hours Engine'!$E$6</f>
        <v/>
      </c>
      <c r="I725" t="inlineStr">
        <is>
          <t>W4</t>
        </is>
      </c>
      <c r="J725" t="inlineStr">
        <is>
          <t>2022_Grudzień_W4</t>
        </is>
      </c>
    </row>
    <row r="726">
      <c r="A726" s="177" t="n">
        <v>44921</v>
      </c>
      <c r="B726" s="177" t="n">
        <v>44915</v>
      </c>
      <c r="C726" s="177" t="n">
        <v>44921</v>
      </c>
      <c r="D726" t="inlineStr">
        <is>
          <t>BW20221220</t>
        </is>
      </c>
      <c r="E726" t="n">
        <v>2022</v>
      </c>
      <c r="F726" t="inlineStr">
        <is>
          <t>Grudzień</t>
        </is>
      </c>
      <c r="G726" t="inlineStr">
        <is>
          <t>Pn</t>
        </is>
      </c>
      <c r="H726">
        <f>'Floor Hours Engine'!$E$4</f>
        <v/>
      </c>
      <c r="I726" t="inlineStr">
        <is>
          <t>W4</t>
        </is>
      </c>
      <c r="J726" t="inlineStr">
        <is>
          <t>2022_Grudzień_W4</t>
        </is>
      </c>
    </row>
    <row r="727">
      <c r="A727" s="177" t="n">
        <v>44922</v>
      </c>
      <c r="B727" s="177" t="n">
        <v>44922</v>
      </c>
      <c r="C727" s="177" t="n">
        <v>44928</v>
      </c>
      <c r="D727" t="inlineStr">
        <is>
          <t>BW20221227</t>
        </is>
      </c>
      <c r="E727" t="n">
        <v>2022</v>
      </c>
      <c r="F727" t="inlineStr">
        <is>
          <t>Grudzień</t>
        </is>
      </c>
      <c r="G727" t="inlineStr">
        <is>
          <t>Wt</t>
        </is>
      </c>
      <c r="H727">
        <f>'Floor Hours Engine'!$E$4</f>
        <v/>
      </c>
      <c r="I727" t="inlineStr">
        <is>
          <t>W5</t>
        </is>
      </c>
      <c r="J727" t="inlineStr">
        <is>
          <t>2022_Grudzień_W5</t>
        </is>
      </c>
    </row>
    <row r="728">
      <c r="A728" s="177" t="n">
        <v>44923</v>
      </c>
      <c r="B728" s="177" t="n">
        <v>44922</v>
      </c>
      <c r="C728" s="177" t="n">
        <v>44928</v>
      </c>
      <c r="D728" t="inlineStr">
        <is>
          <t>BW20221227</t>
        </is>
      </c>
      <c r="E728" t="n">
        <v>2022</v>
      </c>
      <c r="F728" t="inlineStr">
        <is>
          <t>Grudzień</t>
        </is>
      </c>
      <c r="G728" t="inlineStr">
        <is>
          <t>Śr</t>
        </is>
      </c>
      <c r="H728">
        <f>'Floor Hours Engine'!$E$4</f>
        <v/>
      </c>
      <c r="I728" t="inlineStr">
        <is>
          <t>W5</t>
        </is>
      </c>
      <c r="J728" t="inlineStr">
        <is>
          <t>2022_Grudzień_W5</t>
        </is>
      </c>
    </row>
    <row r="729">
      <c r="A729" s="177" t="n">
        <v>44924</v>
      </c>
      <c r="B729" s="177" t="n">
        <v>44922</v>
      </c>
      <c r="C729" s="177" t="n">
        <v>44928</v>
      </c>
      <c r="D729" t="inlineStr">
        <is>
          <t>BW20221227</t>
        </is>
      </c>
      <c r="E729" t="n">
        <v>2022</v>
      </c>
      <c r="F729" t="inlineStr">
        <is>
          <t>Grudzień</t>
        </is>
      </c>
      <c r="G729" t="inlineStr">
        <is>
          <t>Czw</t>
        </is>
      </c>
      <c r="H729">
        <f>'Floor Hours Engine'!$E$4</f>
        <v/>
      </c>
      <c r="I729" t="inlineStr">
        <is>
          <t>W5</t>
        </is>
      </c>
      <c r="J729" t="inlineStr">
        <is>
          <t>2022_Grudzień_W5</t>
        </is>
      </c>
    </row>
    <row r="730">
      <c r="A730" s="177" t="n">
        <v>44925</v>
      </c>
      <c r="B730" s="177" t="n">
        <v>44922</v>
      </c>
      <c r="C730" s="177" t="n">
        <v>44928</v>
      </c>
      <c r="D730" t="inlineStr">
        <is>
          <t>BW20221227</t>
        </is>
      </c>
      <c r="E730" t="n">
        <v>2022</v>
      </c>
      <c r="F730" t="inlineStr">
        <is>
          <t>Grudzień</t>
        </is>
      </c>
      <c r="G730" t="inlineStr">
        <is>
          <t>Pt</t>
        </is>
      </c>
      <c r="H730">
        <f>'Floor Hours Engine'!$E$5</f>
        <v/>
      </c>
      <c r="I730" t="inlineStr">
        <is>
          <t>W5</t>
        </is>
      </c>
      <c r="J730" t="inlineStr">
        <is>
          <t>2022_Grudzień_W5</t>
        </is>
      </c>
    </row>
    <row r="731">
      <c r="A731" s="177" t="n">
        <v>44926</v>
      </c>
      <c r="B731" s="177" t="n">
        <v>44922</v>
      </c>
      <c r="C731" s="177" t="n">
        <v>44928</v>
      </c>
      <c r="D731" t="inlineStr">
        <is>
          <t>BW20221227</t>
        </is>
      </c>
      <c r="E731" t="n">
        <v>2022</v>
      </c>
      <c r="F731" t="inlineStr">
        <is>
          <t>Grudzień</t>
        </is>
      </c>
      <c r="G731" t="inlineStr">
        <is>
          <t>Sob</t>
        </is>
      </c>
      <c r="H731">
        <f>'Floor Hours Engine'!$E$5</f>
        <v/>
      </c>
      <c r="I731" t="inlineStr">
        <is>
          <t>W5</t>
        </is>
      </c>
      <c r="J731" t="inlineStr">
        <is>
          <t>2022_Grudzień_W5</t>
        </is>
      </c>
    </row>
    <row r="732">
      <c r="A732" s="177" t="n">
        <v>44927</v>
      </c>
      <c r="B732" s="177" t="n">
        <v>44922</v>
      </c>
      <c r="C732" s="177" t="n">
        <v>44928</v>
      </c>
      <c r="D732" t="inlineStr">
        <is>
          <t>BW20221227</t>
        </is>
      </c>
      <c r="E732" t="n">
        <v>2023</v>
      </c>
      <c r="F732" t="inlineStr">
        <is>
          <t>Styczeń</t>
        </is>
      </c>
      <c r="G732" t="inlineStr">
        <is>
          <t>Nd</t>
        </is>
      </c>
      <c r="H732">
        <f>'Floor Hours Engine'!$E$6</f>
        <v/>
      </c>
      <c r="I732" t="inlineStr">
        <is>
          <t>W1</t>
        </is>
      </c>
      <c r="J732" t="inlineStr">
        <is>
          <t>2023_Styczeń_W1</t>
        </is>
      </c>
    </row>
    <row r="733">
      <c r="A733" s="177" t="n">
        <v>44928</v>
      </c>
      <c r="B733" s="177" t="n">
        <v>44922</v>
      </c>
      <c r="C733" s="177" t="n">
        <v>44928</v>
      </c>
      <c r="D733" t="inlineStr">
        <is>
          <t>BW20221227</t>
        </is>
      </c>
      <c r="E733" t="n">
        <v>2023</v>
      </c>
      <c r="F733" t="inlineStr">
        <is>
          <t>Styczeń</t>
        </is>
      </c>
      <c r="G733" t="inlineStr">
        <is>
          <t>Pn</t>
        </is>
      </c>
      <c r="H733">
        <f>'Floor Hours Engine'!$E$4</f>
        <v/>
      </c>
      <c r="I733" t="inlineStr">
        <is>
          <t>W1</t>
        </is>
      </c>
      <c r="J733" t="inlineStr">
        <is>
          <t>2023_Styczeń_W1</t>
        </is>
      </c>
    </row>
    <row r="734">
      <c r="A734" s="177" t="n">
        <v>44929</v>
      </c>
      <c r="B734" s="177" t="n">
        <v>44929</v>
      </c>
      <c r="C734" s="177" t="n">
        <v>44935</v>
      </c>
      <c r="D734" t="inlineStr">
        <is>
          <t>BW20230103</t>
        </is>
      </c>
      <c r="E734" t="n">
        <v>2023</v>
      </c>
      <c r="F734" t="inlineStr">
        <is>
          <t>Styczeń</t>
        </is>
      </c>
      <c r="G734" t="inlineStr">
        <is>
          <t>Wt</t>
        </is>
      </c>
      <c r="H734">
        <f>'Floor Hours Engine'!$E$4</f>
        <v/>
      </c>
      <c r="I734" t="inlineStr">
        <is>
          <t>W2</t>
        </is>
      </c>
      <c r="J734" t="inlineStr">
        <is>
          <t>2023_Styczeń_W2</t>
        </is>
      </c>
    </row>
    <row r="735">
      <c r="A735" s="177" t="n">
        <v>44930</v>
      </c>
      <c r="B735" s="177" t="n">
        <v>44929</v>
      </c>
      <c r="C735" s="177" t="n">
        <v>44935</v>
      </c>
      <c r="D735" t="inlineStr">
        <is>
          <t>BW20230103</t>
        </is>
      </c>
      <c r="E735" t="n">
        <v>2023</v>
      </c>
      <c r="F735" t="inlineStr">
        <is>
          <t>Styczeń</t>
        </is>
      </c>
      <c r="G735" t="inlineStr">
        <is>
          <t>Śr</t>
        </is>
      </c>
      <c r="H735">
        <f>'Floor Hours Engine'!$E$4</f>
        <v/>
      </c>
      <c r="I735" t="inlineStr">
        <is>
          <t>W2</t>
        </is>
      </c>
      <c r="J735" t="inlineStr">
        <is>
          <t>2023_Styczeń_W2</t>
        </is>
      </c>
    </row>
    <row r="736">
      <c r="A736" s="177" t="n">
        <v>44931</v>
      </c>
      <c r="B736" s="177" t="n">
        <v>44929</v>
      </c>
      <c r="C736" s="177" t="n">
        <v>44935</v>
      </c>
      <c r="D736" t="inlineStr">
        <is>
          <t>BW20230103</t>
        </is>
      </c>
      <c r="E736" t="n">
        <v>2023</v>
      </c>
      <c r="F736" t="inlineStr">
        <is>
          <t>Styczeń</t>
        </is>
      </c>
      <c r="G736" t="inlineStr">
        <is>
          <t>Czw</t>
        </is>
      </c>
      <c r="H736">
        <f>'Floor Hours Engine'!$E$4</f>
        <v/>
      </c>
      <c r="I736" t="inlineStr">
        <is>
          <t>W2</t>
        </is>
      </c>
      <c r="J736" t="inlineStr">
        <is>
          <t>2023_Styczeń_W2</t>
        </is>
      </c>
    </row>
    <row r="737">
      <c r="A737" s="177" t="n">
        <v>44932</v>
      </c>
      <c r="B737" s="177" t="n">
        <v>44929</v>
      </c>
      <c r="C737" s="177" t="n">
        <v>44935</v>
      </c>
      <c r="D737" t="inlineStr">
        <is>
          <t>BW20230103</t>
        </is>
      </c>
      <c r="E737" t="n">
        <v>2023</v>
      </c>
      <c r="F737" t="inlineStr">
        <is>
          <t>Styczeń</t>
        </is>
      </c>
      <c r="G737" t="inlineStr">
        <is>
          <t>Pt</t>
        </is>
      </c>
      <c r="H737">
        <f>'Floor Hours Engine'!$E$5</f>
        <v/>
      </c>
      <c r="I737" t="inlineStr">
        <is>
          <t>W2</t>
        </is>
      </c>
      <c r="J737" t="inlineStr">
        <is>
          <t>2023_Styczeń_W2</t>
        </is>
      </c>
    </row>
    <row r="738">
      <c r="A738" s="177" t="n">
        <v>44933</v>
      </c>
      <c r="B738" s="177" t="n">
        <v>44929</v>
      </c>
      <c r="C738" s="177" t="n">
        <v>44935</v>
      </c>
      <c r="D738" t="inlineStr">
        <is>
          <t>BW20230103</t>
        </is>
      </c>
      <c r="E738" t="n">
        <v>2023</v>
      </c>
      <c r="F738" t="inlineStr">
        <is>
          <t>Styczeń</t>
        </is>
      </c>
      <c r="G738" t="inlineStr">
        <is>
          <t>Sob</t>
        </is>
      </c>
      <c r="H738">
        <f>'Floor Hours Engine'!$E$5</f>
        <v/>
      </c>
      <c r="I738" t="inlineStr">
        <is>
          <t>W2</t>
        </is>
      </c>
      <c r="J738" t="inlineStr">
        <is>
          <t>2023_Styczeń_W2</t>
        </is>
      </c>
    </row>
    <row r="739">
      <c r="A739" s="177" t="n">
        <v>44934</v>
      </c>
      <c r="B739" s="177" t="n">
        <v>44929</v>
      </c>
      <c r="C739" s="177" t="n">
        <v>44935</v>
      </c>
      <c r="D739" t="inlineStr">
        <is>
          <t>BW20230103</t>
        </is>
      </c>
      <c r="E739" t="n">
        <v>2023</v>
      </c>
      <c r="F739" t="inlineStr">
        <is>
          <t>Styczeń</t>
        </is>
      </c>
      <c r="G739" t="inlineStr">
        <is>
          <t>Nd</t>
        </is>
      </c>
      <c r="H739">
        <f>'Floor Hours Engine'!$E$6</f>
        <v/>
      </c>
      <c r="I739" t="inlineStr">
        <is>
          <t>W2</t>
        </is>
      </c>
      <c r="J739" t="inlineStr">
        <is>
          <t>2023_Styczeń_W2</t>
        </is>
      </c>
    </row>
    <row r="740">
      <c r="A740" s="177" t="n">
        <v>44935</v>
      </c>
      <c r="B740" s="177" t="n">
        <v>44929</v>
      </c>
      <c r="C740" s="177" t="n">
        <v>44935</v>
      </c>
      <c r="D740" t="inlineStr">
        <is>
          <t>BW20230103</t>
        </is>
      </c>
      <c r="E740" t="n">
        <v>2023</v>
      </c>
      <c r="F740" t="inlineStr">
        <is>
          <t>Styczeń</t>
        </is>
      </c>
      <c r="G740" t="inlineStr">
        <is>
          <t>Pn</t>
        </is>
      </c>
      <c r="H740">
        <f>'Floor Hours Engine'!$E$4</f>
        <v/>
      </c>
      <c r="I740" t="inlineStr">
        <is>
          <t>W2</t>
        </is>
      </c>
      <c r="J740" t="inlineStr">
        <is>
          <t>2023_Styczeń_W2</t>
        </is>
      </c>
    </row>
    <row r="741">
      <c r="A741" s="177" t="n">
        <v>44936</v>
      </c>
      <c r="B741" s="177" t="n">
        <v>44936</v>
      </c>
      <c r="C741" s="177" t="n">
        <v>44942</v>
      </c>
      <c r="D741" t="inlineStr">
        <is>
          <t>BW20230110</t>
        </is>
      </c>
      <c r="E741" t="n">
        <v>2023</v>
      </c>
      <c r="F741" t="inlineStr">
        <is>
          <t>Styczeń</t>
        </is>
      </c>
      <c r="G741" t="inlineStr">
        <is>
          <t>Wt</t>
        </is>
      </c>
      <c r="H741">
        <f>'Floor Hours Engine'!$E$4</f>
        <v/>
      </c>
      <c r="I741" t="inlineStr">
        <is>
          <t>W3</t>
        </is>
      </c>
      <c r="J741" t="inlineStr">
        <is>
          <t>2023_Styczeń_W3</t>
        </is>
      </c>
    </row>
    <row r="742">
      <c r="A742" s="177" t="n">
        <v>44937</v>
      </c>
      <c r="B742" s="177" t="n">
        <v>44936</v>
      </c>
      <c r="C742" s="177" t="n">
        <v>44942</v>
      </c>
      <c r="D742" t="inlineStr">
        <is>
          <t>BW20230110</t>
        </is>
      </c>
      <c r="E742" t="n">
        <v>2023</v>
      </c>
      <c r="F742" t="inlineStr">
        <is>
          <t>Styczeń</t>
        </is>
      </c>
      <c r="G742" t="inlineStr">
        <is>
          <t>Śr</t>
        </is>
      </c>
      <c r="H742">
        <f>'Floor Hours Engine'!$E$4</f>
        <v/>
      </c>
      <c r="I742" t="inlineStr">
        <is>
          <t>W3</t>
        </is>
      </c>
      <c r="J742" t="inlineStr">
        <is>
          <t>2023_Styczeń_W3</t>
        </is>
      </c>
    </row>
    <row r="743">
      <c r="A743" s="177" t="n">
        <v>44938</v>
      </c>
      <c r="B743" s="177" t="n">
        <v>44936</v>
      </c>
      <c r="C743" s="177" t="n">
        <v>44942</v>
      </c>
      <c r="D743" t="inlineStr">
        <is>
          <t>BW20230110</t>
        </is>
      </c>
      <c r="E743" t="n">
        <v>2023</v>
      </c>
      <c r="F743" t="inlineStr">
        <is>
          <t>Styczeń</t>
        </is>
      </c>
      <c r="G743" t="inlineStr">
        <is>
          <t>Czw</t>
        </is>
      </c>
      <c r="H743">
        <f>'Floor Hours Engine'!$E$4</f>
        <v/>
      </c>
      <c r="I743" t="inlineStr">
        <is>
          <t>W3</t>
        </is>
      </c>
      <c r="J743" t="inlineStr">
        <is>
          <t>2023_Styczeń_W3</t>
        </is>
      </c>
    </row>
    <row r="744">
      <c r="A744" s="177" t="n">
        <v>44939</v>
      </c>
      <c r="B744" s="177" t="n">
        <v>44936</v>
      </c>
      <c r="C744" s="177" t="n">
        <v>44942</v>
      </c>
      <c r="D744" t="inlineStr">
        <is>
          <t>BW20230110</t>
        </is>
      </c>
      <c r="E744" t="n">
        <v>2023</v>
      </c>
      <c r="F744" t="inlineStr">
        <is>
          <t>Styczeń</t>
        </is>
      </c>
      <c r="G744" t="inlineStr">
        <is>
          <t>Pt</t>
        </is>
      </c>
      <c r="H744">
        <f>'Floor Hours Engine'!$E$5</f>
        <v/>
      </c>
      <c r="I744" t="inlineStr">
        <is>
          <t>W3</t>
        </is>
      </c>
      <c r="J744" t="inlineStr">
        <is>
          <t>2023_Styczeń_W3</t>
        </is>
      </c>
    </row>
    <row r="745">
      <c r="A745" s="177" t="n">
        <v>44940</v>
      </c>
      <c r="B745" s="177" t="n">
        <v>44936</v>
      </c>
      <c r="C745" s="177" t="n">
        <v>44942</v>
      </c>
      <c r="D745" t="inlineStr">
        <is>
          <t>BW20230110</t>
        </is>
      </c>
      <c r="E745" t="n">
        <v>2023</v>
      </c>
      <c r="F745" t="inlineStr">
        <is>
          <t>Styczeń</t>
        </is>
      </c>
      <c r="G745" t="inlineStr">
        <is>
          <t>Sob</t>
        </is>
      </c>
      <c r="H745">
        <f>'Floor Hours Engine'!$E$5</f>
        <v/>
      </c>
      <c r="I745" t="inlineStr">
        <is>
          <t>W3</t>
        </is>
      </c>
      <c r="J745" t="inlineStr">
        <is>
          <t>2023_Styczeń_W3</t>
        </is>
      </c>
    </row>
    <row r="746">
      <c r="A746" s="177" t="n">
        <v>44941</v>
      </c>
      <c r="B746" s="177" t="n">
        <v>44936</v>
      </c>
      <c r="C746" s="177" t="n">
        <v>44942</v>
      </c>
      <c r="D746" t="inlineStr">
        <is>
          <t>BW20230110</t>
        </is>
      </c>
      <c r="E746" t="n">
        <v>2023</v>
      </c>
      <c r="F746" t="inlineStr">
        <is>
          <t>Styczeń</t>
        </is>
      </c>
      <c r="G746" t="inlineStr">
        <is>
          <t>Nd</t>
        </is>
      </c>
      <c r="H746">
        <f>'Floor Hours Engine'!$E$6</f>
        <v/>
      </c>
      <c r="I746" t="inlineStr">
        <is>
          <t>W3</t>
        </is>
      </c>
      <c r="J746" t="inlineStr">
        <is>
          <t>2023_Styczeń_W3</t>
        </is>
      </c>
    </row>
    <row r="747">
      <c r="A747" s="177" t="n">
        <v>44942</v>
      </c>
      <c r="B747" s="177" t="n">
        <v>44936</v>
      </c>
      <c r="C747" s="177" t="n">
        <v>44942</v>
      </c>
      <c r="D747" t="inlineStr">
        <is>
          <t>BW20230110</t>
        </is>
      </c>
      <c r="E747" t="n">
        <v>2023</v>
      </c>
      <c r="F747" t="inlineStr">
        <is>
          <t>Styczeń</t>
        </is>
      </c>
      <c r="G747" t="inlineStr">
        <is>
          <t>Pn</t>
        </is>
      </c>
      <c r="H747">
        <f>'Floor Hours Engine'!$E$4</f>
        <v/>
      </c>
      <c r="I747" t="inlineStr">
        <is>
          <t>W3</t>
        </is>
      </c>
      <c r="J747" t="inlineStr">
        <is>
          <t>2023_Styczeń_W3</t>
        </is>
      </c>
    </row>
    <row r="748">
      <c r="A748" s="177" t="n">
        <v>44943</v>
      </c>
      <c r="B748" s="177" t="n">
        <v>44943</v>
      </c>
      <c r="C748" s="177" t="n">
        <v>44949</v>
      </c>
      <c r="D748" t="inlineStr">
        <is>
          <t>BW20230117</t>
        </is>
      </c>
      <c r="E748" t="n">
        <v>2023</v>
      </c>
      <c r="F748" t="inlineStr">
        <is>
          <t>Styczeń</t>
        </is>
      </c>
      <c r="G748" t="inlineStr">
        <is>
          <t>Wt</t>
        </is>
      </c>
      <c r="H748">
        <f>'Floor Hours Engine'!$E$4</f>
        <v/>
      </c>
      <c r="I748" t="inlineStr">
        <is>
          <t>W4</t>
        </is>
      </c>
      <c r="J748" t="inlineStr">
        <is>
          <t>2023_Styczeń_W4</t>
        </is>
      </c>
    </row>
    <row r="749">
      <c r="A749" s="177" t="n">
        <v>44944</v>
      </c>
      <c r="B749" s="177" t="n">
        <v>44943</v>
      </c>
      <c r="C749" s="177" t="n">
        <v>44949</v>
      </c>
      <c r="D749" t="inlineStr">
        <is>
          <t>BW20230117</t>
        </is>
      </c>
      <c r="E749" t="n">
        <v>2023</v>
      </c>
      <c r="F749" t="inlineStr">
        <is>
          <t>Styczeń</t>
        </is>
      </c>
      <c r="G749" t="inlineStr">
        <is>
          <t>Śr</t>
        </is>
      </c>
      <c r="H749">
        <f>'Floor Hours Engine'!$E$4</f>
        <v/>
      </c>
      <c r="I749" t="inlineStr">
        <is>
          <t>W4</t>
        </is>
      </c>
      <c r="J749" t="inlineStr">
        <is>
          <t>2023_Styczeń_W4</t>
        </is>
      </c>
    </row>
    <row r="750">
      <c r="A750" s="177" t="n">
        <v>44945</v>
      </c>
      <c r="B750" s="177" t="n">
        <v>44943</v>
      </c>
      <c r="C750" s="177" t="n">
        <v>44949</v>
      </c>
      <c r="D750" t="inlineStr">
        <is>
          <t>BW20230117</t>
        </is>
      </c>
      <c r="E750" t="n">
        <v>2023</v>
      </c>
      <c r="F750" t="inlineStr">
        <is>
          <t>Styczeń</t>
        </is>
      </c>
      <c r="G750" t="inlineStr">
        <is>
          <t>Czw</t>
        </is>
      </c>
      <c r="H750">
        <f>'Floor Hours Engine'!$E$4</f>
        <v/>
      </c>
      <c r="I750" t="inlineStr">
        <is>
          <t>W4</t>
        </is>
      </c>
      <c r="J750" t="inlineStr">
        <is>
          <t>2023_Styczeń_W4</t>
        </is>
      </c>
    </row>
    <row r="751">
      <c r="A751" s="177" t="n">
        <v>44946</v>
      </c>
      <c r="B751" s="177" t="n">
        <v>44943</v>
      </c>
      <c r="C751" s="177" t="n">
        <v>44949</v>
      </c>
      <c r="D751" t="inlineStr">
        <is>
          <t>BW20230117</t>
        </is>
      </c>
      <c r="E751" t="n">
        <v>2023</v>
      </c>
      <c r="F751" t="inlineStr">
        <is>
          <t>Styczeń</t>
        </is>
      </c>
      <c r="G751" t="inlineStr">
        <is>
          <t>Pt</t>
        </is>
      </c>
      <c r="H751">
        <f>'Floor Hours Engine'!$E$5</f>
        <v/>
      </c>
      <c r="I751" t="inlineStr">
        <is>
          <t>W4</t>
        </is>
      </c>
      <c r="J751" t="inlineStr">
        <is>
          <t>2023_Styczeń_W4</t>
        </is>
      </c>
    </row>
    <row r="752">
      <c r="A752" s="177" t="n">
        <v>44947</v>
      </c>
      <c r="B752" s="177" t="n">
        <v>44943</v>
      </c>
      <c r="C752" s="177" t="n">
        <v>44949</v>
      </c>
      <c r="D752" t="inlineStr">
        <is>
          <t>BW20230117</t>
        </is>
      </c>
      <c r="E752" t="n">
        <v>2023</v>
      </c>
      <c r="F752" t="inlineStr">
        <is>
          <t>Styczeń</t>
        </is>
      </c>
      <c r="G752" t="inlineStr">
        <is>
          <t>Sob</t>
        </is>
      </c>
      <c r="H752">
        <f>'Floor Hours Engine'!$E$5</f>
        <v/>
      </c>
      <c r="I752" t="inlineStr">
        <is>
          <t>W4</t>
        </is>
      </c>
      <c r="J752" t="inlineStr">
        <is>
          <t>2023_Styczeń_W4</t>
        </is>
      </c>
    </row>
    <row r="753">
      <c r="A753" s="177" t="n">
        <v>44948</v>
      </c>
      <c r="B753" s="177" t="n">
        <v>44943</v>
      </c>
      <c r="C753" s="177" t="n">
        <v>44949</v>
      </c>
      <c r="D753" t="inlineStr">
        <is>
          <t>BW20230117</t>
        </is>
      </c>
      <c r="E753" t="n">
        <v>2023</v>
      </c>
      <c r="F753" t="inlineStr">
        <is>
          <t>Styczeń</t>
        </is>
      </c>
      <c r="G753" t="inlineStr">
        <is>
          <t>Nd</t>
        </is>
      </c>
      <c r="H753">
        <f>'Floor Hours Engine'!$E$6</f>
        <v/>
      </c>
      <c r="I753" t="inlineStr">
        <is>
          <t>W4</t>
        </is>
      </c>
      <c r="J753" t="inlineStr">
        <is>
          <t>2023_Styczeń_W4</t>
        </is>
      </c>
    </row>
    <row r="754">
      <c r="A754" s="177" t="n">
        <v>44949</v>
      </c>
      <c r="B754" s="177" t="n">
        <v>44943</v>
      </c>
      <c r="C754" s="177" t="n">
        <v>44949</v>
      </c>
      <c r="D754" t="inlineStr">
        <is>
          <t>BW20230117</t>
        </is>
      </c>
      <c r="E754" t="n">
        <v>2023</v>
      </c>
      <c r="F754" t="inlineStr">
        <is>
          <t>Styczeń</t>
        </is>
      </c>
      <c r="G754" t="inlineStr">
        <is>
          <t>Pn</t>
        </is>
      </c>
      <c r="H754">
        <f>'Floor Hours Engine'!$E$4</f>
        <v/>
      </c>
      <c r="I754" t="inlineStr">
        <is>
          <t>W4</t>
        </is>
      </c>
      <c r="J754" t="inlineStr">
        <is>
          <t>2023_Styczeń_W4</t>
        </is>
      </c>
    </row>
    <row r="755">
      <c r="A755" s="177" t="n">
        <v>44950</v>
      </c>
      <c r="B755" s="177" t="n">
        <v>44950</v>
      </c>
      <c r="C755" s="177" t="n">
        <v>44956</v>
      </c>
      <c r="D755" t="inlineStr">
        <is>
          <t>BW20230124</t>
        </is>
      </c>
      <c r="E755" t="n">
        <v>2023</v>
      </c>
      <c r="F755" t="inlineStr">
        <is>
          <t>Styczeń</t>
        </is>
      </c>
      <c r="G755" t="inlineStr">
        <is>
          <t>Wt</t>
        </is>
      </c>
      <c r="H755">
        <f>'Floor Hours Engine'!$E$4</f>
        <v/>
      </c>
      <c r="I755" t="inlineStr">
        <is>
          <t>W5</t>
        </is>
      </c>
      <c r="J755" t="inlineStr">
        <is>
          <t>2023_Styczeń_W5</t>
        </is>
      </c>
    </row>
    <row r="756">
      <c r="A756" s="177" t="n">
        <v>44951</v>
      </c>
      <c r="B756" s="177" t="n">
        <v>44950</v>
      </c>
      <c r="C756" s="177" t="n">
        <v>44956</v>
      </c>
      <c r="D756" t="inlineStr">
        <is>
          <t>BW20230124</t>
        </is>
      </c>
      <c r="E756" t="n">
        <v>2023</v>
      </c>
      <c r="F756" t="inlineStr">
        <is>
          <t>Styczeń</t>
        </is>
      </c>
      <c r="G756" t="inlineStr">
        <is>
          <t>Śr</t>
        </is>
      </c>
      <c r="H756">
        <f>'Floor Hours Engine'!$E$4</f>
        <v/>
      </c>
      <c r="I756" t="inlineStr">
        <is>
          <t>W5</t>
        </is>
      </c>
      <c r="J756" t="inlineStr">
        <is>
          <t>2023_Styczeń_W5</t>
        </is>
      </c>
    </row>
    <row r="757">
      <c r="A757" s="177" t="n">
        <v>44952</v>
      </c>
      <c r="B757" s="177" t="n">
        <v>44950</v>
      </c>
      <c r="C757" s="177" t="n">
        <v>44956</v>
      </c>
      <c r="D757" t="inlineStr">
        <is>
          <t>BW20230124</t>
        </is>
      </c>
      <c r="E757" t="n">
        <v>2023</v>
      </c>
      <c r="F757" t="inlineStr">
        <is>
          <t>Styczeń</t>
        </is>
      </c>
      <c r="G757" t="inlineStr">
        <is>
          <t>Czw</t>
        </is>
      </c>
      <c r="H757">
        <f>'Floor Hours Engine'!$E$4</f>
        <v/>
      </c>
      <c r="I757" t="inlineStr">
        <is>
          <t>W5</t>
        </is>
      </c>
      <c r="J757" t="inlineStr">
        <is>
          <t>2023_Styczeń_W5</t>
        </is>
      </c>
    </row>
    <row r="758">
      <c r="A758" s="177" t="n">
        <v>44953</v>
      </c>
      <c r="B758" s="177" t="n">
        <v>44950</v>
      </c>
      <c r="C758" s="177" t="n">
        <v>44956</v>
      </c>
      <c r="D758" t="inlineStr">
        <is>
          <t>BW20230124</t>
        </is>
      </c>
      <c r="E758" t="n">
        <v>2023</v>
      </c>
      <c r="F758" t="inlineStr">
        <is>
          <t>Styczeń</t>
        </is>
      </c>
      <c r="G758" t="inlineStr">
        <is>
          <t>Pt</t>
        </is>
      </c>
      <c r="H758">
        <f>'Floor Hours Engine'!$E$5</f>
        <v/>
      </c>
      <c r="I758" t="inlineStr">
        <is>
          <t>W5</t>
        </is>
      </c>
      <c r="J758" t="inlineStr">
        <is>
          <t>2023_Styczeń_W5</t>
        </is>
      </c>
    </row>
    <row r="759">
      <c r="A759" s="177" t="n">
        <v>44954</v>
      </c>
      <c r="B759" s="177" t="n">
        <v>44950</v>
      </c>
      <c r="C759" s="177" t="n">
        <v>44956</v>
      </c>
      <c r="D759" t="inlineStr">
        <is>
          <t>BW20230124</t>
        </is>
      </c>
      <c r="E759" t="n">
        <v>2023</v>
      </c>
      <c r="F759" t="inlineStr">
        <is>
          <t>Styczeń</t>
        </is>
      </c>
      <c r="G759" t="inlineStr">
        <is>
          <t>Sob</t>
        </is>
      </c>
      <c r="H759">
        <f>'Floor Hours Engine'!$E$5</f>
        <v/>
      </c>
      <c r="I759" t="inlineStr">
        <is>
          <t>W5</t>
        </is>
      </c>
      <c r="J759" t="inlineStr">
        <is>
          <t>2023_Styczeń_W5</t>
        </is>
      </c>
    </row>
    <row r="760">
      <c r="A760" s="177" t="n">
        <v>44955</v>
      </c>
      <c r="B760" s="177" t="n">
        <v>44950</v>
      </c>
      <c r="C760" s="177" t="n">
        <v>44956</v>
      </c>
      <c r="D760" t="inlineStr">
        <is>
          <t>BW20230124</t>
        </is>
      </c>
      <c r="E760" t="n">
        <v>2023</v>
      </c>
      <c r="F760" t="inlineStr">
        <is>
          <t>Styczeń</t>
        </is>
      </c>
      <c r="G760" t="inlineStr">
        <is>
          <t>Nd</t>
        </is>
      </c>
      <c r="H760">
        <f>'Floor Hours Engine'!$E$6</f>
        <v/>
      </c>
      <c r="I760" t="inlineStr">
        <is>
          <t>W5</t>
        </is>
      </c>
      <c r="J760" t="inlineStr">
        <is>
          <t>2023_Styczeń_W5</t>
        </is>
      </c>
    </row>
    <row r="761">
      <c r="A761" s="177" t="n">
        <v>44956</v>
      </c>
      <c r="B761" s="177" t="n">
        <v>44950</v>
      </c>
      <c r="C761" s="177" t="n">
        <v>44956</v>
      </c>
      <c r="D761" t="inlineStr">
        <is>
          <t>BW20230124</t>
        </is>
      </c>
      <c r="E761" t="n">
        <v>2023</v>
      </c>
      <c r="F761" t="inlineStr">
        <is>
          <t>Styczeń</t>
        </is>
      </c>
      <c r="G761" t="inlineStr">
        <is>
          <t>Pn</t>
        </is>
      </c>
      <c r="H761">
        <f>'Floor Hours Engine'!$E$4</f>
        <v/>
      </c>
      <c r="I761" t="inlineStr">
        <is>
          <t>W5</t>
        </is>
      </c>
      <c r="J761" t="inlineStr">
        <is>
          <t>2023_Styczeń_W5</t>
        </is>
      </c>
    </row>
    <row r="762">
      <c r="A762" s="177" t="n">
        <v>44957</v>
      </c>
      <c r="B762" s="177" t="n">
        <v>44957</v>
      </c>
      <c r="C762" s="177" t="n">
        <v>44963</v>
      </c>
      <c r="D762" t="inlineStr">
        <is>
          <t>BW20230131</t>
        </is>
      </c>
      <c r="E762" t="n">
        <v>2023</v>
      </c>
      <c r="F762" t="inlineStr">
        <is>
          <t>Styczeń</t>
        </is>
      </c>
      <c r="G762" t="inlineStr">
        <is>
          <t>Wt</t>
        </is>
      </c>
      <c r="H762">
        <f>'Floor Hours Engine'!$E$4</f>
        <v/>
      </c>
      <c r="I762" t="inlineStr">
        <is>
          <t>W6</t>
        </is>
      </c>
      <c r="J762" t="inlineStr">
        <is>
          <t>2023_Styczeń_W6</t>
        </is>
      </c>
    </row>
    <row r="763">
      <c r="A763" s="177" t="n">
        <v>44958</v>
      </c>
      <c r="B763" s="177" t="n">
        <v>44957</v>
      </c>
      <c r="C763" s="177" t="n">
        <v>44963</v>
      </c>
      <c r="D763" t="inlineStr">
        <is>
          <t>BW20230131</t>
        </is>
      </c>
      <c r="E763" t="n">
        <v>2023</v>
      </c>
      <c r="F763" t="inlineStr">
        <is>
          <t>Luty</t>
        </is>
      </c>
      <c r="G763" t="inlineStr">
        <is>
          <t>Śr</t>
        </is>
      </c>
      <c r="H763">
        <f>'Floor Hours Engine'!$E$4</f>
        <v/>
      </c>
      <c r="I763" t="inlineStr">
        <is>
          <t>W1</t>
        </is>
      </c>
      <c r="J763" t="inlineStr">
        <is>
          <t>2023_Luty_W1</t>
        </is>
      </c>
    </row>
    <row r="764">
      <c r="A764" s="177" t="n">
        <v>44959</v>
      </c>
      <c r="B764" s="177" t="n">
        <v>44957</v>
      </c>
      <c r="C764" s="177" t="n">
        <v>44963</v>
      </c>
      <c r="D764" t="inlineStr">
        <is>
          <t>BW20230131</t>
        </is>
      </c>
      <c r="E764" t="n">
        <v>2023</v>
      </c>
      <c r="F764" t="inlineStr">
        <is>
          <t>Luty</t>
        </is>
      </c>
      <c r="G764" t="inlineStr">
        <is>
          <t>Czw</t>
        </is>
      </c>
      <c r="H764">
        <f>'Floor Hours Engine'!$E$4</f>
        <v/>
      </c>
      <c r="I764" t="inlineStr">
        <is>
          <t>W1</t>
        </is>
      </c>
      <c r="J764" t="inlineStr">
        <is>
          <t>2023_Luty_W1</t>
        </is>
      </c>
    </row>
    <row r="765">
      <c r="A765" s="177" t="n">
        <v>44960</v>
      </c>
      <c r="B765" s="177" t="n">
        <v>44957</v>
      </c>
      <c r="C765" s="177" t="n">
        <v>44963</v>
      </c>
      <c r="D765" t="inlineStr">
        <is>
          <t>BW20230131</t>
        </is>
      </c>
      <c r="E765" t="n">
        <v>2023</v>
      </c>
      <c r="F765" t="inlineStr">
        <is>
          <t>Luty</t>
        </is>
      </c>
      <c r="G765" t="inlineStr">
        <is>
          <t>Pt</t>
        </is>
      </c>
      <c r="H765">
        <f>'Floor Hours Engine'!$E$5</f>
        <v/>
      </c>
      <c r="I765" t="inlineStr">
        <is>
          <t>W1</t>
        </is>
      </c>
      <c r="J765" t="inlineStr">
        <is>
          <t>2023_Luty_W1</t>
        </is>
      </c>
    </row>
    <row r="766">
      <c r="A766" s="177" t="n">
        <v>44961</v>
      </c>
      <c r="B766" s="177" t="n">
        <v>44957</v>
      </c>
      <c r="C766" s="177" t="n">
        <v>44963</v>
      </c>
      <c r="D766" t="inlineStr">
        <is>
          <t>BW20230131</t>
        </is>
      </c>
      <c r="E766" t="n">
        <v>2023</v>
      </c>
      <c r="F766" t="inlineStr">
        <is>
          <t>Luty</t>
        </is>
      </c>
      <c r="G766" t="inlineStr">
        <is>
          <t>Sob</t>
        </is>
      </c>
      <c r="H766">
        <f>'Floor Hours Engine'!$E$5</f>
        <v/>
      </c>
      <c r="I766" t="inlineStr">
        <is>
          <t>W1</t>
        </is>
      </c>
      <c r="J766" t="inlineStr">
        <is>
          <t>2023_Luty_W1</t>
        </is>
      </c>
    </row>
    <row r="767">
      <c r="A767" s="177" t="n">
        <v>44962</v>
      </c>
      <c r="B767" s="177" t="n">
        <v>44957</v>
      </c>
      <c r="C767" s="177" t="n">
        <v>44963</v>
      </c>
      <c r="D767" t="inlineStr">
        <is>
          <t>BW20230131</t>
        </is>
      </c>
      <c r="E767" t="n">
        <v>2023</v>
      </c>
      <c r="F767" t="inlineStr">
        <is>
          <t>Luty</t>
        </is>
      </c>
      <c r="G767" t="inlineStr">
        <is>
          <t>Nd</t>
        </is>
      </c>
      <c r="H767">
        <f>'Floor Hours Engine'!$E$6</f>
        <v/>
      </c>
      <c r="I767" t="inlineStr">
        <is>
          <t>W1</t>
        </is>
      </c>
      <c r="J767" t="inlineStr">
        <is>
          <t>2023_Luty_W1</t>
        </is>
      </c>
    </row>
    <row r="768">
      <c r="A768" s="177" t="n">
        <v>44963</v>
      </c>
      <c r="B768" s="177" t="n">
        <v>44957</v>
      </c>
      <c r="C768" s="177" t="n">
        <v>44963</v>
      </c>
      <c r="D768" t="inlineStr">
        <is>
          <t>BW20230131</t>
        </is>
      </c>
      <c r="E768" t="n">
        <v>2023</v>
      </c>
      <c r="F768" t="inlineStr">
        <is>
          <t>Luty</t>
        </is>
      </c>
      <c r="G768" t="inlineStr">
        <is>
          <t>Pn</t>
        </is>
      </c>
      <c r="H768">
        <f>'Floor Hours Engine'!$E$4</f>
        <v/>
      </c>
      <c r="I768" t="inlineStr">
        <is>
          <t>W1</t>
        </is>
      </c>
      <c r="J768" t="inlineStr">
        <is>
          <t>2023_Luty_W1</t>
        </is>
      </c>
    </row>
    <row r="769">
      <c r="A769" s="177" t="n">
        <v>44964</v>
      </c>
      <c r="B769" s="177" t="n">
        <v>44964</v>
      </c>
      <c r="C769" s="177" t="n">
        <v>44970</v>
      </c>
      <c r="D769" t="inlineStr">
        <is>
          <t>BW20230207</t>
        </is>
      </c>
      <c r="E769" t="n">
        <v>2023</v>
      </c>
      <c r="F769" t="inlineStr">
        <is>
          <t>Luty</t>
        </is>
      </c>
      <c r="G769" t="inlineStr">
        <is>
          <t>Wt</t>
        </is>
      </c>
      <c r="H769">
        <f>'Floor Hours Engine'!$E$4</f>
        <v/>
      </c>
      <c r="I769" t="inlineStr">
        <is>
          <t>W2</t>
        </is>
      </c>
      <c r="J769" t="inlineStr">
        <is>
          <t>2023_Luty_W2</t>
        </is>
      </c>
    </row>
    <row r="770">
      <c r="A770" s="177" t="n">
        <v>44965</v>
      </c>
      <c r="B770" s="177" t="n">
        <v>44964</v>
      </c>
      <c r="C770" s="177" t="n">
        <v>44970</v>
      </c>
      <c r="D770" t="inlineStr">
        <is>
          <t>BW20230207</t>
        </is>
      </c>
      <c r="E770" t="n">
        <v>2023</v>
      </c>
      <c r="F770" t="inlineStr">
        <is>
          <t>Luty</t>
        </is>
      </c>
      <c r="G770" t="inlineStr">
        <is>
          <t>Śr</t>
        </is>
      </c>
      <c r="H770">
        <f>'Floor Hours Engine'!$E$4</f>
        <v/>
      </c>
      <c r="I770" t="inlineStr">
        <is>
          <t>W2</t>
        </is>
      </c>
      <c r="J770" t="inlineStr">
        <is>
          <t>2023_Luty_W2</t>
        </is>
      </c>
    </row>
    <row r="771">
      <c r="A771" s="177" t="n">
        <v>44966</v>
      </c>
      <c r="B771" s="177" t="n">
        <v>44964</v>
      </c>
      <c r="C771" s="177" t="n">
        <v>44970</v>
      </c>
      <c r="D771" t="inlineStr">
        <is>
          <t>BW20230207</t>
        </is>
      </c>
      <c r="E771" t="n">
        <v>2023</v>
      </c>
      <c r="F771" t="inlineStr">
        <is>
          <t>Luty</t>
        </is>
      </c>
      <c r="G771" t="inlineStr">
        <is>
          <t>Czw</t>
        </is>
      </c>
      <c r="H771">
        <f>'Floor Hours Engine'!$E$4</f>
        <v/>
      </c>
      <c r="I771" t="inlineStr">
        <is>
          <t>W2</t>
        </is>
      </c>
      <c r="J771" t="inlineStr">
        <is>
          <t>2023_Luty_W2</t>
        </is>
      </c>
    </row>
    <row r="772">
      <c r="A772" s="177" t="n">
        <v>44967</v>
      </c>
      <c r="B772" s="177" t="n">
        <v>44964</v>
      </c>
      <c r="C772" s="177" t="n">
        <v>44970</v>
      </c>
      <c r="D772" t="inlineStr">
        <is>
          <t>BW20230207</t>
        </is>
      </c>
      <c r="E772" t="n">
        <v>2023</v>
      </c>
      <c r="F772" t="inlineStr">
        <is>
          <t>Luty</t>
        </is>
      </c>
      <c r="G772" t="inlineStr">
        <is>
          <t>Pt</t>
        </is>
      </c>
      <c r="H772">
        <f>'Floor Hours Engine'!$E$5</f>
        <v/>
      </c>
      <c r="I772" t="inlineStr">
        <is>
          <t>W2</t>
        </is>
      </c>
      <c r="J772" t="inlineStr">
        <is>
          <t>2023_Luty_W2</t>
        </is>
      </c>
    </row>
    <row r="773">
      <c r="A773" s="177" t="n">
        <v>44968</v>
      </c>
      <c r="B773" s="177" t="n">
        <v>44964</v>
      </c>
      <c r="C773" s="177" t="n">
        <v>44970</v>
      </c>
      <c r="D773" t="inlineStr">
        <is>
          <t>BW20230207</t>
        </is>
      </c>
      <c r="E773" t="n">
        <v>2023</v>
      </c>
      <c r="F773" t="inlineStr">
        <is>
          <t>Luty</t>
        </is>
      </c>
      <c r="G773" t="inlineStr">
        <is>
          <t>Sob</t>
        </is>
      </c>
      <c r="H773">
        <f>'Floor Hours Engine'!$E$5</f>
        <v/>
      </c>
      <c r="I773" t="inlineStr">
        <is>
          <t>W2</t>
        </is>
      </c>
      <c r="J773" t="inlineStr">
        <is>
          <t>2023_Luty_W2</t>
        </is>
      </c>
    </row>
    <row r="774">
      <c r="A774" s="177" t="n">
        <v>44969</v>
      </c>
      <c r="B774" s="177" t="n">
        <v>44964</v>
      </c>
      <c r="C774" s="177" t="n">
        <v>44970</v>
      </c>
      <c r="D774" t="inlineStr">
        <is>
          <t>BW20230207</t>
        </is>
      </c>
      <c r="E774" t="n">
        <v>2023</v>
      </c>
      <c r="F774" t="inlineStr">
        <is>
          <t>Luty</t>
        </is>
      </c>
      <c r="G774" t="inlineStr">
        <is>
          <t>Nd</t>
        </is>
      </c>
      <c r="H774">
        <f>'Floor Hours Engine'!$E$6</f>
        <v/>
      </c>
      <c r="I774" t="inlineStr">
        <is>
          <t>W2</t>
        </is>
      </c>
      <c r="J774" t="inlineStr">
        <is>
          <t>2023_Luty_W2</t>
        </is>
      </c>
    </row>
    <row r="775">
      <c r="A775" s="177" t="n">
        <v>44970</v>
      </c>
      <c r="B775" s="177" t="n">
        <v>44964</v>
      </c>
      <c r="C775" s="177" t="n">
        <v>44970</v>
      </c>
      <c r="D775" t="inlineStr">
        <is>
          <t>BW20230207</t>
        </is>
      </c>
      <c r="E775" t="n">
        <v>2023</v>
      </c>
      <c r="F775" t="inlineStr">
        <is>
          <t>Luty</t>
        </is>
      </c>
      <c r="G775" t="inlineStr">
        <is>
          <t>Pn</t>
        </is>
      </c>
      <c r="H775">
        <f>'Floor Hours Engine'!$E$4</f>
        <v/>
      </c>
      <c r="I775" t="inlineStr">
        <is>
          <t>W2</t>
        </is>
      </c>
      <c r="J775" t="inlineStr">
        <is>
          <t>2023_Luty_W2</t>
        </is>
      </c>
    </row>
    <row r="776">
      <c r="A776" s="177" t="n">
        <v>44971</v>
      </c>
      <c r="B776" s="177" t="n">
        <v>44971</v>
      </c>
      <c r="C776" s="177" t="n">
        <v>44977</v>
      </c>
      <c r="D776" t="inlineStr">
        <is>
          <t>BW20230214</t>
        </is>
      </c>
      <c r="E776" t="n">
        <v>2023</v>
      </c>
      <c r="F776" t="inlineStr">
        <is>
          <t>Luty</t>
        </is>
      </c>
      <c r="G776" t="inlineStr">
        <is>
          <t>Wt</t>
        </is>
      </c>
      <c r="H776">
        <f>'Floor Hours Engine'!$E$4</f>
        <v/>
      </c>
      <c r="I776" t="inlineStr">
        <is>
          <t>W3</t>
        </is>
      </c>
      <c r="J776" t="inlineStr">
        <is>
          <t>2023_Luty_W3</t>
        </is>
      </c>
    </row>
    <row r="777">
      <c r="A777" s="177" t="n">
        <v>44972</v>
      </c>
      <c r="B777" s="177" t="n">
        <v>44971</v>
      </c>
      <c r="C777" s="177" t="n">
        <v>44977</v>
      </c>
      <c r="D777" t="inlineStr">
        <is>
          <t>BW20230214</t>
        </is>
      </c>
      <c r="E777" t="n">
        <v>2023</v>
      </c>
      <c r="F777" t="inlineStr">
        <is>
          <t>Luty</t>
        </is>
      </c>
      <c r="G777" t="inlineStr">
        <is>
          <t>Śr</t>
        </is>
      </c>
      <c r="H777">
        <f>'Floor Hours Engine'!$E$4</f>
        <v/>
      </c>
      <c r="I777" t="inlineStr">
        <is>
          <t>W3</t>
        </is>
      </c>
      <c r="J777" t="inlineStr">
        <is>
          <t>2023_Luty_W3</t>
        </is>
      </c>
    </row>
    <row r="778">
      <c r="A778" s="177" t="n">
        <v>44973</v>
      </c>
      <c r="B778" s="177" t="n">
        <v>44971</v>
      </c>
      <c r="C778" s="177" t="n">
        <v>44977</v>
      </c>
      <c r="D778" t="inlineStr">
        <is>
          <t>BW20230214</t>
        </is>
      </c>
      <c r="E778" t="n">
        <v>2023</v>
      </c>
      <c r="F778" t="inlineStr">
        <is>
          <t>Luty</t>
        </is>
      </c>
      <c r="G778" t="inlineStr">
        <is>
          <t>Czw</t>
        </is>
      </c>
      <c r="H778">
        <f>'Floor Hours Engine'!$E$4</f>
        <v/>
      </c>
      <c r="I778" t="inlineStr">
        <is>
          <t>W3</t>
        </is>
      </c>
      <c r="J778" t="inlineStr">
        <is>
          <t>2023_Luty_W3</t>
        </is>
      </c>
    </row>
    <row r="779">
      <c r="A779" s="177" t="n">
        <v>44974</v>
      </c>
      <c r="B779" s="177" t="n">
        <v>44971</v>
      </c>
      <c r="C779" s="177" t="n">
        <v>44977</v>
      </c>
      <c r="D779" t="inlineStr">
        <is>
          <t>BW20230214</t>
        </is>
      </c>
      <c r="E779" t="n">
        <v>2023</v>
      </c>
      <c r="F779" t="inlineStr">
        <is>
          <t>Luty</t>
        </is>
      </c>
      <c r="G779" t="inlineStr">
        <is>
          <t>Pt</t>
        </is>
      </c>
      <c r="H779">
        <f>'Floor Hours Engine'!$E$5</f>
        <v/>
      </c>
      <c r="I779" t="inlineStr">
        <is>
          <t>W3</t>
        </is>
      </c>
      <c r="J779" t="inlineStr">
        <is>
          <t>2023_Luty_W3</t>
        </is>
      </c>
    </row>
    <row r="780">
      <c r="A780" s="177" t="n">
        <v>44975</v>
      </c>
      <c r="B780" s="177" t="n">
        <v>44971</v>
      </c>
      <c r="C780" s="177" t="n">
        <v>44977</v>
      </c>
      <c r="D780" t="inlineStr">
        <is>
          <t>BW20230214</t>
        </is>
      </c>
      <c r="E780" t="n">
        <v>2023</v>
      </c>
      <c r="F780" t="inlineStr">
        <is>
          <t>Luty</t>
        </is>
      </c>
      <c r="G780" t="inlineStr">
        <is>
          <t>Sob</t>
        </is>
      </c>
      <c r="H780">
        <f>'Floor Hours Engine'!$E$5</f>
        <v/>
      </c>
      <c r="I780" t="inlineStr">
        <is>
          <t>W3</t>
        </is>
      </c>
      <c r="J780" t="inlineStr">
        <is>
          <t>2023_Luty_W3</t>
        </is>
      </c>
    </row>
    <row r="781">
      <c r="A781" s="177" t="n">
        <v>44976</v>
      </c>
      <c r="B781" s="177" t="n">
        <v>44971</v>
      </c>
      <c r="C781" s="177" t="n">
        <v>44977</v>
      </c>
      <c r="D781" t="inlineStr">
        <is>
          <t>BW20230214</t>
        </is>
      </c>
      <c r="E781" t="n">
        <v>2023</v>
      </c>
      <c r="F781" t="inlineStr">
        <is>
          <t>Luty</t>
        </is>
      </c>
      <c r="G781" t="inlineStr">
        <is>
          <t>Nd</t>
        </is>
      </c>
      <c r="H781">
        <f>'Floor Hours Engine'!$E$6</f>
        <v/>
      </c>
      <c r="I781" t="inlineStr">
        <is>
          <t>W3</t>
        </is>
      </c>
      <c r="J781" t="inlineStr">
        <is>
          <t>2023_Luty_W3</t>
        </is>
      </c>
    </row>
    <row r="782">
      <c r="A782" s="177" t="n">
        <v>44977</v>
      </c>
      <c r="B782" s="177" t="n">
        <v>44971</v>
      </c>
      <c r="C782" s="177" t="n">
        <v>44977</v>
      </c>
      <c r="D782" t="inlineStr">
        <is>
          <t>BW20230214</t>
        </is>
      </c>
      <c r="E782" t="n">
        <v>2023</v>
      </c>
      <c r="F782" t="inlineStr">
        <is>
          <t>Luty</t>
        </is>
      </c>
      <c r="G782" t="inlineStr">
        <is>
          <t>Pn</t>
        </is>
      </c>
      <c r="H782">
        <f>'Floor Hours Engine'!$E$4</f>
        <v/>
      </c>
      <c r="I782" t="inlineStr">
        <is>
          <t>W3</t>
        </is>
      </c>
      <c r="J782" t="inlineStr">
        <is>
          <t>2023_Luty_W3</t>
        </is>
      </c>
    </row>
    <row r="783">
      <c r="A783" s="177" t="n">
        <v>44978</v>
      </c>
      <c r="B783" s="177" t="n">
        <v>44978</v>
      </c>
      <c r="C783" s="177" t="n">
        <v>44984</v>
      </c>
      <c r="D783" t="inlineStr">
        <is>
          <t>BW20230221</t>
        </is>
      </c>
      <c r="E783" t="n">
        <v>2023</v>
      </c>
      <c r="F783" t="inlineStr">
        <is>
          <t>Luty</t>
        </is>
      </c>
      <c r="G783" t="inlineStr">
        <is>
          <t>Wt</t>
        </is>
      </c>
      <c r="H783">
        <f>'Floor Hours Engine'!$E$4</f>
        <v/>
      </c>
      <c r="I783" t="inlineStr">
        <is>
          <t>W4</t>
        </is>
      </c>
      <c r="J783" t="inlineStr">
        <is>
          <t>2023_Luty_W4</t>
        </is>
      </c>
    </row>
    <row r="784">
      <c r="A784" s="177" t="n">
        <v>44979</v>
      </c>
      <c r="B784" s="177" t="n">
        <v>44978</v>
      </c>
      <c r="C784" s="177" t="n">
        <v>44984</v>
      </c>
      <c r="D784" t="inlineStr">
        <is>
          <t>BW20230221</t>
        </is>
      </c>
      <c r="E784" t="n">
        <v>2023</v>
      </c>
      <c r="F784" t="inlineStr">
        <is>
          <t>Luty</t>
        </is>
      </c>
      <c r="G784" t="inlineStr">
        <is>
          <t>Śr</t>
        </is>
      </c>
      <c r="H784">
        <f>'Floor Hours Engine'!$E$4</f>
        <v/>
      </c>
      <c r="I784" t="inlineStr">
        <is>
          <t>W4</t>
        </is>
      </c>
      <c r="J784" t="inlineStr">
        <is>
          <t>2023_Luty_W4</t>
        </is>
      </c>
    </row>
    <row r="785">
      <c r="A785" s="177" t="n">
        <v>44980</v>
      </c>
      <c r="B785" s="177" t="n">
        <v>44978</v>
      </c>
      <c r="C785" s="177" t="n">
        <v>44984</v>
      </c>
      <c r="D785" t="inlineStr">
        <is>
          <t>BW20230221</t>
        </is>
      </c>
      <c r="E785" t="n">
        <v>2023</v>
      </c>
      <c r="F785" t="inlineStr">
        <is>
          <t>Luty</t>
        </is>
      </c>
      <c r="G785" t="inlineStr">
        <is>
          <t>Czw</t>
        </is>
      </c>
      <c r="H785">
        <f>'Floor Hours Engine'!$E$4</f>
        <v/>
      </c>
      <c r="I785" t="inlineStr">
        <is>
          <t>W4</t>
        </is>
      </c>
      <c r="J785" t="inlineStr">
        <is>
          <t>2023_Luty_W4</t>
        </is>
      </c>
    </row>
    <row r="786">
      <c r="A786" s="177" t="n">
        <v>44981</v>
      </c>
      <c r="B786" s="177" t="n">
        <v>44978</v>
      </c>
      <c r="C786" s="177" t="n">
        <v>44984</v>
      </c>
      <c r="D786" t="inlineStr">
        <is>
          <t>BW20230221</t>
        </is>
      </c>
      <c r="E786" t="n">
        <v>2023</v>
      </c>
      <c r="F786" t="inlineStr">
        <is>
          <t>Luty</t>
        </is>
      </c>
      <c r="G786" t="inlineStr">
        <is>
          <t>Pt</t>
        </is>
      </c>
      <c r="H786">
        <f>'Floor Hours Engine'!$E$5</f>
        <v/>
      </c>
      <c r="I786" t="inlineStr">
        <is>
          <t>W4</t>
        </is>
      </c>
      <c r="J786" t="inlineStr">
        <is>
          <t>2023_Luty_W4</t>
        </is>
      </c>
    </row>
    <row r="787">
      <c r="A787" s="177" t="n">
        <v>44982</v>
      </c>
      <c r="B787" s="177" t="n">
        <v>44978</v>
      </c>
      <c r="C787" s="177" t="n">
        <v>44984</v>
      </c>
      <c r="D787" t="inlineStr">
        <is>
          <t>BW20230221</t>
        </is>
      </c>
      <c r="E787" t="n">
        <v>2023</v>
      </c>
      <c r="F787" t="inlineStr">
        <is>
          <t>Luty</t>
        </is>
      </c>
      <c r="G787" t="inlineStr">
        <is>
          <t>Sob</t>
        </is>
      </c>
      <c r="H787">
        <f>'Floor Hours Engine'!$E$5</f>
        <v/>
      </c>
      <c r="I787" t="inlineStr">
        <is>
          <t>W4</t>
        </is>
      </c>
      <c r="J787" t="inlineStr">
        <is>
          <t>2023_Luty_W4</t>
        </is>
      </c>
    </row>
    <row r="788">
      <c r="A788" s="177" t="n">
        <v>44983</v>
      </c>
      <c r="B788" s="177" t="n">
        <v>44978</v>
      </c>
      <c r="C788" s="177" t="n">
        <v>44984</v>
      </c>
      <c r="D788" t="inlineStr">
        <is>
          <t>BW20230221</t>
        </is>
      </c>
      <c r="E788" t="n">
        <v>2023</v>
      </c>
      <c r="F788" t="inlineStr">
        <is>
          <t>Luty</t>
        </is>
      </c>
      <c r="G788" t="inlineStr">
        <is>
          <t>Nd</t>
        </is>
      </c>
      <c r="H788">
        <f>'Floor Hours Engine'!$E$6</f>
        <v/>
      </c>
      <c r="I788" t="inlineStr">
        <is>
          <t>W4</t>
        </is>
      </c>
      <c r="J788" t="inlineStr">
        <is>
          <t>2023_Luty_W4</t>
        </is>
      </c>
    </row>
    <row r="789">
      <c r="A789" s="177" t="n">
        <v>44984</v>
      </c>
      <c r="B789" s="177" t="n">
        <v>44978</v>
      </c>
      <c r="C789" s="177" t="n">
        <v>44984</v>
      </c>
      <c r="D789" t="inlineStr">
        <is>
          <t>BW20230221</t>
        </is>
      </c>
      <c r="E789" t="n">
        <v>2023</v>
      </c>
      <c r="F789" t="inlineStr">
        <is>
          <t>Luty</t>
        </is>
      </c>
      <c r="G789" t="inlineStr">
        <is>
          <t>Pn</t>
        </is>
      </c>
      <c r="H789">
        <f>'Floor Hours Engine'!$E$4</f>
        <v/>
      </c>
      <c r="I789" t="inlineStr">
        <is>
          <t>W4</t>
        </is>
      </c>
      <c r="J789" t="inlineStr">
        <is>
          <t>2023_Luty_W4</t>
        </is>
      </c>
    </row>
    <row r="790">
      <c r="A790" s="177" t="n">
        <v>44985</v>
      </c>
      <c r="B790" s="177" t="n">
        <v>44985</v>
      </c>
      <c r="C790" s="177" t="n">
        <v>44991</v>
      </c>
      <c r="D790" t="inlineStr">
        <is>
          <t>BW20230228</t>
        </is>
      </c>
      <c r="E790" t="n">
        <v>2023</v>
      </c>
      <c r="F790" t="inlineStr">
        <is>
          <t>Luty</t>
        </is>
      </c>
      <c r="G790" t="inlineStr">
        <is>
          <t>Wt</t>
        </is>
      </c>
      <c r="H790">
        <f>'Floor Hours Engine'!$E$4</f>
        <v/>
      </c>
      <c r="I790" t="inlineStr">
        <is>
          <t>W5</t>
        </is>
      </c>
      <c r="J790" t="inlineStr">
        <is>
          <t>2023_Luty_W5</t>
        </is>
      </c>
    </row>
    <row r="791">
      <c r="A791" s="177" t="n">
        <v>44986</v>
      </c>
      <c r="B791" s="177" t="n">
        <v>44985</v>
      </c>
      <c r="C791" s="177" t="n">
        <v>44991</v>
      </c>
      <c r="D791" t="inlineStr">
        <is>
          <t>BW20230228</t>
        </is>
      </c>
      <c r="E791" t="n">
        <v>2023</v>
      </c>
      <c r="F791" t="inlineStr">
        <is>
          <t>Marzec</t>
        </is>
      </c>
      <c r="G791" t="inlineStr">
        <is>
          <t>Śr</t>
        </is>
      </c>
      <c r="H791">
        <f>'Floor Hours Engine'!$E$4</f>
        <v/>
      </c>
      <c r="I791" t="inlineStr">
        <is>
          <t>W1</t>
        </is>
      </c>
      <c r="J791" t="inlineStr">
        <is>
          <t>2023_Marzec_W1</t>
        </is>
      </c>
    </row>
    <row r="792">
      <c r="A792" s="177" t="n">
        <v>44987</v>
      </c>
      <c r="B792" s="177" t="n">
        <v>44985</v>
      </c>
      <c r="C792" s="177" t="n">
        <v>44991</v>
      </c>
      <c r="D792" t="inlineStr">
        <is>
          <t>BW20230228</t>
        </is>
      </c>
      <c r="E792" t="n">
        <v>2023</v>
      </c>
      <c r="F792" t="inlineStr">
        <is>
          <t>Marzec</t>
        </is>
      </c>
      <c r="G792" t="inlineStr">
        <is>
          <t>Czw</t>
        </is>
      </c>
      <c r="H792">
        <f>'Floor Hours Engine'!$E$4</f>
        <v/>
      </c>
      <c r="I792" t="inlineStr">
        <is>
          <t>W1</t>
        </is>
      </c>
      <c r="J792" t="inlineStr">
        <is>
          <t>2023_Marzec_W1</t>
        </is>
      </c>
    </row>
    <row r="793">
      <c r="A793" s="177" t="n">
        <v>44988</v>
      </c>
      <c r="B793" s="177" t="n">
        <v>44985</v>
      </c>
      <c r="C793" s="177" t="n">
        <v>44991</v>
      </c>
      <c r="D793" t="inlineStr">
        <is>
          <t>BW20230228</t>
        </is>
      </c>
      <c r="E793" t="n">
        <v>2023</v>
      </c>
      <c r="F793" t="inlineStr">
        <is>
          <t>Marzec</t>
        </is>
      </c>
      <c r="G793" t="inlineStr">
        <is>
          <t>Pt</t>
        </is>
      </c>
      <c r="H793">
        <f>'Floor Hours Engine'!$E$5</f>
        <v/>
      </c>
      <c r="I793" t="inlineStr">
        <is>
          <t>W1</t>
        </is>
      </c>
      <c r="J793" t="inlineStr">
        <is>
          <t>2023_Marzec_W1</t>
        </is>
      </c>
    </row>
    <row r="794">
      <c r="A794" s="177" t="n">
        <v>44989</v>
      </c>
      <c r="B794" s="177" t="n">
        <v>44985</v>
      </c>
      <c r="C794" s="177" t="n">
        <v>44991</v>
      </c>
      <c r="D794" t="inlineStr">
        <is>
          <t>BW20230228</t>
        </is>
      </c>
      <c r="E794" t="n">
        <v>2023</v>
      </c>
      <c r="F794" t="inlineStr">
        <is>
          <t>Marzec</t>
        </is>
      </c>
      <c r="G794" t="inlineStr">
        <is>
          <t>Sob</t>
        </is>
      </c>
      <c r="H794">
        <f>'Floor Hours Engine'!$E$5</f>
        <v/>
      </c>
      <c r="I794" t="inlineStr">
        <is>
          <t>W1</t>
        </is>
      </c>
      <c r="J794" t="inlineStr">
        <is>
          <t>2023_Marzec_W1</t>
        </is>
      </c>
    </row>
    <row r="795">
      <c r="A795" s="177" t="n">
        <v>44990</v>
      </c>
      <c r="B795" s="177" t="n">
        <v>44985</v>
      </c>
      <c r="C795" s="177" t="n">
        <v>44991</v>
      </c>
      <c r="D795" t="inlineStr">
        <is>
          <t>BW20230228</t>
        </is>
      </c>
      <c r="E795" t="n">
        <v>2023</v>
      </c>
      <c r="F795" t="inlineStr">
        <is>
          <t>Marzec</t>
        </is>
      </c>
      <c r="G795" t="inlineStr">
        <is>
          <t>Nd</t>
        </is>
      </c>
      <c r="H795">
        <f>'Floor Hours Engine'!$E$6</f>
        <v/>
      </c>
      <c r="I795" t="inlineStr">
        <is>
          <t>W1</t>
        </is>
      </c>
      <c r="J795" t="inlineStr">
        <is>
          <t>2023_Marzec_W1</t>
        </is>
      </c>
    </row>
    <row r="796">
      <c r="A796" s="177" t="n">
        <v>44991</v>
      </c>
      <c r="B796" s="177" t="n">
        <v>44985</v>
      </c>
      <c r="C796" s="177" t="n">
        <v>44991</v>
      </c>
      <c r="D796" t="inlineStr">
        <is>
          <t>BW20230228</t>
        </is>
      </c>
      <c r="E796" t="n">
        <v>2023</v>
      </c>
      <c r="F796" t="inlineStr">
        <is>
          <t>Marzec</t>
        </is>
      </c>
      <c r="G796" t="inlineStr">
        <is>
          <t>Pn</t>
        </is>
      </c>
      <c r="H796">
        <f>'Floor Hours Engine'!$E$4</f>
        <v/>
      </c>
      <c r="I796" t="inlineStr">
        <is>
          <t>W1</t>
        </is>
      </c>
      <c r="J796" t="inlineStr">
        <is>
          <t>2023_Marzec_W1</t>
        </is>
      </c>
    </row>
    <row r="797">
      <c r="A797" s="177" t="n">
        <v>44992</v>
      </c>
      <c r="B797" s="177" t="n">
        <v>44992</v>
      </c>
      <c r="C797" s="177" t="n">
        <v>44998</v>
      </c>
      <c r="D797" t="inlineStr">
        <is>
          <t>BW20230307</t>
        </is>
      </c>
      <c r="E797" t="n">
        <v>2023</v>
      </c>
      <c r="F797" t="inlineStr">
        <is>
          <t>Marzec</t>
        </is>
      </c>
      <c r="G797" t="inlineStr">
        <is>
          <t>Wt</t>
        </is>
      </c>
      <c r="H797">
        <f>'Floor Hours Engine'!$E$4</f>
        <v/>
      </c>
      <c r="I797" t="inlineStr">
        <is>
          <t>W2</t>
        </is>
      </c>
      <c r="J797" t="inlineStr">
        <is>
          <t>2023_Marzec_W2</t>
        </is>
      </c>
    </row>
    <row r="798">
      <c r="A798" s="177" t="n">
        <v>44993</v>
      </c>
      <c r="B798" s="177" t="n">
        <v>44992</v>
      </c>
      <c r="C798" s="177" t="n">
        <v>44998</v>
      </c>
      <c r="D798" t="inlineStr">
        <is>
          <t>BW20230307</t>
        </is>
      </c>
      <c r="E798" t="n">
        <v>2023</v>
      </c>
      <c r="F798" t="inlineStr">
        <is>
          <t>Marzec</t>
        </is>
      </c>
      <c r="G798" t="inlineStr">
        <is>
          <t>Śr</t>
        </is>
      </c>
      <c r="H798">
        <f>'Floor Hours Engine'!$E$4</f>
        <v/>
      </c>
      <c r="I798" t="inlineStr">
        <is>
          <t>W2</t>
        </is>
      </c>
      <c r="J798" t="inlineStr">
        <is>
          <t>2023_Marzec_W2</t>
        </is>
      </c>
    </row>
    <row r="799">
      <c r="A799" s="177" t="n">
        <v>44994</v>
      </c>
      <c r="B799" s="177" t="n">
        <v>44992</v>
      </c>
      <c r="C799" s="177" t="n">
        <v>44998</v>
      </c>
      <c r="D799" t="inlineStr">
        <is>
          <t>BW20230307</t>
        </is>
      </c>
      <c r="E799" t="n">
        <v>2023</v>
      </c>
      <c r="F799" t="inlineStr">
        <is>
          <t>Marzec</t>
        </is>
      </c>
      <c r="G799" t="inlineStr">
        <is>
          <t>Czw</t>
        </is>
      </c>
      <c r="H799">
        <f>'Floor Hours Engine'!$E$4</f>
        <v/>
      </c>
      <c r="I799" t="inlineStr">
        <is>
          <t>W2</t>
        </is>
      </c>
      <c r="J799" t="inlineStr">
        <is>
          <t>2023_Marzec_W2</t>
        </is>
      </c>
    </row>
    <row r="800">
      <c r="A800" s="177" t="n">
        <v>44995</v>
      </c>
      <c r="B800" s="177" t="n">
        <v>44992</v>
      </c>
      <c r="C800" s="177" t="n">
        <v>44998</v>
      </c>
      <c r="D800" t="inlineStr">
        <is>
          <t>BW20230307</t>
        </is>
      </c>
      <c r="E800" t="n">
        <v>2023</v>
      </c>
      <c r="F800" t="inlineStr">
        <is>
          <t>Marzec</t>
        </is>
      </c>
      <c r="G800" t="inlineStr">
        <is>
          <t>Pt</t>
        </is>
      </c>
      <c r="H800">
        <f>'Floor Hours Engine'!$E$5</f>
        <v/>
      </c>
      <c r="I800" t="inlineStr">
        <is>
          <t>W2</t>
        </is>
      </c>
      <c r="J800" t="inlineStr">
        <is>
          <t>2023_Marzec_W2</t>
        </is>
      </c>
    </row>
    <row r="801">
      <c r="A801" s="177" t="n">
        <v>44996</v>
      </c>
      <c r="B801" s="177" t="n">
        <v>44992</v>
      </c>
      <c r="C801" s="177" t="n">
        <v>44998</v>
      </c>
      <c r="D801" t="inlineStr">
        <is>
          <t>BW20230307</t>
        </is>
      </c>
      <c r="E801" t="n">
        <v>2023</v>
      </c>
      <c r="F801" t="inlineStr">
        <is>
          <t>Marzec</t>
        </is>
      </c>
      <c r="G801" t="inlineStr">
        <is>
          <t>Sob</t>
        </is>
      </c>
      <c r="H801">
        <f>'Floor Hours Engine'!$E$5</f>
        <v/>
      </c>
      <c r="I801" t="inlineStr">
        <is>
          <t>W2</t>
        </is>
      </c>
      <c r="J801" t="inlineStr">
        <is>
          <t>2023_Marzec_W2</t>
        </is>
      </c>
    </row>
    <row r="802">
      <c r="A802" s="177" t="n">
        <v>44997</v>
      </c>
      <c r="B802" s="177" t="n">
        <v>44992</v>
      </c>
      <c r="C802" s="177" t="n">
        <v>44998</v>
      </c>
      <c r="D802" t="inlineStr">
        <is>
          <t>BW20230307</t>
        </is>
      </c>
      <c r="E802" t="n">
        <v>2023</v>
      </c>
      <c r="F802" t="inlineStr">
        <is>
          <t>Marzec</t>
        </is>
      </c>
      <c r="G802" t="inlineStr">
        <is>
          <t>Nd</t>
        </is>
      </c>
      <c r="H802">
        <f>'Floor Hours Engine'!$E$6</f>
        <v/>
      </c>
      <c r="I802" t="inlineStr">
        <is>
          <t>W2</t>
        </is>
      </c>
      <c r="J802" t="inlineStr">
        <is>
          <t>2023_Marzec_W2</t>
        </is>
      </c>
    </row>
    <row r="803">
      <c r="A803" s="177" t="n">
        <v>44998</v>
      </c>
      <c r="B803" s="177" t="n">
        <v>44992</v>
      </c>
      <c r="C803" s="177" t="n">
        <v>44998</v>
      </c>
      <c r="D803" t="inlineStr">
        <is>
          <t>BW20230307</t>
        </is>
      </c>
      <c r="E803" t="n">
        <v>2023</v>
      </c>
      <c r="F803" t="inlineStr">
        <is>
          <t>Marzec</t>
        </is>
      </c>
      <c r="G803" t="inlineStr">
        <is>
          <t>Pn</t>
        </is>
      </c>
      <c r="H803">
        <f>'Floor Hours Engine'!$E$4</f>
        <v/>
      </c>
      <c r="I803" t="inlineStr">
        <is>
          <t>W2</t>
        </is>
      </c>
      <c r="J803" t="inlineStr">
        <is>
          <t>2023_Marzec_W2</t>
        </is>
      </c>
    </row>
    <row r="804">
      <c r="A804" s="177" t="n">
        <v>44999</v>
      </c>
      <c r="B804" s="177" t="n">
        <v>44999</v>
      </c>
      <c r="C804" s="177" t="n">
        <v>45005</v>
      </c>
      <c r="D804" t="inlineStr">
        <is>
          <t>BW20230314</t>
        </is>
      </c>
      <c r="E804" t="n">
        <v>2023</v>
      </c>
      <c r="F804" t="inlineStr">
        <is>
          <t>Marzec</t>
        </is>
      </c>
      <c r="G804" t="inlineStr">
        <is>
          <t>Wt</t>
        </is>
      </c>
      <c r="H804">
        <f>'Floor Hours Engine'!$E$4</f>
        <v/>
      </c>
      <c r="I804" t="inlineStr">
        <is>
          <t>W3</t>
        </is>
      </c>
      <c r="J804" t="inlineStr">
        <is>
          <t>2023_Marzec_W3</t>
        </is>
      </c>
    </row>
    <row r="805">
      <c r="A805" s="177" t="n">
        <v>45000</v>
      </c>
      <c r="B805" s="177" t="n">
        <v>44999</v>
      </c>
      <c r="C805" s="177" t="n">
        <v>45005</v>
      </c>
      <c r="D805" t="inlineStr">
        <is>
          <t>BW20230314</t>
        </is>
      </c>
      <c r="E805" t="n">
        <v>2023</v>
      </c>
      <c r="F805" t="inlineStr">
        <is>
          <t>Marzec</t>
        </is>
      </c>
      <c r="G805" t="inlineStr">
        <is>
          <t>Śr</t>
        </is>
      </c>
      <c r="H805">
        <f>'Floor Hours Engine'!$E$4</f>
        <v/>
      </c>
      <c r="I805" t="inlineStr">
        <is>
          <t>W3</t>
        </is>
      </c>
      <c r="J805" t="inlineStr">
        <is>
          <t>2023_Marzec_W3</t>
        </is>
      </c>
    </row>
    <row r="806">
      <c r="A806" s="177" t="n">
        <v>45001</v>
      </c>
      <c r="B806" s="177" t="n">
        <v>44999</v>
      </c>
      <c r="C806" s="177" t="n">
        <v>45005</v>
      </c>
      <c r="D806" t="inlineStr">
        <is>
          <t>BW20230314</t>
        </is>
      </c>
      <c r="E806" t="n">
        <v>2023</v>
      </c>
      <c r="F806" t="inlineStr">
        <is>
          <t>Marzec</t>
        </is>
      </c>
      <c r="G806" t="inlineStr">
        <is>
          <t>Czw</t>
        </is>
      </c>
      <c r="H806">
        <f>'Floor Hours Engine'!$E$4</f>
        <v/>
      </c>
      <c r="I806" t="inlineStr">
        <is>
          <t>W3</t>
        </is>
      </c>
      <c r="J806" t="inlineStr">
        <is>
          <t>2023_Marzec_W3</t>
        </is>
      </c>
    </row>
    <row r="807">
      <c r="A807" s="177" t="n">
        <v>45002</v>
      </c>
      <c r="B807" s="177" t="n">
        <v>44999</v>
      </c>
      <c r="C807" s="177" t="n">
        <v>45005</v>
      </c>
      <c r="D807" t="inlineStr">
        <is>
          <t>BW20230314</t>
        </is>
      </c>
      <c r="E807" t="n">
        <v>2023</v>
      </c>
      <c r="F807" t="inlineStr">
        <is>
          <t>Marzec</t>
        </is>
      </c>
      <c r="G807" t="inlineStr">
        <is>
          <t>Pt</t>
        </is>
      </c>
      <c r="H807">
        <f>'Floor Hours Engine'!$E$5</f>
        <v/>
      </c>
      <c r="I807" t="inlineStr">
        <is>
          <t>W3</t>
        </is>
      </c>
      <c r="J807" t="inlineStr">
        <is>
          <t>2023_Marzec_W3</t>
        </is>
      </c>
    </row>
    <row r="808">
      <c r="A808" s="177" t="n">
        <v>45003</v>
      </c>
      <c r="B808" s="177" t="n">
        <v>44999</v>
      </c>
      <c r="C808" s="177" t="n">
        <v>45005</v>
      </c>
      <c r="D808" t="inlineStr">
        <is>
          <t>BW20230314</t>
        </is>
      </c>
      <c r="E808" t="n">
        <v>2023</v>
      </c>
      <c r="F808" t="inlineStr">
        <is>
          <t>Marzec</t>
        </is>
      </c>
      <c r="G808" t="inlineStr">
        <is>
          <t>Sob</t>
        </is>
      </c>
      <c r="H808">
        <f>'Floor Hours Engine'!$E$5</f>
        <v/>
      </c>
      <c r="I808" t="inlineStr">
        <is>
          <t>W3</t>
        </is>
      </c>
      <c r="J808" t="inlineStr">
        <is>
          <t>2023_Marzec_W3</t>
        </is>
      </c>
    </row>
    <row r="809">
      <c r="A809" s="177" t="n">
        <v>45004</v>
      </c>
      <c r="B809" s="177" t="n">
        <v>44999</v>
      </c>
      <c r="C809" s="177" t="n">
        <v>45005</v>
      </c>
      <c r="D809" t="inlineStr">
        <is>
          <t>BW20230314</t>
        </is>
      </c>
      <c r="E809" t="n">
        <v>2023</v>
      </c>
      <c r="F809" t="inlineStr">
        <is>
          <t>Marzec</t>
        </is>
      </c>
      <c r="G809" t="inlineStr">
        <is>
          <t>Nd</t>
        </is>
      </c>
      <c r="H809">
        <f>'Floor Hours Engine'!$E$6</f>
        <v/>
      </c>
      <c r="I809" t="inlineStr">
        <is>
          <t>W3</t>
        </is>
      </c>
      <c r="J809" t="inlineStr">
        <is>
          <t>2023_Marzec_W3</t>
        </is>
      </c>
    </row>
    <row r="810">
      <c r="A810" s="177" t="n">
        <v>45005</v>
      </c>
      <c r="B810" s="177" t="n">
        <v>44999</v>
      </c>
      <c r="C810" s="177" t="n">
        <v>45005</v>
      </c>
      <c r="D810" t="inlineStr">
        <is>
          <t>BW20230314</t>
        </is>
      </c>
      <c r="E810" t="n">
        <v>2023</v>
      </c>
      <c r="F810" t="inlineStr">
        <is>
          <t>Marzec</t>
        </is>
      </c>
      <c r="G810" t="inlineStr">
        <is>
          <t>Pn</t>
        </is>
      </c>
      <c r="H810">
        <f>'Floor Hours Engine'!$E$4</f>
        <v/>
      </c>
      <c r="I810" t="inlineStr">
        <is>
          <t>W3</t>
        </is>
      </c>
      <c r="J810" t="inlineStr">
        <is>
          <t>2023_Marzec_W3</t>
        </is>
      </c>
    </row>
    <row r="811">
      <c r="A811" s="177" t="n">
        <v>45006</v>
      </c>
      <c r="B811" s="177" t="n">
        <v>45006</v>
      </c>
      <c r="C811" s="177" t="n">
        <v>45012</v>
      </c>
      <c r="D811" t="inlineStr">
        <is>
          <t>BW20230321</t>
        </is>
      </c>
      <c r="E811" t="n">
        <v>2023</v>
      </c>
      <c r="F811" t="inlineStr">
        <is>
          <t>Marzec</t>
        </is>
      </c>
      <c r="G811" t="inlineStr">
        <is>
          <t>Wt</t>
        </is>
      </c>
      <c r="H811">
        <f>'Floor Hours Engine'!$E$4</f>
        <v/>
      </c>
      <c r="I811" t="inlineStr">
        <is>
          <t>W4</t>
        </is>
      </c>
      <c r="J811" t="inlineStr">
        <is>
          <t>2023_Marzec_W4</t>
        </is>
      </c>
    </row>
    <row r="812">
      <c r="A812" s="177" t="n">
        <v>45007</v>
      </c>
      <c r="B812" s="177" t="n">
        <v>45006</v>
      </c>
      <c r="C812" s="177" t="n">
        <v>45012</v>
      </c>
      <c r="D812" t="inlineStr">
        <is>
          <t>BW20230321</t>
        </is>
      </c>
      <c r="E812" t="n">
        <v>2023</v>
      </c>
      <c r="F812" t="inlineStr">
        <is>
          <t>Marzec</t>
        </is>
      </c>
      <c r="G812" t="inlineStr">
        <is>
          <t>Śr</t>
        </is>
      </c>
      <c r="H812">
        <f>'Floor Hours Engine'!$E$4</f>
        <v/>
      </c>
      <c r="I812" t="inlineStr">
        <is>
          <t>W4</t>
        </is>
      </c>
      <c r="J812" t="inlineStr">
        <is>
          <t>2023_Marzec_W4</t>
        </is>
      </c>
    </row>
    <row r="813">
      <c r="A813" s="177" t="n">
        <v>45008</v>
      </c>
      <c r="B813" s="177" t="n">
        <v>45006</v>
      </c>
      <c r="C813" s="177" t="n">
        <v>45012</v>
      </c>
      <c r="D813" t="inlineStr">
        <is>
          <t>BW20230321</t>
        </is>
      </c>
      <c r="E813" t="n">
        <v>2023</v>
      </c>
      <c r="F813" t="inlineStr">
        <is>
          <t>Marzec</t>
        </is>
      </c>
      <c r="G813" t="inlineStr">
        <is>
          <t>Czw</t>
        </is>
      </c>
      <c r="H813">
        <f>'Floor Hours Engine'!$E$4</f>
        <v/>
      </c>
      <c r="I813" t="inlineStr">
        <is>
          <t>W4</t>
        </is>
      </c>
      <c r="J813" t="inlineStr">
        <is>
          <t>2023_Marzec_W4</t>
        </is>
      </c>
    </row>
    <row r="814">
      <c r="A814" s="177" t="n">
        <v>45009</v>
      </c>
      <c r="B814" s="177" t="n">
        <v>45006</v>
      </c>
      <c r="C814" s="177" t="n">
        <v>45012</v>
      </c>
      <c r="D814" t="inlineStr">
        <is>
          <t>BW20230321</t>
        </is>
      </c>
      <c r="E814" t="n">
        <v>2023</v>
      </c>
      <c r="F814" t="inlineStr">
        <is>
          <t>Marzec</t>
        </is>
      </c>
      <c r="G814" t="inlineStr">
        <is>
          <t>Pt</t>
        </is>
      </c>
      <c r="H814">
        <f>'Floor Hours Engine'!$E$5</f>
        <v/>
      </c>
      <c r="I814" t="inlineStr">
        <is>
          <t>W4</t>
        </is>
      </c>
      <c r="J814" t="inlineStr">
        <is>
          <t>2023_Marzec_W4</t>
        </is>
      </c>
    </row>
    <row r="815">
      <c r="A815" s="177" t="n">
        <v>45010</v>
      </c>
      <c r="B815" s="177" t="n">
        <v>45006</v>
      </c>
      <c r="C815" s="177" t="n">
        <v>45012</v>
      </c>
      <c r="D815" t="inlineStr">
        <is>
          <t>BW20230321</t>
        </is>
      </c>
      <c r="E815" t="n">
        <v>2023</v>
      </c>
      <c r="F815" t="inlineStr">
        <is>
          <t>Marzec</t>
        </is>
      </c>
      <c r="G815" t="inlineStr">
        <is>
          <t>Sob</t>
        </is>
      </c>
      <c r="H815">
        <f>'Floor Hours Engine'!$E$5</f>
        <v/>
      </c>
      <c r="I815" t="inlineStr">
        <is>
          <t>W4</t>
        </is>
      </c>
      <c r="J815" t="inlineStr">
        <is>
          <t>2023_Marzec_W4</t>
        </is>
      </c>
    </row>
    <row r="816">
      <c r="A816" s="177" t="n">
        <v>45011</v>
      </c>
      <c r="B816" s="177" t="n">
        <v>45006</v>
      </c>
      <c r="C816" s="177" t="n">
        <v>45012</v>
      </c>
      <c r="D816" t="inlineStr">
        <is>
          <t>BW20230321</t>
        </is>
      </c>
      <c r="E816" t="n">
        <v>2023</v>
      </c>
      <c r="F816" t="inlineStr">
        <is>
          <t>Marzec</t>
        </is>
      </c>
      <c r="G816" t="inlineStr">
        <is>
          <t>Nd</t>
        </is>
      </c>
      <c r="H816">
        <f>'Floor Hours Engine'!$E$6</f>
        <v/>
      </c>
      <c r="I816" t="inlineStr">
        <is>
          <t>W4</t>
        </is>
      </c>
      <c r="J816" t="inlineStr">
        <is>
          <t>2023_Marzec_W4</t>
        </is>
      </c>
    </row>
    <row r="817">
      <c r="A817" s="177" t="n">
        <v>45012</v>
      </c>
      <c r="B817" s="177" t="n">
        <v>45006</v>
      </c>
      <c r="C817" s="177" t="n">
        <v>45012</v>
      </c>
      <c r="D817" t="inlineStr">
        <is>
          <t>BW20230321</t>
        </is>
      </c>
      <c r="E817" t="n">
        <v>2023</v>
      </c>
      <c r="F817" t="inlineStr">
        <is>
          <t>Marzec</t>
        </is>
      </c>
      <c r="G817" t="inlineStr">
        <is>
          <t>Pn</t>
        </is>
      </c>
      <c r="H817">
        <f>'Floor Hours Engine'!$E$4</f>
        <v/>
      </c>
      <c r="I817" t="inlineStr">
        <is>
          <t>W4</t>
        </is>
      </c>
      <c r="J817" t="inlineStr">
        <is>
          <t>2023_Marzec_W4</t>
        </is>
      </c>
    </row>
    <row r="818">
      <c r="A818" s="177" t="n">
        <v>45013</v>
      </c>
      <c r="B818" s="177" t="n">
        <v>45013</v>
      </c>
      <c r="C818" s="177" t="n">
        <v>45019</v>
      </c>
      <c r="D818" t="inlineStr">
        <is>
          <t>BW20230328</t>
        </is>
      </c>
      <c r="E818" t="n">
        <v>2023</v>
      </c>
      <c r="F818" t="inlineStr">
        <is>
          <t>Marzec</t>
        </is>
      </c>
      <c r="G818" t="inlineStr">
        <is>
          <t>Wt</t>
        </is>
      </c>
      <c r="H818">
        <f>'Floor Hours Engine'!$E$4</f>
        <v/>
      </c>
      <c r="I818" t="inlineStr">
        <is>
          <t>W5</t>
        </is>
      </c>
      <c r="J818" t="inlineStr">
        <is>
          <t>2023_Marzec_W5</t>
        </is>
      </c>
    </row>
    <row r="819">
      <c r="A819" s="177" t="n">
        <v>45014</v>
      </c>
      <c r="B819" s="177" t="n">
        <v>45013</v>
      </c>
      <c r="C819" s="177" t="n">
        <v>45019</v>
      </c>
      <c r="D819" t="inlineStr">
        <is>
          <t>BW20230328</t>
        </is>
      </c>
      <c r="E819" t="n">
        <v>2023</v>
      </c>
      <c r="F819" t="inlineStr">
        <is>
          <t>Marzec</t>
        </is>
      </c>
      <c r="G819" t="inlineStr">
        <is>
          <t>Śr</t>
        </is>
      </c>
      <c r="H819">
        <f>'Floor Hours Engine'!$E$4</f>
        <v/>
      </c>
      <c r="I819" t="inlineStr">
        <is>
          <t>W5</t>
        </is>
      </c>
      <c r="J819" t="inlineStr">
        <is>
          <t>2023_Marzec_W5</t>
        </is>
      </c>
    </row>
    <row r="820">
      <c r="A820" s="177" t="n">
        <v>45015</v>
      </c>
      <c r="B820" s="177" t="n">
        <v>45013</v>
      </c>
      <c r="C820" s="177" t="n">
        <v>45019</v>
      </c>
      <c r="D820" t="inlineStr">
        <is>
          <t>BW20230328</t>
        </is>
      </c>
      <c r="E820" t="n">
        <v>2023</v>
      </c>
      <c r="F820" t="inlineStr">
        <is>
          <t>Marzec</t>
        </is>
      </c>
      <c r="G820" t="inlineStr">
        <is>
          <t>Czw</t>
        </is>
      </c>
      <c r="H820">
        <f>'Floor Hours Engine'!$E$4</f>
        <v/>
      </c>
      <c r="I820" t="inlineStr">
        <is>
          <t>W5</t>
        </is>
      </c>
      <c r="J820" t="inlineStr">
        <is>
          <t>2023_Marzec_W5</t>
        </is>
      </c>
    </row>
    <row r="821">
      <c r="A821" s="177" t="n">
        <v>45016</v>
      </c>
      <c r="B821" s="177" t="n">
        <v>45013</v>
      </c>
      <c r="C821" s="177" t="n">
        <v>45019</v>
      </c>
      <c r="D821" t="inlineStr">
        <is>
          <t>BW20230328</t>
        </is>
      </c>
      <c r="E821" t="n">
        <v>2023</v>
      </c>
      <c r="F821" t="inlineStr">
        <is>
          <t>Marzec</t>
        </is>
      </c>
      <c r="G821" t="inlineStr">
        <is>
          <t>Pt</t>
        </is>
      </c>
      <c r="H821">
        <f>'Floor Hours Engine'!$E$5</f>
        <v/>
      </c>
      <c r="I821" t="inlineStr">
        <is>
          <t>W5</t>
        </is>
      </c>
      <c r="J821" t="inlineStr">
        <is>
          <t>2023_Marzec_W5</t>
        </is>
      </c>
    </row>
    <row r="822">
      <c r="A822" s="177" t="n">
        <v>45017</v>
      </c>
      <c r="B822" s="177" t="n">
        <v>45013</v>
      </c>
      <c r="C822" s="177" t="n">
        <v>45019</v>
      </c>
      <c r="D822" t="inlineStr">
        <is>
          <t>BW20230328</t>
        </is>
      </c>
      <c r="E822" t="n">
        <v>2023</v>
      </c>
      <c r="F822" t="inlineStr">
        <is>
          <t>Kwiecień</t>
        </is>
      </c>
      <c r="G822" t="inlineStr">
        <is>
          <t>Sob</t>
        </is>
      </c>
      <c r="H822">
        <f>'Floor Hours Engine'!$E$5</f>
        <v/>
      </c>
      <c r="I822" t="inlineStr">
        <is>
          <t>W1</t>
        </is>
      </c>
      <c r="J822" t="inlineStr">
        <is>
          <t>2023_Kwiecień_W1</t>
        </is>
      </c>
    </row>
    <row r="823">
      <c r="A823" s="177" t="n">
        <v>45018</v>
      </c>
      <c r="B823" s="177" t="n">
        <v>45013</v>
      </c>
      <c r="C823" s="177" t="n">
        <v>45019</v>
      </c>
      <c r="D823" t="inlineStr">
        <is>
          <t>BW20230328</t>
        </is>
      </c>
      <c r="E823" t="n">
        <v>2023</v>
      </c>
      <c r="F823" t="inlineStr">
        <is>
          <t>Kwiecień</t>
        </is>
      </c>
      <c r="G823" t="inlineStr">
        <is>
          <t>Nd</t>
        </is>
      </c>
      <c r="H823">
        <f>'Floor Hours Engine'!$E$6</f>
        <v/>
      </c>
      <c r="I823" t="inlineStr">
        <is>
          <t>W1</t>
        </is>
      </c>
      <c r="J823" t="inlineStr">
        <is>
          <t>2023_Kwiecień_W1</t>
        </is>
      </c>
    </row>
    <row r="824">
      <c r="A824" s="177" t="n">
        <v>45019</v>
      </c>
      <c r="B824" s="177" t="n">
        <v>45013</v>
      </c>
      <c r="C824" s="177" t="n">
        <v>45019</v>
      </c>
      <c r="D824" t="inlineStr">
        <is>
          <t>BW20230328</t>
        </is>
      </c>
      <c r="E824" t="n">
        <v>2023</v>
      </c>
      <c r="F824" t="inlineStr">
        <is>
          <t>Kwiecień</t>
        </is>
      </c>
      <c r="G824" t="inlineStr">
        <is>
          <t>Pn</t>
        </is>
      </c>
      <c r="H824">
        <f>'Floor Hours Engine'!$E$4</f>
        <v/>
      </c>
      <c r="I824" t="inlineStr">
        <is>
          <t>W1</t>
        </is>
      </c>
      <c r="J824" t="inlineStr">
        <is>
          <t>2023_Kwiecień_W1</t>
        </is>
      </c>
    </row>
    <row r="825">
      <c r="A825" s="177" t="n">
        <v>45020</v>
      </c>
      <c r="B825" s="177" t="n">
        <v>45020</v>
      </c>
      <c r="C825" s="177" t="n">
        <v>45026</v>
      </c>
      <c r="D825" t="inlineStr">
        <is>
          <t>BW20230404</t>
        </is>
      </c>
      <c r="E825" t="n">
        <v>2023</v>
      </c>
      <c r="F825" t="inlineStr">
        <is>
          <t>Kwiecień</t>
        </is>
      </c>
      <c r="G825" t="inlineStr">
        <is>
          <t>Wt</t>
        </is>
      </c>
      <c r="H825">
        <f>'Floor Hours Engine'!$E$4</f>
        <v/>
      </c>
      <c r="I825" t="inlineStr">
        <is>
          <t>W2</t>
        </is>
      </c>
      <c r="J825" t="inlineStr">
        <is>
          <t>2023_Kwiecień_W2</t>
        </is>
      </c>
    </row>
    <row r="826">
      <c r="A826" s="177" t="n">
        <v>45021</v>
      </c>
      <c r="B826" s="177" t="n">
        <v>45020</v>
      </c>
      <c r="C826" s="177" t="n">
        <v>45026</v>
      </c>
      <c r="D826" t="inlineStr">
        <is>
          <t>BW20230404</t>
        </is>
      </c>
      <c r="E826" t="n">
        <v>2023</v>
      </c>
      <c r="F826" t="inlineStr">
        <is>
          <t>Kwiecień</t>
        </is>
      </c>
      <c r="G826" t="inlineStr">
        <is>
          <t>Śr</t>
        </is>
      </c>
      <c r="H826">
        <f>'Floor Hours Engine'!$E$4</f>
        <v/>
      </c>
      <c r="I826" t="inlineStr">
        <is>
          <t>W2</t>
        </is>
      </c>
      <c r="J826" t="inlineStr">
        <is>
          <t>2023_Kwiecień_W2</t>
        </is>
      </c>
    </row>
    <row r="827">
      <c r="A827" s="177" t="n">
        <v>45022</v>
      </c>
      <c r="B827" s="177" t="n">
        <v>45020</v>
      </c>
      <c r="C827" s="177" t="n">
        <v>45026</v>
      </c>
      <c r="D827" t="inlineStr">
        <is>
          <t>BW20230404</t>
        </is>
      </c>
      <c r="E827" t="n">
        <v>2023</v>
      </c>
      <c r="F827" t="inlineStr">
        <is>
          <t>Kwiecień</t>
        </is>
      </c>
      <c r="G827" t="inlineStr">
        <is>
          <t>Czw</t>
        </is>
      </c>
      <c r="H827">
        <f>'Floor Hours Engine'!$E$4</f>
        <v/>
      </c>
      <c r="I827" t="inlineStr">
        <is>
          <t>W2</t>
        </is>
      </c>
      <c r="J827" t="inlineStr">
        <is>
          <t>2023_Kwiecień_W2</t>
        </is>
      </c>
    </row>
    <row r="828">
      <c r="A828" s="177" t="n">
        <v>45023</v>
      </c>
      <c r="B828" s="177" t="n">
        <v>45020</v>
      </c>
      <c r="C828" s="177" t="n">
        <v>45026</v>
      </c>
      <c r="D828" t="inlineStr">
        <is>
          <t>BW20230404</t>
        </is>
      </c>
      <c r="E828" t="n">
        <v>2023</v>
      </c>
      <c r="F828" t="inlineStr">
        <is>
          <t>Kwiecień</t>
        </is>
      </c>
      <c r="G828" t="inlineStr">
        <is>
          <t>Pt</t>
        </is>
      </c>
      <c r="H828">
        <f>'Floor Hours Engine'!$E$5</f>
        <v/>
      </c>
      <c r="I828" t="inlineStr">
        <is>
          <t>W2</t>
        </is>
      </c>
      <c r="J828" t="inlineStr">
        <is>
          <t>2023_Kwiecień_W2</t>
        </is>
      </c>
    </row>
    <row r="829">
      <c r="A829" s="177" t="n">
        <v>45024</v>
      </c>
      <c r="B829" s="177" t="n">
        <v>45020</v>
      </c>
      <c r="C829" s="177" t="n">
        <v>45026</v>
      </c>
      <c r="D829" t="inlineStr">
        <is>
          <t>BW20230404</t>
        </is>
      </c>
      <c r="E829" t="n">
        <v>2023</v>
      </c>
      <c r="F829" t="inlineStr">
        <is>
          <t>Kwiecień</t>
        </is>
      </c>
      <c r="G829" t="inlineStr">
        <is>
          <t>Sob</t>
        </is>
      </c>
      <c r="H829">
        <f>'Floor Hours Engine'!$E$5</f>
        <v/>
      </c>
      <c r="I829" t="inlineStr">
        <is>
          <t>W2</t>
        </is>
      </c>
      <c r="J829" t="inlineStr">
        <is>
          <t>2023_Kwiecień_W2</t>
        </is>
      </c>
    </row>
    <row r="830">
      <c r="A830" s="177" t="n">
        <v>45025</v>
      </c>
      <c r="B830" s="177" t="n">
        <v>45020</v>
      </c>
      <c r="C830" s="177" t="n">
        <v>45026</v>
      </c>
      <c r="D830" t="inlineStr">
        <is>
          <t>BW20230404</t>
        </is>
      </c>
      <c r="E830" t="n">
        <v>2023</v>
      </c>
      <c r="F830" t="inlineStr">
        <is>
          <t>Kwiecień</t>
        </is>
      </c>
      <c r="G830" t="inlineStr">
        <is>
          <t>Nd</t>
        </is>
      </c>
      <c r="H830">
        <f>'Floor Hours Engine'!$E$6</f>
        <v/>
      </c>
      <c r="I830" t="inlineStr">
        <is>
          <t>W2</t>
        </is>
      </c>
      <c r="J830" t="inlineStr">
        <is>
          <t>2023_Kwiecień_W2</t>
        </is>
      </c>
    </row>
    <row r="831">
      <c r="A831" s="177" t="n">
        <v>45026</v>
      </c>
      <c r="B831" s="177" t="n">
        <v>45020</v>
      </c>
      <c r="C831" s="177" t="n">
        <v>45026</v>
      </c>
      <c r="D831" t="inlineStr">
        <is>
          <t>BW20230404</t>
        </is>
      </c>
      <c r="E831" t="n">
        <v>2023</v>
      </c>
      <c r="F831" t="inlineStr">
        <is>
          <t>Kwiecień</t>
        </is>
      </c>
      <c r="G831" t="inlineStr">
        <is>
          <t>Pn</t>
        </is>
      </c>
      <c r="H831">
        <f>'Floor Hours Engine'!$E$4</f>
        <v/>
      </c>
      <c r="I831" t="inlineStr">
        <is>
          <t>W2</t>
        </is>
      </c>
      <c r="J831" t="inlineStr">
        <is>
          <t>2023_Kwiecień_W2</t>
        </is>
      </c>
    </row>
    <row r="832">
      <c r="A832" s="177" t="n">
        <v>45027</v>
      </c>
      <c r="B832" s="177" t="n">
        <v>45027</v>
      </c>
      <c r="C832" s="177" t="n">
        <v>45033</v>
      </c>
      <c r="D832" t="inlineStr">
        <is>
          <t>BW20230411</t>
        </is>
      </c>
      <c r="E832" t="n">
        <v>2023</v>
      </c>
      <c r="F832" t="inlineStr">
        <is>
          <t>Kwiecień</t>
        </is>
      </c>
      <c r="G832" t="inlineStr">
        <is>
          <t>Wt</t>
        </is>
      </c>
      <c r="H832">
        <f>'Floor Hours Engine'!$E$4</f>
        <v/>
      </c>
      <c r="I832" t="inlineStr">
        <is>
          <t>W3</t>
        </is>
      </c>
      <c r="J832" t="inlineStr">
        <is>
          <t>2023_Kwiecień_W3</t>
        </is>
      </c>
    </row>
    <row r="833">
      <c r="A833" s="177" t="n">
        <v>45028</v>
      </c>
      <c r="B833" s="177" t="n">
        <v>45027</v>
      </c>
      <c r="C833" s="177" t="n">
        <v>45033</v>
      </c>
      <c r="D833" t="inlineStr">
        <is>
          <t>BW20230411</t>
        </is>
      </c>
      <c r="E833" t="n">
        <v>2023</v>
      </c>
      <c r="F833" t="inlineStr">
        <is>
          <t>Kwiecień</t>
        </is>
      </c>
      <c r="G833" t="inlineStr">
        <is>
          <t>Śr</t>
        </is>
      </c>
      <c r="H833">
        <f>'Floor Hours Engine'!$E$4</f>
        <v/>
      </c>
      <c r="I833" t="inlineStr">
        <is>
          <t>W3</t>
        </is>
      </c>
      <c r="J833" t="inlineStr">
        <is>
          <t>2023_Kwiecień_W3</t>
        </is>
      </c>
    </row>
    <row r="834">
      <c r="A834" s="177" t="n">
        <v>45029</v>
      </c>
      <c r="B834" s="177" t="n">
        <v>45027</v>
      </c>
      <c r="C834" s="177" t="n">
        <v>45033</v>
      </c>
      <c r="D834" t="inlineStr">
        <is>
          <t>BW20230411</t>
        </is>
      </c>
      <c r="E834" t="n">
        <v>2023</v>
      </c>
      <c r="F834" t="inlineStr">
        <is>
          <t>Kwiecień</t>
        </is>
      </c>
      <c r="G834" t="inlineStr">
        <is>
          <t>Czw</t>
        </is>
      </c>
      <c r="H834">
        <f>'Floor Hours Engine'!$E$4</f>
        <v/>
      </c>
      <c r="I834" t="inlineStr">
        <is>
          <t>W3</t>
        </is>
      </c>
      <c r="J834" t="inlineStr">
        <is>
          <t>2023_Kwiecień_W3</t>
        </is>
      </c>
    </row>
    <row r="835">
      <c r="A835" s="177" t="n">
        <v>45030</v>
      </c>
      <c r="B835" s="177" t="n">
        <v>45027</v>
      </c>
      <c r="C835" s="177" t="n">
        <v>45033</v>
      </c>
      <c r="D835" t="inlineStr">
        <is>
          <t>BW20230411</t>
        </is>
      </c>
      <c r="E835" t="n">
        <v>2023</v>
      </c>
      <c r="F835" t="inlineStr">
        <is>
          <t>Kwiecień</t>
        </is>
      </c>
      <c r="G835" t="inlineStr">
        <is>
          <t>Pt</t>
        </is>
      </c>
      <c r="H835">
        <f>'Floor Hours Engine'!$E$5</f>
        <v/>
      </c>
      <c r="I835" t="inlineStr">
        <is>
          <t>W3</t>
        </is>
      </c>
      <c r="J835" t="inlineStr">
        <is>
          <t>2023_Kwiecień_W3</t>
        </is>
      </c>
    </row>
    <row r="836">
      <c r="A836" s="177" t="n">
        <v>45031</v>
      </c>
      <c r="B836" s="177" t="n">
        <v>45027</v>
      </c>
      <c r="C836" s="177" t="n">
        <v>45033</v>
      </c>
      <c r="D836" t="inlineStr">
        <is>
          <t>BW20230411</t>
        </is>
      </c>
      <c r="E836" t="n">
        <v>2023</v>
      </c>
      <c r="F836" t="inlineStr">
        <is>
          <t>Kwiecień</t>
        </is>
      </c>
      <c r="G836" t="inlineStr">
        <is>
          <t>Sob</t>
        </is>
      </c>
      <c r="H836">
        <f>'Floor Hours Engine'!$E$5</f>
        <v/>
      </c>
      <c r="I836" t="inlineStr">
        <is>
          <t>W3</t>
        </is>
      </c>
      <c r="J836" t="inlineStr">
        <is>
          <t>2023_Kwiecień_W3</t>
        </is>
      </c>
    </row>
    <row r="837">
      <c r="A837" s="177" t="n">
        <v>45032</v>
      </c>
      <c r="B837" s="177" t="n">
        <v>45027</v>
      </c>
      <c r="C837" s="177" t="n">
        <v>45033</v>
      </c>
      <c r="D837" t="inlineStr">
        <is>
          <t>BW20230411</t>
        </is>
      </c>
      <c r="E837" t="n">
        <v>2023</v>
      </c>
      <c r="F837" t="inlineStr">
        <is>
          <t>Kwiecień</t>
        </is>
      </c>
      <c r="G837" t="inlineStr">
        <is>
          <t>Nd</t>
        </is>
      </c>
      <c r="H837">
        <f>'Floor Hours Engine'!$E$6</f>
        <v/>
      </c>
      <c r="I837" t="inlineStr">
        <is>
          <t>W3</t>
        </is>
      </c>
      <c r="J837" t="inlineStr">
        <is>
          <t>2023_Kwiecień_W3</t>
        </is>
      </c>
    </row>
    <row r="838">
      <c r="A838" s="177" t="n">
        <v>45033</v>
      </c>
      <c r="B838" s="177" t="n">
        <v>45027</v>
      </c>
      <c r="C838" s="177" t="n">
        <v>45033</v>
      </c>
      <c r="D838" t="inlineStr">
        <is>
          <t>BW20230411</t>
        </is>
      </c>
      <c r="E838" t="n">
        <v>2023</v>
      </c>
      <c r="F838" t="inlineStr">
        <is>
          <t>Kwiecień</t>
        </is>
      </c>
      <c r="G838" t="inlineStr">
        <is>
          <t>Pn</t>
        </is>
      </c>
      <c r="H838">
        <f>'Floor Hours Engine'!$E$4</f>
        <v/>
      </c>
      <c r="I838" t="inlineStr">
        <is>
          <t>W3</t>
        </is>
      </c>
      <c r="J838" t="inlineStr">
        <is>
          <t>2023_Kwiecień_W3</t>
        </is>
      </c>
    </row>
    <row r="839">
      <c r="A839" s="177" t="n">
        <v>45034</v>
      </c>
      <c r="B839" s="177" t="n">
        <v>45034</v>
      </c>
      <c r="C839" s="177" t="n">
        <v>45040</v>
      </c>
      <c r="D839" t="inlineStr">
        <is>
          <t>BW20230418</t>
        </is>
      </c>
      <c r="E839" t="n">
        <v>2023</v>
      </c>
      <c r="F839" t="inlineStr">
        <is>
          <t>Kwiecień</t>
        </is>
      </c>
      <c r="G839" t="inlineStr">
        <is>
          <t>Wt</t>
        </is>
      </c>
      <c r="H839">
        <f>'Floor Hours Engine'!$E$4</f>
        <v/>
      </c>
      <c r="I839" t="inlineStr">
        <is>
          <t>W4</t>
        </is>
      </c>
      <c r="J839" t="inlineStr">
        <is>
          <t>2023_Kwiecień_W4</t>
        </is>
      </c>
    </row>
    <row r="840">
      <c r="A840" s="177" t="n">
        <v>45035</v>
      </c>
      <c r="B840" s="177" t="n">
        <v>45034</v>
      </c>
      <c r="C840" s="177" t="n">
        <v>45040</v>
      </c>
      <c r="D840" t="inlineStr">
        <is>
          <t>BW20230418</t>
        </is>
      </c>
      <c r="E840" t="n">
        <v>2023</v>
      </c>
      <c r="F840" t="inlineStr">
        <is>
          <t>Kwiecień</t>
        </is>
      </c>
      <c r="G840" t="inlineStr">
        <is>
          <t>Śr</t>
        </is>
      </c>
      <c r="H840">
        <f>'Floor Hours Engine'!$E$4</f>
        <v/>
      </c>
      <c r="I840" t="inlineStr">
        <is>
          <t>W4</t>
        </is>
      </c>
      <c r="J840" t="inlineStr">
        <is>
          <t>2023_Kwiecień_W4</t>
        </is>
      </c>
    </row>
    <row r="841">
      <c r="A841" s="177" t="n">
        <v>45036</v>
      </c>
      <c r="B841" s="177" t="n">
        <v>45034</v>
      </c>
      <c r="C841" s="177" t="n">
        <v>45040</v>
      </c>
      <c r="D841" t="inlineStr">
        <is>
          <t>BW20230418</t>
        </is>
      </c>
      <c r="E841" t="n">
        <v>2023</v>
      </c>
      <c r="F841" t="inlineStr">
        <is>
          <t>Kwiecień</t>
        </is>
      </c>
      <c r="G841" t="inlineStr">
        <is>
          <t>Czw</t>
        </is>
      </c>
      <c r="H841">
        <f>'Floor Hours Engine'!$E$4</f>
        <v/>
      </c>
      <c r="I841" t="inlineStr">
        <is>
          <t>W4</t>
        </is>
      </c>
      <c r="J841" t="inlineStr">
        <is>
          <t>2023_Kwiecień_W4</t>
        </is>
      </c>
    </row>
    <row r="842">
      <c r="A842" s="177" t="n">
        <v>45037</v>
      </c>
      <c r="B842" s="177" t="n">
        <v>45034</v>
      </c>
      <c r="C842" s="177" t="n">
        <v>45040</v>
      </c>
      <c r="D842" t="inlineStr">
        <is>
          <t>BW20230418</t>
        </is>
      </c>
      <c r="E842" t="n">
        <v>2023</v>
      </c>
      <c r="F842" t="inlineStr">
        <is>
          <t>Kwiecień</t>
        </is>
      </c>
      <c r="G842" t="inlineStr">
        <is>
          <t>Pt</t>
        </is>
      </c>
      <c r="H842">
        <f>'Floor Hours Engine'!$E$5</f>
        <v/>
      </c>
      <c r="I842" t="inlineStr">
        <is>
          <t>W4</t>
        </is>
      </c>
      <c r="J842" t="inlineStr">
        <is>
          <t>2023_Kwiecień_W4</t>
        </is>
      </c>
    </row>
    <row r="843">
      <c r="A843" s="177" t="n">
        <v>45038</v>
      </c>
      <c r="B843" s="177" t="n">
        <v>45034</v>
      </c>
      <c r="C843" s="177" t="n">
        <v>45040</v>
      </c>
      <c r="D843" t="inlineStr">
        <is>
          <t>BW20230418</t>
        </is>
      </c>
      <c r="E843" t="n">
        <v>2023</v>
      </c>
      <c r="F843" t="inlineStr">
        <is>
          <t>Kwiecień</t>
        </is>
      </c>
      <c r="G843" t="inlineStr">
        <is>
          <t>Sob</t>
        </is>
      </c>
      <c r="H843">
        <f>'Floor Hours Engine'!$E$5</f>
        <v/>
      </c>
      <c r="I843" t="inlineStr">
        <is>
          <t>W4</t>
        </is>
      </c>
      <c r="J843" t="inlineStr">
        <is>
          <t>2023_Kwiecień_W4</t>
        </is>
      </c>
    </row>
    <row r="844">
      <c r="A844" s="177" t="n">
        <v>45039</v>
      </c>
      <c r="B844" s="177" t="n">
        <v>45034</v>
      </c>
      <c r="C844" s="177" t="n">
        <v>45040</v>
      </c>
      <c r="D844" t="inlineStr">
        <is>
          <t>BW20230418</t>
        </is>
      </c>
      <c r="E844" t="n">
        <v>2023</v>
      </c>
      <c r="F844" t="inlineStr">
        <is>
          <t>Kwiecień</t>
        </is>
      </c>
      <c r="G844" t="inlineStr">
        <is>
          <t>Nd</t>
        </is>
      </c>
      <c r="H844">
        <f>'Floor Hours Engine'!$E$6</f>
        <v/>
      </c>
      <c r="I844" t="inlineStr">
        <is>
          <t>W4</t>
        </is>
      </c>
      <c r="J844" t="inlineStr">
        <is>
          <t>2023_Kwiecień_W4</t>
        </is>
      </c>
    </row>
    <row r="845">
      <c r="A845" s="177" t="n">
        <v>45040</v>
      </c>
      <c r="B845" s="177" t="n">
        <v>45034</v>
      </c>
      <c r="C845" s="177" t="n">
        <v>45040</v>
      </c>
      <c r="D845" t="inlineStr">
        <is>
          <t>BW20230418</t>
        </is>
      </c>
      <c r="E845" t="n">
        <v>2023</v>
      </c>
      <c r="F845" t="inlineStr">
        <is>
          <t>Kwiecień</t>
        </is>
      </c>
      <c r="G845" t="inlineStr">
        <is>
          <t>Pn</t>
        </is>
      </c>
      <c r="H845">
        <f>'Floor Hours Engine'!$E$4</f>
        <v/>
      </c>
      <c r="I845" t="inlineStr">
        <is>
          <t>W4</t>
        </is>
      </c>
      <c r="J845" t="inlineStr">
        <is>
          <t>2023_Kwiecień_W4</t>
        </is>
      </c>
    </row>
    <row r="846">
      <c r="A846" s="177" t="n">
        <v>45041</v>
      </c>
      <c r="B846" s="177" t="n">
        <v>45041</v>
      </c>
      <c r="C846" s="177" t="n">
        <v>45047</v>
      </c>
      <c r="D846" t="inlineStr">
        <is>
          <t>BW20230425</t>
        </is>
      </c>
      <c r="E846" t="n">
        <v>2023</v>
      </c>
      <c r="F846" t="inlineStr">
        <is>
          <t>Kwiecień</t>
        </is>
      </c>
      <c r="G846" t="inlineStr">
        <is>
          <t>Wt</t>
        </is>
      </c>
      <c r="H846">
        <f>'Floor Hours Engine'!$E$4</f>
        <v/>
      </c>
      <c r="I846" t="inlineStr">
        <is>
          <t>W5</t>
        </is>
      </c>
      <c r="J846" t="inlineStr">
        <is>
          <t>2023_Kwiecień_W5</t>
        </is>
      </c>
    </row>
    <row r="847">
      <c r="A847" s="177" t="n">
        <v>45042</v>
      </c>
      <c r="B847" s="177" t="n">
        <v>45041</v>
      </c>
      <c r="C847" s="177" t="n">
        <v>45047</v>
      </c>
      <c r="D847" t="inlineStr">
        <is>
          <t>BW20230425</t>
        </is>
      </c>
      <c r="E847" t="n">
        <v>2023</v>
      </c>
      <c r="F847" t="inlineStr">
        <is>
          <t>Kwiecień</t>
        </is>
      </c>
      <c r="G847" t="inlineStr">
        <is>
          <t>Śr</t>
        </is>
      </c>
      <c r="H847">
        <f>'Floor Hours Engine'!$E$4</f>
        <v/>
      </c>
      <c r="I847" t="inlineStr">
        <is>
          <t>W5</t>
        </is>
      </c>
      <c r="J847" t="inlineStr">
        <is>
          <t>2023_Kwiecień_W5</t>
        </is>
      </c>
    </row>
    <row r="848">
      <c r="A848" s="177" t="n">
        <v>45043</v>
      </c>
      <c r="B848" s="177" t="n">
        <v>45041</v>
      </c>
      <c r="C848" s="177" t="n">
        <v>45047</v>
      </c>
      <c r="D848" t="inlineStr">
        <is>
          <t>BW20230425</t>
        </is>
      </c>
      <c r="E848" t="n">
        <v>2023</v>
      </c>
      <c r="F848" t="inlineStr">
        <is>
          <t>Kwiecień</t>
        </is>
      </c>
      <c r="G848" t="inlineStr">
        <is>
          <t>Czw</t>
        </is>
      </c>
      <c r="H848">
        <f>'Floor Hours Engine'!$E$4</f>
        <v/>
      </c>
      <c r="I848" t="inlineStr">
        <is>
          <t>W5</t>
        </is>
      </c>
      <c r="J848" t="inlineStr">
        <is>
          <t>2023_Kwiecień_W5</t>
        </is>
      </c>
    </row>
    <row r="849">
      <c r="A849" s="177" t="n">
        <v>45044</v>
      </c>
      <c r="B849" s="177" t="n">
        <v>45041</v>
      </c>
      <c r="C849" s="177" t="n">
        <v>45047</v>
      </c>
      <c r="D849" t="inlineStr">
        <is>
          <t>BW20230425</t>
        </is>
      </c>
      <c r="E849" t="n">
        <v>2023</v>
      </c>
      <c r="F849" t="inlineStr">
        <is>
          <t>Kwiecień</t>
        </is>
      </c>
      <c r="G849" t="inlineStr">
        <is>
          <t>Pt</t>
        </is>
      </c>
      <c r="H849">
        <f>'Floor Hours Engine'!$E$5</f>
        <v/>
      </c>
      <c r="I849" t="inlineStr">
        <is>
          <t>W5</t>
        </is>
      </c>
      <c r="J849" t="inlineStr">
        <is>
          <t>2023_Kwiecień_W5</t>
        </is>
      </c>
    </row>
    <row r="850">
      <c r="A850" s="177" t="n">
        <v>45045</v>
      </c>
      <c r="B850" s="177" t="n">
        <v>45041</v>
      </c>
      <c r="C850" s="177" t="n">
        <v>45047</v>
      </c>
      <c r="D850" t="inlineStr">
        <is>
          <t>BW20230425</t>
        </is>
      </c>
      <c r="E850" t="n">
        <v>2023</v>
      </c>
      <c r="F850" t="inlineStr">
        <is>
          <t>Kwiecień</t>
        </is>
      </c>
      <c r="G850" t="inlineStr">
        <is>
          <t>Sob</t>
        </is>
      </c>
      <c r="H850">
        <f>'Floor Hours Engine'!$E$5</f>
        <v/>
      </c>
      <c r="I850" t="inlineStr">
        <is>
          <t>W5</t>
        </is>
      </c>
      <c r="J850" t="inlineStr">
        <is>
          <t>2023_Kwiecień_W5</t>
        </is>
      </c>
    </row>
    <row r="851">
      <c r="A851" s="177" t="n">
        <v>45046</v>
      </c>
      <c r="B851" s="177" t="n">
        <v>45041</v>
      </c>
      <c r="C851" s="177" t="n">
        <v>45047</v>
      </c>
      <c r="D851" t="inlineStr">
        <is>
          <t>BW20230425</t>
        </is>
      </c>
      <c r="E851" t="n">
        <v>2023</v>
      </c>
      <c r="F851" t="inlineStr">
        <is>
          <t>Kwiecień</t>
        </is>
      </c>
      <c r="G851" t="inlineStr">
        <is>
          <t>Nd</t>
        </is>
      </c>
      <c r="H851">
        <f>'Floor Hours Engine'!$E$6</f>
        <v/>
      </c>
      <c r="I851" t="inlineStr">
        <is>
          <t>W5</t>
        </is>
      </c>
      <c r="J851" t="inlineStr">
        <is>
          <t>2023_Kwiecień_W5</t>
        </is>
      </c>
    </row>
    <row r="852">
      <c r="A852" s="177" t="n">
        <v>45047</v>
      </c>
      <c r="B852" s="177" t="n">
        <v>45041</v>
      </c>
      <c r="C852" s="177" t="n">
        <v>45047</v>
      </c>
      <c r="D852" t="inlineStr">
        <is>
          <t>BW20230425</t>
        </is>
      </c>
      <c r="E852" t="n">
        <v>2023</v>
      </c>
      <c r="F852" t="inlineStr">
        <is>
          <t>Maj</t>
        </is>
      </c>
      <c r="G852" t="inlineStr">
        <is>
          <t>Pn</t>
        </is>
      </c>
      <c r="H852">
        <f>'Floor Hours Engine'!$E$4</f>
        <v/>
      </c>
      <c r="I852" t="inlineStr">
        <is>
          <t>W1</t>
        </is>
      </c>
      <c r="J852" t="inlineStr">
        <is>
          <t>2023_Maj_W1</t>
        </is>
      </c>
    </row>
    <row r="853">
      <c r="A853" s="177" t="n">
        <v>45048</v>
      </c>
      <c r="B853" s="177" t="n">
        <v>45048</v>
      </c>
      <c r="C853" s="177" t="n">
        <v>45054</v>
      </c>
      <c r="D853" t="inlineStr">
        <is>
          <t>BW20230502</t>
        </is>
      </c>
      <c r="E853" t="n">
        <v>2023</v>
      </c>
      <c r="F853" t="inlineStr">
        <is>
          <t>Maj</t>
        </is>
      </c>
      <c r="G853" t="inlineStr">
        <is>
          <t>Wt</t>
        </is>
      </c>
      <c r="H853">
        <f>'Floor Hours Engine'!$E$4</f>
        <v/>
      </c>
      <c r="I853" t="inlineStr">
        <is>
          <t>W2</t>
        </is>
      </c>
      <c r="J853" t="inlineStr">
        <is>
          <t>2023_Maj_W2</t>
        </is>
      </c>
    </row>
    <row r="854">
      <c r="A854" s="177" t="n">
        <v>45049</v>
      </c>
      <c r="B854" s="177" t="n">
        <v>45048</v>
      </c>
      <c r="C854" s="177" t="n">
        <v>45054</v>
      </c>
      <c r="D854" t="inlineStr">
        <is>
          <t>BW20230502</t>
        </is>
      </c>
      <c r="E854" t="n">
        <v>2023</v>
      </c>
      <c r="F854" t="inlineStr">
        <is>
          <t>Maj</t>
        </is>
      </c>
      <c r="G854" t="inlineStr">
        <is>
          <t>Śr</t>
        </is>
      </c>
      <c r="H854">
        <f>'Floor Hours Engine'!$E$4</f>
        <v/>
      </c>
      <c r="I854" t="inlineStr">
        <is>
          <t>W2</t>
        </is>
      </c>
      <c r="J854" t="inlineStr">
        <is>
          <t>2023_Maj_W2</t>
        </is>
      </c>
    </row>
    <row r="855">
      <c r="A855" s="177" t="n">
        <v>45050</v>
      </c>
      <c r="B855" s="177" t="n">
        <v>45048</v>
      </c>
      <c r="C855" s="177" t="n">
        <v>45054</v>
      </c>
      <c r="D855" t="inlineStr">
        <is>
          <t>BW20230502</t>
        </is>
      </c>
      <c r="E855" t="n">
        <v>2023</v>
      </c>
      <c r="F855" t="inlineStr">
        <is>
          <t>Maj</t>
        </is>
      </c>
      <c r="G855" t="inlineStr">
        <is>
          <t>Czw</t>
        </is>
      </c>
      <c r="H855">
        <f>'Floor Hours Engine'!$E$4</f>
        <v/>
      </c>
      <c r="I855" t="inlineStr">
        <is>
          <t>W2</t>
        </is>
      </c>
      <c r="J855" t="inlineStr">
        <is>
          <t>2023_Maj_W2</t>
        </is>
      </c>
    </row>
    <row r="856">
      <c r="A856" s="177" t="n">
        <v>45051</v>
      </c>
      <c r="B856" s="177" t="n">
        <v>45048</v>
      </c>
      <c r="C856" s="177" t="n">
        <v>45054</v>
      </c>
      <c r="D856" t="inlineStr">
        <is>
          <t>BW20230502</t>
        </is>
      </c>
      <c r="E856" t="n">
        <v>2023</v>
      </c>
      <c r="F856" t="inlineStr">
        <is>
          <t>Maj</t>
        </is>
      </c>
      <c r="G856" t="inlineStr">
        <is>
          <t>Pt</t>
        </is>
      </c>
      <c r="H856">
        <f>'Floor Hours Engine'!$E$5</f>
        <v/>
      </c>
      <c r="I856" t="inlineStr">
        <is>
          <t>W2</t>
        </is>
      </c>
      <c r="J856" t="inlineStr">
        <is>
          <t>2023_Maj_W2</t>
        </is>
      </c>
    </row>
    <row r="857">
      <c r="A857" s="177" t="n">
        <v>45052</v>
      </c>
      <c r="B857" s="177" t="n">
        <v>45048</v>
      </c>
      <c r="C857" s="177" t="n">
        <v>45054</v>
      </c>
      <c r="D857" t="inlineStr">
        <is>
          <t>BW20230502</t>
        </is>
      </c>
      <c r="E857" t="n">
        <v>2023</v>
      </c>
      <c r="F857" t="inlineStr">
        <is>
          <t>Maj</t>
        </is>
      </c>
      <c r="G857" t="inlineStr">
        <is>
          <t>Sob</t>
        </is>
      </c>
      <c r="H857">
        <f>'Floor Hours Engine'!$E$5</f>
        <v/>
      </c>
      <c r="I857" t="inlineStr">
        <is>
          <t>W2</t>
        </is>
      </c>
      <c r="J857" t="inlineStr">
        <is>
          <t>2023_Maj_W2</t>
        </is>
      </c>
    </row>
    <row r="858">
      <c r="A858" s="177" t="n">
        <v>45053</v>
      </c>
      <c r="B858" s="177" t="n">
        <v>45048</v>
      </c>
      <c r="C858" s="177" t="n">
        <v>45054</v>
      </c>
      <c r="D858" t="inlineStr">
        <is>
          <t>BW20230502</t>
        </is>
      </c>
      <c r="E858" t="n">
        <v>2023</v>
      </c>
      <c r="F858" t="inlineStr">
        <is>
          <t>Maj</t>
        </is>
      </c>
      <c r="G858" t="inlineStr">
        <is>
          <t>Nd</t>
        </is>
      </c>
      <c r="H858">
        <f>'Floor Hours Engine'!$E$6</f>
        <v/>
      </c>
      <c r="I858" t="inlineStr">
        <is>
          <t>W2</t>
        </is>
      </c>
      <c r="J858" t="inlineStr">
        <is>
          <t>2023_Maj_W2</t>
        </is>
      </c>
    </row>
    <row r="859">
      <c r="A859" s="177" t="n">
        <v>45054</v>
      </c>
      <c r="B859" s="177" t="n">
        <v>45048</v>
      </c>
      <c r="C859" s="177" t="n">
        <v>45054</v>
      </c>
      <c r="D859" t="inlineStr">
        <is>
          <t>BW20230502</t>
        </is>
      </c>
      <c r="E859" t="n">
        <v>2023</v>
      </c>
      <c r="F859" t="inlineStr">
        <is>
          <t>Maj</t>
        </is>
      </c>
      <c r="G859" t="inlineStr">
        <is>
          <t>Pn</t>
        </is>
      </c>
      <c r="H859">
        <f>'Floor Hours Engine'!$E$4</f>
        <v/>
      </c>
      <c r="I859" t="inlineStr">
        <is>
          <t>W2</t>
        </is>
      </c>
      <c r="J859" t="inlineStr">
        <is>
          <t>2023_Maj_W2</t>
        </is>
      </c>
    </row>
    <row r="860">
      <c r="A860" s="177" t="n">
        <v>45055</v>
      </c>
      <c r="B860" s="177" t="n">
        <v>45055</v>
      </c>
      <c r="C860" s="177" t="n">
        <v>45061</v>
      </c>
      <c r="D860" t="inlineStr">
        <is>
          <t>BW20230509</t>
        </is>
      </c>
      <c r="E860" t="n">
        <v>2023</v>
      </c>
      <c r="F860" t="inlineStr">
        <is>
          <t>Maj</t>
        </is>
      </c>
      <c r="G860" t="inlineStr">
        <is>
          <t>Wt</t>
        </is>
      </c>
      <c r="H860">
        <f>'Floor Hours Engine'!$E$4</f>
        <v/>
      </c>
      <c r="I860" t="inlineStr">
        <is>
          <t>W3</t>
        </is>
      </c>
      <c r="J860" t="inlineStr">
        <is>
          <t>2023_Maj_W3</t>
        </is>
      </c>
    </row>
    <row r="861">
      <c r="A861" s="177" t="n">
        <v>45056</v>
      </c>
      <c r="B861" s="177" t="n">
        <v>45055</v>
      </c>
      <c r="C861" s="177" t="n">
        <v>45061</v>
      </c>
      <c r="D861" t="inlineStr">
        <is>
          <t>BW20230509</t>
        </is>
      </c>
      <c r="E861" t="n">
        <v>2023</v>
      </c>
      <c r="F861" t="inlineStr">
        <is>
          <t>Maj</t>
        </is>
      </c>
      <c r="G861" t="inlineStr">
        <is>
          <t>Śr</t>
        </is>
      </c>
      <c r="H861">
        <f>'Floor Hours Engine'!$E$4</f>
        <v/>
      </c>
      <c r="I861" t="inlineStr">
        <is>
          <t>W3</t>
        </is>
      </c>
      <c r="J861" t="inlineStr">
        <is>
          <t>2023_Maj_W3</t>
        </is>
      </c>
    </row>
    <row r="862">
      <c r="A862" s="177" t="n">
        <v>45057</v>
      </c>
      <c r="B862" s="177" t="n">
        <v>45055</v>
      </c>
      <c r="C862" s="177" t="n">
        <v>45061</v>
      </c>
      <c r="D862" t="inlineStr">
        <is>
          <t>BW20230509</t>
        </is>
      </c>
      <c r="E862" t="n">
        <v>2023</v>
      </c>
      <c r="F862" t="inlineStr">
        <is>
          <t>Maj</t>
        </is>
      </c>
      <c r="G862" t="inlineStr">
        <is>
          <t>Czw</t>
        </is>
      </c>
      <c r="H862">
        <f>'Floor Hours Engine'!$E$4</f>
        <v/>
      </c>
      <c r="I862" t="inlineStr">
        <is>
          <t>W3</t>
        </is>
      </c>
      <c r="J862" t="inlineStr">
        <is>
          <t>2023_Maj_W3</t>
        </is>
      </c>
    </row>
    <row r="863">
      <c r="A863" s="177" t="n">
        <v>45058</v>
      </c>
      <c r="B863" s="177" t="n">
        <v>45055</v>
      </c>
      <c r="C863" s="177" t="n">
        <v>45061</v>
      </c>
      <c r="D863" t="inlineStr">
        <is>
          <t>BW20230509</t>
        </is>
      </c>
      <c r="E863" t="n">
        <v>2023</v>
      </c>
      <c r="F863" t="inlineStr">
        <is>
          <t>Maj</t>
        </is>
      </c>
      <c r="G863" t="inlineStr">
        <is>
          <t>Pt</t>
        </is>
      </c>
      <c r="H863">
        <f>'Floor Hours Engine'!$E$5</f>
        <v/>
      </c>
      <c r="I863" t="inlineStr">
        <is>
          <t>W3</t>
        </is>
      </c>
      <c r="J863" t="inlineStr">
        <is>
          <t>2023_Maj_W3</t>
        </is>
      </c>
    </row>
    <row r="864">
      <c r="A864" s="177" t="n">
        <v>45059</v>
      </c>
      <c r="B864" s="177" t="n">
        <v>45055</v>
      </c>
      <c r="C864" s="177" t="n">
        <v>45061</v>
      </c>
      <c r="D864" t="inlineStr">
        <is>
          <t>BW20230509</t>
        </is>
      </c>
      <c r="E864" t="n">
        <v>2023</v>
      </c>
      <c r="F864" t="inlineStr">
        <is>
          <t>Maj</t>
        </is>
      </c>
      <c r="G864" t="inlineStr">
        <is>
          <t>Sob</t>
        </is>
      </c>
      <c r="H864">
        <f>'Floor Hours Engine'!$E$5</f>
        <v/>
      </c>
      <c r="I864" t="inlineStr">
        <is>
          <t>W3</t>
        </is>
      </c>
      <c r="J864" t="inlineStr">
        <is>
          <t>2023_Maj_W3</t>
        </is>
      </c>
    </row>
    <row r="865">
      <c r="A865" s="177" t="n">
        <v>45060</v>
      </c>
      <c r="B865" s="177" t="n">
        <v>45055</v>
      </c>
      <c r="C865" s="177" t="n">
        <v>45061</v>
      </c>
      <c r="D865" t="inlineStr">
        <is>
          <t>BW20230509</t>
        </is>
      </c>
      <c r="E865" t="n">
        <v>2023</v>
      </c>
      <c r="F865" t="inlineStr">
        <is>
          <t>Maj</t>
        </is>
      </c>
      <c r="G865" t="inlineStr">
        <is>
          <t>Nd</t>
        </is>
      </c>
      <c r="H865">
        <f>'Floor Hours Engine'!$E$6</f>
        <v/>
      </c>
      <c r="I865" t="inlineStr">
        <is>
          <t>W3</t>
        </is>
      </c>
      <c r="J865" t="inlineStr">
        <is>
          <t>2023_Maj_W3</t>
        </is>
      </c>
    </row>
    <row r="866">
      <c r="A866" s="177" t="n">
        <v>45061</v>
      </c>
      <c r="B866" s="177" t="n">
        <v>45055</v>
      </c>
      <c r="C866" s="177" t="n">
        <v>45061</v>
      </c>
      <c r="D866" t="inlineStr">
        <is>
          <t>BW20230509</t>
        </is>
      </c>
      <c r="E866" t="n">
        <v>2023</v>
      </c>
      <c r="F866" t="inlineStr">
        <is>
          <t>Maj</t>
        </is>
      </c>
      <c r="G866" t="inlineStr">
        <is>
          <t>Pn</t>
        </is>
      </c>
      <c r="H866">
        <f>'Floor Hours Engine'!$E$4</f>
        <v/>
      </c>
      <c r="I866" t="inlineStr">
        <is>
          <t>W3</t>
        </is>
      </c>
      <c r="J866" t="inlineStr">
        <is>
          <t>2023_Maj_W3</t>
        </is>
      </c>
    </row>
    <row r="867">
      <c r="A867" s="177" t="n">
        <v>45062</v>
      </c>
      <c r="B867" s="177" t="n">
        <v>45062</v>
      </c>
      <c r="C867" s="177" t="n">
        <v>45068</v>
      </c>
      <c r="D867" t="inlineStr">
        <is>
          <t>BW20230516</t>
        </is>
      </c>
      <c r="E867" t="n">
        <v>2023</v>
      </c>
      <c r="F867" t="inlineStr">
        <is>
          <t>Maj</t>
        </is>
      </c>
      <c r="G867" t="inlineStr">
        <is>
          <t>Wt</t>
        </is>
      </c>
      <c r="H867">
        <f>'Floor Hours Engine'!$E$4</f>
        <v/>
      </c>
      <c r="I867" t="inlineStr">
        <is>
          <t>W4</t>
        </is>
      </c>
      <c r="J867" t="inlineStr">
        <is>
          <t>2023_Maj_W4</t>
        </is>
      </c>
    </row>
    <row r="868">
      <c r="A868" s="177" t="n">
        <v>45063</v>
      </c>
      <c r="B868" s="177" t="n">
        <v>45062</v>
      </c>
      <c r="C868" s="177" t="n">
        <v>45068</v>
      </c>
      <c r="D868" t="inlineStr">
        <is>
          <t>BW20230516</t>
        </is>
      </c>
      <c r="E868" t="n">
        <v>2023</v>
      </c>
      <c r="F868" t="inlineStr">
        <is>
          <t>Maj</t>
        </is>
      </c>
      <c r="G868" t="inlineStr">
        <is>
          <t>Śr</t>
        </is>
      </c>
      <c r="H868">
        <f>'Floor Hours Engine'!$E$4</f>
        <v/>
      </c>
      <c r="I868" t="inlineStr">
        <is>
          <t>W4</t>
        </is>
      </c>
      <c r="J868" t="inlineStr">
        <is>
          <t>2023_Maj_W4</t>
        </is>
      </c>
    </row>
    <row r="869">
      <c r="A869" s="177" t="n">
        <v>45064</v>
      </c>
      <c r="B869" s="177" t="n">
        <v>45062</v>
      </c>
      <c r="C869" s="177" t="n">
        <v>45068</v>
      </c>
      <c r="D869" t="inlineStr">
        <is>
          <t>BW20230516</t>
        </is>
      </c>
      <c r="E869" t="n">
        <v>2023</v>
      </c>
      <c r="F869" t="inlineStr">
        <is>
          <t>Maj</t>
        </is>
      </c>
      <c r="G869" t="inlineStr">
        <is>
          <t>Czw</t>
        </is>
      </c>
      <c r="H869">
        <f>'Floor Hours Engine'!$E$4</f>
        <v/>
      </c>
      <c r="I869" t="inlineStr">
        <is>
          <t>W4</t>
        </is>
      </c>
      <c r="J869" t="inlineStr">
        <is>
          <t>2023_Maj_W4</t>
        </is>
      </c>
    </row>
    <row r="870">
      <c r="A870" s="177" t="n">
        <v>45065</v>
      </c>
      <c r="B870" s="177" t="n">
        <v>45062</v>
      </c>
      <c r="C870" s="177" t="n">
        <v>45068</v>
      </c>
      <c r="D870" t="inlineStr">
        <is>
          <t>BW20230516</t>
        </is>
      </c>
      <c r="E870" t="n">
        <v>2023</v>
      </c>
      <c r="F870" t="inlineStr">
        <is>
          <t>Maj</t>
        </is>
      </c>
      <c r="G870" t="inlineStr">
        <is>
          <t>Pt</t>
        </is>
      </c>
      <c r="H870">
        <f>'Floor Hours Engine'!$E$5</f>
        <v/>
      </c>
      <c r="I870" t="inlineStr">
        <is>
          <t>W4</t>
        </is>
      </c>
      <c r="J870" t="inlineStr">
        <is>
          <t>2023_Maj_W4</t>
        </is>
      </c>
    </row>
    <row r="871">
      <c r="A871" s="177" t="n">
        <v>45066</v>
      </c>
      <c r="B871" s="177" t="n">
        <v>45062</v>
      </c>
      <c r="C871" s="177" t="n">
        <v>45068</v>
      </c>
      <c r="D871" t="inlineStr">
        <is>
          <t>BW20230516</t>
        </is>
      </c>
      <c r="E871" t="n">
        <v>2023</v>
      </c>
      <c r="F871" t="inlineStr">
        <is>
          <t>Maj</t>
        </is>
      </c>
      <c r="G871" t="inlineStr">
        <is>
          <t>Sob</t>
        </is>
      </c>
      <c r="H871">
        <f>'Floor Hours Engine'!$E$5</f>
        <v/>
      </c>
      <c r="I871" t="inlineStr">
        <is>
          <t>W4</t>
        </is>
      </c>
      <c r="J871" t="inlineStr">
        <is>
          <t>2023_Maj_W4</t>
        </is>
      </c>
    </row>
    <row r="872">
      <c r="A872" s="177" t="n">
        <v>45067</v>
      </c>
      <c r="B872" s="177" t="n">
        <v>45062</v>
      </c>
      <c r="C872" s="177" t="n">
        <v>45068</v>
      </c>
      <c r="D872" t="inlineStr">
        <is>
          <t>BW20230516</t>
        </is>
      </c>
      <c r="E872" t="n">
        <v>2023</v>
      </c>
      <c r="F872" t="inlineStr">
        <is>
          <t>Maj</t>
        </is>
      </c>
      <c r="G872" t="inlineStr">
        <is>
          <t>Nd</t>
        </is>
      </c>
      <c r="H872">
        <f>'Floor Hours Engine'!$E$6</f>
        <v/>
      </c>
      <c r="I872" t="inlineStr">
        <is>
          <t>W4</t>
        </is>
      </c>
      <c r="J872" t="inlineStr">
        <is>
          <t>2023_Maj_W4</t>
        </is>
      </c>
    </row>
    <row r="873">
      <c r="A873" s="177" t="n">
        <v>45068</v>
      </c>
      <c r="B873" s="177" t="n">
        <v>45062</v>
      </c>
      <c r="C873" s="177" t="n">
        <v>45068</v>
      </c>
      <c r="D873" t="inlineStr">
        <is>
          <t>BW20230516</t>
        </is>
      </c>
      <c r="E873" t="n">
        <v>2023</v>
      </c>
      <c r="F873" t="inlineStr">
        <is>
          <t>Maj</t>
        </is>
      </c>
      <c r="G873" t="inlineStr">
        <is>
          <t>Pn</t>
        </is>
      </c>
      <c r="H873">
        <f>'Floor Hours Engine'!$E$4</f>
        <v/>
      </c>
      <c r="I873" t="inlineStr">
        <is>
          <t>W4</t>
        </is>
      </c>
      <c r="J873" t="inlineStr">
        <is>
          <t>2023_Maj_W4</t>
        </is>
      </c>
    </row>
    <row r="874">
      <c r="A874" s="177" t="n">
        <v>45069</v>
      </c>
      <c r="B874" s="177" t="n">
        <v>45069</v>
      </c>
      <c r="C874" s="177" t="n">
        <v>45075</v>
      </c>
      <c r="D874" t="inlineStr">
        <is>
          <t>BW20230523</t>
        </is>
      </c>
      <c r="E874" t="n">
        <v>2023</v>
      </c>
      <c r="F874" t="inlineStr">
        <is>
          <t>Maj</t>
        </is>
      </c>
      <c r="G874" t="inlineStr">
        <is>
          <t>Wt</t>
        </is>
      </c>
      <c r="H874">
        <f>'Floor Hours Engine'!$E$4</f>
        <v/>
      </c>
      <c r="I874" t="inlineStr">
        <is>
          <t>W5</t>
        </is>
      </c>
      <c r="J874" t="inlineStr">
        <is>
          <t>2023_Maj_W5</t>
        </is>
      </c>
    </row>
    <row r="875">
      <c r="A875" s="177" t="n">
        <v>45070</v>
      </c>
      <c r="B875" s="177" t="n">
        <v>45069</v>
      </c>
      <c r="C875" s="177" t="n">
        <v>45075</v>
      </c>
      <c r="D875" t="inlineStr">
        <is>
          <t>BW20230523</t>
        </is>
      </c>
      <c r="E875" t="n">
        <v>2023</v>
      </c>
      <c r="F875" t="inlineStr">
        <is>
          <t>Maj</t>
        </is>
      </c>
      <c r="G875" t="inlineStr">
        <is>
          <t>Śr</t>
        </is>
      </c>
      <c r="H875">
        <f>'Floor Hours Engine'!$E$4</f>
        <v/>
      </c>
      <c r="I875" t="inlineStr">
        <is>
          <t>W5</t>
        </is>
      </c>
      <c r="J875" t="inlineStr">
        <is>
          <t>2023_Maj_W5</t>
        </is>
      </c>
    </row>
    <row r="876">
      <c r="A876" s="177" t="n">
        <v>45071</v>
      </c>
      <c r="B876" s="177" t="n">
        <v>45069</v>
      </c>
      <c r="C876" s="177" t="n">
        <v>45075</v>
      </c>
      <c r="D876" t="inlineStr">
        <is>
          <t>BW20230523</t>
        </is>
      </c>
      <c r="E876" t="n">
        <v>2023</v>
      </c>
      <c r="F876" t="inlineStr">
        <is>
          <t>Maj</t>
        </is>
      </c>
      <c r="G876" t="inlineStr">
        <is>
          <t>Czw</t>
        </is>
      </c>
      <c r="H876">
        <f>'Floor Hours Engine'!$E$4</f>
        <v/>
      </c>
      <c r="I876" t="inlineStr">
        <is>
          <t>W5</t>
        </is>
      </c>
      <c r="J876" t="inlineStr">
        <is>
          <t>2023_Maj_W5</t>
        </is>
      </c>
    </row>
    <row r="877">
      <c r="A877" s="177" t="n">
        <v>45072</v>
      </c>
      <c r="B877" s="177" t="n">
        <v>45069</v>
      </c>
      <c r="C877" s="177" t="n">
        <v>45075</v>
      </c>
      <c r="D877" t="inlineStr">
        <is>
          <t>BW20230523</t>
        </is>
      </c>
      <c r="E877" t="n">
        <v>2023</v>
      </c>
      <c r="F877" t="inlineStr">
        <is>
          <t>Maj</t>
        </is>
      </c>
      <c r="G877" t="inlineStr">
        <is>
          <t>Pt</t>
        </is>
      </c>
      <c r="H877">
        <f>'Floor Hours Engine'!$E$5</f>
        <v/>
      </c>
      <c r="I877" t="inlineStr">
        <is>
          <t>W5</t>
        </is>
      </c>
      <c r="J877" t="inlineStr">
        <is>
          <t>2023_Maj_W5</t>
        </is>
      </c>
    </row>
    <row r="878">
      <c r="A878" s="177" t="n">
        <v>45073</v>
      </c>
      <c r="B878" s="177" t="n">
        <v>45069</v>
      </c>
      <c r="C878" s="177" t="n">
        <v>45075</v>
      </c>
      <c r="D878" t="inlineStr">
        <is>
          <t>BW20230523</t>
        </is>
      </c>
      <c r="E878" t="n">
        <v>2023</v>
      </c>
      <c r="F878" t="inlineStr">
        <is>
          <t>Maj</t>
        </is>
      </c>
      <c r="G878" t="inlineStr">
        <is>
          <t>Sob</t>
        </is>
      </c>
      <c r="H878">
        <f>'Floor Hours Engine'!$E$5</f>
        <v/>
      </c>
      <c r="I878" t="inlineStr">
        <is>
          <t>W5</t>
        </is>
      </c>
      <c r="J878" t="inlineStr">
        <is>
          <t>2023_Maj_W5</t>
        </is>
      </c>
    </row>
    <row r="879">
      <c r="A879" s="177" t="n">
        <v>45074</v>
      </c>
      <c r="B879" s="177" t="n">
        <v>45069</v>
      </c>
      <c r="C879" s="177" t="n">
        <v>45075</v>
      </c>
      <c r="D879" t="inlineStr">
        <is>
          <t>BW20230523</t>
        </is>
      </c>
      <c r="E879" t="n">
        <v>2023</v>
      </c>
      <c r="F879" t="inlineStr">
        <is>
          <t>Maj</t>
        </is>
      </c>
      <c r="G879" t="inlineStr">
        <is>
          <t>Nd</t>
        </is>
      </c>
      <c r="H879">
        <f>'Floor Hours Engine'!$E$6</f>
        <v/>
      </c>
      <c r="I879" t="inlineStr">
        <is>
          <t>W5</t>
        </is>
      </c>
      <c r="J879" t="inlineStr">
        <is>
          <t>2023_Maj_W5</t>
        </is>
      </c>
    </row>
    <row r="880">
      <c r="A880" s="177" t="n">
        <v>45075</v>
      </c>
      <c r="B880" s="177" t="n">
        <v>45069</v>
      </c>
      <c r="C880" s="177" t="n">
        <v>45075</v>
      </c>
      <c r="D880" t="inlineStr">
        <is>
          <t>BW20230523</t>
        </is>
      </c>
      <c r="E880" t="n">
        <v>2023</v>
      </c>
      <c r="F880" t="inlineStr">
        <is>
          <t>Maj</t>
        </is>
      </c>
      <c r="G880" t="inlineStr">
        <is>
          <t>Pn</t>
        </is>
      </c>
      <c r="H880">
        <f>'Floor Hours Engine'!$E$4</f>
        <v/>
      </c>
      <c r="I880" t="inlineStr">
        <is>
          <t>W5</t>
        </is>
      </c>
      <c r="J880" t="inlineStr">
        <is>
          <t>2023_Maj_W5</t>
        </is>
      </c>
    </row>
    <row r="881">
      <c r="A881" s="177" t="n">
        <v>45076</v>
      </c>
      <c r="B881" s="177" t="n">
        <v>45076</v>
      </c>
      <c r="C881" s="177" t="n">
        <v>45082</v>
      </c>
      <c r="D881" t="inlineStr">
        <is>
          <t>BW20230530</t>
        </is>
      </c>
      <c r="E881" t="n">
        <v>2023</v>
      </c>
      <c r="F881" t="inlineStr">
        <is>
          <t>Maj</t>
        </is>
      </c>
      <c r="G881" t="inlineStr">
        <is>
          <t>Wt</t>
        </is>
      </c>
      <c r="H881">
        <f>'Floor Hours Engine'!$E$4</f>
        <v/>
      </c>
      <c r="I881" t="inlineStr">
        <is>
          <t>W6</t>
        </is>
      </c>
      <c r="J881" t="inlineStr">
        <is>
          <t>2023_Maj_W6</t>
        </is>
      </c>
    </row>
    <row r="882">
      <c r="A882" s="177" t="n">
        <v>45077</v>
      </c>
      <c r="B882" s="177" t="n">
        <v>45076</v>
      </c>
      <c r="C882" s="177" t="n">
        <v>45082</v>
      </c>
      <c r="D882" t="inlineStr">
        <is>
          <t>BW20230530</t>
        </is>
      </c>
      <c r="E882" t="n">
        <v>2023</v>
      </c>
      <c r="F882" t="inlineStr">
        <is>
          <t>Maj</t>
        </is>
      </c>
      <c r="G882" t="inlineStr">
        <is>
          <t>Śr</t>
        </is>
      </c>
      <c r="H882">
        <f>'Floor Hours Engine'!$E$4</f>
        <v/>
      </c>
      <c r="I882" t="inlineStr">
        <is>
          <t>W6</t>
        </is>
      </c>
      <c r="J882" t="inlineStr">
        <is>
          <t>2023_Maj_W6</t>
        </is>
      </c>
    </row>
    <row r="883">
      <c r="A883" s="177" t="n">
        <v>45078</v>
      </c>
      <c r="B883" s="177" t="n">
        <v>45076</v>
      </c>
      <c r="C883" s="177" t="n">
        <v>45082</v>
      </c>
      <c r="D883" t="inlineStr">
        <is>
          <t>BW20230530</t>
        </is>
      </c>
      <c r="E883" t="n">
        <v>2023</v>
      </c>
      <c r="F883" t="inlineStr">
        <is>
          <t>Czerwiec</t>
        </is>
      </c>
      <c r="G883" t="inlineStr">
        <is>
          <t>Czw</t>
        </is>
      </c>
      <c r="H883">
        <f>'Floor Hours Engine'!$E$4</f>
        <v/>
      </c>
      <c r="I883" t="inlineStr">
        <is>
          <t>W1</t>
        </is>
      </c>
      <c r="J883" t="inlineStr">
        <is>
          <t>2023_Czerwiec_W1</t>
        </is>
      </c>
    </row>
    <row r="884">
      <c r="A884" s="177" t="n">
        <v>45079</v>
      </c>
      <c r="B884" s="177" t="n">
        <v>45076</v>
      </c>
      <c r="C884" s="177" t="n">
        <v>45082</v>
      </c>
      <c r="D884" t="inlineStr">
        <is>
          <t>BW20230530</t>
        </is>
      </c>
      <c r="E884" t="n">
        <v>2023</v>
      </c>
      <c r="F884" t="inlineStr">
        <is>
          <t>Czerwiec</t>
        </is>
      </c>
      <c r="G884" t="inlineStr">
        <is>
          <t>Pt</t>
        </is>
      </c>
      <c r="H884">
        <f>'Floor Hours Engine'!$E$5</f>
        <v/>
      </c>
      <c r="I884" t="inlineStr">
        <is>
          <t>W1</t>
        </is>
      </c>
      <c r="J884" t="inlineStr">
        <is>
          <t>2023_Czerwiec_W1</t>
        </is>
      </c>
    </row>
    <row r="885">
      <c r="A885" s="177" t="n">
        <v>45080</v>
      </c>
      <c r="B885" s="177" t="n">
        <v>45076</v>
      </c>
      <c r="C885" s="177" t="n">
        <v>45082</v>
      </c>
      <c r="D885" t="inlineStr">
        <is>
          <t>BW20230530</t>
        </is>
      </c>
      <c r="E885" t="n">
        <v>2023</v>
      </c>
      <c r="F885" t="inlineStr">
        <is>
          <t>Czerwiec</t>
        </is>
      </c>
      <c r="G885" t="inlineStr">
        <is>
          <t>Sob</t>
        </is>
      </c>
      <c r="H885">
        <f>'Floor Hours Engine'!$E$5</f>
        <v/>
      </c>
      <c r="I885" t="inlineStr">
        <is>
          <t>W1</t>
        </is>
      </c>
      <c r="J885" t="inlineStr">
        <is>
          <t>2023_Czerwiec_W1</t>
        </is>
      </c>
    </row>
    <row r="886">
      <c r="A886" s="177" t="n">
        <v>45081</v>
      </c>
      <c r="B886" s="177" t="n">
        <v>45076</v>
      </c>
      <c r="C886" s="177" t="n">
        <v>45082</v>
      </c>
      <c r="D886" t="inlineStr">
        <is>
          <t>BW20230530</t>
        </is>
      </c>
      <c r="E886" t="n">
        <v>2023</v>
      </c>
      <c r="F886" t="inlineStr">
        <is>
          <t>Czerwiec</t>
        </is>
      </c>
      <c r="G886" t="inlineStr">
        <is>
          <t>Nd</t>
        </is>
      </c>
      <c r="H886">
        <f>'Floor Hours Engine'!$E$6</f>
        <v/>
      </c>
      <c r="I886" t="inlineStr">
        <is>
          <t>W1</t>
        </is>
      </c>
      <c r="J886" t="inlineStr">
        <is>
          <t>2023_Czerwiec_W1</t>
        </is>
      </c>
    </row>
    <row r="887">
      <c r="A887" s="177" t="n">
        <v>45082</v>
      </c>
      <c r="B887" s="177" t="n">
        <v>45076</v>
      </c>
      <c r="C887" s="177" t="n">
        <v>45082</v>
      </c>
      <c r="D887" t="inlineStr">
        <is>
          <t>BW20230530</t>
        </is>
      </c>
      <c r="E887" t="n">
        <v>2023</v>
      </c>
      <c r="F887" t="inlineStr">
        <is>
          <t>Czerwiec</t>
        </is>
      </c>
      <c r="G887" t="inlineStr">
        <is>
          <t>Pn</t>
        </is>
      </c>
      <c r="H887">
        <f>'Floor Hours Engine'!$E$4</f>
        <v/>
      </c>
      <c r="I887" t="inlineStr">
        <is>
          <t>W1</t>
        </is>
      </c>
      <c r="J887" t="inlineStr">
        <is>
          <t>2023_Czerwiec_W1</t>
        </is>
      </c>
    </row>
    <row r="888">
      <c r="A888" s="177" t="n">
        <v>45083</v>
      </c>
      <c r="B888" s="177" t="n">
        <v>45083</v>
      </c>
      <c r="C888" s="177" t="n">
        <v>45089</v>
      </c>
      <c r="D888" t="inlineStr">
        <is>
          <t>BW20230606</t>
        </is>
      </c>
      <c r="E888" t="n">
        <v>2023</v>
      </c>
      <c r="F888" t="inlineStr">
        <is>
          <t>Czerwiec</t>
        </is>
      </c>
      <c r="G888" t="inlineStr">
        <is>
          <t>Wt</t>
        </is>
      </c>
      <c r="H888">
        <f>'Floor Hours Engine'!$E$4</f>
        <v/>
      </c>
      <c r="I888" t="inlineStr">
        <is>
          <t>W2</t>
        </is>
      </c>
      <c r="J888" t="inlineStr">
        <is>
          <t>2023_Czerwiec_W2</t>
        </is>
      </c>
    </row>
    <row r="889">
      <c r="A889" s="177" t="n">
        <v>45084</v>
      </c>
      <c r="B889" s="177" t="n">
        <v>45083</v>
      </c>
      <c r="C889" s="177" t="n">
        <v>45089</v>
      </c>
      <c r="D889" t="inlineStr">
        <is>
          <t>BW20230606</t>
        </is>
      </c>
      <c r="E889" t="n">
        <v>2023</v>
      </c>
      <c r="F889" t="inlineStr">
        <is>
          <t>Czerwiec</t>
        </is>
      </c>
      <c r="G889" t="inlineStr">
        <is>
          <t>Śr</t>
        </is>
      </c>
      <c r="H889">
        <f>'Floor Hours Engine'!$E$4</f>
        <v/>
      </c>
      <c r="I889" t="inlineStr">
        <is>
          <t>W2</t>
        </is>
      </c>
      <c r="J889" t="inlineStr">
        <is>
          <t>2023_Czerwiec_W2</t>
        </is>
      </c>
    </row>
    <row r="890">
      <c r="A890" s="177" t="n">
        <v>45085</v>
      </c>
      <c r="B890" s="177" t="n">
        <v>45083</v>
      </c>
      <c r="C890" s="177" t="n">
        <v>45089</v>
      </c>
      <c r="D890" t="inlineStr">
        <is>
          <t>BW20230606</t>
        </is>
      </c>
      <c r="E890" t="n">
        <v>2023</v>
      </c>
      <c r="F890" t="inlineStr">
        <is>
          <t>Czerwiec</t>
        </is>
      </c>
      <c r="G890" t="inlineStr">
        <is>
          <t>Czw</t>
        </is>
      </c>
      <c r="H890">
        <f>'Floor Hours Engine'!$E$4</f>
        <v/>
      </c>
      <c r="I890" t="inlineStr">
        <is>
          <t>W2</t>
        </is>
      </c>
      <c r="J890" t="inlineStr">
        <is>
          <t>2023_Czerwiec_W2</t>
        </is>
      </c>
    </row>
    <row r="891">
      <c r="A891" s="177" t="n">
        <v>45086</v>
      </c>
      <c r="B891" s="177" t="n">
        <v>45083</v>
      </c>
      <c r="C891" s="177" t="n">
        <v>45089</v>
      </c>
      <c r="D891" t="inlineStr">
        <is>
          <t>BW20230606</t>
        </is>
      </c>
      <c r="E891" t="n">
        <v>2023</v>
      </c>
      <c r="F891" t="inlineStr">
        <is>
          <t>Czerwiec</t>
        </is>
      </c>
      <c r="G891" t="inlineStr">
        <is>
          <t>Pt</t>
        </is>
      </c>
      <c r="H891">
        <f>'Floor Hours Engine'!$E$5</f>
        <v/>
      </c>
      <c r="I891" t="inlineStr">
        <is>
          <t>W2</t>
        </is>
      </c>
      <c r="J891" t="inlineStr">
        <is>
          <t>2023_Czerwiec_W2</t>
        </is>
      </c>
    </row>
    <row r="892">
      <c r="A892" s="177" t="n">
        <v>45087</v>
      </c>
      <c r="B892" s="177" t="n">
        <v>45083</v>
      </c>
      <c r="C892" s="177" t="n">
        <v>45089</v>
      </c>
      <c r="D892" t="inlineStr">
        <is>
          <t>BW20230606</t>
        </is>
      </c>
      <c r="E892" t="n">
        <v>2023</v>
      </c>
      <c r="F892" t="inlineStr">
        <is>
          <t>Czerwiec</t>
        </is>
      </c>
      <c r="G892" t="inlineStr">
        <is>
          <t>Sob</t>
        </is>
      </c>
      <c r="H892">
        <f>'Floor Hours Engine'!$E$5</f>
        <v/>
      </c>
      <c r="I892" t="inlineStr">
        <is>
          <t>W2</t>
        </is>
      </c>
      <c r="J892" t="inlineStr">
        <is>
          <t>2023_Czerwiec_W2</t>
        </is>
      </c>
    </row>
    <row r="893">
      <c r="A893" s="177" t="n">
        <v>45088</v>
      </c>
      <c r="B893" s="177" t="n">
        <v>45083</v>
      </c>
      <c r="C893" s="177" t="n">
        <v>45089</v>
      </c>
      <c r="D893" t="inlineStr">
        <is>
          <t>BW20230606</t>
        </is>
      </c>
      <c r="E893" t="n">
        <v>2023</v>
      </c>
      <c r="F893" t="inlineStr">
        <is>
          <t>Czerwiec</t>
        </is>
      </c>
      <c r="G893" t="inlineStr">
        <is>
          <t>Nd</t>
        </is>
      </c>
      <c r="H893">
        <f>'Floor Hours Engine'!$E$6</f>
        <v/>
      </c>
      <c r="I893" t="inlineStr">
        <is>
          <t>W2</t>
        </is>
      </c>
      <c r="J893" t="inlineStr">
        <is>
          <t>2023_Czerwiec_W2</t>
        </is>
      </c>
    </row>
    <row r="894">
      <c r="A894" s="177" t="n">
        <v>45089</v>
      </c>
      <c r="B894" s="177" t="n">
        <v>45083</v>
      </c>
      <c r="C894" s="177" t="n">
        <v>45089</v>
      </c>
      <c r="D894" t="inlineStr">
        <is>
          <t>BW20230606</t>
        </is>
      </c>
      <c r="E894" t="n">
        <v>2023</v>
      </c>
      <c r="F894" t="inlineStr">
        <is>
          <t>Czerwiec</t>
        </is>
      </c>
      <c r="G894" t="inlineStr">
        <is>
          <t>Pn</t>
        </is>
      </c>
      <c r="H894">
        <f>'Floor Hours Engine'!$E$4</f>
        <v/>
      </c>
      <c r="I894" t="inlineStr">
        <is>
          <t>W2</t>
        </is>
      </c>
      <c r="J894" t="inlineStr">
        <is>
          <t>2023_Czerwiec_W2</t>
        </is>
      </c>
    </row>
    <row r="895">
      <c r="A895" s="177" t="n">
        <v>45090</v>
      </c>
      <c r="B895" s="177" t="n">
        <v>45090</v>
      </c>
      <c r="C895" s="177" t="n">
        <v>45096</v>
      </c>
      <c r="D895" t="inlineStr">
        <is>
          <t>BW20230613</t>
        </is>
      </c>
      <c r="E895" t="n">
        <v>2023</v>
      </c>
      <c r="F895" t="inlineStr">
        <is>
          <t>Czerwiec</t>
        </is>
      </c>
      <c r="G895" t="inlineStr">
        <is>
          <t>Wt</t>
        </is>
      </c>
      <c r="H895">
        <f>'Floor Hours Engine'!$E$4</f>
        <v/>
      </c>
      <c r="I895" t="inlineStr">
        <is>
          <t>W3</t>
        </is>
      </c>
      <c r="J895" t="inlineStr">
        <is>
          <t>2023_Czerwiec_W3</t>
        </is>
      </c>
    </row>
    <row r="896">
      <c r="A896" s="177" t="n">
        <v>45091</v>
      </c>
      <c r="B896" s="177" t="n">
        <v>45090</v>
      </c>
      <c r="C896" s="177" t="n">
        <v>45096</v>
      </c>
      <c r="D896" t="inlineStr">
        <is>
          <t>BW20230613</t>
        </is>
      </c>
      <c r="E896" t="n">
        <v>2023</v>
      </c>
      <c r="F896" t="inlineStr">
        <is>
          <t>Czerwiec</t>
        </is>
      </c>
      <c r="G896" t="inlineStr">
        <is>
          <t>Śr</t>
        </is>
      </c>
      <c r="H896">
        <f>'Floor Hours Engine'!$E$4</f>
        <v/>
      </c>
      <c r="I896" t="inlineStr">
        <is>
          <t>W3</t>
        </is>
      </c>
      <c r="J896" t="inlineStr">
        <is>
          <t>2023_Czerwiec_W3</t>
        </is>
      </c>
    </row>
    <row r="897">
      <c r="A897" s="177" t="n">
        <v>45092</v>
      </c>
      <c r="B897" s="177" t="n">
        <v>45090</v>
      </c>
      <c r="C897" s="177" t="n">
        <v>45096</v>
      </c>
      <c r="D897" t="inlineStr">
        <is>
          <t>BW20230613</t>
        </is>
      </c>
      <c r="E897" t="n">
        <v>2023</v>
      </c>
      <c r="F897" t="inlineStr">
        <is>
          <t>Czerwiec</t>
        </is>
      </c>
      <c r="G897" t="inlineStr">
        <is>
          <t>Czw</t>
        </is>
      </c>
      <c r="H897">
        <f>'Floor Hours Engine'!$E$4</f>
        <v/>
      </c>
      <c r="I897" t="inlineStr">
        <is>
          <t>W3</t>
        </is>
      </c>
      <c r="J897" t="inlineStr">
        <is>
          <t>2023_Czerwiec_W3</t>
        </is>
      </c>
    </row>
    <row r="898">
      <c r="A898" s="177" t="n">
        <v>45093</v>
      </c>
      <c r="B898" s="177" t="n">
        <v>45090</v>
      </c>
      <c r="C898" s="177" t="n">
        <v>45096</v>
      </c>
      <c r="D898" t="inlineStr">
        <is>
          <t>BW20230613</t>
        </is>
      </c>
      <c r="E898" t="n">
        <v>2023</v>
      </c>
      <c r="F898" t="inlineStr">
        <is>
          <t>Czerwiec</t>
        </is>
      </c>
      <c r="G898" t="inlineStr">
        <is>
          <t>Pt</t>
        </is>
      </c>
      <c r="H898">
        <f>'Floor Hours Engine'!$E$5</f>
        <v/>
      </c>
      <c r="I898" t="inlineStr">
        <is>
          <t>W3</t>
        </is>
      </c>
      <c r="J898" t="inlineStr">
        <is>
          <t>2023_Czerwiec_W3</t>
        </is>
      </c>
    </row>
    <row r="899">
      <c r="A899" s="177" t="n">
        <v>45094</v>
      </c>
      <c r="B899" s="177" t="n">
        <v>45090</v>
      </c>
      <c r="C899" s="177" t="n">
        <v>45096</v>
      </c>
      <c r="D899" t="inlineStr">
        <is>
          <t>BW20230613</t>
        </is>
      </c>
      <c r="E899" t="n">
        <v>2023</v>
      </c>
      <c r="F899" t="inlineStr">
        <is>
          <t>Czerwiec</t>
        </is>
      </c>
      <c r="G899" t="inlineStr">
        <is>
          <t>Sob</t>
        </is>
      </c>
      <c r="H899">
        <f>'Floor Hours Engine'!$E$5</f>
        <v/>
      </c>
      <c r="I899" t="inlineStr">
        <is>
          <t>W3</t>
        </is>
      </c>
      <c r="J899" t="inlineStr">
        <is>
          <t>2023_Czerwiec_W3</t>
        </is>
      </c>
    </row>
    <row r="900">
      <c r="A900" s="177" t="n">
        <v>45095</v>
      </c>
      <c r="B900" s="177" t="n">
        <v>45090</v>
      </c>
      <c r="C900" s="177" t="n">
        <v>45096</v>
      </c>
      <c r="D900" t="inlineStr">
        <is>
          <t>BW20230613</t>
        </is>
      </c>
      <c r="E900" t="n">
        <v>2023</v>
      </c>
      <c r="F900" t="inlineStr">
        <is>
          <t>Czerwiec</t>
        </is>
      </c>
      <c r="G900" t="inlineStr">
        <is>
          <t>Nd</t>
        </is>
      </c>
      <c r="H900">
        <f>'Floor Hours Engine'!$E$6</f>
        <v/>
      </c>
      <c r="I900" t="inlineStr">
        <is>
          <t>W3</t>
        </is>
      </c>
      <c r="J900" t="inlineStr">
        <is>
          <t>2023_Czerwiec_W3</t>
        </is>
      </c>
    </row>
    <row r="901">
      <c r="A901" s="177" t="n">
        <v>45096</v>
      </c>
      <c r="B901" s="177" t="n">
        <v>45090</v>
      </c>
      <c r="C901" s="177" t="n">
        <v>45096</v>
      </c>
      <c r="D901" t="inlineStr">
        <is>
          <t>BW20230613</t>
        </is>
      </c>
      <c r="E901" t="n">
        <v>2023</v>
      </c>
      <c r="F901" t="inlineStr">
        <is>
          <t>Czerwiec</t>
        </is>
      </c>
      <c r="G901" t="inlineStr">
        <is>
          <t>Pn</t>
        </is>
      </c>
      <c r="H901">
        <f>'Floor Hours Engine'!$E$4</f>
        <v/>
      </c>
      <c r="I901" t="inlineStr">
        <is>
          <t>W3</t>
        </is>
      </c>
      <c r="J901" t="inlineStr">
        <is>
          <t>2023_Czerwiec_W3</t>
        </is>
      </c>
    </row>
    <row r="902">
      <c r="A902" s="177" t="n">
        <v>45097</v>
      </c>
      <c r="B902" s="177" t="n">
        <v>45097</v>
      </c>
      <c r="C902" s="177" t="n">
        <v>45103</v>
      </c>
      <c r="D902" t="inlineStr">
        <is>
          <t>BW20230620</t>
        </is>
      </c>
      <c r="E902" t="n">
        <v>2023</v>
      </c>
      <c r="F902" t="inlineStr">
        <is>
          <t>Czerwiec</t>
        </is>
      </c>
      <c r="G902" t="inlineStr">
        <is>
          <t>Wt</t>
        </is>
      </c>
      <c r="H902">
        <f>'Floor Hours Engine'!$E$4</f>
        <v/>
      </c>
      <c r="I902" t="inlineStr">
        <is>
          <t>W4</t>
        </is>
      </c>
      <c r="J902" t="inlineStr">
        <is>
          <t>2023_Czerwiec_W4</t>
        </is>
      </c>
    </row>
    <row r="903">
      <c r="A903" s="177" t="n">
        <v>45098</v>
      </c>
      <c r="B903" s="177" t="n">
        <v>45097</v>
      </c>
      <c r="C903" s="177" t="n">
        <v>45103</v>
      </c>
      <c r="D903" t="inlineStr">
        <is>
          <t>BW20230620</t>
        </is>
      </c>
      <c r="E903" t="n">
        <v>2023</v>
      </c>
      <c r="F903" t="inlineStr">
        <is>
          <t>Czerwiec</t>
        </is>
      </c>
      <c r="G903" t="inlineStr">
        <is>
          <t>Śr</t>
        </is>
      </c>
      <c r="H903">
        <f>'Floor Hours Engine'!$E$4</f>
        <v/>
      </c>
      <c r="I903" t="inlineStr">
        <is>
          <t>W4</t>
        </is>
      </c>
      <c r="J903" t="inlineStr">
        <is>
          <t>2023_Czerwiec_W4</t>
        </is>
      </c>
    </row>
    <row r="904">
      <c r="A904" s="177" t="n">
        <v>45099</v>
      </c>
      <c r="B904" s="177" t="n">
        <v>45097</v>
      </c>
      <c r="C904" s="177" t="n">
        <v>45103</v>
      </c>
      <c r="D904" t="inlineStr">
        <is>
          <t>BW20230620</t>
        </is>
      </c>
      <c r="E904" t="n">
        <v>2023</v>
      </c>
      <c r="F904" t="inlineStr">
        <is>
          <t>Czerwiec</t>
        </is>
      </c>
      <c r="G904" t="inlineStr">
        <is>
          <t>Czw</t>
        </is>
      </c>
      <c r="H904">
        <f>'Floor Hours Engine'!$E$4</f>
        <v/>
      </c>
      <c r="I904" t="inlineStr">
        <is>
          <t>W4</t>
        </is>
      </c>
      <c r="J904" t="inlineStr">
        <is>
          <t>2023_Czerwiec_W4</t>
        </is>
      </c>
    </row>
    <row r="905">
      <c r="A905" s="177" t="n">
        <v>45100</v>
      </c>
      <c r="B905" s="177" t="n">
        <v>45097</v>
      </c>
      <c r="C905" s="177" t="n">
        <v>45103</v>
      </c>
      <c r="D905" t="inlineStr">
        <is>
          <t>BW20230620</t>
        </is>
      </c>
      <c r="E905" t="n">
        <v>2023</v>
      </c>
      <c r="F905" t="inlineStr">
        <is>
          <t>Czerwiec</t>
        </is>
      </c>
      <c r="G905" t="inlineStr">
        <is>
          <t>Pt</t>
        </is>
      </c>
      <c r="H905">
        <f>'Floor Hours Engine'!$E$5</f>
        <v/>
      </c>
      <c r="I905" t="inlineStr">
        <is>
          <t>W4</t>
        </is>
      </c>
      <c r="J905" t="inlineStr">
        <is>
          <t>2023_Czerwiec_W4</t>
        </is>
      </c>
    </row>
    <row r="906">
      <c r="A906" s="177" t="n">
        <v>45101</v>
      </c>
      <c r="B906" s="177" t="n">
        <v>45097</v>
      </c>
      <c r="C906" s="177" t="n">
        <v>45103</v>
      </c>
      <c r="D906" t="inlineStr">
        <is>
          <t>BW20230620</t>
        </is>
      </c>
      <c r="E906" t="n">
        <v>2023</v>
      </c>
      <c r="F906" t="inlineStr">
        <is>
          <t>Czerwiec</t>
        </is>
      </c>
      <c r="G906" t="inlineStr">
        <is>
          <t>Sob</t>
        </is>
      </c>
      <c r="H906">
        <f>'Floor Hours Engine'!$E$5</f>
        <v/>
      </c>
      <c r="I906" t="inlineStr">
        <is>
          <t>W4</t>
        </is>
      </c>
      <c r="J906" t="inlineStr">
        <is>
          <t>2023_Czerwiec_W4</t>
        </is>
      </c>
    </row>
    <row r="907">
      <c r="A907" s="177" t="n">
        <v>45102</v>
      </c>
      <c r="B907" s="177" t="n">
        <v>45097</v>
      </c>
      <c r="C907" s="177" t="n">
        <v>45103</v>
      </c>
      <c r="D907" t="inlineStr">
        <is>
          <t>BW20230620</t>
        </is>
      </c>
      <c r="E907" t="n">
        <v>2023</v>
      </c>
      <c r="F907" t="inlineStr">
        <is>
          <t>Czerwiec</t>
        </is>
      </c>
      <c r="G907" t="inlineStr">
        <is>
          <t>Nd</t>
        </is>
      </c>
      <c r="H907">
        <f>'Floor Hours Engine'!$E$6</f>
        <v/>
      </c>
      <c r="I907" t="inlineStr">
        <is>
          <t>W4</t>
        </is>
      </c>
      <c r="J907" t="inlineStr">
        <is>
          <t>2023_Czerwiec_W4</t>
        </is>
      </c>
    </row>
    <row r="908">
      <c r="A908" s="177" t="n">
        <v>45103</v>
      </c>
      <c r="B908" s="177" t="n">
        <v>45097</v>
      </c>
      <c r="C908" s="177" t="n">
        <v>45103</v>
      </c>
      <c r="D908" t="inlineStr">
        <is>
          <t>BW20230620</t>
        </is>
      </c>
      <c r="E908" t="n">
        <v>2023</v>
      </c>
      <c r="F908" t="inlineStr">
        <is>
          <t>Czerwiec</t>
        </is>
      </c>
      <c r="G908" t="inlineStr">
        <is>
          <t>Pn</t>
        </is>
      </c>
      <c r="H908">
        <f>'Floor Hours Engine'!$E$4</f>
        <v/>
      </c>
      <c r="I908" t="inlineStr">
        <is>
          <t>W4</t>
        </is>
      </c>
      <c r="J908" t="inlineStr">
        <is>
          <t>2023_Czerwiec_W4</t>
        </is>
      </c>
    </row>
    <row r="909">
      <c r="A909" s="177" t="n">
        <v>45104</v>
      </c>
      <c r="B909" s="177" t="n">
        <v>45104</v>
      </c>
      <c r="C909" s="177" t="n">
        <v>45110</v>
      </c>
      <c r="D909" t="inlineStr">
        <is>
          <t>BW20230627</t>
        </is>
      </c>
      <c r="E909" t="n">
        <v>2023</v>
      </c>
      <c r="F909" t="inlineStr">
        <is>
          <t>Czerwiec</t>
        </is>
      </c>
      <c r="G909" t="inlineStr">
        <is>
          <t>Wt</t>
        </is>
      </c>
      <c r="H909">
        <f>'Floor Hours Engine'!$E$4</f>
        <v/>
      </c>
      <c r="I909" t="inlineStr">
        <is>
          <t>W5</t>
        </is>
      </c>
      <c r="J909" t="inlineStr">
        <is>
          <t>2023_Czerwiec_W5</t>
        </is>
      </c>
    </row>
    <row r="910">
      <c r="A910" s="177" t="n">
        <v>45105</v>
      </c>
      <c r="B910" s="177" t="n">
        <v>45104</v>
      </c>
      <c r="C910" s="177" t="n">
        <v>45110</v>
      </c>
      <c r="D910" t="inlineStr">
        <is>
          <t>BW20230627</t>
        </is>
      </c>
      <c r="E910" t="n">
        <v>2023</v>
      </c>
      <c r="F910" t="inlineStr">
        <is>
          <t>Czerwiec</t>
        </is>
      </c>
      <c r="G910" t="inlineStr">
        <is>
          <t>Śr</t>
        </is>
      </c>
      <c r="H910">
        <f>'Floor Hours Engine'!$E$4</f>
        <v/>
      </c>
      <c r="I910" t="inlineStr">
        <is>
          <t>W5</t>
        </is>
      </c>
      <c r="J910" t="inlineStr">
        <is>
          <t>2023_Czerwiec_W5</t>
        </is>
      </c>
    </row>
    <row r="911">
      <c r="A911" s="177" t="n">
        <v>45106</v>
      </c>
      <c r="B911" s="177" t="n">
        <v>45104</v>
      </c>
      <c r="C911" s="177" t="n">
        <v>45110</v>
      </c>
      <c r="D911" t="inlineStr">
        <is>
          <t>BW20230627</t>
        </is>
      </c>
      <c r="E911" t="n">
        <v>2023</v>
      </c>
      <c r="F911" t="inlineStr">
        <is>
          <t>Czerwiec</t>
        </is>
      </c>
      <c r="G911" t="inlineStr">
        <is>
          <t>Czw</t>
        </is>
      </c>
      <c r="H911">
        <f>'Floor Hours Engine'!$E$4</f>
        <v/>
      </c>
      <c r="I911" t="inlineStr">
        <is>
          <t>W5</t>
        </is>
      </c>
      <c r="J911" t="inlineStr">
        <is>
          <t>2023_Czerwiec_W5</t>
        </is>
      </c>
    </row>
    <row r="912">
      <c r="A912" s="177" t="n">
        <v>45107</v>
      </c>
      <c r="B912" s="177" t="n">
        <v>45104</v>
      </c>
      <c r="C912" s="177" t="n">
        <v>45110</v>
      </c>
      <c r="D912" t="inlineStr">
        <is>
          <t>BW20230627</t>
        </is>
      </c>
      <c r="E912" t="n">
        <v>2023</v>
      </c>
      <c r="F912" t="inlineStr">
        <is>
          <t>Czerwiec</t>
        </is>
      </c>
      <c r="G912" t="inlineStr">
        <is>
          <t>Pt</t>
        </is>
      </c>
      <c r="H912">
        <f>'Floor Hours Engine'!$E$5</f>
        <v/>
      </c>
      <c r="I912" t="inlineStr">
        <is>
          <t>W5</t>
        </is>
      </c>
      <c r="J912" t="inlineStr">
        <is>
          <t>2023_Czerwiec_W5</t>
        </is>
      </c>
    </row>
    <row r="913">
      <c r="A913" s="177" t="n">
        <v>45108</v>
      </c>
      <c r="B913" s="177" t="n">
        <v>45104</v>
      </c>
      <c r="C913" s="177" t="n">
        <v>45110</v>
      </c>
      <c r="D913" t="inlineStr">
        <is>
          <t>BW20230627</t>
        </is>
      </c>
      <c r="E913" t="n">
        <v>2023</v>
      </c>
      <c r="F913" t="inlineStr">
        <is>
          <t>Lipiec</t>
        </is>
      </c>
      <c r="G913" t="inlineStr">
        <is>
          <t>Sob</t>
        </is>
      </c>
      <c r="H913">
        <f>'Floor Hours Engine'!$E$5</f>
        <v/>
      </c>
      <c r="I913" t="inlineStr">
        <is>
          <t>W1</t>
        </is>
      </c>
      <c r="J913" t="inlineStr">
        <is>
          <t>2023_Lipiec_W1</t>
        </is>
      </c>
    </row>
    <row r="914">
      <c r="A914" s="177" t="n">
        <v>45109</v>
      </c>
      <c r="B914" s="177" t="n">
        <v>45104</v>
      </c>
      <c r="C914" s="177" t="n">
        <v>45110</v>
      </c>
      <c r="D914" t="inlineStr">
        <is>
          <t>BW20230627</t>
        </is>
      </c>
      <c r="E914" t="n">
        <v>2023</v>
      </c>
      <c r="F914" t="inlineStr">
        <is>
          <t>Lipiec</t>
        </is>
      </c>
      <c r="G914" t="inlineStr">
        <is>
          <t>Nd</t>
        </is>
      </c>
      <c r="H914">
        <f>'Floor Hours Engine'!$E$6</f>
        <v/>
      </c>
      <c r="I914" t="inlineStr">
        <is>
          <t>W1</t>
        </is>
      </c>
      <c r="J914" t="inlineStr">
        <is>
          <t>2023_Lipiec_W1</t>
        </is>
      </c>
    </row>
    <row r="915">
      <c r="A915" s="177" t="n">
        <v>45110</v>
      </c>
      <c r="B915" s="177" t="n">
        <v>45104</v>
      </c>
      <c r="C915" s="177" t="n">
        <v>45110</v>
      </c>
      <c r="D915" t="inlineStr">
        <is>
          <t>BW20230627</t>
        </is>
      </c>
      <c r="E915" t="n">
        <v>2023</v>
      </c>
      <c r="F915" t="inlineStr">
        <is>
          <t>Lipiec</t>
        </is>
      </c>
      <c r="G915" t="inlineStr">
        <is>
          <t>Pn</t>
        </is>
      </c>
      <c r="H915">
        <f>'Floor Hours Engine'!$E$4</f>
        <v/>
      </c>
      <c r="I915" t="inlineStr">
        <is>
          <t>W1</t>
        </is>
      </c>
      <c r="J915" t="inlineStr">
        <is>
          <t>2023_Lipiec_W1</t>
        </is>
      </c>
    </row>
    <row r="916">
      <c r="A916" s="177" t="n">
        <v>45111</v>
      </c>
      <c r="B916" s="177" t="n">
        <v>45111</v>
      </c>
      <c r="C916" s="177" t="n">
        <v>45117</v>
      </c>
      <c r="D916" t="inlineStr">
        <is>
          <t>BW20230704</t>
        </is>
      </c>
      <c r="E916" t="n">
        <v>2023</v>
      </c>
      <c r="F916" t="inlineStr">
        <is>
          <t>Lipiec</t>
        </is>
      </c>
      <c r="G916" t="inlineStr">
        <is>
          <t>Wt</t>
        </is>
      </c>
      <c r="H916">
        <f>'Floor Hours Engine'!$E$4</f>
        <v/>
      </c>
      <c r="I916" t="inlineStr">
        <is>
          <t>W2</t>
        </is>
      </c>
      <c r="J916" t="inlineStr">
        <is>
          <t>2023_Lipiec_W2</t>
        </is>
      </c>
    </row>
    <row r="917">
      <c r="A917" s="177" t="n">
        <v>45112</v>
      </c>
      <c r="B917" s="177" t="n">
        <v>45111</v>
      </c>
      <c r="C917" s="177" t="n">
        <v>45117</v>
      </c>
      <c r="D917" t="inlineStr">
        <is>
          <t>BW20230704</t>
        </is>
      </c>
      <c r="E917" t="n">
        <v>2023</v>
      </c>
      <c r="F917" t="inlineStr">
        <is>
          <t>Lipiec</t>
        </is>
      </c>
      <c r="G917" t="inlineStr">
        <is>
          <t>Śr</t>
        </is>
      </c>
      <c r="H917">
        <f>'Floor Hours Engine'!$E$4</f>
        <v/>
      </c>
      <c r="I917" t="inlineStr">
        <is>
          <t>W2</t>
        </is>
      </c>
      <c r="J917" t="inlineStr">
        <is>
          <t>2023_Lipiec_W2</t>
        </is>
      </c>
    </row>
    <row r="918">
      <c r="A918" s="177" t="n">
        <v>45113</v>
      </c>
      <c r="B918" s="177" t="n">
        <v>45111</v>
      </c>
      <c r="C918" s="177" t="n">
        <v>45117</v>
      </c>
      <c r="D918" t="inlineStr">
        <is>
          <t>BW20230704</t>
        </is>
      </c>
      <c r="E918" t="n">
        <v>2023</v>
      </c>
      <c r="F918" t="inlineStr">
        <is>
          <t>Lipiec</t>
        </is>
      </c>
      <c r="G918" t="inlineStr">
        <is>
          <t>Czw</t>
        </is>
      </c>
      <c r="H918">
        <f>'Floor Hours Engine'!$E$4</f>
        <v/>
      </c>
      <c r="I918" t="inlineStr">
        <is>
          <t>W2</t>
        </is>
      </c>
      <c r="J918" t="inlineStr">
        <is>
          <t>2023_Lipiec_W2</t>
        </is>
      </c>
    </row>
    <row r="919">
      <c r="A919" s="177" t="n">
        <v>45114</v>
      </c>
      <c r="B919" s="177" t="n">
        <v>45111</v>
      </c>
      <c r="C919" s="177" t="n">
        <v>45117</v>
      </c>
      <c r="D919" t="inlineStr">
        <is>
          <t>BW20230704</t>
        </is>
      </c>
      <c r="E919" t="n">
        <v>2023</v>
      </c>
      <c r="F919" t="inlineStr">
        <is>
          <t>Lipiec</t>
        </is>
      </c>
      <c r="G919" t="inlineStr">
        <is>
          <t>Pt</t>
        </is>
      </c>
      <c r="H919">
        <f>'Floor Hours Engine'!$E$5</f>
        <v/>
      </c>
      <c r="I919" t="inlineStr">
        <is>
          <t>W2</t>
        </is>
      </c>
      <c r="J919" t="inlineStr">
        <is>
          <t>2023_Lipiec_W2</t>
        </is>
      </c>
    </row>
    <row r="920">
      <c r="A920" s="177" t="n">
        <v>45115</v>
      </c>
      <c r="B920" s="177" t="n">
        <v>45111</v>
      </c>
      <c r="C920" s="177" t="n">
        <v>45117</v>
      </c>
      <c r="D920" t="inlineStr">
        <is>
          <t>BW20230704</t>
        </is>
      </c>
      <c r="E920" t="n">
        <v>2023</v>
      </c>
      <c r="F920" t="inlineStr">
        <is>
          <t>Lipiec</t>
        </is>
      </c>
      <c r="G920" t="inlineStr">
        <is>
          <t>Sob</t>
        </is>
      </c>
      <c r="H920">
        <f>'Floor Hours Engine'!$E$5</f>
        <v/>
      </c>
      <c r="I920" t="inlineStr">
        <is>
          <t>W2</t>
        </is>
      </c>
      <c r="J920" t="inlineStr">
        <is>
          <t>2023_Lipiec_W2</t>
        </is>
      </c>
    </row>
    <row r="921">
      <c r="A921" s="177" t="n">
        <v>45116</v>
      </c>
      <c r="B921" s="177" t="n">
        <v>45111</v>
      </c>
      <c r="C921" s="177" t="n">
        <v>45117</v>
      </c>
      <c r="D921" t="inlineStr">
        <is>
          <t>BW20230704</t>
        </is>
      </c>
      <c r="E921" t="n">
        <v>2023</v>
      </c>
      <c r="F921" t="inlineStr">
        <is>
          <t>Lipiec</t>
        </is>
      </c>
      <c r="G921" t="inlineStr">
        <is>
          <t>Nd</t>
        </is>
      </c>
      <c r="H921">
        <f>'Floor Hours Engine'!$E$6</f>
        <v/>
      </c>
      <c r="I921" t="inlineStr">
        <is>
          <t>W2</t>
        </is>
      </c>
      <c r="J921" t="inlineStr">
        <is>
          <t>2023_Lipiec_W2</t>
        </is>
      </c>
    </row>
    <row r="922">
      <c r="A922" s="177" t="n">
        <v>45117</v>
      </c>
      <c r="B922" s="177" t="n">
        <v>45111</v>
      </c>
      <c r="C922" s="177" t="n">
        <v>45117</v>
      </c>
      <c r="D922" t="inlineStr">
        <is>
          <t>BW20230704</t>
        </is>
      </c>
      <c r="E922" t="n">
        <v>2023</v>
      </c>
      <c r="F922" t="inlineStr">
        <is>
          <t>Lipiec</t>
        </is>
      </c>
      <c r="G922" t="inlineStr">
        <is>
          <t>Pn</t>
        </is>
      </c>
      <c r="H922">
        <f>'Floor Hours Engine'!$E$4</f>
        <v/>
      </c>
      <c r="I922" t="inlineStr">
        <is>
          <t>W2</t>
        </is>
      </c>
      <c r="J922" t="inlineStr">
        <is>
          <t>2023_Lipiec_W2</t>
        </is>
      </c>
    </row>
    <row r="923">
      <c r="A923" s="177" t="n">
        <v>45118</v>
      </c>
      <c r="B923" s="177" t="n">
        <v>45118</v>
      </c>
      <c r="C923" s="177" t="n">
        <v>45124</v>
      </c>
      <c r="D923" t="inlineStr">
        <is>
          <t>BW20230711</t>
        </is>
      </c>
      <c r="E923" t="n">
        <v>2023</v>
      </c>
      <c r="F923" t="inlineStr">
        <is>
          <t>Lipiec</t>
        </is>
      </c>
      <c r="G923" t="inlineStr">
        <is>
          <t>Wt</t>
        </is>
      </c>
      <c r="H923">
        <f>'Floor Hours Engine'!$E$4</f>
        <v/>
      </c>
      <c r="I923" t="inlineStr">
        <is>
          <t>W3</t>
        </is>
      </c>
      <c r="J923" t="inlineStr">
        <is>
          <t>2023_Lipiec_W3</t>
        </is>
      </c>
    </row>
    <row r="924">
      <c r="A924" s="177" t="n">
        <v>45119</v>
      </c>
      <c r="B924" s="177" t="n">
        <v>45118</v>
      </c>
      <c r="C924" s="177" t="n">
        <v>45124</v>
      </c>
      <c r="D924" t="inlineStr">
        <is>
          <t>BW20230711</t>
        </is>
      </c>
      <c r="E924" t="n">
        <v>2023</v>
      </c>
      <c r="F924" t="inlineStr">
        <is>
          <t>Lipiec</t>
        </is>
      </c>
      <c r="G924" t="inlineStr">
        <is>
          <t>Śr</t>
        </is>
      </c>
      <c r="H924">
        <f>'Floor Hours Engine'!$E$4</f>
        <v/>
      </c>
      <c r="I924" t="inlineStr">
        <is>
          <t>W3</t>
        </is>
      </c>
      <c r="J924" t="inlineStr">
        <is>
          <t>2023_Lipiec_W3</t>
        </is>
      </c>
    </row>
    <row r="925">
      <c r="A925" s="177" t="n">
        <v>45120</v>
      </c>
      <c r="B925" s="177" t="n">
        <v>45118</v>
      </c>
      <c r="C925" s="177" t="n">
        <v>45124</v>
      </c>
      <c r="D925" t="inlineStr">
        <is>
          <t>BW20230711</t>
        </is>
      </c>
      <c r="E925" t="n">
        <v>2023</v>
      </c>
      <c r="F925" t="inlineStr">
        <is>
          <t>Lipiec</t>
        </is>
      </c>
      <c r="G925" t="inlineStr">
        <is>
          <t>Czw</t>
        </is>
      </c>
      <c r="H925">
        <f>'Floor Hours Engine'!$E$4</f>
        <v/>
      </c>
      <c r="I925" t="inlineStr">
        <is>
          <t>W3</t>
        </is>
      </c>
      <c r="J925" t="inlineStr">
        <is>
          <t>2023_Lipiec_W3</t>
        </is>
      </c>
    </row>
    <row r="926">
      <c r="A926" s="177" t="n">
        <v>45121</v>
      </c>
      <c r="B926" s="177" t="n">
        <v>45118</v>
      </c>
      <c r="C926" s="177" t="n">
        <v>45124</v>
      </c>
      <c r="D926" t="inlineStr">
        <is>
          <t>BW20230711</t>
        </is>
      </c>
      <c r="E926" t="n">
        <v>2023</v>
      </c>
      <c r="F926" t="inlineStr">
        <is>
          <t>Lipiec</t>
        </is>
      </c>
      <c r="G926" t="inlineStr">
        <is>
          <t>Pt</t>
        </is>
      </c>
      <c r="H926">
        <f>'Floor Hours Engine'!$E$5</f>
        <v/>
      </c>
      <c r="I926" t="inlineStr">
        <is>
          <t>W3</t>
        </is>
      </c>
      <c r="J926" t="inlineStr">
        <is>
          <t>2023_Lipiec_W3</t>
        </is>
      </c>
    </row>
    <row r="927">
      <c r="A927" s="177" t="n">
        <v>45122</v>
      </c>
      <c r="B927" s="177" t="n">
        <v>45118</v>
      </c>
      <c r="C927" s="177" t="n">
        <v>45124</v>
      </c>
      <c r="D927" t="inlineStr">
        <is>
          <t>BW20230711</t>
        </is>
      </c>
      <c r="E927" t="n">
        <v>2023</v>
      </c>
      <c r="F927" t="inlineStr">
        <is>
          <t>Lipiec</t>
        </is>
      </c>
      <c r="G927" t="inlineStr">
        <is>
          <t>Sob</t>
        </is>
      </c>
      <c r="H927">
        <f>'Floor Hours Engine'!$E$5</f>
        <v/>
      </c>
      <c r="I927" t="inlineStr">
        <is>
          <t>W3</t>
        </is>
      </c>
      <c r="J927" t="inlineStr">
        <is>
          <t>2023_Lipiec_W3</t>
        </is>
      </c>
    </row>
    <row r="928">
      <c r="A928" s="177" t="n">
        <v>45123</v>
      </c>
      <c r="B928" s="177" t="n">
        <v>45118</v>
      </c>
      <c r="C928" s="177" t="n">
        <v>45124</v>
      </c>
      <c r="D928" t="inlineStr">
        <is>
          <t>BW20230711</t>
        </is>
      </c>
      <c r="E928" t="n">
        <v>2023</v>
      </c>
      <c r="F928" t="inlineStr">
        <is>
          <t>Lipiec</t>
        </is>
      </c>
      <c r="G928" t="inlineStr">
        <is>
          <t>Nd</t>
        </is>
      </c>
      <c r="H928">
        <f>'Floor Hours Engine'!$E$6</f>
        <v/>
      </c>
      <c r="I928" t="inlineStr">
        <is>
          <t>W3</t>
        </is>
      </c>
      <c r="J928" t="inlineStr">
        <is>
          <t>2023_Lipiec_W3</t>
        </is>
      </c>
    </row>
    <row r="929">
      <c r="A929" s="177" t="n">
        <v>45124</v>
      </c>
      <c r="B929" s="177" t="n">
        <v>45118</v>
      </c>
      <c r="C929" s="177" t="n">
        <v>45124</v>
      </c>
      <c r="D929" t="inlineStr">
        <is>
          <t>BW20230711</t>
        </is>
      </c>
      <c r="E929" t="n">
        <v>2023</v>
      </c>
      <c r="F929" t="inlineStr">
        <is>
          <t>Lipiec</t>
        </is>
      </c>
      <c r="G929" t="inlineStr">
        <is>
          <t>Pn</t>
        </is>
      </c>
      <c r="H929">
        <f>'Floor Hours Engine'!$E$4</f>
        <v/>
      </c>
      <c r="I929" t="inlineStr">
        <is>
          <t>W3</t>
        </is>
      </c>
      <c r="J929" t="inlineStr">
        <is>
          <t>2023_Lipiec_W3</t>
        </is>
      </c>
    </row>
    <row r="930">
      <c r="A930" s="177" t="n">
        <v>45125</v>
      </c>
      <c r="B930" s="177" t="n">
        <v>45125</v>
      </c>
      <c r="C930" s="177" t="n">
        <v>45131</v>
      </c>
      <c r="D930" t="inlineStr">
        <is>
          <t>BW20230718</t>
        </is>
      </c>
      <c r="E930" t="n">
        <v>2023</v>
      </c>
      <c r="F930" t="inlineStr">
        <is>
          <t>Lipiec</t>
        </is>
      </c>
      <c r="G930" t="inlineStr">
        <is>
          <t>Wt</t>
        </is>
      </c>
      <c r="H930">
        <f>'Floor Hours Engine'!$E$4</f>
        <v/>
      </c>
      <c r="I930" t="inlineStr">
        <is>
          <t>W4</t>
        </is>
      </c>
      <c r="J930" t="inlineStr">
        <is>
          <t>2023_Lipiec_W4</t>
        </is>
      </c>
    </row>
    <row r="931">
      <c r="A931" s="177" t="n">
        <v>45126</v>
      </c>
      <c r="B931" s="177" t="n">
        <v>45125</v>
      </c>
      <c r="C931" s="177" t="n">
        <v>45131</v>
      </c>
      <c r="D931" t="inlineStr">
        <is>
          <t>BW20230718</t>
        </is>
      </c>
      <c r="E931" t="n">
        <v>2023</v>
      </c>
      <c r="F931" t="inlineStr">
        <is>
          <t>Lipiec</t>
        </is>
      </c>
      <c r="G931" t="inlineStr">
        <is>
          <t>Śr</t>
        </is>
      </c>
      <c r="H931">
        <f>'Floor Hours Engine'!$E$4</f>
        <v/>
      </c>
      <c r="I931" t="inlineStr">
        <is>
          <t>W4</t>
        </is>
      </c>
      <c r="J931" t="inlineStr">
        <is>
          <t>2023_Lipiec_W4</t>
        </is>
      </c>
    </row>
    <row r="932">
      <c r="A932" s="177" t="n">
        <v>45127</v>
      </c>
      <c r="B932" s="177" t="n">
        <v>45125</v>
      </c>
      <c r="C932" s="177" t="n">
        <v>45131</v>
      </c>
      <c r="D932" t="inlineStr">
        <is>
          <t>BW20230718</t>
        </is>
      </c>
      <c r="E932" t="n">
        <v>2023</v>
      </c>
      <c r="F932" t="inlineStr">
        <is>
          <t>Lipiec</t>
        </is>
      </c>
      <c r="G932" t="inlineStr">
        <is>
          <t>Czw</t>
        </is>
      </c>
      <c r="H932">
        <f>'Floor Hours Engine'!$E$4</f>
        <v/>
      </c>
      <c r="I932" t="inlineStr">
        <is>
          <t>W4</t>
        </is>
      </c>
      <c r="J932" t="inlineStr">
        <is>
          <t>2023_Lipiec_W4</t>
        </is>
      </c>
    </row>
    <row r="933">
      <c r="A933" s="177" t="n">
        <v>45128</v>
      </c>
      <c r="B933" s="177" t="n">
        <v>45125</v>
      </c>
      <c r="C933" s="177" t="n">
        <v>45131</v>
      </c>
      <c r="D933" t="inlineStr">
        <is>
          <t>BW20230718</t>
        </is>
      </c>
      <c r="E933" t="n">
        <v>2023</v>
      </c>
      <c r="F933" t="inlineStr">
        <is>
          <t>Lipiec</t>
        </is>
      </c>
      <c r="G933" t="inlineStr">
        <is>
          <t>Pt</t>
        </is>
      </c>
      <c r="H933">
        <f>'Floor Hours Engine'!$E$5</f>
        <v/>
      </c>
      <c r="I933" t="inlineStr">
        <is>
          <t>W4</t>
        </is>
      </c>
      <c r="J933" t="inlineStr">
        <is>
          <t>2023_Lipiec_W4</t>
        </is>
      </c>
    </row>
    <row r="934">
      <c r="A934" s="177" t="n">
        <v>45129</v>
      </c>
      <c r="B934" s="177" t="n">
        <v>45125</v>
      </c>
      <c r="C934" s="177" t="n">
        <v>45131</v>
      </c>
      <c r="D934" t="inlineStr">
        <is>
          <t>BW20230718</t>
        </is>
      </c>
      <c r="E934" t="n">
        <v>2023</v>
      </c>
      <c r="F934" t="inlineStr">
        <is>
          <t>Lipiec</t>
        </is>
      </c>
      <c r="G934" t="inlineStr">
        <is>
          <t>Sob</t>
        </is>
      </c>
      <c r="H934">
        <f>'Floor Hours Engine'!$E$5</f>
        <v/>
      </c>
      <c r="I934" t="inlineStr">
        <is>
          <t>W4</t>
        </is>
      </c>
      <c r="J934" t="inlineStr">
        <is>
          <t>2023_Lipiec_W4</t>
        </is>
      </c>
    </row>
    <row r="935">
      <c r="A935" s="177" t="n">
        <v>45130</v>
      </c>
      <c r="B935" s="177" t="n">
        <v>45125</v>
      </c>
      <c r="C935" s="177" t="n">
        <v>45131</v>
      </c>
      <c r="D935" t="inlineStr">
        <is>
          <t>BW20230718</t>
        </is>
      </c>
      <c r="E935" t="n">
        <v>2023</v>
      </c>
      <c r="F935" t="inlineStr">
        <is>
          <t>Lipiec</t>
        </is>
      </c>
      <c r="G935" t="inlineStr">
        <is>
          <t>Nd</t>
        </is>
      </c>
      <c r="H935">
        <f>'Floor Hours Engine'!$E$6</f>
        <v/>
      </c>
      <c r="I935" t="inlineStr">
        <is>
          <t>W4</t>
        </is>
      </c>
      <c r="J935" t="inlineStr">
        <is>
          <t>2023_Lipiec_W4</t>
        </is>
      </c>
    </row>
    <row r="936">
      <c r="A936" s="177" t="n">
        <v>45131</v>
      </c>
      <c r="B936" s="177" t="n">
        <v>45125</v>
      </c>
      <c r="C936" s="177" t="n">
        <v>45131</v>
      </c>
      <c r="D936" t="inlineStr">
        <is>
          <t>BW20230718</t>
        </is>
      </c>
      <c r="E936" t="n">
        <v>2023</v>
      </c>
      <c r="F936" t="inlineStr">
        <is>
          <t>Lipiec</t>
        </is>
      </c>
      <c r="G936" t="inlineStr">
        <is>
          <t>Pn</t>
        </is>
      </c>
      <c r="H936">
        <f>'Floor Hours Engine'!$E$4</f>
        <v/>
      </c>
      <c r="I936" t="inlineStr">
        <is>
          <t>W4</t>
        </is>
      </c>
      <c r="J936" t="inlineStr">
        <is>
          <t>2023_Lipiec_W4</t>
        </is>
      </c>
    </row>
    <row r="937">
      <c r="A937" s="177" t="n">
        <v>45132</v>
      </c>
      <c r="B937" s="177" t="n">
        <v>45132</v>
      </c>
      <c r="C937" s="177" t="n">
        <v>45138</v>
      </c>
      <c r="D937" t="inlineStr">
        <is>
          <t>BW20230725</t>
        </is>
      </c>
      <c r="E937" t="n">
        <v>2023</v>
      </c>
      <c r="F937" t="inlineStr">
        <is>
          <t>Lipiec</t>
        </is>
      </c>
      <c r="G937" t="inlineStr">
        <is>
          <t>Wt</t>
        </is>
      </c>
      <c r="H937">
        <f>'Floor Hours Engine'!$E$4</f>
        <v/>
      </c>
      <c r="I937" t="inlineStr">
        <is>
          <t>W5</t>
        </is>
      </c>
      <c r="J937" t="inlineStr">
        <is>
          <t>2023_Lipiec_W5</t>
        </is>
      </c>
    </row>
    <row r="938">
      <c r="A938" s="177" t="n">
        <v>45133</v>
      </c>
      <c r="B938" s="177" t="n">
        <v>45132</v>
      </c>
      <c r="C938" s="177" t="n">
        <v>45138</v>
      </c>
      <c r="D938" t="inlineStr">
        <is>
          <t>BW20230725</t>
        </is>
      </c>
      <c r="E938" t="n">
        <v>2023</v>
      </c>
      <c r="F938" t="inlineStr">
        <is>
          <t>Lipiec</t>
        </is>
      </c>
      <c r="G938" t="inlineStr">
        <is>
          <t>Śr</t>
        </is>
      </c>
      <c r="H938">
        <f>'Floor Hours Engine'!$E$4</f>
        <v/>
      </c>
      <c r="I938" t="inlineStr">
        <is>
          <t>W5</t>
        </is>
      </c>
      <c r="J938" t="inlineStr">
        <is>
          <t>2023_Lipiec_W5</t>
        </is>
      </c>
    </row>
    <row r="939">
      <c r="A939" s="177" t="n">
        <v>45134</v>
      </c>
      <c r="B939" s="177" t="n">
        <v>45132</v>
      </c>
      <c r="C939" s="177" t="n">
        <v>45138</v>
      </c>
      <c r="D939" t="inlineStr">
        <is>
          <t>BW20230725</t>
        </is>
      </c>
      <c r="E939" t="n">
        <v>2023</v>
      </c>
      <c r="F939" t="inlineStr">
        <is>
          <t>Lipiec</t>
        </is>
      </c>
      <c r="G939" t="inlineStr">
        <is>
          <t>Czw</t>
        </is>
      </c>
      <c r="H939">
        <f>'Floor Hours Engine'!$E$4</f>
        <v/>
      </c>
      <c r="I939" t="inlineStr">
        <is>
          <t>W5</t>
        </is>
      </c>
      <c r="J939" t="inlineStr">
        <is>
          <t>2023_Lipiec_W5</t>
        </is>
      </c>
    </row>
    <row r="940">
      <c r="A940" s="177" t="n">
        <v>45135</v>
      </c>
      <c r="B940" s="177" t="n">
        <v>45132</v>
      </c>
      <c r="C940" s="177" t="n">
        <v>45138</v>
      </c>
      <c r="D940" t="inlineStr">
        <is>
          <t>BW20230725</t>
        </is>
      </c>
      <c r="E940" t="n">
        <v>2023</v>
      </c>
      <c r="F940" t="inlineStr">
        <is>
          <t>Lipiec</t>
        </is>
      </c>
      <c r="G940" t="inlineStr">
        <is>
          <t>Pt</t>
        </is>
      </c>
      <c r="H940">
        <f>'Floor Hours Engine'!$E$5</f>
        <v/>
      </c>
      <c r="I940" t="inlineStr">
        <is>
          <t>W5</t>
        </is>
      </c>
      <c r="J940" t="inlineStr">
        <is>
          <t>2023_Lipiec_W5</t>
        </is>
      </c>
    </row>
    <row r="941">
      <c r="A941" s="177" t="n">
        <v>45136</v>
      </c>
      <c r="B941" s="177" t="n">
        <v>45132</v>
      </c>
      <c r="C941" s="177" t="n">
        <v>45138</v>
      </c>
      <c r="D941" t="inlineStr">
        <is>
          <t>BW20230725</t>
        </is>
      </c>
      <c r="E941" t="n">
        <v>2023</v>
      </c>
      <c r="F941" t="inlineStr">
        <is>
          <t>Lipiec</t>
        </is>
      </c>
      <c r="G941" t="inlineStr">
        <is>
          <t>Sob</t>
        </is>
      </c>
      <c r="H941">
        <f>'Floor Hours Engine'!$E$5</f>
        <v/>
      </c>
      <c r="I941" t="inlineStr">
        <is>
          <t>W5</t>
        </is>
      </c>
      <c r="J941" t="inlineStr">
        <is>
          <t>2023_Lipiec_W5</t>
        </is>
      </c>
    </row>
    <row r="942">
      <c r="A942" s="177" t="n">
        <v>45137</v>
      </c>
      <c r="B942" s="177" t="n">
        <v>45132</v>
      </c>
      <c r="C942" s="177" t="n">
        <v>45138</v>
      </c>
      <c r="D942" t="inlineStr">
        <is>
          <t>BW20230725</t>
        </is>
      </c>
      <c r="E942" t="n">
        <v>2023</v>
      </c>
      <c r="F942" t="inlineStr">
        <is>
          <t>Lipiec</t>
        </is>
      </c>
      <c r="G942" t="inlineStr">
        <is>
          <t>Nd</t>
        </is>
      </c>
      <c r="H942">
        <f>'Floor Hours Engine'!$E$6</f>
        <v/>
      </c>
      <c r="I942" t="inlineStr">
        <is>
          <t>W5</t>
        </is>
      </c>
      <c r="J942" t="inlineStr">
        <is>
          <t>2023_Lipiec_W5</t>
        </is>
      </c>
    </row>
    <row r="943">
      <c r="A943" s="177" t="n">
        <v>45138</v>
      </c>
      <c r="B943" s="177" t="n">
        <v>45132</v>
      </c>
      <c r="C943" s="177" t="n">
        <v>45138</v>
      </c>
      <c r="D943" t="inlineStr">
        <is>
          <t>BW20230725</t>
        </is>
      </c>
      <c r="E943" t="n">
        <v>2023</v>
      </c>
      <c r="F943" t="inlineStr">
        <is>
          <t>Lipiec</t>
        </is>
      </c>
      <c r="G943" t="inlineStr">
        <is>
          <t>Pn</t>
        </is>
      </c>
      <c r="H943">
        <f>'Floor Hours Engine'!$E$4</f>
        <v/>
      </c>
      <c r="I943" t="inlineStr">
        <is>
          <t>W5</t>
        </is>
      </c>
      <c r="J943" t="inlineStr">
        <is>
          <t>2023_Lipiec_W5</t>
        </is>
      </c>
    </row>
    <row r="944">
      <c r="A944" s="177" t="n">
        <v>45139</v>
      </c>
      <c r="B944" s="177" t="n">
        <v>45139</v>
      </c>
      <c r="C944" s="177" t="n">
        <v>45145</v>
      </c>
      <c r="D944" t="inlineStr">
        <is>
          <t>BW20230801</t>
        </is>
      </c>
      <c r="E944" t="n">
        <v>2023</v>
      </c>
      <c r="F944" t="inlineStr">
        <is>
          <t>Sierpień</t>
        </is>
      </c>
      <c r="G944" t="inlineStr">
        <is>
          <t>Wt</t>
        </is>
      </c>
      <c r="H944">
        <f>'Floor Hours Engine'!$E$4</f>
        <v/>
      </c>
      <c r="I944" t="inlineStr">
        <is>
          <t>W1</t>
        </is>
      </c>
      <c r="J944" t="inlineStr">
        <is>
          <t>2023_Sierpień_W1</t>
        </is>
      </c>
    </row>
    <row r="945">
      <c r="A945" s="177" t="n">
        <v>45140</v>
      </c>
      <c r="B945" s="177" t="n">
        <v>45139</v>
      </c>
      <c r="C945" s="177" t="n">
        <v>45145</v>
      </c>
      <c r="D945" t="inlineStr">
        <is>
          <t>BW20230801</t>
        </is>
      </c>
      <c r="E945" t="n">
        <v>2023</v>
      </c>
      <c r="F945" t="inlineStr">
        <is>
          <t>Sierpień</t>
        </is>
      </c>
      <c r="G945" t="inlineStr">
        <is>
          <t>Śr</t>
        </is>
      </c>
      <c r="H945">
        <f>'Floor Hours Engine'!$E$4</f>
        <v/>
      </c>
      <c r="I945" t="inlineStr">
        <is>
          <t>W1</t>
        </is>
      </c>
      <c r="J945" t="inlineStr">
        <is>
          <t>2023_Sierpień_W1</t>
        </is>
      </c>
    </row>
    <row r="946">
      <c r="A946" s="177" t="n">
        <v>45141</v>
      </c>
      <c r="B946" s="177" t="n">
        <v>45139</v>
      </c>
      <c r="C946" s="177" t="n">
        <v>45145</v>
      </c>
      <c r="D946" t="inlineStr">
        <is>
          <t>BW20230801</t>
        </is>
      </c>
      <c r="E946" t="n">
        <v>2023</v>
      </c>
      <c r="F946" t="inlineStr">
        <is>
          <t>Sierpień</t>
        </is>
      </c>
      <c r="G946" t="inlineStr">
        <is>
          <t>Czw</t>
        </is>
      </c>
      <c r="H946">
        <f>'Floor Hours Engine'!$E$4</f>
        <v/>
      </c>
      <c r="I946" t="inlineStr">
        <is>
          <t>W1</t>
        </is>
      </c>
      <c r="J946" t="inlineStr">
        <is>
          <t>2023_Sierpień_W1</t>
        </is>
      </c>
    </row>
    <row r="947">
      <c r="A947" s="177" t="n">
        <v>45142</v>
      </c>
      <c r="B947" s="177" t="n">
        <v>45139</v>
      </c>
      <c r="C947" s="177" t="n">
        <v>45145</v>
      </c>
      <c r="D947" t="inlineStr">
        <is>
          <t>BW20230801</t>
        </is>
      </c>
      <c r="E947" t="n">
        <v>2023</v>
      </c>
      <c r="F947" t="inlineStr">
        <is>
          <t>Sierpień</t>
        </is>
      </c>
      <c r="G947" t="inlineStr">
        <is>
          <t>Pt</t>
        </is>
      </c>
      <c r="H947">
        <f>'Floor Hours Engine'!$E$5</f>
        <v/>
      </c>
      <c r="I947" t="inlineStr">
        <is>
          <t>W1</t>
        </is>
      </c>
      <c r="J947" t="inlineStr">
        <is>
          <t>2023_Sierpień_W1</t>
        </is>
      </c>
    </row>
    <row r="948">
      <c r="A948" s="177" t="n">
        <v>45143</v>
      </c>
      <c r="B948" s="177" t="n">
        <v>45139</v>
      </c>
      <c r="C948" s="177" t="n">
        <v>45145</v>
      </c>
      <c r="D948" t="inlineStr">
        <is>
          <t>BW20230801</t>
        </is>
      </c>
      <c r="E948" t="n">
        <v>2023</v>
      </c>
      <c r="F948" t="inlineStr">
        <is>
          <t>Sierpień</t>
        </is>
      </c>
      <c r="G948" t="inlineStr">
        <is>
          <t>Sob</t>
        </is>
      </c>
      <c r="H948">
        <f>'Floor Hours Engine'!$E$5</f>
        <v/>
      </c>
      <c r="I948" t="inlineStr">
        <is>
          <t>W1</t>
        </is>
      </c>
      <c r="J948" t="inlineStr">
        <is>
          <t>2023_Sierpień_W1</t>
        </is>
      </c>
    </row>
    <row r="949">
      <c r="A949" s="177" t="n">
        <v>45144</v>
      </c>
      <c r="B949" s="177" t="n">
        <v>45139</v>
      </c>
      <c r="C949" s="177" t="n">
        <v>45145</v>
      </c>
      <c r="D949" t="inlineStr">
        <is>
          <t>BW20230801</t>
        </is>
      </c>
      <c r="E949" t="n">
        <v>2023</v>
      </c>
      <c r="F949" t="inlineStr">
        <is>
          <t>Sierpień</t>
        </is>
      </c>
      <c r="G949" t="inlineStr">
        <is>
          <t>Nd</t>
        </is>
      </c>
      <c r="H949">
        <f>'Floor Hours Engine'!$E$6</f>
        <v/>
      </c>
      <c r="I949" t="inlineStr">
        <is>
          <t>W1</t>
        </is>
      </c>
      <c r="J949" t="inlineStr">
        <is>
          <t>2023_Sierpień_W1</t>
        </is>
      </c>
    </row>
    <row r="950">
      <c r="A950" s="177" t="n">
        <v>45145</v>
      </c>
      <c r="B950" s="177" t="n">
        <v>45139</v>
      </c>
      <c r="C950" s="177" t="n">
        <v>45145</v>
      </c>
      <c r="D950" t="inlineStr">
        <is>
          <t>BW20230801</t>
        </is>
      </c>
      <c r="E950" t="n">
        <v>2023</v>
      </c>
      <c r="F950" t="inlineStr">
        <is>
          <t>Sierpień</t>
        </is>
      </c>
      <c r="G950" t="inlineStr">
        <is>
          <t>Pn</t>
        </is>
      </c>
      <c r="H950">
        <f>'Floor Hours Engine'!$E$4</f>
        <v/>
      </c>
      <c r="I950" t="inlineStr">
        <is>
          <t>W1</t>
        </is>
      </c>
      <c r="J950" t="inlineStr">
        <is>
          <t>2023_Sierpień_W1</t>
        </is>
      </c>
    </row>
    <row r="951">
      <c r="A951" s="177" t="n">
        <v>45146</v>
      </c>
      <c r="B951" s="177" t="n">
        <v>45146</v>
      </c>
      <c r="C951" s="177" t="n">
        <v>45152</v>
      </c>
      <c r="D951" t="inlineStr">
        <is>
          <t>BW20230808</t>
        </is>
      </c>
      <c r="E951" t="n">
        <v>2023</v>
      </c>
      <c r="F951" t="inlineStr">
        <is>
          <t>Sierpień</t>
        </is>
      </c>
      <c r="G951" t="inlineStr">
        <is>
          <t>Wt</t>
        </is>
      </c>
      <c r="H951">
        <f>'Floor Hours Engine'!$E$4</f>
        <v/>
      </c>
      <c r="I951" t="inlineStr">
        <is>
          <t>W2</t>
        </is>
      </c>
      <c r="J951" t="inlineStr">
        <is>
          <t>2023_Sierpień_W2</t>
        </is>
      </c>
    </row>
    <row r="952">
      <c r="A952" s="177" t="n">
        <v>45147</v>
      </c>
      <c r="B952" s="177" t="n">
        <v>45146</v>
      </c>
      <c r="C952" s="177" t="n">
        <v>45152</v>
      </c>
      <c r="D952" t="inlineStr">
        <is>
          <t>BW20230808</t>
        </is>
      </c>
      <c r="E952" t="n">
        <v>2023</v>
      </c>
      <c r="F952" t="inlineStr">
        <is>
          <t>Sierpień</t>
        </is>
      </c>
      <c r="G952" t="inlineStr">
        <is>
          <t>Śr</t>
        </is>
      </c>
      <c r="H952">
        <f>'Floor Hours Engine'!$E$4</f>
        <v/>
      </c>
      <c r="I952" t="inlineStr">
        <is>
          <t>W2</t>
        </is>
      </c>
      <c r="J952" t="inlineStr">
        <is>
          <t>2023_Sierpień_W2</t>
        </is>
      </c>
    </row>
    <row r="953">
      <c r="A953" s="177" t="n">
        <v>45148</v>
      </c>
      <c r="B953" s="177" t="n">
        <v>45146</v>
      </c>
      <c r="C953" s="177" t="n">
        <v>45152</v>
      </c>
      <c r="D953" t="inlineStr">
        <is>
          <t>BW20230808</t>
        </is>
      </c>
      <c r="E953" t="n">
        <v>2023</v>
      </c>
      <c r="F953" t="inlineStr">
        <is>
          <t>Sierpień</t>
        </is>
      </c>
      <c r="G953" t="inlineStr">
        <is>
          <t>Czw</t>
        </is>
      </c>
      <c r="H953">
        <f>'Floor Hours Engine'!$E$4</f>
        <v/>
      </c>
      <c r="I953" t="inlineStr">
        <is>
          <t>W2</t>
        </is>
      </c>
      <c r="J953" t="inlineStr">
        <is>
          <t>2023_Sierpień_W2</t>
        </is>
      </c>
    </row>
    <row r="954">
      <c r="A954" s="177" t="n">
        <v>45149</v>
      </c>
      <c r="B954" s="177" t="n">
        <v>45146</v>
      </c>
      <c r="C954" s="177" t="n">
        <v>45152</v>
      </c>
      <c r="D954" t="inlineStr">
        <is>
          <t>BW20230808</t>
        </is>
      </c>
      <c r="E954" t="n">
        <v>2023</v>
      </c>
      <c r="F954" t="inlineStr">
        <is>
          <t>Sierpień</t>
        </is>
      </c>
      <c r="G954" t="inlineStr">
        <is>
          <t>Pt</t>
        </is>
      </c>
      <c r="H954">
        <f>'Floor Hours Engine'!$E$5</f>
        <v/>
      </c>
      <c r="I954" t="inlineStr">
        <is>
          <t>W2</t>
        </is>
      </c>
      <c r="J954" t="inlineStr">
        <is>
          <t>2023_Sierpień_W2</t>
        </is>
      </c>
    </row>
    <row r="955">
      <c r="A955" s="177" t="n">
        <v>45150</v>
      </c>
      <c r="B955" s="177" t="n">
        <v>45146</v>
      </c>
      <c r="C955" s="177" t="n">
        <v>45152</v>
      </c>
      <c r="D955" t="inlineStr">
        <is>
          <t>BW20230808</t>
        </is>
      </c>
      <c r="E955" t="n">
        <v>2023</v>
      </c>
      <c r="F955" t="inlineStr">
        <is>
          <t>Sierpień</t>
        </is>
      </c>
      <c r="G955" t="inlineStr">
        <is>
          <t>Sob</t>
        </is>
      </c>
      <c r="H955">
        <f>'Floor Hours Engine'!$E$5</f>
        <v/>
      </c>
      <c r="I955" t="inlineStr">
        <is>
          <t>W2</t>
        </is>
      </c>
      <c r="J955" t="inlineStr">
        <is>
          <t>2023_Sierpień_W2</t>
        </is>
      </c>
    </row>
    <row r="956">
      <c r="A956" s="177" t="n">
        <v>45151</v>
      </c>
      <c r="B956" s="177" t="n">
        <v>45146</v>
      </c>
      <c r="C956" s="177" t="n">
        <v>45152</v>
      </c>
      <c r="D956" t="inlineStr">
        <is>
          <t>BW20230808</t>
        </is>
      </c>
      <c r="E956" t="n">
        <v>2023</v>
      </c>
      <c r="F956" t="inlineStr">
        <is>
          <t>Sierpień</t>
        </is>
      </c>
      <c r="G956" t="inlineStr">
        <is>
          <t>Nd</t>
        </is>
      </c>
      <c r="H956">
        <f>'Floor Hours Engine'!$E$6</f>
        <v/>
      </c>
      <c r="I956" t="inlineStr">
        <is>
          <t>W2</t>
        </is>
      </c>
      <c r="J956" t="inlineStr">
        <is>
          <t>2023_Sierpień_W2</t>
        </is>
      </c>
    </row>
    <row r="957">
      <c r="A957" s="177" t="n">
        <v>45152</v>
      </c>
      <c r="B957" s="177" t="n">
        <v>45146</v>
      </c>
      <c r="C957" s="177" t="n">
        <v>45152</v>
      </c>
      <c r="D957" t="inlineStr">
        <is>
          <t>BW20230808</t>
        </is>
      </c>
      <c r="E957" t="n">
        <v>2023</v>
      </c>
      <c r="F957" t="inlineStr">
        <is>
          <t>Sierpień</t>
        </is>
      </c>
      <c r="G957" t="inlineStr">
        <is>
          <t>Pn</t>
        </is>
      </c>
      <c r="H957">
        <f>'Floor Hours Engine'!$E$4</f>
        <v/>
      </c>
      <c r="I957" t="inlineStr">
        <is>
          <t>W2</t>
        </is>
      </c>
      <c r="J957" t="inlineStr">
        <is>
          <t>2023_Sierpień_W2</t>
        </is>
      </c>
    </row>
    <row r="958">
      <c r="A958" s="177" t="n">
        <v>45153</v>
      </c>
      <c r="B958" s="177" t="n">
        <v>45153</v>
      </c>
      <c r="C958" s="177" t="n">
        <v>45159</v>
      </c>
      <c r="D958" t="inlineStr">
        <is>
          <t>BW20230815</t>
        </is>
      </c>
      <c r="E958" t="n">
        <v>2023</v>
      </c>
      <c r="F958" t="inlineStr">
        <is>
          <t>Sierpień</t>
        </is>
      </c>
      <c r="G958" t="inlineStr">
        <is>
          <t>Wt</t>
        </is>
      </c>
      <c r="H958">
        <f>'Floor Hours Engine'!$E$4</f>
        <v/>
      </c>
      <c r="I958" t="inlineStr">
        <is>
          <t>W3</t>
        </is>
      </c>
      <c r="J958" t="inlineStr">
        <is>
          <t>2023_Sierpień_W3</t>
        </is>
      </c>
    </row>
    <row r="959">
      <c r="A959" s="177" t="n">
        <v>45154</v>
      </c>
      <c r="B959" s="177" t="n">
        <v>45153</v>
      </c>
      <c r="C959" s="177" t="n">
        <v>45159</v>
      </c>
      <c r="D959" t="inlineStr">
        <is>
          <t>BW20230815</t>
        </is>
      </c>
      <c r="E959" t="n">
        <v>2023</v>
      </c>
      <c r="F959" t="inlineStr">
        <is>
          <t>Sierpień</t>
        </is>
      </c>
      <c r="G959" t="inlineStr">
        <is>
          <t>Śr</t>
        </is>
      </c>
      <c r="H959">
        <f>'Floor Hours Engine'!$E$4</f>
        <v/>
      </c>
      <c r="I959" t="inlineStr">
        <is>
          <t>W3</t>
        </is>
      </c>
      <c r="J959" t="inlineStr">
        <is>
          <t>2023_Sierpień_W3</t>
        </is>
      </c>
    </row>
    <row r="960">
      <c r="A960" s="177" t="n">
        <v>45155</v>
      </c>
      <c r="B960" s="177" t="n">
        <v>45153</v>
      </c>
      <c r="C960" s="177" t="n">
        <v>45159</v>
      </c>
      <c r="D960" t="inlineStr">
        <is>
          <t>BW20230815</t>
        </is>
      </c>
      <c r="E960" t="n">
        <v>2023</v>
      </c>
      <c r="F960" t="inlineStr">
        <is>
          <t>Sierpień</t>
        </is>
      </c>
      <c r="G960" t="inlineStr">
        <is>
          <t>Czw</t>
        </is>
      </c>
      <c r="H960">
        <f>'Floor Hours Engine'!$E$4</f>
        <v/>
      </c>
      <c r="I960" t="inlineStr">
        <is>
          <t>W3</t>
        </is>
      </c>
      <c r="J960" t="inlineStr">
        <is>
          <t>2023_Sierpień_W3</t>
        </is>
      </c>
    </row>
    <row r="961">
      <c r="A961" s="177" t="n">
        <v>45156</v>
      </c>
      <c r="B961" s="177" t="n">
        <v>45153</v>
      </c>
      <c r="C961" s="177" t="n">
        <v>45159</v>
      </c>
      <c r="D961" t="inlineStr">
        <is>
          <t>BW20230815</t>
        </is>
      </c>
      <c r="E961" t="n">
        <v>2023</v>
      </c>
      <c r="F961" t="inlineStr">
        <is>
          <t>Sierpień</t>
        </is>
      </c>
      <c r="G961" t="inlineStr">
        <is>
          <t>Pt</t>
        </is>
      </c>
      <c r="H961">
        <f>'Floor Hours Engine'!$E$5</f>
        <v/>
      </c>
      <c r="I961" t="inlineStr">
        <is>
          <t>W3</t>
        </is>
      </c>
      <c r="J961" t="inlineStr">
        <is>
          <t>2023_Sierpień_W3</t>
        </is>
      </c>
    </row>
    <row r="962">
      <c r="A962" s="177" t="n">
        <v>45157</v>
      </c>
      <c r="B962" s="177" t="n">
        <v>45153</v>
      </c>
      <c r="C962" s="177" t="n">
        <v>45159</v>
      </c>
      <c r="D962" t="inlineStr">
        <is>
          <t>BW20230815</t>
        </is>
      </c>
      <c r="E962" t="n">
        <v>2023</v>
      </c>
      <c r="F962" t="inlineStr">
        <is>
          <t>Sierpień</t>
        </is>
      </c>
      <c r="G962" t="inlineStr">
        <is>
          <t>Sob</t>
        </is>
      </c>
      <c r="H962">
        <f>'Floor Hours Engine'!$E$5</f>
        <v/>
      </c>
      <c r="I962" t="inlineStr">
        <is>
          <t>W3</t>
        </is>
      </c>
      <c r="J962" t="inlineStr">
        <is>
          <t>2023_Sierpień_W3</t>
        </is>
      </c>
    </row>
    <row r="963">
      <c r="A963" s="177" t="n">
        <v>45158</v>
      </c>
      <c r="B963" s="177" t="n">
        <v>45153</v>
      </c>
      <c r="C963" s="177" t="n">
        <v>45159</v>
      </c>
      <c r="D963" t="inlineStr">
        <is>
          <t>BW20230815</t>
        </is>
      </c>
      <c r="E963" t="n">
        <v>2023</v>
      </c>
      <c r="F963" t="inlineStr">
        <is>
          <t>Sierpień</t>
        </is>
      </c>
      <c r="G963" t="inlineStr">
        <is>
          <t>Nd</t>
        </is>
      </c>
      <c r="H963">
        <f>'Floor Hours Engine'!$E$6</f>
        <v/>
      </c>
      <c r="I963" t="inlineStr">
        <is>
          <t>W3</t>
        </is>
      </c>
      <c r="J963" t="inlineStr">
        <is>
          <t>2023_Sierpień_W3</t>
        </is>
      </c>
    </row>
    <row r="964">
      <c r="A964" s="177" t="n">
        <v>45159</v>
      </c>
      <c r="B964" s="177" t="n">
        <v>45153</v>
      </c>
      <c r="C964" s="177" t="n">
        <v>45159</v>
      </c>
      <c r="D964" t="inlineStr">
        <is>
          <t>BW20230815</t>
        </is>
      </c>
      <c r="E964" t="n">
        <v>2023</v>
      </c>
      <c r="F964" t="inlineStr">
        <is>
          <t>Sierpień</t>
        </is>
      </c>
      <c r="G964" t="inlineStr">
        <is>
          <t>Pn</t>
        </is>
      </c>
      <c r="H964">
        <f>'Floor Hours Engine'!$E$4</f>
        <v/>
      </c>
      <c r="I964" t="inlineStr">
        <is>
          <t>W3</t>
        </is>
      </c>
      <c r="J964" t="inlineStr">
        <is>
          <t>2023_Sierpień_W3</t>
        </is>
      </c>
    </row>
    <row r="965">
      <c r="A965" s="177" t="n">
        <v>45160</v>
      </c>
      <c r="B965" s="177" t="n">
        <v>45160</v>
      </c>
      <c r="C965" s="177" t="n">
        <v>45166</v>
      </c>
      <c r="D965" t="inlineStr">
        <is>
          <t>BW20230822</t>
        </is>
      </c>
      <c r="E965" t="n">
        <v>2023</v>
      </c>
      <c r="F965" t="inlineStr">
        <is>
          <t>Sierpień</t>
        </is>
      </c>
      <c r="G965" t="inlineStr">
        <is>
          <t>Wt</t>
        </is>
      </c>
      <c r="H965">
        <f>'Floor Hours Engine'!$E$4</f>
        <v/>
      </c>
      <c r="I965" t="inlineStr">
        <is>
          <t>W4</t>
        </is>
      </c>
      <c r="J965" t="inlineStr">
        <is>
          <t>2023_Sierpień_W4</t>
        </is>
      </c>
    </row>
    <row r="966">
      <c r="A966" s="177" t="n">
        <v>45161</v>
      </c>
      <c r="B966" s="177" t="n">
        <v>45160</v>
      </c>
      <c r="C966" s="177" t="n">
        <v>45166</v>
      </c>
      <c r="D966" t="inlineStr">
        <is>
          <t>BW20230822</t>
        </is>
      </c>
      <c r="E966" t="n">
        <v>2023</v>
      </c>
      <c r="F966" t="inlineStr">
        <is>
          <t>Sierpień</t>
        </is>
      </c>
      <c r="G966" t="inlineStr">
        <is>
          <t>Śr</t>
        </is>
      </c>
      <c r="H966">
        <f>'Floor Hours Engine'!$E$4</f>
        <v/>
      </c>
      <c r="I966" t="inlineStr">
        <is>
          <t>W4</t>
        </is>
      </c>
      <c r="J966" t="inlineStr">
        <is>
          <t>2023_Sierpień_W4</t>
        </is>
      </c>
    </row>
    <row r="967">
      <c r="A967" s="177" t="n">
        <v>45162</v>
      </c>
      <c r="B967" s="177" t="n">
        <v>45160</v>
      </c>
      <c r="C967" s="177" t="n">
        <v>45166</v>
      </c>
      <c r="D967" t="inlineStr">
        <is>
          <t>BW20230822</t>
        </is>
      </c>
      <c r="E967" t="n">
        <v>2023</v>
      </c>
      <c r="F967" t="inlineStr">
        <is>
          <t>Sierpień</t>
        </is>
      </c>
      <c r="G967" t="inlineStr">
        <is>
          <t>Czw</t>
        </is>
      </c>
      <c r="H967">
        <f>'Floor Hours Engine'!$E$4</f>
        <v/>
      </c>
      <c r="I967" t="inlineStr">
        <is>
          <t>W4</t>
        </is>
      </c>
      <c r="J967" t="inlineStr">
        <is>
          <t>2023_Sierpień_W4</t>
        </is>
      </c>
    </row>
    <row r="968">
      <c r="A968" s="177" t="n">
        <v>45163</v>
      </c>
      <c r="B968" s="177" t="n">
        <v>45160</v>
      </c>
      <c r="C968" s="177" t="n">
        <v>45166</v>
      </c>
      <c r="D968" t="inlineStr">
        <is>
          <t>BW20230822</t>
        </is>
      </c>
      <c r="E968" t="n">
        <v>2023</v>
      </c>
      <c r="F968" t="inlineStr">
        <is>
          <t>Sierpień</t>
        </is>
      </c>
      <c r="G968" t="inlineStr">
        <is>
          <t>Pt</t>
        </is>
      </c>
      <c r="H968">
        <f>'Floor Hours Engine'!$E$5</f>
        <v/>
      </c>
      <c r="I968" t="inlineStr">
        <is>
          <t>W4</t>
        </is>
      </c>
      <c r="J968" t="inlineStr">
        <is>
          <t>2023_Sierpień_W4</t>
        </is>
      </c>
    </row>
    <row r="969">
      <c r="A969" s="177" t="n">
        <v>45164</v>
      </c>
      <c r="B969" s="177" t="n">
        <v>45160</v>
      </c>
      <c r="C969" s="177" t="n">
        <v>45166</v>
      </c>
      <c r="D969" t="inlineStr">
        <is>
          <t>BW20230822</t>
        </is>
      </c>
      <c r="E969" t="n">
        <v>2023</v>
      </c>
      <c r="F969" t="inlineStr">
        <is>
          <t>Sierpień</t>
        </is>
      </c>
      <c r="G969" t="inlineStr">
        <is>
          <t>Sob</t>
        </is>
      </c>
      <c r="H969">
        <f>'Floor Hours Engine'!$E$5</f>
        <v/>
      </c>
      <c r="I969" t="inlineStr">
        <is>
          <t>W4</t>
        </is>
      </c>
      <c r="J969" t="inlineStr">
        <is>
          <t>2023_Sierpień_W4</t>
        </is>
      </c>
    </row>
    <row r="970">
      <c r="A970" s="177" t="n">
        <v>45165</v>
      </c>
      <c r="B970" s="177" t="n">
        <v>45160</v>
      </c>
      <c r="C970" s="177" t="n">
        <v>45166</v>
      </c>
      <c r="D970" t="inlineStr">
        <is>
          <t>BW20230822</t>
        </is>
      </c>
      <c r="E970" t="n">
        <v>2023</v>
      </c>
      <c r="F970" t="inlineStr">
        <is>
          <t>Sierpień</t>
        </is>
      </c>
      <c r="G970" t="inlineStr">
        <is>
          <t>Nd</t>
        </is>
      </c>
      <c r="H970">
        <f>'Floor Hours Engine'!$E$6</f>
        <v/>
      </c>
      <c r="I970" t="inlineStr">
        <is>
          <t>W4</t>
        </is>
      </c>
      <c r="J970" t="inlineStr">
        <is>
          <t>2023_Sierpień_W4</t>
        </is>
      </c>
    </row>
    <row r="971">
      <c r="A971" s="177" t="n">
        <v>45166</v>
      </c>
      <c r="B971" s="177" t="n">
        <v>45160</v>
      </c>
      <c r="C971" s="177" t="n">
        <v>45166</v>
      </c>
      <c r="D971" t="inlineStr">
        <is>
          <t>BW20230822</t>
        </is>
      </c>
      <c r="E971" t="n">
        <v>2023</v>
      </c>
      <c r="F971" t="inlineStr">
        <is>
          <t>Sierpień</t>
        </is>
      </c>
      <c r="G971" t="inlineStr">
        <is>
          <t>Pn</t>
        </is>
      </c>
      <c r="H971">
        <f>'Floor Hours Engine'!$E$4</f>
        <v/>
      </c>
      <c r="I971" t="inlineStr">
        <is>
          <t>W4</t>
        </is>
      </c>
      <c r="J971" t="inlineStr">
        <is>
          <t>2023_Sierpień_W4</t>
        </is>
      </c>
    </row>
    <row r="972">
      <c r="A972" s="177" t="n">
        <v>45167</v>
      </c>
      <c r="B972" s="177" t="n">
        <v>45167</v>
      </c>
      <c r="C972" s="177" t="n">
        <v>45173</v>
      </c>
      <c r="D972" t="inlineStr">
        <is>
          <t>BW20230829</t>
        </is>
      </c>
      <c r="E972" t="n">
        <v>2023</v>
      </c>
      <c r="F972" t="inlineStr">
        <is>
          <t>Sierpień</t>
        </is>
      </c>
      <c r="G972" t="inlineStr">
        <is>
          <t>Wt</t>
        </is>
      </c>
      <c r="H972">
        <f>'Floor Hours Engine'!$E$4</f>
        <v/>
      </c>
      <c r="I972" t="inlineStr">
        <is>
          <t>W5</t>
        </is>
      </c>
      <c r="J972" t="inlineStr">
        <is>
          <t>2023_Sierpień_W5</t>
        </is>
      </c>
    </row>
    <row r="973">
      <c r="A973" s="177" t="n">
        <v>45168</v>
      </c>
      <c r="B973" s="177" t="n">
        <v>45167</v>
      </c>
      <c r="C973" s="177" t="n">
        <v>45173</v>
      </c>
      <c r="D973" t="inlineStr">
        <is>
          <t>BW20230829</t>
        </is>
      </c>
      <c r="E973" t="n">
        <v>2023</v>
      </c>
      <c r="F973" t="inlineStr">
        <is>
          <t>Sierpień</t>
        </is>
      </c>
      <c r="G973" t="inlineStr">
        <is>
          <t>Śr</t>
        </is>
      </c>
      <c r="H973">
        <f>'Floor Hours Engine'!$E$4</f>
        <v/>
      </c>
      <c r="I973" t="inlineStr">
        <is>
          <t>W5</t>
        </is>
      </c>
      <c r="J973" t="inlineStr">
        <is>
          <t>2023_Sierpień_W5</t>
        </is>
      </c>
    </row>
    <row r="974">
      <c r="A974" s="177" t="n">
        <v>45169</v>
      </c>
      <c r="B974" s="177" t="n">
        <v>45167</v>
      </c>
      <c r="C974" s="177" t="n">
        <v>45173</v>
      </c>
      <c r="D974" t="inlineStr">
        <is>
          <t>BW20230829</t>
        </is>
      </c>
      <c r="E974" t="n">
        <v>2023</v>
      </c>
      <c r="F974" t="inlineStr">
        <is>
          <t>Sierpień</t>
        </is>
      </c>
      <c r="G974" t="inlineStr">
        <is>
          <t>Czw</t>
        </is>
      </c>
      <c r="H974">
        <f>'Floor Hours Engine'!$E$4</f>
        <v/>
      </c>
      <c r="I974" t="inlineStr">
        <is>
          <t>W5</t>
        </is>
      </c>
      <c r="J974" t="inlineStr">
        <is>
          <t>2023_Sierpień_W5</t>
        </is>
      </c>
    </row>
    <row r="975">
      <c r="A975" s="177" t="n">
        <v>45170</v>
      </c>
      <c r="B975" s="177" t="n">
        <v>45167</v>
      </c>
      <c r="C975" s="177" t="n">
        <v>45173</v>
      </c>
      <c r="D975" t="inlineStr">
        <is>
          <t>BW20230829</t>
        </is>
      </c>
      <c r="E975" t="n">
        <v>2023</v>
      </c>
      <c r="F975" t="inlineStr">
        <is>
          <t>Wrzesień</t>
        </is>
      </c>
      <c r="G975" t="inlineStr">
        <is>
          <t>Pt</t>
        </is>
      </c>
      <c r="H975">
        <f>'Floor Hours Engine'!$E$5</f>
        <v/>
      </c>
      <c r="I975" t="inlineStr">
        <is>
          <t>W1</t>
        </is>
      </c>
      <c r="J975" t="inlineStr">
        <is>
          <t>2023_Wrzesień_W1</t>
        </is>
      </c>
    </row>
    <row r="976">
      <c r="A976" s="177" t="n">
        <v>45171</v>
      </c>
      <c r="B976" s="177" t="n">
        <v>45167</v>
      </c>
      <c r="C976" s="177" t="n">
        <v>45173</v>
      </c>
      <c r="D976" t="inlineStr">
        <is>
          <t>BW20230829</t>
        </is>
      </c>
      <c r="E976" t="n">
        <v>2023</v>
      </c>
      <c r="F976" t="inlineStr">
        <is>
          <t>Wrzesień</t>
        </is>
      </c>
      <c r="G976" t="inlineStr">
        <is>
          <t>Sob</t>
        </is>
      </c>
      <c r="H976">
        <f>'Floor Hours Engine'!$E$5</f>
        <v/>
      </c>
      <c r="I976" t="inlineStr">
        <is>
          <t>W1</t>
        </is>
      </c>
      <c r="J976" t="inlineStr">
        <is>
          <t>2023_Wrzesień_W1</t>
        </is>
      </c>
    </row>
    <row r="977">
      <c r="A977" s="177" t="n">
        <v>45172</v>
      </c>
      <c r="B977" s="177" t="n">
        <v>45167</v>
      </c>
      <c r="C977" s="177" t="n">
        <v>45173</v>
      </c>
      <c r="D977" t="inlineStr">
        <is>
          <t>BW20230829</t>
        </is>
      </c>
      <c r="E977" t="n">
        <v>2023</v>
      </c>
      <c r="F977" t="inlineStr">
        <is>
          <t>Wrzesień</t>
        </is>
      </c>
      <c r="G977" t="inlineStr">
        <is>
          <t>Nd</t>
        </is>
      </c>
      <c r="H977">
        <f>'Floor Hours Engine'!$E$6</f>
        <v/>
      </c>
      <c r="I977" t="inlineStr">
        <is>
          <t>W1</t>
        </is>
      </c>
      <c r="J977" t="inlineStr">
        <is>
          <t>2023_Wrzesień_W1</t>
        </is>
      </c>
    </row>
    <row r="978">
      <c r="A978" s="177" t="n">
        <v>45173</v>
      </c>
      <c r="B978" s="177" t="n">
        <v>45167</v>
      </c>
      <c r="C978" s="177" t="n">
        <v>45173</v>
      </c>
      <c r="D978" t="inlineStr">
        <is>
          <t>BW20230829</t>
        </is>
      </c>
      <c r="E978" t="n">
        <v>2023</v>
      </c>
      <c r="F978" t="inlineStr">
        <is>
          <t>Wrzesień</t>
        </is>
      </c>
      <c r="G978" t="inlineStr">
        <is>
          <t>Pn</t>
        </is>
      </c>
      <c r="H978">
        <f>'Floor Hours Engine'!$E$4</f>
        <v/>
      </c>
      <c r="I978" t="inlineStr">
        <is>
          <t>W1</t>
        </is>
      </c>
      <c r="J978" t="inlineStr">
        <is>
          <t>2023_Wrzesień_W1</t>
        </is>
      </c>
    </row>
    <row r="979">
      <c r="A979" s="177" t="n">
        <v>45174</v>
      </c>
      <c r="B979" s="177" t="n">
        <v>45174</v>
      </c>
      <c r="C979" s="177" t="n">
        <v>45180</v>
      </c>
      <c r="D979" t="inlineStr">
        <is>
          <t>BW20230905</t>
        </is>
      </c>
      <c r="E979" t="n">
        <v>2023</v>
      </c>
      <c r="F979" t="inlineStr">
        <is>
          <t>Wrzesień</t>
        </is>
      </c>
      <c r="G979" t="inlineStr">
        <is>
          <t>Wt</t>
        </is>
      </c>
      <c r="H979">
        <f>'Floor Hours Engine'!$E$4</f>
        <v/>
      </c>
      <c r="I979" t="inlineStr">
        <is>
          <t>W2</t>
        </is>
      </c>
      <c r="J979" t="inlineStr">
        <is>
          <t>2023_Wrzesień_W2</t>
        </is>
      </c>
    </row>
    <row r="980">
      <c r="A980" s="177" t="n">
        <v>45175</v>
      </c>
      <c r="B980" s="177" t="n">
        <v>45174</v>
      </c>
      <c r="C980" s="177" t="n">
        <v>45180</v>
      </c>
      <c r="D980" t="inlineStr">
        <is>
          <t>BW20230905</t>
        </is>
      </c>
      <c r="E980" t="n">
        <v>2023</v>
      </c>
      <c r="F980" t="inlineStr">
        <is>
          <t>Wrzesień</t>
        </is>
      </c>
      <c r="G980" t="inlineStr">
        <is>
          <t>Śr</t>
        </is>
      </c>
      <c r="H980">
        <f>'Floor Hours Engine'!$E$4</f>
        <v/>
      </c>
      <c r="I980" t="inlineStr">
        <is>
          <t>W2</t>
        </is>
      </c>
      <c r="J980" t="inlineStr">
        <is>
          <t>2023_Wrzesień_W2</t>
        </is>
      </c>
    </row>
    <row r="981">
      <c r="A981" s="177" t="n">
        <v>45176</v>
      </c>
      <c r="B981" s="177" t="n">
        <v>45174</v>
      </c>
      <c r="C981" s="177" t="n">
        <v>45180</v>
      </c>
      <c r="D981" t="inlineStr">
        <is>
          <t>BW20230905</t>
        </is>
      </c>
      <c r="E981" t="n">
        <v>2023</v>
      </c>
      <c r="F981" t="inlineStr">
        <is>
          <t>Wrzesień</t>
        </is>
      </c>
      <c r="G981" t="inlineStr">
        <is>
          <t>Czw</t>
        </is>
      </c>
      <c r="H981">
        <f>'Floor Hours Engine'!$E$4</f>
        <v/>
      </c>
      <c r="I981" t="inlineStr">
        <is>
          <t>W2</t>
        </is>
      </c>
      <c r="J981" t="inlineStr">
        <is>
          <t>2023_Wrzesień_W2</t>
        </is>
      </c>
    </row>
    <row r="982">
      <c r="A982" s="177" t="n">
        <v>45177</v>
      </c>
      <c r="B982" s="177" t="n">
        <v>45174</v>
      </c>
      <c r="C982" s="177" t="n">
        <v>45180</v>
      </c>
      <c r="D982" t="inlineStr">
        <is>
          <t>BW20230905</t>
        </is>
      </c>
      <c r="E982" t="n">
        <v>2023</v>
      </c>
      <c r="F982" t="inlineStr">
        <is>
          <t>Wrzesień</t>
        </is>
      </c>
      <c r="G982" t="inlineStr">
        <is>
          <t>Pt</t>
        </is>
      </c>
      <c r="H982">
        <f>'Floor Hours Engine'!$E$5</f>
        <v/>
      </c>
      <c r="I982" t="inlineStr">
        <is>
          <t>W2</t>
        </is>
      </c>
      <c r="J982" t="inlineStr">
        <is>
          <t>2023_Wrzesień_W2</t>
        </is>
      </c>
    </row>
    <row r="983">
      <c r="A983" s="177" t="n">
        <v>45178</v>
      </c>
      <c r="B983" s="177" t="n">
        <v>45174</v>
      </c>
      <c r="C983" s="177" t="n">
        <v>45180</v>
      </c>
      <c r="D983" t="inlineStr">
        <is>
          <t>BW20230905</t>
        </is>
      </c>
      <c r="E983" t="n">
        <v>2023</v>
      </c>
      <c r="F983" t="inlineStr">
        <is>
          <t>Wrzesień</t>
        </is>
      </c>
      <c r="G983" t="inlineStr">
        <is>
          <t>Sob</t>
        </is>
      </c>
      <c r="H983">
        <f>'Floor Hours Engine'!$E$5</f>
        <v/>
      </c>
      <c r="I983" t="inlineStr">
        <is>
          <t>W2</t>
        </is>
      </c>
      <c r="J983" t="inlineStr">
        <is>
          <t>2023_Wrzesień_W2</t>
        </is>
      </c>
    </row>
    <row r="984">
      <c r="A984" s="177" t="n">
        <v>45179</v>
      </c>
      <c r="B984" s="177" t="n">
        <v>45174</v>
      </c>
      <c r="C984" s="177" t="n">
        <v>45180</v>
      </c>
      <c r="D984" t="inlineStr">
        <is>
          <t>BW20230905</t>
        </is>
      </c>
      <c r="E984" t="n">
        <v>2023</v>
      </c>
      <c r="F984" t="inlineStr">
        <is>
          <t>Wrzesień</t>
        </is>
      </c>
      <c r="G984" t="inlineStr">
        <is>
          <t>Nd</t>
        </is>
      </c>
      <c r="H984">
        <f>'Floor Hours Engine'!$E$6</f>
        <v/>
      </c>
      <c r="I984" t="inlineStr">
        <is>
          <t>W2</t>
        </is>
      </c>
      <c r="J984" t="inlineStr">
        <is>
          <t>2023_Wrzesień_W2</t>
        </is>
      </c>
    </row>
    <row r="985">
      <c r="A985" s="177" t="n">
        <v>45180</v>
      </c>
      <c r="B985" s="177" t="n">
        <v>45174</v>
      </c>
      <c r="C985" s="177" t="n">
        <v>45180</v>
      </c>
      <c r="D985" t="inlineStr">
        <is>
          <t>BW20230905</t>
        </is>
      </c>
      <c r="E985" t="n">
        <v>2023</v>
      </c>
      <c r="F985" t="inlineStr">
        <is>
          <t>Wrzesień</t>
        </is>
      </c>
      <c r="G985" t="inlineStr">
        <is>
          <t>Pn</t>
        </is>
      </c>
      <c r="H985">
        <f>'Floor Hours Engine'!$E$4</f>
        <v/>
      </c>
      <c r="I985" t="inlineStr">
        <is>
          <t>W2</t>
        </is>
      </c>
      <c r="J985" t="inlineStr">
        <is>
          <t>2023_Wrzesień_W2</t>
        </is>
      </c>
    </row>
    <row r="986">
      <c r="A986" s="177" t="n">
        <v>45181</v>
      </c>
      <c r="B986" s="177" t="n">
        <v>45181</v>
      </c>
      <c r="C986" s="177" t="n">
        <v>45187</v>
      </c>
      <c r="D986" t="inlineStr">
        <is>
          <t>BW20230912</t>
        </is>
      </c>
      <c r="E986" t="n">
        <v>2023</v>
      </c>
      <c r="F986" t="inlineStr">
        <is>
          <t>Wrzesień</t>
        </is>
      </c>
      <c r="G986" t="inlineStr">
        <is>
          <t>Wt</t>
        </is>
      </c>
      <c r="H986">
        <f>'Floor Hours Engine'!$E$4</f>
        <v/>
      </c>
      <c r="I986" t="inlineStr">
        <is>
          <t>W3</t>
        </is>
      </c>
      <c r="J986" t="inlineStr">
        <is>
          <t>2023_Wrzesień_W3</t>
        </is>
      </c>
    </row>
    <row r="987">
      <c r="A987" s="177" t="n">
        <v>45182</v>
      </c>
      <c r="B987" s="177" t="n">
        <v>45181</v>
      </c>
      <c r="C987" s="177" t="n">
        <v>45187</v>
      </c>
      <c r="D987" t="inlineStr">
        <is>
          <t>BW20230912</t>
        </is>
      </c>
      <c r="E987" t="n">
        <v>2023</v>
      </c>
      <c r="F987" t="inlineStr">
        <is>
          <t>Wrzesień</t>
        </is>
      </c>
      <c r="G987" t="inlineStr">
        <is>
          <t>Śr</t>
        </is>
      </c>
      <c r="H987">
        <f>'Floor Hours Engine'!$E$4</f>
        <v/>
      </c>
      <c r="I987" t="inlineStr">
        <is>
          <t>W3</t>
        </is>
      </c>
      <c r="J987" t="inlineStr">
        <is>
          <t>2023_Wrzesień_W3</t>
        </is>
      </c>
    </row>
    <row r="988">
      <c r="A988" s="177" t="n">
        <v>45183</v>
      </c>
      <c r="B988" s="177" t="n">
        <v>45181</v>
      </c>
      <c r="C988" s="177" t="n">
        <v>45187</v>
      </c>
      <c r="D988" t="inlineStr">
        <is>
          <t>BW20230912</t>
        </is>
      </c>
      <c r="E988" t="n">
        <v>2023</v>
      </c>
      <c r="F988" t="inlineStr">
        <is>
          <t>Wrzesień</t>
        </is>
      </c>
      <c r="G988" t="inlineStr">
        <is>
          <t>Czw</t>
        </is>
      </c>
      <c r="H988">
        <f>'Floor Hours Engine'!$E$4</f>
        <v/>
      </c>
      <c r="I988" t="inlineStr">
        <is>
          <t>W3</t>
        </is>
      </c>
      <c r="J988" t="inlineStr">
        <is>
          <t>2023_Wrzesień_W3</t>
        </is>
      </c>
    </row>
    <row r="989">
      <c r="A989" s="177" t="n">
        <v>45184</v>
      </c>
      <c r="B989" s="177" t="n">
        <v>45181</v>
      </c>
      <c r="C989" s="177" t="n">
        <v>45187</v>
      </c>
      <c r="D989" t="inlineStr">
        <is>
          <t>BW20230912</t>
        </is>
      </c>
      <c r="E989" t="n">
        <v>2023</v>
      </c>
      <c r="F989" t="inlineStr">
        <is>
          <t>Wrzesień</t>
        </is>
      </c>
      <c r="G989" t="inlineStr">
        <is>
          <t>Pt</t>
        </is>
      </c>
      <c r="H989">
        <f>'Floor Hours Engine'!$E$5</f>
        <v/>
      </c>
      <c r="I989" t="inlineStr">
        <is>
          <t>W3</t>
        </is>
      </c>
      <c r="J989" t="inlineStr">
        <is>
          <t>2023_Wrzesień_W3</t>
        </is>
      </c>
    </row>
    <row r="990">
      <c r="A990" s="177" t="n">
        <v>45185</v>
      </c>
      <c r="B990" s="177" t="n">
        <v>45181</v>
      </c>
      <c r="C990" s="177" t="n">
        <v>45187</v>
      </c>
      <c r="D990" t="inlineStr">
        <is>
          <t>BW20230912</t>
        </is>
      </c>
      <c r="E990" t="n">
        <v>2023</v>
      </c>
      <c r="F990" t="inlineStr">
        <is>
          <t>Wrzesień</t>
        </is>
      </c>
      <c r="G990" t="inlineStr">
        <is>
          <t>Sob</t>
        </is>
      </c>
      <c r="H990">
        <f>'Floor Hours Engine'!$E$5</f>
        <v/>
      </c>
      <c r="I990" t="inlineStr">
        <is>
          <t>W3</t>
        </is>
      </c>
      <c r="J990" t="inlineStr">
        <is>
          <t>2023_Wrzesień_W3</t>
        </is>
      </c>
    </row>
    <row r="991">
      <c r="A991" s="177" t="n">
        <v>45186</v>
      </c>
      <c r="B991" s="177" t="n">
        <v>45181</v>
      </c>
      <c r="C991" s="177" t="n">
        <v>45187</v>
      </c>
      <c r="D991" t="inlineStr">
        <is>
          <t>BW20230912</t>
        </is>
      </c>
      <c r="E991" t="n">
        <v>2023</v>
      </c>
      <c r="F991" t="inlineStr">
        <is>
          <t>Wrzesień</t>
        </is>
      </c>
      <c r="G991" t="inlineStr">
        <is>
          <t>Nd</t>
        </is>
      </c>
      <c r="H991">
        <f>'Floor Hours Engine'!$E$6</f>
        <v/>
      </c>
      <c r="I991" t="inlineStr">
        <is>
          <t>W3</t>
        </is>
      </c>
      <c r="J991" t="inlineStr">
        <is>
          <t>2023_Wrzesień_W3</t>
        </is>
      </c>
    </row>
    <row r="992">
      <c r="A992" s="177" t="n">
        <v>45187</v>
      </c>
      <c r="B992" s="177" t="n">
        <v>45181</v>
      </c>
      <c r="C992" s="177" t="n">
        <v>45187</v>
      </c>
      <c r="D992" t="inlineStr">
        <is>
          <t>BW20230912</t>
        </is>
      </c>
      <c r="E992" t="n">
        <v>2023</v>
      </c>
      <c r="F992" t="inlineStr">
        <is>
          <t>Wrzesień</t>
        </is>
      </c>
      <c r="G992" t="inlineStr">
        <is>
          <t>Pn</t>
        </is>
      </c>
      <c r="H992">
        <f>'Floor Hours Engine'!$E$4</f>
        <v/>
      </c>
      <c r="I992" t="inlineStr">
        <is>
          <t>W3</t>
        </is>
      </c>
      <c r="J992" t="inlineStr">
        <is>
          <t>2023_Wrzesień_W3</t>
        </is>
      </c>
    </row>
    <row r="993">
      <c r="A993" s="177" t="n">
        <v>45188</v>
      </c>
      <c r="B993" s="177" t="n">
        <v>45188</v>
      </c>
      <c r="C993" s="177" t="n">
        <v>45194</v>
      </c>
      <c r="D993" t="inlineStr">
        <is>
          <t>BW20230919</t>
        </is>
      </c>
      <c r="E993" t="n">
        <v>2023</v>
      </c>
      <c r="F993" t="inlineStr">
        <is>
          <t>Wrzesień</t>
        </is>
      </c>
      <c r="G993" t="inlineStr">
        <is>
          <t>Wt</t>
        </is>
      </c>
      <c r="H993">
        <f>'Floor Hours Engine'!$E$4</f>
        <v/>
      </c>
      <c r="I993" t="inlineStr">
        <is>
          <t>W4</t>
        </is>
      </c>
      <c r="J993" t="inlineStr">
        <is>
          <t>2023_Wrzesień_W4</t>
        </is>
      </c>
    </row>
    <row r="994">
      <c r="A994" s="177" t="n">
        <v>45189</v>
      </c>
      <c r="B994" s="177" t="n">
        <v>45188</v>
      </c>
      <c r="C994" s="177" t="n">
        <v>45194</v>
      </c>
      <c r="D994" t="inlineStr">
        <is>
          <t>BW20230919</t>
        </is>
      </c>
      <c r="E994" t="n">
        <v>2023</v>
      </c>
      <c r="F994" t="inlineStr">
        <is>
          <t>Wrzesień</t>
        </is>
      </c>
      <c r="G994" t="inlineStr">
        <is>
          <t>Śr</t>
        </is>
      </c>
      <c r="H994">
        <f>'Floor Hours Engine'!$E$4</f>
        <v/>
      </c>
      <c r="I994" t="inlineStr">
        <is>
          <t>W4</t>
        </is>
      </c>
      <c r="J994" t="inlineStr">
        <is>
          <t>2023_Wrzesień_W4</t>
        </is>
      </c>
    </row>
    <row r="995">
      <c r="A995" s="177" t="n">
        <v>45190</v>
      </c>
      <c r="B995" s="177" t="n">
        <v>45188</v>
      </c>
      <c r="C995" s="177" t="n">
        <v>45194</v>
      </c>
      <c r="D995" t="inlineStr">
        <is>
          <t>BW20230919</t>
        </is>
      </c>
      <c r="E995" t="n">
        <v>2023</v>
      </c>
      <c r="F995" t="inlineStr">
        <is>
          <t>Wrzesień</t>
        </is>
      </c>
      <c r="G995" t="inlineStr">
        <is>
          <t>Czw</t>
        </is>
      </c>
      <c r="H995">
        <f>'Floor Hours Engine'!$E$4</f>
        <v/>
      </c>
      <c r="I995" t="inlineStr">
        <is>
          <t>W4</t>
        </is>
      </c>
      <c r="J995" t="inlineStr">
        <is>
          <t>2023_Wrzesień_W4</t>
        </is>
      </c>
    </row>
    <row r="996">
      <c r="A996" s="177" t="n">
        <v>45191</v>
      </c>
      <c r="B996" s="177" t="n">
        <v>45188</v>
      </c>
      <c r="C996" s="177" t="n">
        <v>45194</v>
      </c>
      <c r="D996" t="inlineStr">
        <is>
          <t>BW20230919</t>
        </is>
      </c>
      <c r="E996" t="n">
        <v>2023</v>
      </c>
      <c r="F996" t="inlineStr">
        <is>
          <t>Wrzesień</t>
        </is>
      </c>
      <c r="G996" t="inlineStr">
        <is>
          <t>Pt</t>
        </is>
      </c>
      <c r="H996">
        <f>'Floor Hours Engine'!$E$5</f>
        <v/>
      </c>
      <c r="I996" t="inlineStr">
        <is>
          <t>W4</t>
        </is>
      </c>
      <c r="J996" t="inlineStr">
        <is>
          <t>2023_Wrzesień_W4</t>
        </is>
      </c>
    </row>
    <row r="997">
      <c r="A997" s="177" t="n">
        <v>45192</v>
      </c>
      <c r="B997" s="177" t="n">
        <v>45188</v>
      </c>
      <c r="C997" s="177" t="n">
        <v>45194</v>
      </c>
      <c r="D997" t="inlineStr">
        <is>
          <t>BW20230919</t>
        </is>
      </c>
      <c r="E997" t="n">
        <v>2023</v>
      </c>
      <c r="F997" t="inlineStr">
        <is>
          <t>Wrzesień</t>
        </is>
      </c>
      <c r="G997" t="inlineStr">
        <is>
          <t>Sob</t>
        </is>
      </c>
      <c r="H997">
        <f>'Floor Hours Engine'!$E$5</f>
        <v/>
      </c>
      <c r="I997" t="inlineStr">
        <is>
          <t>W4</t>
        </is>
      </c>
      <c r="J997" t="inlineStr">
        <is>
          <t>2023_Wrzesień_W4</t>
        </is>
      </c>
    </row>
    <row r="998">
      <c r="A998" s="177" t="n">
        <v>45193</v>
      </c>
      <c r="B998" s="177" t="n">
        <v>45188</v>
      </c>
      <c r="C998" s="177" t="n">
        <v>45194</v>
      </c>
      <c r="D998" t="inlineStr">
        <is>
          <t>BW20230919</t>
        </is>
      </c>
      <c r="E998" t="n">
        <v>2023</v>
      </c>
      <c r="F998" t="inlineStr">
        <is>
          <t>Wrzesień</t>
        </is>
      </c>
      <c r="G998" t="inlineStr">
        <is>
          <t>Nd</t>
        </is>
      </c>
      <c r="H998">
        <f>'Floor Hours Engine'!$E$6</f>
        <v/>
      </c>
      <c r="I998" t="inlineStr">
        <is>
          <t>W4</t>
        </is>
      </c>
      <c r="J998" t="inlineStr">
        <is>
          <t>2023_Wrzesień_W4</t>
        </is>
      </c>
    </row>
    <row r="999">
      <c r="A999" s="177" t="n">
        <v>45194</v>
      </c>
      <c r="B999" s="177" t="n">
        <v>45188</v>
      </c>
      <c r="C999" s="177" t="n">
        <v>45194</v>
      </c>
      <c r="D999" t="inlineStr">
        <is>
          <t>BW20230919</t>
        </is>
      </c>
      <c r="E999" t="n">
        <v>2023</v>
      </c>
      <c r="F999" t="inlineStr">
        <is>
          <t>Wrzesień</t>
        </is>
      </c>
      <c r="G999" t="inlineStr">
        <is>
          <t>Pn</t>
        </is>
      </c>
      <c r="H999">
        <f>'Floor Hours Engine'!$E$4</f>
        <v/>
      </c>
      <c r="I999" t="inlineStr">
        <is>
          <t>W4</t>
        </is>
      </c>
      <c r="J999" t="inlineStr">
        <is>
          <t>2023_Wrzesień_W4</t>
        </is>
      </c>
    </row>
    <row r="1000">
      <c r="A1000" s="177" t="n">
        <v>45195</v>
      </c>
      <c r="B1000" s="177" t="n">
        <v>45195</v>
      </c>
      <c r="C1000" s="177" t="n">
        <v>45201</v>
      </c>
      <c r="D1000" t="inlineStr">
        <is>
          <t>BW20230926</t>
        </is>
      </c>
      <c r="E1000" t="n">
        <v>2023</v>
      </c>
      <c r="F1000" t="inlineStr">
        <is>
          <t>Wrzesień</t>
        </is>
      </c>
      <c r="G1000" t="inlineStr">
        <is>
          <t>Wt</t>
        </is>
      </c>
      <c r="H1000">
        <f>'Floor Hours Engine'!$E$4</f>
        <v/>
      </c>
      <c r="I1000" t="inlineStr">
        <is>
          <t>W5</t>
        </is>
      </c>
      <c r="J1000" t="inlineStr">
        <is>
          <t>2023_Wrzesień_W5</t>
        </is>
      </c>
    </row>
    <row r="1001">
      <c r="A1001" s="177" t="n">
        <v>45196</v>
      </c>
      <c r="B1001" s="177" t="n">
        <v>45195</v>
      </c>
      <c r="C1001" s="177" t="n">
        <v>45201</v>
      </c>
      <c r="D1001" t="inlineStr">
        <is>
          <t>BW20230926</t>
        </is>
      </c>
      <c r="E1001" t="n">
        <v>2023</v>
      </c>
      <c r="F1001" t="inlineStr">
        <is>
          <t>Wrzesień</t>
        </is>
      </c>
      <c r="G1001" t="inlineStr">
        <is>
          <t>Śr</t>
        </is>
      </c>
      <c r="H1001">
        <f>'Floor Hours Engine'!$E$4</f>
        <v/>
      </c>
      <c r="I1001" t="inlineStr">
        <is>
          <t>W5</t>
        </is>
      </c>
      <c r="J1001" t="inlineStr">
        <is>
          <t>2023_Wrzesień_W5</t>
        </is>
      </c>
    </row>
    <row r="1002">
      <c r="A1002" s="177" t="n">
        <v>45197</v>
      </c>
      <c r="B1002" s="177" t="n">
        <v>45195</v>
      </c>
      <c r="C1002" s="177" t="n">
        <v>45201</v>
      </c>
      <c r="D1002" t="inlineStr">
        <is>
          <t>BW20230926</t>
        </is>
      </c>
      <c r="E1002" t="n">
        <v>2023</v>
      </c>
      <c r="F1002" t="inlineStr">
        <is>
          <t>Wrzesień</t>
        </is>
      </c>
      <c r="G1002" t="inlineStr">
        <is>
          <t>Czw</t>
        </is>
      </c>
      <c r="H1002">
        <f>'Floor Hours Engine'!$E$4</f>
        <v/>
      </c>
      <c r="I1002" t="inlineStr">
        <is>
          <t>W5</t>
        </is>
      </c>
      <c r="J1002" t="inlineStr">
        <is>
          <t>2023_Wrzesień_W5</t>
        </is>
      </c>
    </row>
    <row r="1003">
      <c r="A1003" s="177" t="n">
        <v>45198</v>
      </c>
      <c r="B1003" s="177" t="n">
        <v>45195</v>
      </c>
      <c r="C1003" s="177" t="n">
        <v>45201</v>
      </c>
      <c r="D1003" t="inlineStr">
        <is>
          <t>BW20230926</t>
        </is>
      </c>
      <c r="E1003" t="n">
        <v>2023</v>
      </c>
      <c r="F1003" t="inlineStr">
        <is>
          <t>Wrzesień</t>
        </is>
      </c>
      <c r="G1003" t="inlineStr">
        <is>
          <t>Pt</t>
        </is>
      </c>
      <c r="H1003">
        <f>'Floor Hours Engine'!$E$5</f>
        <v/>
      </c>
      <c r="I1003" t="inlineStr">
        <is>
          <t>W5</t>
        </is>
      </c>
      <c r="J1003" t="inlineStr">
        <is>
          <t>2023_Wrzesień_W5</t>
        </is>
      </c>
    </row>
    <row r="1004">
      <c r="A1004" s="177" t="n">
        <v>45199</v>
      </c>
      <c r="B1004" s="177" t="n">
        <v>45195</v>
      </c>
      <c r="C1004" s="177" t="n">
        <v>45201</v>
      </c>
      <c r="D1004" t="inlineStr">
        <is>
          <t>BW20230926</t>
        </is>
      </c>
      <c r="E1004" t="n">
        <v>2023</v>
      </c>
      <c r="F1004" t="inlineStr">
        <is>
          <t>Wrzesień</t>
        </is>
      </c>
      <c r="G1004" t="inlineStr">
        <is>
          <t>Sob</t>
        </is>
      </c>
      <c r="H1004">
        <f>'Floor Hours Engine'!$E$5</f>
        <v/>
      </c>
      <c r="I1004" t="inlineStr">
        <is>
          <t>W5</t>
        </is>
      </c>
      <c r="J1004" t="inlineStr">
        <is>
          <t>2023_Wrzesień_W5</t>
        </is>
      </c>
    </row>
    <row r="1005">
      <c r="A1005" s="177" t="n">
        <v>45200</v>
      </c>
      <c r="B1005" s="177" t="n">
        <v>45195</v>
      </c>
      <c r="C1005" s="177" t="n">
        <v>45201</v>
      </c>
      <c r="D1005" t="inlineStr">
        <is>
          <t>BW20230926</t>
        </is>
      </c>
      <c r="E1005" t="n">
        <v>2023</v>
      </c>
      <c r="F1005" t="inlineStr">
        <is>
          <t>Październik</t>
        </is>
      </c>
      <c r="G1005" t="inlineStr">
        <is>
          <t>Nd</t>
        </is>
      </c>
      <c r="H1005">
        <f>'Floor Hours Engine'!$E$6</f>
        <v/>
      </c>
      <c r="I1005" t="inlineStr">
        <is>
          <t>W1</t>
        </is>
      </c>
      <c r="J1005" t="inlineStr">
        <is>
          <t>2023_Październik_W1</t>
        </is>
      </c>
    </row>
    <row r="1006">
      <c r="A1006" s="177" t="n">
        <v>45201</v>
      </c>
      <c r="B1006" s="177" t="n">
        <v>45195</v>
      </c>
      <c r="C1006" s="177" t="n">
        <v>45201</v>
      </c>
      <c r="D1006" t="inlineStr">
        <is>
          <t>BW20230926</t>
        </is>
      </c>
      <c r="E1006" t="n">
        <v>2023</v>
      </c>
      <c r="F1006" t="inlineStr">
        <is>
          <t>Październik</t>
        </is>
      </c>
      <c r="G1006" t="inlineStr">
        <is>
          <t>Pn</t>
        </is>
      </c>
      <c r="H1006">
        <f>'Floor Hours Engine'!$E$4</f>
        <v/>
      </c>
      <c r="I1006" t="inlineStr">
        <is>
          <t>W1</t>
        </is>
      </c>
      <c r="J1006" t="inlineStr">
        <is>
          <t>2023_Październik_W1</t>
        </is>
      </c>
    </row>
    <row r="1007">
      <c r="A1007" s="177" t="n">
        <v>45202</v>
      </c>
      <c r="B1007" s="177" t="n">
        <v>45202</v>
      </c>
      <c r="C1007" s="177" t="n">
        <v>45208</v>
      </c>
      <c r="D1007" t="inlineStr">
        <is>
          <t>BW20231003</t>
        </is>
      </c>
      <c r="E1007" t="n">
        <v>2023</v>
      </c>
      <c r="F1007" t="inlineStr">
        <is>
          <t>Październik</t>
        </is>
      </c>
      <c r="G1007" t="inlineStr">
        <is>
          <t>Wt</t>
        </is>
      </c>
      <c r="H1007">
        <f>'Floor Hours Engine'!$E$4</f>
        <v/>
      </c>
      <c r="I1007" t="inlineStr">
        <is>
          <t>W2</t>
        </is>
      </c>
      <c r="J1007" t="inlineStr">
        <is>
          <t>2023_Październik_W2</t>
        </is>
      </c>
    </row>
    <row r="1008">
      <c r="A1008" s="177" t="n">
        <v>45203</v>
      </c>
      <c r="B1008" s="177" t="n">
        <v>45202</v>
      </c>
      <c r="C1008" s="177" t="n">
        <v>45208</v>
      </c>
      <c r="D1008" t="inlineStr">
        <is>
          <t>BW20231003</t>
        </is>
      </c>
      <c r="E1008" t="n">
        <v>2023</v>
      </c>
      <c r="F1008" t="inlineStr">
        <is>
          <t>Październik</t>
        </is>
      </c>
      <c r="G1008" t="inlineStr">
        <is>
          <t>Śr</t>
        </is>
      </c>
      <c r="H1008">
        <f>'Floor Hours Engine'!$E$4</f>
        <v/>
      </c>
      <c r="I1008" t="inlineStr">
        <is>
          <t>W2</t>
        </is>
      </c>
      <c r="J1008" t="inlineStr">
        <is>
          <t>2023_Październik_W2</t>
        </is>
      </c>
    </row>
    <row r="1009">
      <c r="A1009" s="177" t="n">
        <v>45204</v>
      </c>
      <c r="B1009" s="177" t="n">
        <v>45202</v>
      </c>
      <c r="C1009" s="177" t="n">
        <v>45208</v>
      </c>
      <c r="D1009" t="inlineStr">
        <is>
          <t>BW20231003</t>
        </is>
      </c>
      <c r="E1009" t="n">
        <v>2023</v>
      </c>
      <c r="F1009" t="inlineStr">
        <is>
          <t>Październik</t>
        </is>
      </c>
      <c r="G1009" t="inlineStr">
        <is>
          <t>Czw</t>
        </is>
      </c>
      <c r="H1009">
        <f>'Floor Hours Engine'!$E$4</f>
        <v/>
      </c>
      <c r="I1009" t="inlineStr">
        <is>
          <t>W2</t>
        </is>
      </c>
      <c r="J1009" t="inlineStr">
        <is>
          <t>2023_Październik_W2</t>
        </is>
      </c>
    </row>
    <row r="1010">
      <c r="A1010" s="177" t="n">
        <v>45205</v>
      </c>
      <c r="B1010" s="177" t="n">
        <v>45202</v>
      </c>
      <c r="C1010" s="177" t="n">
        <v>45208</v>
      </c>
      <c r="D1010" t="inlineStr">
        <is>
          <t>BW20231003</t>
        </is>
      </c>
      <c r="E1010" t="n">
        <v>2023</v>
      </c>
      <c r="F1010" t="inlineStr">
        <is>
          <t>Październik</t>
        </is>
      </c>
      <c r="G1010" t="inlineStr">
        <is>
          <t>Pt</t>
        </is>
      </c>
      <c r="H1010">
        <f>'Floor Hours Engine'!$E$5</f>
        <v/>
      </c>
      <c r="I1010" t="inlineStr">
        <is>
          <t>W2</t>
        </is>
      </c>
      <c r="J1010" t="inlineStr">
        <is>
          <t>2023_Październik_W2</t>
        </is>
      </c>
    </row>
    <row r="1011">
      <c r="A1011" s="177" t="n">
        <v>45206</v>
      </c>
      <c r="B1011" s="177" t="n">
        <v>45202</v>
      </c>
      <c r="C1011" s="177" t="n">
        <v>45208</v>
      </c>
      <c r="D1011" t="inlineStr">
        <is>
          <t>BW20231003</t>
        </is>
      </c>
      <c r="E1011" t="n">
        <v>2023</v>
      </c>
      <c r="F1011" t="inlineStr">
        <is>
          <t>Październik</t>
        </is>
      </c>
      <c r="G1011" t="inlineStr">
        <is>
          <t>Sob</t>
        </is>
      </c>
      <c r="H1011">
        <f>'Floor Hours Engine'!$E$5</f>
        <v/>
      </c>
      <c r="I1011" t="inlineStr">
        <is>
          <t>W2</t>
        </is>
      </c>
      <c r="J1011" t="inlineStr">
        <is>
          <t>2023_Październik_W2</t>
        </is>
      </c>
    </row>
    <row r="1012">
      <c r="A1012" s="177" t="n">
        <v>45207</v>
      </c>
      <c r="B1012" s="177" t="n">
        <v>45202</v>
      </c>
      <c r="C1012" s="177" t="n">
        <v>45208</v>
      </c>
      <c r="D1012" t="inlineStr">
        <is>
          <t>BW20231003</t>
        </is>
      </c>
      <c r="E1012" t="n">
        <v>2023</v>
      </c>
      <c r="F1012" t="inlineStr">
        <is>
          <t>Październik</t>
        </is>
      </c>
      <c r="G1012" t="inlineStr">
        <is>
          <t>Nd</t>
        </is>
      </c>
      <c r="H1012">
        <f>'Floor Hours Engine'!$E$6</f>
        <v/>
      </c>
      <c r="I1012" t="inlineStr">
        <is>
          <t>W2</t>
        </is>
      </c>
      <c r="J1012" t="inlineStr">
        <is>
          <t>2023_Październik_W2</t>
        </is>
      </c>
    </row>
    <row r="1013">
      <c r="A1013" s="177" t="n">
        <v>45208</v>
      </c>
      <c r="B1013" s="177" t="n">
        <v>45202</v>
      </c>
      <c r="C1013" s="177" t="n">
        <v>45208</v>
      </c>
      <c r="D1013" t="inlineStr">
        <is>
          <t>BW20231003</t>
        </is>
      </c>
      <c r="E1013" t="n">
        <v>2023</v>
      </c>
      <c r="F1013" t="inlineStr">
        <is>
          <t>Październik</t>
        </is>
      </c>
      <c r="G1013" t="inlineStr">
        <is>
          <t>Pn</t>
        </is>
      </c>
      <c r="H1013">
        <f>'Floor Hours Engine'!$E$4</f>
        <v/>
      </c>
      <c r="I1013" t="inlineStr">
        <is>
          <t>W2</t>
        </is>
      </c>
      <c r="J1013" t="inlineStr">
        <is>
          <t>2023_Październik_W2</t>
        </is>
      </c>
    </row>
    <row r="1014">
      <c r="A1014" s="177" t="n">
        <v>45209</v>
      </c>
      <c r="B1014" s="177" t="n">
        <v>45209</v>
      </c>
      <c r="C1014" s="177" t="n">
        <v>45215</v>
      </c>
      <c r="D1014" t="inlineStr">
        <is>
          <t>BW20231010</t>
        </is>
      </c>
      <c r="E1014" t="n">
        <v>2023</v>
      </c>
      <c r="F1014" t="inlineStr">
        <is>
          <t>Październik</t>
        </is>
      </c>
      <c r="G1014" t="inlineStr">
        <is>
          <t>Wt</t>
        </is>
      </c>
      <c r="H1014">
        <f>'Floor Hours Engine'!$E$4</f>
        <v/>
      </c>
      <c r="I1014" t="inlineStr">
        <is>
          <t>W3</t>
        </is>
      </c>
      <c r="J1014" t="inlineStr">
        <is>
          <t>2023_Październik_W3</t>
        </is>
      </c>
    </row>
    <row r="1015">
      <c r="A1015" s="177" t="n">
        <v>45210</v>
      </c>
      <c r="B1015" s="177" t="n">
        <v>45209</v>
      </c>
      <c r="C1015" s="177" t="n">
        <v>45215</v>
      </c>
      <c r="D1015" t="inlineStr">
        <is>
          <t>BW20231010</t>
        </is>
      </c>
      <c r="E1015" t="n">
        <v>2023</v>
      </c>
      <c r="F1015" t="inlineStr">
        <is>
          <t>Październik</t>
        </is>
      </c>
      <c r="G1015" t="inlineStr">
        <is>
          <t>Śr</t>
        </is>
      </c>
      <c r="H1015">
        <f>'Floor Hours Engine'!$E$4</f>
        <v/>
      </c>
      <c r="I1015" t="inlineStr">
        <is>
          <t>W3</t>
        </is>
      </c>
      <c r="J1015" t="inlineStr">
        <is>
          <t>2023_Październik_W3</t>
        </is>
      </c>
    </row>
    <row r="1016">
      <c r="A1016" s="177" t="n">
        <v>45211</v>
      </c>
      <c r="B1016" s="177" t="n">
        <v>45209</v>
      </c>
      <c r="C1016" s="177" t="n">
        <v>45215</v>
      </c>
      <c r="D1016" t="inlineStr">
        <is>
          <t>BW20231010</t>
        </is>
      </c>
      <c r="E1016" t="n">
        <v>2023</v>
      </c>
      <c r="F1016" t="inlineStr">
        <is>
          <t>Październik</t>
        </is>
      </c>
      <c r="G1016" t="inlineStr">
        <is>
          <t>Czw</t>
        </is>
      </c>
      <c r="H1016">
        <f>'Floor Hours Engine'!$E$4</f>
        <v/>
      </c>
      <c r="I1016" t="inlineStr">
        <is>
          <t>W3</t>
        </is>
      </c>
      <c r="J1016" t="inlineStr">
        <is>
          <t>2023_Październik_W3</t>
        </is>
      </c>
    </row>
    <row r="1017">
      <c r="A1017" s="177" t="n">
        <v>45212</v>
      </c>
      <c r="B1017" s="177" t="n">
        <v>45209</v>
      </c>
      <c r="C1017" s="177" t="n">
        <v>45215</v>
      </c>
      <c r="D1017" t="inlineStr">
        <is>
          <t>BW20231010</t>
        </is>
      </c>
      <c r="E1017" t="n">
        <v>2023</v>
      </c>
      <c r="F1017" t="inlineStr">
        <is>
          <t>Październik</t>
        </is>
      </c>
      <c r="G1017" t="inlineStr">
        <is>
          <t>Pt</t>
        </is>
      </c>
      <c r="H1017">
        <f>'Floor Hours Engine'!$E$5</f>
        <v/>
      </c>
      <c r="I1017" t="inlineStr">
        <is>
          <t>W3</t>
        </is>
      </c>
      <c r="J1017" t="inlineStr">
        <is>
          <t>2023_Październik_W3</t>
        </is>
      </c>
    </row>
    <row r="1018">
      <c r="A1018" s="177" t="n">
        <v>45213</v>
      </c>
      <c r="B1018" s="177" t="n">
        <v>45209</v>
      </c>
      <c r="C1018" s="177" t="n">
        <v>45215</v>
      </c>
      <c r="D1018" t="inlineStr">
        <is>
          <t>BW20231010</t>
        </is>
      </c>
      <c r="E1018" t="n">
        <v>2023</v>
      </c>
      <c r="F1018" t="inlineStr">
        <is>
          <t>Październik</t>
        </is>
      </c>
      <c r="G1018" t="inlineStr">
        <is>
          <t>Sob</t>
        </is>
      </c>
      <c r="H1018">
        <f>'Floor Hours Engine'!$E$5</f>
        <v/>
      </c>
      <c r="I1018" t="inlineStr">
        <is>
          <t>W3</t>
        </is>
      </c>
      <c r="J1018" t="inlineStr">
        <is>
          <t>2023_Październik_W3</t>
        </is>
      </c>
    </row>
    <row r="1019">
      <c r="A1019" s="177" t="n">
        <v>45214</v>
      </c>
      <c r="B1019" s="177" t="n">
        <v>45209</v>
      </c>
      <c r="C1019" s="177" t="n">
        <v>45215</v>
      </c>
      <c r="D1019" t="inlineStr">
        <is>
          <t>BW20231010</t>
        </is>
      </c>
      <c r="E1019" t="n">
        <v>2023</v>
      </c>
      <c r="F1019" t="inlineStr">
        <is>
          <t>Październik</t>
        </is>
      </c>
      <c r="G1019" t="inlineStr">
        <is>
          <t>Nd</t>
        </is>
      </c>
      <c r="H1019">
        <f>'Floor Hours Engine'!$E$6</f>
        <v/>
      </c>
      <c r="I1019" t="inlineStr">
        <is>
          <t>W3</t>
        </is>
      </c>
      <c r="J1019" t="inlineStr">
        <is>
          <t>2023_Październik_W3</t>
        </is>
      </c>
    </row>
    <row r="1020">
      <c r="A1020" s="177" t="n">
        <v>45215</v>
      </c>
      <c r="B1020" s="177" t="n">
        <v>45209</v>
      </c>
      <c r="C1020" s="177" t="n">
        <v>45215</v>
      </c>
      <c r="D1020" t="inlineStr">
        <is>
          <t>BW20231010</t>
        </is>
      </c>
      <c r="E1020" t="n">
        <v>2023</v>
      </c>
      <c r="F1020" t="inlineStr">
        <is>
          <t>Październik</t>
        </is>
      </c>
      <c r="G1020" t="inlineStr">
        <is>
          <t>Pn</t>
        </is>
      </c>
      <c r="H1020">
        <f>'Floor Hours Engine'!$E$4</f>
        <v/>
      </c>
      <c r="I1020" t="inlineStr">
        <is>
          <t>W3</t>
        </is>
      </c>
      <c r="J1020" t="inlineStr">
        <is>
          <t>2023_Październik_W3</t>
        </is>
      </c>
    </row>
    <row r="1021">
      <c r="A1021" s="177" t="n">
        <v>45216</v>
      </c>
      <c r="B1021" s="177" t="n">
        <v>45216</v>
      </c>
      <c r="C1021" s="177" t="n">
        <v>45222</v>
      </c>
      <c r="D1021" t="inlineStr">
        <is>
          <t>BW20231017</t>
        </is>
      </c>
      <c r="E1021" t="n">
        <v>2023</v>
      </c>
      <c r="F1021" t="inlineStr">
        <is>
          <t>Październik</t>
        </is>
      </c>
      <c r="G1021" t="inlineStr">
        <is>
          <t>Wt</t>
        </is>
      </c>
      <c r="H1021">
        <f>'Floor Hours Engine'!$E$4</f>
        <v/>
      </c>
      <c r="I1021" t="inlineStr">
        <is>
          <t>W4</t>
        </is>
      </c>
      <c r="J1021" t="inlineStr">
        <is>
          <t>2023_Październik_W4</t>
        </is>
      </c>
    </row>
    <row r="1022">
      <c r="A1022" s="177" t="n">
        <v>45217</v>
      </c>
      <c r="B1022" s="177" t="n">
        <v>45216</v>
      </c>
      <c r="C1022" s="177" t="n">
        <v>45222</v>
      </c>
      <c r="D1022" t="inlineStr">
        <is>
          <t>BW20231017</t>
        </is>
      </c>
      <c r="E1022" t="n">
        <v>2023</v>
      </c>
      <c r="F1022" t="inlineStr">
        <is>
          <t>Październik</t>
        </is>
      </c>
      <c r="G1022" t="inlineStr">
        <is>
          <t>Śr</t>
        </is>
      </c>
      <c r="H1022">
        <f>'Floor Hours Engine'!$E$4</f>
        <v/>
      </c>
      <c r="I1022" t="inlineStr">
        <is>
          <t>W4</t>
        </is>
      </c>
      <c r="J1022" t="inlineStr">
        <is>
          <t>2023_Październik_W4</t>
        </is>
      </c>
    </row>
    <row r="1023">
      <c r="A1023" s="177" t="n">
        <v>45218</v>
      </c>
      <c r="B1023" s="177" t="n">
        <v>45216</v>
      </c>
      <c r="C1023" s="177" t="n">
        <v>45222</v>
      </c>
      <c r="D1023" t="inlineStr">
        <is>
          <t>BW20231017</t>
        </is>
      </c>
      <c r="E1023" t="n">
        <v>2023</v>
      </c>
      <c r="F1023" t="inlineStr">
        <is>
          <t>Październik</t>
        </is>
      </c>
      <c r="G1023" t="inlineStr">
        <is>
          <t>Czw</t>
        </is>
      </c>
      <c r="H1023">
        <f>'Floor Hours Engine'!$E$4</f>
        <v/>
      </c>
      <c r="I1023" t="inlineStr">
        <is>
          <t>W4</t>
        </is>
      </c>
      <c r="J1023" t="inlineStr">
        <is>
          <t>2023_Październik_W4</t>
        </is>
      </c>
    </row>
    <row r="1024">
      <c r="A1024" s="177" t="n">
        <v>45219</v>
      </c>
      <c r="B1024" s="177" t="n">
        <v>45216</v>
      </c>
      <c r="C1024" s="177" t="n">
        <v>45222</v>
      </c>
      <c r="D1024" t="inlineStr">
        <is>
          <t>BW20231017</t>
        </is>
      </c>
      <c r="E1024" t="n">
        <v>2023</v>
      </c>
      <c r="F1024" t="inlineStr">
        <is>
          <t>Październik</t>
        </is>
      </c>
      <c r="G1024" t="inlineStr">
        <is>
          <t>Pt</t>
        </is>
      </c>
      <c r="H1024">
        <f>'Floor Hours Engine'!$E$5</f>
        <v/>
      </c>
      <c r="I1024" t="inlineStr">
        <is>
          <t>W4</t>
        </is>
      </c>
      <c r="J1024" t="inlineStr">
        <is>
          <t>2023_Październik_W4</t>
        </is>
      </c>
    </row>
    <row r="1025">
      <c r="A1025" s="177" t="n">
        <v>45220</v>
      </c>
      <c r="B1025" s="177" t="n">
        <v>45216</v>
      </c>
      <c r="C1025" s="177" t="n">
        <v>45222</v>
      </c>
      <c r="D1025" t="inlineStr">
        <is>
          <t>BW20231017</t>
        </is>
      </c>
      <c r="E1025" t="n">
        <v>2023</v>
      </c>
      <c r="F1025" t="inlineStr">
        <is>
          <t>Październik</t>
        </is>
      </c>
      <c r="G1025" t="inlineStr">
        <is>
          <t>Sob</t>
        </is>
      </c>
      <c r="H1025">
        <f>'Floor Hours Engine'!$E$5</f>
        <v/>
      </c>
      <c r="I1025" t="inlineStr">
        <is>
          <t>W4</t>
        </is>
      </c>
      <c r="J1025" t="inlineStr">
        <is>
          <t>2023_Październik_W4</t>
        </is>
      </c>
    </row>
    <row r="1026">
      <c r="A1026" s="177" t="n">
        <v>45221</v>
      </c>
      <c r="B1026" s="177" t="n">
        <v>45216</v>
      </c>
      <c r="C1026" s="177" t="n">
        <v>45222</v>
      </c>
      <c r="D1026" t="inlineStr">
        <is>
          <t>BW20231017</t>
        </is>
      </c>
      <c r="E1026" t="n">
        <v>2023</v>
      </c>
      <c r="F1026" t="inlineStr">
        <is>
          <t>Październik</t>
        </is>
      </c>
      <c r="G1026" t="inlineStr">
        <is>
          <t>Nd</t>
        </is>
      </c>
      <c r="H1026">
        <f>'Floor Hours Engine'!$E$6</f>
        <v/>
      </c>
      <c r="I1026" t="inlineStr">
        <is>
          <t>W4</t>
        </is>
      </c>
      <c r="J1026" t="inlineStr">
        <is>
          <t>2023_Październik_W4</t>
        </is>
      </c>
    </row>
    <row r="1027">
      <c r="A1027" s="177" t="n">
        <v>45222</v>
      </c>
      <c r="B1027" s="177" t="n">
        <v>45216</v>
      </c>
      <c r="C1027" s="177" t="n">
        <v>45222</v>
      </c>
      <c r="D1027" t="inlineStr">
        <is>
          <t>BW20231017</t>
        </is>
      </c>
      <c r="E1027" t="n">
        <v>2023</v>
      </c>
      <c r="F1027" t="inlineStr">
        <is>
          <t>Październik</t>
        </is>
      </c>
      <c r="G1027" t="inlineStr">
        <is>
          <t>Pn</t>
        </is>
      </c>
      <c r="H1027">
        <f>'Floor Hours Engine'!$E$4</f>
        <v/>
      </c>
      <c r="I1027" t="inlineStr">
        <is>
          <t>W4</t>
        </is>
      </c>
      <c r="J1027" t="inlineStr">
        <is>
          <t>2023_Październik_W4</t>
        </is>
      </c>
    </row>
    <row r="1028">
      <c r="A1028" s="177" t="n">
        <v>45223</v>
      </c>
      <c r="B1028" s="177" t="n">
        <v>45223</v>
      </c>
      <c r="C1028" s="177" t="n">
        <v>45229</v>
      </c>
      <c r="D1028" t="inlineStr">
        <is>
          <t>BW20231024</t>
        </is>
      </c>
      <c r="E1028" t="n">
        <v>2023</v>
      </c>
      <c r="F1028" t="inlineStr">
        <is>
          <t>Październik</t>
        </is>
      </c>
      <c r="G1028" t="inlineStr">
        <is>
          <t>Wt</t>
        </is>
      </c>
      <c r="H1028">
        <f>'Floor Hours Engine'!$E$4</f>
        <v/>
      </c>
      <c r="I1028" t="inlineStr">
        <is>
          <t>W5</t>
        </is>
      </c>
      <c r="J1028" t="inlineStr">
        <is>
          <t>2023_Październik_W5</t>
        </is>
      </c>
    </row>
    <row r="1029">
      <c r="A1029" s="177" t="n">
        <v>45224</v>
      </c>
      <c r="B1029" s="177" t="n">
        <v>45223</v>
      </c>
      <c r="C1029" s="177" t="n">
        <v>45229</v>
      </c>
      <c r="D1029" t="inlineStr">
        <is>
          <t>BW20231024</t>
        </is>
      </c>
      <c r="E1029" t="n">
        <v>2023</v>
      </c>
      <c r="F1029" t="inlineStr">
        <is>
          <t>Październik</t>
        </is>
      </c>
      <c r="G1029" t="inlineStr">
        <is>
          <t>Śr</t>
        </is>
      </c>
      <c r="H1029">
        <f>'Floor Hours Engine'!$E$4</f>
        <v/>
      </c>
      <c r="I1029" t="inlineStr">
        <is>
          <t>W5</t>
        </is>
      </c>
      <c r="J1029" t="inlineStr">
        <is>
          <t>2023_Październik_W5</t>
        </is>
      </c>
    </row>
    <row r="1030">
      <c r="A1030" s="177" t="n">
        <v>45225</v>
      </c>
      <c r="B1030" s="177" t="n">
        <v>45223</v>
      </c>
      <c r="C1030" s="177" t="n">
        <v>45229</v>
      </c>
      <c r="D1030" t="inlineStr">
        <is>
          <t>BW20231024</t>
        </is>
      </c>
      <c r="E1030" t="n">
        <v>2023</v>
      </c>
      <c r="F1030" t="inlineStr">
        <is>
          <t>Październik</t>
        </is>
      </c>
      <c r="G1030" t="inlineStr">
        <is>
          <t>Czw</t>
        </is>
      </c>
      <c r="H1030">
        <f>'Floor Hours Engine'!$E$4</f>
        <v/>
      </c>
      <c r="I1030" t="inlineStr">
        <is>
          <t>W5</t>
        </is>
      </c>
      <c r="J1030" t="inlineStr">
        <is>
          <t>2023_Październik_W5</t>
        </is>
      </c>
    </row>
    <row r="1031">
      <c r="A1031" s="177" t="n">
        <v>45226</v>
      </c>
      <c r="B1031" s="177" t="n">
        <v>45223</v>
      </c>
      <c r="C1031" s="177" t="n">
        <v>45229</v>
      </c>
      <c r="D1031" t="inlineStr">
        <is>
          <t>BW20231024</t>
        </is>
      </c>
      <c r="E1031" t="n">
        <v>2023</v>
      </c>
      <c r="F1031" t="inlineStr">
        <is>
          <t>Październik</t>
        </is>
      </c>
      <c r="G1031" t="inlineStr">
        <is>
          <t>Pt</t>
        </is>
      </c>
      <c r="H1031">
        <f>'Floor Hours Engine'!$E$5</f>
        <v/>
      </c>
      <c r="I1031" t="inlineStr">
        <is>
          <t>W5</t>
        </is>
      </c>
      <c r="J1031" t="inlineStr">
        <is>
          <t>2023_Październik_W5</t>
        </is>
      </c>
    </row>
    <row r="1032">
      <c r="A1032" s="177" t="n">
        <v>45227</v>
      </c>
      <c r="B1032" s="177" t="n">
        <v>45223</v>
      </c>
      <c r="C1032" s="177" t="n">
        <v>45229</v>
      </c>
      <c r="D1032" t="inlineStr">
        <is>
          <t>BW20231024</t>
        </is>
      </c>
      <c r="E1032" t="n">
        <v>2023</v>
      </c>
      <c r="F1032" t="inlineStr">
        <is>
          <t>Październik</t>
        </is>
      </c>
      <c r="G1032" t="inlineStr">
        <is>
          <t>Sob</t>
        </is>
      </c>
      <c r="H1032">
        <f>'Floor Hours Engine'!$E$5</f>
        <v/>
      </c>
      <c r="I1032" t="inlineStr">
        <is>
          <t>W5</t>
        </is>
      </c>
      <c r="J1032" t="inlineStr">
        <is>
          <t>2023_Październik_W5</t>
        </is>
      </c>
    </row>
    <row r="1033">
      <c r="A1033" s="177" t="n">
        <v>45228</v>
      </c>
      <c r="B1033" s="177" t="n">
        <v>45223</v>
      </c>
      <c r="C1033" s="177" t="n">
        <v>45229</v>
      </c>
      <c r="D1033" t="inlineStr">
        <is>
          <t>BW20231024</t>
        </is>
      </c>
      <c r="E1033" t="n">
        <v>2023</v>
      </c>
      <c r="F1033" t="inlineStr">
        <is>
          <t>Październik</t>
        </is>
      </c>
      <c r="G1033" t="inlineStr">
        <is>
          <t>Nd</t>
        </is>
      </c>
      <c r="H1033">
        <f>'Floor Hours Engine'!$E$6</f>
        <v/>
      </c>
      <c r="I1033" t="inlineStr">
        <is>
          <t>W5</t>
        </is>
      </c>
      <c r="J1033" t="inlineStr">
        <is>
          <t>2023_Październik_W5</t>
        </is>
      </c>
    </row>
    <row r="1034">
      <c r="A1034" s="177" t="n">
        <v>45229</v>
      </c>
      <c r="B1034" s="177" t="n">
        <v>45223</v>
      </c>
      <c r="C1034" s="177" t="n">
        <v>45229</v>
      </c>
      <c r="D1034" t="inlineStr">
        <is>
          <t>BW20231024</t>
        </is>
      </c>
      <c r="E1034" t="n">
        <v>2023</v>
      </c>
      <c r="F1034" t="inlineStr">
        <is>
          <t>Październik</t>
        </is>
      </c>
      <c r="G1034" t="inlineStr">
        <is>
          <t>Pn</t>
        </is>
      </c>
      <c r="H1034">
        <f>'Floor Hours Engine'!$E$4</f>
        <v/>
      </c>
      <c r="I1034" t="inlineStr">
        <is>
          <t>W5</t>
        </is>
      </c>
      <c r="J1034" t="inlineStr">
        <is>
          <t>2023_Październik_W5</t>
        </is>
      </c>
    </row>
    <row r="1035">
      <c r="A1035" s="177" t="n">
        <v>45230</v>
      </c>
      <c r="B1035" s="177" t="n">
        <v>45230</v>
      </c>
      <c r="C1035" s="177" t="n">
        <v>45236</v>
      </c>
      <c r="D1035" t="inlineStr">
        <is>
          <t>BW20231031</t>
        </is>
      </c>
      <c r="E1035" t="n">
        <v>2023</v>
      </c>
      <c r="F1035" t="inlineStr">
        <is>
          <t>Październik</t>
        </is>
      </c>
      <c r="G1035" t="inlineStr">
        <is>
          <t>Wt</t>
        </is>
      </c>
      <c r="H1035">
        <f>'Floor Hours Engine'!$E$4</f>
        <v/>
      </c>
      <c r="I1035" t="inlineStr">
        <is>
          <t>W6</t>
        </is>
      </c>
      <c r="J1035" t="inlineStr">
        <is>
          <t>2023_Październik_W6</t>
        </is>
      </c>
    </row>
    <row r="1036">
      <c r="A1036" s="177" t="n">
        <v>45231</v>
      </c>
      <c r="B1036" s="177" t="n">
        <v>45230</v>
      </c>
      <c r="C1036" s="177" t="n">
        <v>45236</v>
      </c>
      <c r="D1036" t="inlineStr">
        <is>
          <t>BW20231031</t>
        </is>
      </c>
      <c r="E1036" t="n">
        <v>2023</v>
      </c>
      <c r="F1036" t="inlineStr">
        <is>
          <t>Listopad</t>
        </is>
      </c>
      <c r="G1036" t="inlineStr">
        <is>
          <t>Śr</t>
        </is>
      </c>
      <c r="H1036">
        <f>'Floor Hours Engine'!$E$4</f>
        <v/>
      </c>
      <c r="I1036" t="inlineStr">
        <is>
          <t>W1</t>
        </is>
      </c>
      <c r="J1036" t="inlineStr">
        <is>
          <t>2023_Listopad_W1</t>
        </is>
      </c>
    </row>
    <row r="1037">
      <c r="A1037" s="177" t="n">
        <v>45232</v>
      </c>
      <c r="B1037" s="177" t="n">
        <v>45230</v>
      </c>
      <c r="C1037" s="177" t="n">
        <v>45236</v>
      </c>
      <c r="D1037" t="inlineStr">
        <is>
          <t>BW20231031</t>
        </is>
      </c>
      <c r="E1037" t="n">
        <v>2023</v>
      </c>
      <c r="F1037" t="inlineStr">
        <is>
          <t>Listopad</t>
        </is>
      </c>
      <c r="G1037" t="inlineStr">
        <is>
          <t>Czw</t>
        </is>
      </c>
      <c r="H1037">
        <f>'Floor Hours Engine'!$E$4</f>
        <v/>
      </c>
      <c r="I1037" t="inlineStr">
        <is>
          <t>W1</t>
        </is>
      </c>
      <c r="J1037" t="inlineStr">
        <is>
          <t>2023_Listopad_W1</t>
        </is>
      </c>
    </row>
    <row r="1038">
      <c r="A1038" s="177" t="n">
        <v>45233</v>
      </c>
      <c r="B1038" s="177" t="n">
        <v>45230</v>
      </c>
      <c r="C1038" s="177" t="n">
        <v>45236</v>
      </c>
      <c r="D1038" t="inlineStr">
        <is>
          <t>BW20231031</t>
        </is>
      </c>
      <c r="E1038" t="n">
        <v>2023</v>
      </c>
      <c r="F1038" t="inlineStr">
        <is>
          <t>Listopad</t>
        </is>
      </c>
      <c r="G1038" t="inlineStr">
        <is>
          <t>Pt</t>
        </is>
      </c>
      <c r="H1038">
        <f>'Floor Hours Engine'!$E$5</f>
        <v/>
      </c>
      <c r="I1038" t="inlineStr">
        <is>
          <t>W1</t>
        </is>
      </c>
      <c r="J1038" t="inlineStr">
        <is>
          <t>2023_Listopad_W1</t>
        </is>
      </c>
    </row>
    <row r="1039">
      <c r="A1039" s="177" t="n">
        <v>45234</v>
      </c>
      <c r="B1039" s="177" t="n">
        <v>45230</v>
      </c>
      <c r="C1039" s="177" t="n">
        <v>45236</v>
      </c>
      <c r="D1039" t="inlineStr">
        <is>
          <t>BW20231031</t>
        </is>
      </c>
      <c r="E1039" t="n">
        <v>2023</v>
      </c>
      <c r="F1039" t="inlineStr">
        <is>
          <t>Listopad</t>
        </is>
      </c>
      <c r="G1039" t="inlineStr">
        <is>
          <t>Sob</t>
        </is>
      </c>
      <c r="H1039">
        <f>'Floor Hours Engine'!$E$5</f>
        <v/>
      </c>
      <c r="I1039" t="inlineStr">
        <is>
          <t>W1</t>
        </is>
      </c>
      <c r="J1039" t="inlineStr">
        <is>
          <t>2023_Listopad_W1</t>
        </is>
      </c>
    </row>
    <row r="1040">
      <c r="A1040" s="177" t="n">
        <v>45235</v>
      </c>
      <c r="B1040" s="177" t="n">
        <v>45230</v>
      </c>
      <c r="C1040" s="177" t="n">
        <v>45236</v>
      </c>
      <c r="D1040" t="inlineStr">
        <is>
          <t>BW20231031</t>
        </is>
      </c>
      <c r="E1040" t="n">
        <v>2023</v>
      </c>
      <c r="F1040" t="inlineStr">
        <is>
          <t>Listopad</t>
        </is>
      </c>
      <c r="G1040" t="inlineStr">
        <is>
          <t>Nd</t>
        </is>
      </c>
      <c r="H1040">
        <f>'Floor Hours Engine'!$E$6</f>
        <v/>
      </c>
      <c r="I1040" t="inlineStr">
        <is>
          <t>W1</t>
        </is>
      </c>
      <c r="J1040" t="inlineStr">
        <is>
          <t>2023_Listopad_W1</t>
        </is>
      </c>
    </row>
    <row r="1041">
      <c r="A1041" s="177" t="n">
        <v>45236</v>
      </c>
      <c r="B1041" s="177" t="n">
        <v>45230</v>
      </c>
      <c r="C1041" s="177" t="n">
        <v>45236</v>
      </c>
      <c r="D1041" t="inlineStr">
        <is>
          <t>BW20231031</t>
        </is>
      </c>
      <c r="E1041" t="n">
        <v>2023</v>
      </c>
      <c r="F1041" t="inlineStr">
        <is>
          <t>Listopad</t>
        </is>
      </c>
      <c r="G1041" t="inlineStr">
        <is>
          <t>Pn</t>
        </is>
      </c>
      <c r="H1041">
        <f>'Floor Hours Engine'!$E$4</f>
        <v/>
      </c>
      <c r="I1041" t="inlineStr">
        <is>
          <t>W1</t>
        </is>
      </c>
      <c r="J1041" t="inlineStr">
        <is>
          <t>2023_Listopad_W1</t>
        </is>
      </c>
    </row>
    <row r="1042">
      <c r="A1042" s="177" t="n">
        <v>45237</v>
      </c>
      <c r="B1042" s="177" t="n">
        <v>45237</v>
      </c>
      <c r="C1042" s="177" t="n">
        <v>45243</v>
      </c>
      <c r="D1042" t="inlineStr">
        <is>
          <t>BW20231107</t>
        </is>
      </c>
      <c r="E1042" t="n">
        <v>2023</v>
      </c>
      <c r="F1042" t="inlineStr">
        <is>
          <t>Listopad</t>
        </is>
      </c>
      <c r="G1042" t="inlineStr">
        <is>
          <t>Wt</t>
        </is>
      </c>
      <c r="H1042">
        <f>'Floor Hours Engine'!$E$4</f>
        <v/>
      </c>
      <c r="I1042" t="inlineStr">
        <is>
          <t>W2</t>
        </is>
      </c>
      <c r="J1042" t="inlineStr">
        <is>
          <t>2023_Listopad_W2</t>
        </is>
      </c>
    </row>
    <row r="1043">
      <c r="A1043" s="177" t="n">
        <v>45238</v>
      </c>
      <c r="B1043" s="177" t="n">
        <v>45237</v>
      </c>
      <c r="C1043" s="177" t="n">
        <v>45243</v>
      </c>
      <c r="D1043" t="inlineStr">
        <is>
          <t>BW20231107</t>
        </is>
      </c>
      <c r="E1043" t="n">
        <v>2023</v>
      </c>
      <c r="F1043" t="inlineStr">
        <is>
          <t>Listopad</t>
        </is>
      </c>
      <c r="G1043" t="inlineStr">
        <is>
          <t>Śr</t>
        </is>
      </c>
      <c r="H1043">
        <f>'Floor Hours Engine'!$E$4</f>
        <v/>
      </c>
      <c r="I1043" t="inlineStr">
        <is>
          <t>W2</t>
        </is>
      </c>
      <c r="J1043" t="inlineStr">
        <is>
          <t>2023_Listopad_W2</t>
        </is>
      </c>
    </row>
    <row r="1044">
      <c r="A1044" s="177" t="n">
        <v>45239</v>
      </c>
      <c r="B1044" s="177" t="n">
        <v>45237</v>
      </c>
      <c r="C1044" s="177" t="n">
        <v>45243</v>
      </c>
      <c r="D1044" t="inlineStr">
        <is>
          <t>BW20231107</t>
        </is>
      </c>
      <c r="E1044" t="n">
        <v>2023</v>
      </c>
      <c r="F1044" t="inlineStr">
        <is>
          <t>Listopad</t>
        </is>
      </c>
      <c r="G1044" t="inlineStr">
        <is>
          <t>Czw</t>
        </is>
      </c>
      <c r="H1044">
        <f>'Floor Hours Engine'!$E$4</f>
        <v/>
      </c>
      <c r="I1044" t="inlineStr">
        <is>
          <t>W2</t>
        </is>
      </c>
      <c r="J1044" t="inlineStr">
        <is>
          <t>2023_Listopad_W2</t>
        </is>
      </c>
    </row>
    <row r="1045">
      <c r="A1045" s="177" t="n">
        <v>45240</v>
      </c>
      <c r="B1045" s="177" t="n">
        <v>45237</v>
      </c>
      <c r="C1045" s="177" t="n">
        <v>45243</v>
      </c>
      <c r="D1045" t="inlineStr">
        <is>
          <t>BW20231107</t>
        </is>
      </c>
      <c r="E1045" t="n">
        <v>2023</v>
      </c>
      <c r="F1045" t="inlineStr">
        <is>
          <t>Listopad</t>
        </is>
      </c>
      <c r="G1045" t="inlineStr">
        <is>
          <t>Pt</t>
        </is>
      </c>
      <c r="H1045">
        <f>'Floor Hours Engine'!$E$5</f>
        <v/>
      </c>
      <c r="I1045" t="inlineStr">
        <is>
          <t>W2</t>
        </is>
      </c>
      <c r="J1045" t="inlineStr">
        <is>
          <t>2023_Listopad_W2</t>
        </is>
      </c>
    </row>
    <row r="1046">
      <c r="A1046" s="177" t="n">
        <v>45241</v>
      </c>
      <c r="B1046" s="177" t="n">
        <v>45237</v>
      </c>
      <c r="C1046" s="177" t="n">
        <v>45243</v>
      </c>
      <c r="D1046" t="inlineStr">
        <is>
          <t>BW20231107</t>
        </is>
      </c>
      <c r="E1046" t="n">
        <v>2023</v>
      </c>
      <c r="F1046" t="inlineStr">
        <is>
          <t>Listopad</t>
        </is>
      </c>
      <c r="G1046" t="inlineStr">
        <is>
          <t>Sob</t>
        </is>
      </c>
      <c r="H1046">
        <f>'Floor Hours Engine'!$E$5</f>
        <v/>
      </c>
      <c r="I1046" t="inlineStr">
        <is>
          <t>W2</t>
        </is>
      </c>
      <c r="J1046" t="inlineStr">
        <is>
          <t>2023_Listopad_W2</t>
        </is>
      </c>
    </row>
    <row r="1047">
      <c r="A1047" s="177" t="n">
        <v>45242</v>
      </c>
      <c r="B1047" s="177" t="n">
        <v>45237</v>
      </c>
      <c r="C1047" s="177" t="n">
        <v>45243</v>
      </c>
      <c r="D1047" t="inlineStr">
        <is>
          <t>BW20231107</t>
        </is>
      </c>
      <c r="E1047" t="n">
        <v>2023</v>
      </c>
      <c r="F1047" t="inlineStr">
        <is>
          <t>Listopad</t>
        </is>
      </c>
      <c r="G1047" t="inlineStr">
        <is>
          <t>Nd</t>
        </is>
      </c>
      <c r="H1047">
        <f>'Floor Hours Engine'!$E$6</f>
        <v/>
      </c>
      <c r="I1047" t="inlineStr">
        <is>
          <t>W2</t>
        </is>
      </c>
      <c r="J1047" t="inlineStr">
        <is>
          <t>2023_Listopad_W2</t>
        </is>
      </c>
    </row>
    <row r="1048">
      <c r="A1048" s="177" t="n">
        <v>45243</v>
      </c>
      <c r="B1048" s="177" t="n">
        <v>45237</v>
      </c>
      <c r="C1048" s="177" t="n">
        <v>45243</v>
      </c>
      <c r="D1048" t="inlineStr">
        <is>
          <t>BW20231107</t>
        </is>
      </c>
      <c r="E1048" t="n">
        <v>2023</v>
      </c>
      <c r="F1048" t="inlineStr">
        <is>
          <t>Listopad</t>
        </is>
      </c>
      <c r="G1048" t="inlineStr">
        <is>
          <t>Pn</t>
        </is>
      </c>
      <c r="H1048">
        <f>'Floor Hours Engine'!$E$4</f>
        <v/>
      </c>
      <c r="I1048" t="inlineStr">
        <is>
          <t>W2</t>
        </is>
      </c>
      <c r="J1048" t="inlineStr">
        <is>
          <t>2023_Listopad_W2</t>
        </is>
      </c>
    </row>
    <row r="1049">
      <c r="A1049" s="177" t="n">
        <v>45244</v>
      </c>
      <c r="B1049" s="177" t="n">
        <v>45244</v>
      </c>
      <c r="C1049" s="177" t="n">
        <v>45250</v>
      </c>
      <c r="D1049" t="inlineStr">
        <is>
          <t>BW20231114</t>
        </is>
      </c>
      <c r="E1049" t="n">
        <v>2023</v>
      </c>
      <c r="F1049" t="inlineStr">
        <is>
          <t>Listopad</t>
        </is>
      </c>
      <c r="G1049" t="inlineStr">
        <is>
          <t>Wt</t>
        </is>
      </c>
      <c r="H1049">
        <f>'Floor Hours Engine'!$E$4</f>
        <v/>
      </c>
      <c r="I1049" t="inlineStr">
        <is>
          <t>W3</t>
        </is>
      </c>
      <c r="J1049" t="inlineStr">
        <is>
          <t>2023_Listopad_W3</t>
        </is>
      </c>
    </row>
    <row r="1050">
      <c r="A1050" s="177" t="n">
        <v>45245</v>
      </c>
      <c r="B1050" s="177" t="n">
        <v>45244</v>
      </c>
      <c r="C1050" s="177" t="n">
        <v>45250</v>
      </c>
      <c r="D1050" t="inlineStr">
        <is>
          <t>BW20231114</t>
        </is>
      </c>
      <c r="E1050" t="n">
        <v>2023</v>
      </c>
      <c r="F1050" t="inlineStr">
        <is>
          <t>Listopad</t>
        </is>
      </c>
      <c r="G1050" t="inlineStr">
        <is>
          <t>Śr</t>
        </is>
      </c>
      <c r="H1050">
        <f>'Floor Hours Engine'!$E$4</f>
        <v/>
      </c>
      <c r="I1050" t="inlineStr">
        <is>
          <t>W3</t>
        </is>
      </c>
      <c r="J1050" t="inlineStr">
        <is>
          <t>2023_Listopad_W3</t>
        </is>
      </c>
    </row>
    <row r="1051">
      <c r="A1051" s="177" t="n">
        <v>45246</v>
      </c>
      <c r="B1051" s="177" t="n">
        <v>45244</v>
      </c>
      <c r="C1051" s="177" t="n">
        <v>45250</v>
      </c>
      <c r="D1051" t="inlineStr">
        <is>
          <t>BW20231114</t>
        </is>
      </c>
      <c r="E1051" t="n">
        <v>2023</v>
      </c>
      <c r="F1051" t="inlineStr">
        <is>
          <t>Listopad</t>
        </is>
      </c>
      <c r="G1051" t="inlineStr">
        <is>
          <t>Czw</t>
        </is>
      </c>
      <c r="H1051">
        <f>'Floor Hours Engine'!$E$4</f>
        <v/>
      </c>
      <c r="I1051" t="inlineStr">
        <is>
          <t>W3</t>
        </is>
      </c>
      <c r="J1051" t="inlineStr">
        <is>
          <t>2023_Listopad_W3</t>
        </is>
      </c>
    </row>
    <row r="1052">
      <c r="A1052" s="177" t="n">
        <v>45247</v>
      </c>
      <c r="B1052" s="177" t="n">
        <v>45244</v>
      </c>
      <c r="C1052" s="177" t="n">
        <v>45250</v>
      </c>
      <c r="D1052" t="inlineStr">
        <is>
          <t>BW20231114</t>
        </is>
      </c>
      <c r="E1052" t="n">
        <v>2023</v>
      </c>
      <c r="F1052" t="inlineStr">
        <is>
          <t>Listopad</t>
        </is>
      </c>
      <c r="G1052" t="inlineStr">
        <is>
          <t>Pt</t>
        </is>
      </c>
      <c r="H1052">
        <f>'Floor Hours Engine'!$E$5</f>
        <v/>
      </c>
      <c r="I1052" t="inlineStr">
        <is>
          <t>W3</t>
        </is>
      </c>
      <c r="J1052" t="inlineStr">
        <is>
          <t>2023_Listopad_W3</t>
        </is>
      </c>
    </row>
    <row r="1053">
      <c r="A1053" s="177" t="n">
        <v>45248</v>
      </c>
      <c r="B1053" s="177" t="n">
        <v>45244</v>
      </c>
      <c r="C1053" s="177" t="n">
        <v>45250</v>
      </c>
      <c r="D1053" t="inlineStr">
        <is>
          <t>BW20231114</t>
        </is>
      </c>
      <c r="E1053" t="n">
        <v>2023</v>
      </c>
      <c r="F1053" t="inlineStr">
        <is>
          <t>Listopad</t>
        </is>
      </c>
      <c r="G1053" t="inlineStr">
        <is>
          <t>Sob</t>
        </is>
      </c>
      <c r="H1053">
        <f>'Floor Hours Engine'!$E$5</f>
        <v/>
      </c>
      <c r="I1053" t="inlineStr">
        <is>
          <t>W3</t>
        </is>
      </c>
      <c r="J1053" t="inlineStr">
        <is>
          <t>2023_Listopad_W3</t>
        </is>
      </c>
    </row>
    <row r="1054">
      <c r="A1054" s="177" t="n">
        <v>45249</v>
      </c>
      <c r="B1054" s="177" t="n">
        <v>45244</v>
      </c>
      <c r="C1054" s="177" t="n">
        <v>45250</v>
      </c>
      <c r="D1054" t="inlineStr">
        <is>
          <t>BW20231114</t>
        </is>
      </c>
      <c r="E1054" t="n">
        <v>2023</v>
      </c>
      <c r="F1054" t="inlineStr">
        <is>
          <t>Listopad</t>
        </is>
      </c>
      <c r="G1054" t="inlineStr">
        <is>
          <t>Nd</t>
        </is>
      </c>
      <c r="H1054">
        <f>'Floor Hours Engine'!$E$6</f>
        <v/>
      </c>
      <c r="I1054" t="inlineStr">
        <is>
          <t>W3</t>
        </is>
      </c>
      <c r="J1054" t="inlineStr">
        <is>
          <t>2023_Listopad_W3</t>
        </is>
      </c>
    </row>
    <row r="1055">
      <c r="A1055" s="177" t="n">
        <v>45250</v>
      </c>
      <c r="B1055" s="177" t="n">
        <v>45244</v>
      </c>
      <c r="C1055" s="177" t="n">
        <v>45250</v>
      </c>
      <c r="D1055" t="inlineStr">
        <is>
          <t>BW20231114</t>
        </is>
      </c>
      <c r="E1055" t="n">
        <v>2023</v>
      </c>
      <c r="F1055" t="inlineStr">
        <is>
          <t>Listopad</t>
        </is>
      </c>
      <c r="G1055" t="inlineStr">
        <is>
          <t>Pn</t>
        </is>
      </c>
      <c r="H1055">
        <f>'Floor Hours Engine'!$E$4</f>
        <v/>
      </c>
      <c r="I1055" t="inlineStr">
        <is>
          <t>W3</t>
        </is>
      </c>
      <c r="J1055" t="inlineStr">
        <is>
          <t>2023_Listopad_W3</t>
        </is>
      </c>
    </row>
    <row r="1056">
      <c r="A1056" s="177" t="n">
        <v>45251</v>
      </c>
      <c r="B1056" s="177" t="n">
        <v>45251</v>
      </c>
      <c r="C1056" s="177" t="n">
        <v>45257</v>
      </c>
      <c r="D1056" t="inlineStr">
        <is>
          <t>BW20231121</t>
        </is>
      </c>
      <c r="E1056" t="n">
        <v>2023</v>
      </c>
      <c r="F1056" t="inlineStr">
        <is>
          <t>Listopad</t>
        </is>
      </c>
      <c r="G1056" t="inlineStr">
        <is>
          <t>Wt</t>
        </is>
      </c>
      <c r="H1056">
        <f>'Floor Hours Engine'!$E$4</f>
        <v/>
      </c>
      <c r="I1056" t="inlineStr">
        <is>
          <t>W4</t>
        </is>
      </c>
      <c r="J1056" t="inlineStr">
        <is>
          <t>2023_Listopad_W4</t>
        </is>
      </c>
    </row>
    <row r="1057">
      <c r="A1057" s="177" t="n">
        <v>45252</v>
      </c>
      <c r="B1057" s="177" t="n">
        <v>45251</v>
      </c>
      <c r="C1057" s="177" t="n">
        <v>45257</v>
      </c>
      <c r="D1057" t="inlineStr">
        <is>
          <t>BW20231121</t>
        </is>
      </c>
      <c r="E1057" t="n">
        <v>2023</v>
      </c>
      <c r="F1057" t="inlineStr">
        <is>
          <t>Listopad</t>
        </is>
      </c>
      <c r="G1057" t="inlineStr">
        <is>
          <t>Śr</t>
        </is>
      </c>
      <c r="H1057">
        <f>'Floor Hours Engine'!$E$4</f>
        <v/>
      </c>
      <c r="I1057" t="inlineStr">
        <is>
          <t>W4</t>
        </is>
      </c>
      <c r="J1057" t="inlineStr">
        <is>
          <t>2023_Listopad_W4</t>
        </is>
      </c>
    </row>
    <row r="1058">
      <c r="A1058" s="177" t="n">
        <v>45253</v>
      </c>
      <c r="B1058" s="177" t="n">
        <v>45251</v>
      </c>
      <c r="C1058" s="177" t="n">
        <v>45257</v>
      </c>
      <c r="D1058" t="inlineStr">
        <is>
          <t>BW20231121</t>
        </is>
      </c>
      <c r="E1058" t="n">
        <v>2023</v>
      </c>
      <c r="F1058" t="inlineStr">
        <is>
          <t>Listopad</t>
        </is>
      </c>
      <c r="G1058" t="inlineStr">
        <is>
          <t>Czw</t>
        </is>
      </c>
      <c r="H1058">
        <f>'Floor Hours Engine'!$E$4</f>
        <v/>
      </c>
      <c r="I1058" t="inlineStr">
        <is>
          <t>W4</t>
        </is>
      </c>
      <c r="J1058" t="inlineStr">
        <is>
          <t>2023_Listopad_W4</t>
        </is>
      </c>
    </row>
    <row r="1059">
      <c r="A1059" s="177" t="n">
        <v>45254</v>
      </c>
      <c r="B1059" s="177" t="n">
        <v>45251</v>
      </c>
      <c r="C1059" s="177" t="n">
        <v>45257</v>
      </c>
      <c r="D1059" t="inlineStr">
        <is>
          <t>BW20231121</t>
        </is>
      </c>
      <c r="E1059" t="n">
        <v>2023</v>
      </c>
      <c r="F1059" t="inlineStr">
        <is>
          <t>Listopad</t>
        </is>
      </c>
      <c r="G1059" t="inlineStr">
        <is>
          <t>Pt</t>
        </is>
      </c>
      <c r="H1059">
        <f>'Floor Hours Engine'!$E$5</f>
        <v/>
      </c>
      <c r="I1059" t="inlineStr">
        <is>
          <t>W4</t>
        </is>
      </c>
      <c r="J1059" t="inlineStr">
        <is>
          <t>2023_Listopad_W4</t>
        </is>
      </c>
    </row>
    <row r="1060">
      <c r="A1060" s="177" t="n">
        <v>45255</v>
      </c>
      <c r="B1060" s="177" t="n">
        <v>45251</v>
      </c>
      <c r="C1060" s="177" t="n">
        <v>45257</v>
      </c>
      <c r="D1060" t="inlineStr">
        <is>
          <t>BW20231121</t>
        </is>
      </c>
      <c r="E1060" t="n">
        <v>2023</v>
      </c>
      <c r="F1060" t="inlineStr">
        <is>
          <t>Listopad</t>
        </is>
      </c>
      <c r="G1060" t="inlineStr">
        <is>
          <t>Sob</t>
        </is>
      </c>
      <c r="H1060">
        <f>'Floor Hours Engine'!$E$5</f>
        <v/>
      </c>
      <c r="I1060" t="inlineStr">
        <is>
          <t>W4</t>
        </is>
      </c>
      <c r="J1060" t="inlineStr">
        <is>
          <t>2023_Listopad_W4</t>
        </is>
      </c>
    </row>
    <row r="1061">
      <c r="A1061" s="177" t="n">
        <v>45256</v>
      </c>
      <c r="B1061" s="177" t="n">
        <v>45251</v>
      </c>
      <c r="C1061" s="177" t="n">
        <v>45257</v>
      </c>
      <c r="D1061" t="inlineStr">
        <is>
          <t>BW20231121</t>
        </is>
      </c>
      <c r="E1061" t="n">
        <v>2023</v>
      </c>
      <c r="F1061" t="inlineStr">
        <is>
          <t>Listopad</t>
        </is>
      </c>
      <c r="G1061" t="inlineStr">
        <is>
          <t>Nd</t>
        </is>
      </c>
      <c r="H1061">
        <f>'Floor Hours Engine'!$E$6</f>
        <v/>
      </c>
      <c r="I1061" t="inlineStr">
        <is>
          <t>W4</t>
        </is>
      </c>
      <c r="J1061" t="inlineStr">
        <is>
          <t>2023_Listopad_W4</t>
        </is>
      </c>
    </row>
    <row r="1062">
      <c r="A1062" s="177" t="n">
        <v>45257</v>
      </c>
      <c r="B1062" s="177" t="n">
        <v>45251</v>
      </c>
      <c r="C1062" s="177" t="n">
        <v>45257</v>
      </c>
      <c r="D1062" t="inlineStr">
        <is>
          <t>BW20231121</t>
        </is>
      </c>
      <c r="E1062" t="n">
        <v>2023</v>
      </c>
      <c r="F1062" t="inlineStr">
        <is>
          <t>Listopad</t>
        </is>
      </c>
      <c r="G1062" t="inlineStr">
        <is>
          <t>Pn</t>
        </is>
      </c>
      <c r="H1062">
        <f>'Floor Hours Engine'!$E$4</f>
        <v/>
      </c>
      <c r="I1062" t="inlineStr">
        <is>
          <t>W4</t>
        </is>
      </c>
      <c r="J1062" t="inlineStr">
        <is>
          <t>2023_Listopad_W4</t>
        </is>
      </c>
    </row>
    <row r="1063">
      <c r="A1063" s="177" t="n">
        <v>45258</v>
      </c>
      <c r="B1063" s="177" t="n">
        <v>45258</v>
      </c>
      <c r="C1063" s="177" t="n">
        <v>45264</v>
      </c>
      <c r="D1063" t="inlineStr">
        <is>
          <t>BW20231128</t>
        </is>
      </c>
      <c r="E1063" t="n">
        <v>2023</v>
      </c>
      <c r="F1063" t="inlineStr">
        <is>
          <t>Listopad</t>
        </is>
      </c>
      <c r="G1063" t="inlineStr">
        <is>
          <t>Wt</t>
        </is>
      </c>
      <c r="H1063">
        <f>'Floor Hours Engine'!$E$4</f>
        <v/>
      </c>
      <c r="I1063" t="inlineStr">
        <is>
          <t>W5</t>
        </is>
      </c>
      <c r="J1063" t="inlineStr">
        <is>
          <t>2023_Listopad_W5</t>
        </is>
      </c>
    </row>
    <row r="1064">
      <c r="A1064" s="177" t="n">
        <v>45259</v>
      </c>
      <c r="B1064" s="177" t="n">
        <v>45258</v>
      </c>
      <c r="C1064" s="177" t="n">
        <v>45264</v>
      </c>
      <c r="D1064" t="inlineStr">
        <is>
          <t>BW20231128</t>
        </is>
      </c>
      <c r="E1064" t="n">
        <v>2023</v>
      </c>
      <c r="F1064" t="inlineStr">
        <is>
          <t>Listopad</t>
        </is>
      </c>
      <c r="G1064" t="inlineStr">
        <is>
          <t>Śr</t>
        </is>
      </c>
      <c r="H1064">
        <f>'Floor Hours Engine'!$E$4</f>
        <v/>
      </c>
      <c r="I1064" t="inlineStr">
        <is>
          <t>W5</t>
        </is>
      </c>
      <c r="J1064" t="inlineStr">
        <is>
          <t>2023_Listopad_W5</t>
        </is>
      </c>
    </row>
    <row r="1065">
      <c r="A1065" s="177" t="n">
        <v>45260</v>
      </c>
      <c r="B1065" s="177" t="n">
        <v>45258</v>
      </c>
      <c r="C1065" s="177" t="n">
        <v>45264</v>
      </c>
      <c r="D1065" t="inlineStr">
        <is>
          <t>BW20231128</t>
        </is>
      </c>
      <c r="E1065" t="n">
        <v>2023</v>
      </c>
      <c r="F1065" t="inlineStr">
        <is>
          <t>Listopad</t>
        </is>
      </c>
      <c r="G1065" t="inlineStr">
        <is>
          <t>Czw</t>
        </is>
      </c>
      <c r="H1065">
        <f>'Floor Hours Engine'!$E$4</f>
        <v/>
      </c>
      <c r="I1065" t="inlineStr">
        <is>
          <t>W5</t>
        </is>
      </c>
      <c r="J1065" t="inlineStr">
        <is>
          <t>2023_Listopad_W5</t>
        </is>
      </c>
    </row>
    <row r="1066">
      <c r="A1066" s="177" t="n">
        <v>45261</v>
      </c>
      <c r="B1066" s="177" t="n">
        <v>45258</v>
      </c>
      <c r="C1066" s="177" t="n">
        <v>45264</v>
      </c>
      <c r="D1066" t="inlineStr">
        <is>
          <t>BW20231128</t>
        </is>
      </c>
      <c r="E1066" t="n">
        <v>2023</v>
      </c>
      <c r="F1066" t="inlineStr">
        <is>
          <t>Grudzień</t>
        </is>
      </c>
      <c r="G1066" t="inlineStr">
        <is>
          <t>Pt</t>
        </is>
      </c>
      <c r="H1066">
        <f>'Floor Hours Engine'!$E$5</f>
        <v/>
      </c>
      <c r="I1066" t="inlineStr">
        <is>
          <t>W1</t>
        </is>
      </c>
      <c r="J1066" t="inlineStr">
        <is>
          <t>2023_Grudzień_W1</t>
        </is>
      </c>
    </row>
    <row r="1067">
      <c r="A1067" s="177" t="n">
        <v>45262</v>
      </c>
      <c r="B1067" s="177" t="n">
        <v>45258</v>
      </c>
      <c r="C1067" s="177" t="n">
        <v>45264</v>
      </c>
      <c r="D1067" t="inlineStr">
        <is>
          <t>BW20231128</t>
        </is>
      </c>
      <c r="E1067" t="n">
        <v>2023</v>
      </c>
      <c r="F1067" t="inlineStr">
        <is>
          <t>Grudzień</t>
        </is>
      </c>
      <c r="G1067" t="inlineStr">
        <is>
          <t>Sob</t>
        </is>
      </c>
      <c r="H1067">
        <f>'Floor Hours Engine'!$E$5</f>
        <v/>
      </c>
      <c r="I1067" t="inlineStr">
        <is>
          <t>W1</t>
        </is>
      </c>
      <c r="J1067" t="inlineStr">
        <is>
          <t>2023_Grudzień_W1</t>
        </is>
      </c>
    </row>
    <row r="1068">
      <c r="A1068" s="177" t="n">
        <v>45263</v>
      </c>
      <c r="B1068" s="177" t="n">
        <v>45258</v>
      </c>
      <c r="C1068" s="177" t="n">
        <v>45264</v>
      </c>
      <c r="D1068" t="inlineStr">
        <is>
          <t>BW20231128</t>
        </is>
      </c>
      <c r="E1068" t="n">
        <v>2023</v>
      </c>
      <c r="F1068" t="inlineStr">
        <is>
          <t>Grudzień</t>
        </is>
      </c>
      <c r="G1068" t="inlineStr">
        <is>
          <t>Nd</t>
        </is>
      </c>
      <c r="H1068">
        <f>'Floor Hours Engine'!$E$6</f>
        <v/>
      </c>
      <c r="I1068" t="inlineStr">
        <is>
          <t>W1</t>
        </is>
      </c>
      <c r="J1068" t="inlineStr">
        <is>
          <t>2023_Grudzień_W1</t>
        </is>
      </c>
    </row>
    <row r="1069">
      <c r="A1069" s="177" t="n">
        <v>45264</v>
      </c>
      <c r="B1069" s="177" t="n">
        <v>45258</v>
      </c>
      <c r="C1069" s="177" t="n">
        <v>45264</v>
      </c>
      <c r="D1069" t="inlineStr">
        <is>
          <t>BW20231128</t>
        </is>
      </c>
      <c r="E1069" t="n">
        <v>2023</v>
      </c>
      <c r="F1069" t="inlineStr">
        <is>
          <t>Grudzień</t>
        </is>
      </c>
      <c r="G1069" t="inlineStr">
        <is>
          <t>Pn</t>
        </is>
      </c>
      <c r="H1069">
        <f>'Floor Hours Engine'!$E$4</f>
        <v/>
      </c>
      <c r="I1069" t="inlineStr">
        <is>
          <t>W1</t>
        </is>
      </c>
      <c r="J1069" t="inlineStr">
        <is>
          <t>2023_Grudzień_W1</t>
        </is>
      </c>
    </row>
    <row r="1070">
      <c r="A1070" s="177" t="n">
        <v>45265</v>
      </c>
      <c r="B1070" s="177" t="n">
        <v>45265</v>
      </c>
      <c r="C1070" s="177" t="n">
        <v>45271</v>
      </c>
      <c r="D1070" t="inlineStr">
        <is>
          <t>BW20231205</t>
        </is>
      </c>
      <c r="E1070" t="n">
        <v>2023</v>
      </c>
      <c r="F1070" t="inlineStr">
        <is>
          <t>Grudzień</t>
        </is>
      </c>
      <c r="G1070" t="inlineStr">
        <is>
          <t>Wt</t>
        </is>
      </c>
      <c r="H1070">
        <f>'Floor Hours Engine'!$E$4</f>
        <v/>
      </c>
      <c r="I1070" t="inlineStr">
        <is>
          <t>W2</t>
        </is>
      </c>
      <c r="J1070" t="inlineStr">
        <is>
          <t>2023_Grudzień_W2</t>
        </is>
      </c>
    </row>
    <row r="1071">
      <c r="A1071" s="177" t="n">
        <v>45266</v>
      </c>
      <c r="B1071" s="177" t="n">
        <v>45265</v>
      </c>
      <c r="C1071" s="177" t="n">
        <v>45271</v>
      </c>
      <c r="D1071" t="inlineStr">
        <is>
          <t>BW20231205</t>
        </is>
      </c>
      <c r="E1071" t="n">
        <v>2023</v>
      </c>
      <c r="F1071" t="inlineStr">
        <is>
          <t>Grudzień</t>
        </is>
      </c>
      <c r="G1071" t="inlineStr">
        <is>
          <t>Śr</t>
        </is>
      </c>
      <c r="H1071">
        <f>'Floor Hours Engine'!$E$4</f>
        <v/>
      </c>
      <c r="I1071" t="inlineStr">
        <is>
          <t>W2</t>
        </is>
      </c>
      <c r="J1071" t="inlineStr">
        <is>
          <t>2023_Grudzień_W2</t>
        </is>
      </c>
    </row>
    <row r="1072">
      <c r="A1072" s="177" t="n">
        <v>45267</v>
      </c>
      <c r="B1072" s="177" t="n">
        <v>45265</v>
      </c>
      <c r="C1072" s="177" t="n">
        <v>45271</v>
      </c>
      <c r="D1072" t="inlineStr">
        <is>
          <t>BW20231205</t>
        </is>
      </c>
      <c r="E1072" t="n">
        <v>2023</v>
      </c>
      <c r="F1072" t="inlineStr">
        <is>
          <t>Grudzień</t>
        </is>
      </c>
      <c r="G1072" t="inlineStr">
        <is>
          <t>Czw</t>
        </is>
      </c>
      <c r="H1072">
        <f>'Floor Hours Engine'!$E$4</f>
        <v/>
      </c>
      <c r="I1072" t="inlineStr">
        <is>
          <t>W2</t>
        </is>
      </c>
      <c r="J1072" t="inlineStr">
        <is>
          <t>2023_Grudzień_W2</t>
        </is>
      </c>
    </row>
    <row r="1073">
      <c r="A1073" s="177" t="n">
        <v>45268</v>
      </c>
      <c r="B1073" s="177" t="n">
        <v>45265</v>
      </c>
      <c r="C1073" s="177" t="n">
        <v>45271</v>
      </c>
      <c r="D1073" t="inlineStr">
        <is>
          <t>BW20231205</t>
        </is>
      </c>
      <c r="E1073" t="n">
        <v>2023</v>
      </c>
      <c r="F1073" t="inlineStr">
        <is>
          <t>Grudzień</t>
        </is>
      </c>
      <c r="G1073" t="inlineStr">
        <is>
          <t>Pt</t>
        </is>
      </c>
      <c r="H1073">
        <f>'Floor Hours Engine'!$E$5</f>
        <v/>
      </c>
      <c r="I1073" t="inlineStr">
        <is>
          <t>W2</t>
        </is>
      </c>
      <c r="J1073" t="inlineStr">
        <is>
          <t>2023_Grudzień_W2</t>
        </is>
      </c>
    </row>
    <row r="1074">
      <c r="A1074" s="177" t="n">
        <v>45269</v>
      </c>
      <c r="B1074" s="177" t="n">
        <v>45265</v>
      </c>
      <c r="C1074" s="177" t="n">
        <v>45271</v>
      </c>
      <c r="D1074" t="inlineStr">
        <is>
          <t>BW20231205</t>
        </is>
      </c>
      <c r="E1074" t="n">
        <v>2023</v>
      </c>
      <c r="F1074" t="inlineStr">
        <is>
          <t>Grudzień</t>
        </is>
      </c>
      <c r="G1074" t="inlineStr">
        <is>
          <t>Sob</t>
        </is>
      </c>
      <c r="H1074">
        <f>'Floor Hours Engine'!$E$5</f>
        <v/>
      </c>
      <c r="I1074" t="inlineStr">
        <is>
          <t>W2</t>
        </is>
      </c>
      <c r="J1074" t="inlineStr">
        <is>
          <t>2023_Grudzień_W2</t>
        </is>
      </c>
    </row>
    <row r="1075">
      <c r="A1075" s="177" t="n">
        <v>45270</v>
      </c>
      <c r="B1075" s="177" t="n">
        <v>45265</v>
      </c>
      <c r="C1075" s="177" t="n">
        <v>45271</v>
      </c>
      <c r="D1075" t="inlineStr">
        <is>
          <t>BW20231205</t>
        </is>
      </c>
      <c r="E1075" t="n">
        <v>2023</v>
      </c>
      <c r="F1075" t="inlineStr">
        <is>
          <t>Grudzień</t>
        </is>
      </c>
      <c r="G1075" t="inlineStr">
        <is>
          <t>Nd</t>
        </is>
      </c>
      <c r="H1075">
        <f>'Floor Hours Engine'!$E$6</f>
        <v/>
      </c>
      <c r="I1075" t="inlineStr">
        <is>
          <t>W2</t>
        </is>
      </c>
      <c r="J1075" t="inlineStr">
        <is>
          <t>2023_Grudzień_W2</t>
        </is>
      </c>
    </row>
    <row r="1076">
      <c r="A1076" s="177" t="n">
        <v>45271</v>
      </c>
      <c r="B1076" s="177" t="n">
        <v>45265</v>
      </c>
      <c r="C1076" s="177" t="n">
        <v>45271</v>
      </c>
      <c r="D1076" t="inlineStr">
        <is>
          <t>BW20231205</t>
        </is>
      </c>
      <c r="E1076" t="n">
        <v>2023</v>
      </c>
      <c r="F1076" t="inlineStr">
        <is>
          <t>Grudzień</t>
        </is>
      </c>
      <c r="G1076" t="inlineStr">
        <is>
          <t>Pn</t>
        </is>
      </c>
      <c r="H1076">
        <f>'Floor Hours Engine'!$E$4</f>
        <v/>
      </c>
      <c r="I1076" t="inlineStr">
        <is>
          <t>W2</t>
        </is>
      </c>
      <c r="J1076" t="inlineStr">
        <is>
          <t>2023_Grudzień_W2</t>
        </is>
      </c>
    </row>
    <row r="1077">
      <c r="A1077" s="177" t="n">
        <v>45272</v>
      </c>
      <c r="B1077" s="177" t="n">
        <v>45272</v>
      </c>
      <c r="C1077" s="177" t="n">
        <v>45278</v>
      </c>
      <c r="D1077" t="inlineStr">
        <is>
          <t>BW20231212</t>
        </is>
      </c>
      <c r="E1077" t="n">
        <v>2023</v>
      </c>
      <c r="F1077" t="inlineStr">
        <is>
          <t>Grudzień</t>
        </is>
      </c>
      <c r="G1077" t="inlineStr">
        <is>
          <t>Wt</t>
        </is>
      </c>
      <c r="H1077">
        <f>'Floor Hours Engine'!$E$4</f>
        <v/>
      </c>
      <c r="I1077" t="inlineStr">
        <is>
          <t>W3</t>
        </is>
      </c>
      <c r="J1077" t="inlineStr">
        <is>
          <t>2023_Grudzień_W3</t>
        </is>
      </c>
    </row>
    <row r="1078">
      <c r="A1078" s="177" t="n">
        <v>45273</v>
      </c>
      <c r="B1078" s="177" t="n">
        <v>45272</v>
      </c>
      <c r="C1078" s="177" t="n">
        <v>45278</v>
      </c>
      <c r="D1078" t="inlineStr">
        <is>
          <t>BW20231212</t>
        </is>
      </c>
      <c r="E1078" t="n">
        <v>2023</v>
      </c>
      <c r="F1078" t="inlineStr">
        <is>
          <t>Grudzień</t>
        </is>
      </c>
      <c r="G1078" t="inlineStr">
        <is>
          <t>Śr</t>
        </is>
      </c>
      <c r="H1078">
        <f>'Floor Hours Engine'!$E$4</f>
        <v/>
      </c>
      <c r="I1078" t="inlineStr">
        <is>
          <t>W3</t>
        </is>
      </c>
      <c r="J1078" t="inlineStr">
        <is>
          <t>2023_Grudzień_W3</t>
        </is>
      </c>
    </row>
    <row r="1079">
      <c r="A1079" s="177" t="n">
        <v>45274</v>
      </c>
      <c r="B1079" s="177" t="n">
        <v>45272</v>
      </c>
      <c r="C1079" s="177" t="n">
        <v>45278</v>
      </c>
      <c r="D1079" t="inlineStr">
        <is>
          <t>BW20231212</t>
        </is>
      </c>
      <c r="E1079" t="n">
        <v>2023</v>
      </c>
      <c r="F1079" t="inlineStr">
        <is>
          <t>Grudzień</t>
        </is>
      </c>
      <c r="G1079" t="inlineStr">
        <is>
          <t>Czw</t>
        </is>
      </c>
      <c r="H1079">
        <f>'Floor Hours Engine'!$E$4</f>
        <v/>
      </c>
      <c r="I1079" t="inlineStr">
        <is>
          <t>W3</t>
        </is>
      </c>
      <c r="J1079" t="inlineStr">
        <is>
          <t>2023_Grudzień_W3</t>
        </is>
      </c>
    </row>
    <row r="1080">
      <c r="A1080" s="177" t="n">
        <v>45275</v>
      </c>
      <c r="B1080" s="177" t="n">
        <v>45272</v>
      </c>
      <c r="C1080" s="177" t="n">
        <v>45278</v>
      </c>
      <c r="D1080" t="inlineStr">
        <is>
          <t>BW20231212</t>
        </is>
      </c>
      <c r="E1080" t="n">
        <v>2023</v>
      </c>
      <c r="F1080" t="inlineStr">
        <is>
          <t>Grudzień</t>
        </is>
      </c>
      <c r="G1080" t="inlineStr">
        <is>
          <t>Pt</t>
        </is>
      </c>
      <c r="H1080">
        <f>'Floor Hours Engine'!$E$5</f>
        <v/>
      </c>
      <c r="I1080" t="inlineStr">
        <is>
          <t>W3</t>
        </is>
      </c>
      <c r="J1080" t="inlineStr">
        <is>
          <t>2023_Grudzień_W3</t>
        </is>
      </c>
    </row>
    <row r="1081">
      <c r="A1081" s="177" t="n">
        <v>45276</v>
      </c>
      <c r="B1081" s="177" t="n">
        <v>45272</v>
      </c>
      <c r="C1081" s="177" t="n">
        <v>45278</v>
      </c>
      <c r="D1081" t="inlineStr">
        <is>
          <t>BW20231212</t>
        </is>
      </c>
      <c r="E1081" t="n">
        <v>2023</v>
      </c>
      <c r="F1081" t="inlineStr">
        <is>
          <t>Grudzień</t>
        </is>
      </c>
      <c r="G1081" t="inlineStr">
        <is>
          <t>Sob</t>
        </is>
      </c>
      <c r="H1081">
        <f>'Floor Hours Engine'!$E$5</f>
        <v/>
      </c>
      <c r="I1081" t="inlineStr">
        <is>
          <t>W3</t>
        </is>
      </c>
      <c r="J1081" t="inlineStr">
        <is>
          <t>2023_Grudzień_W3</t>
        </is>
      </c>
    </row>
    <row r="1082">
      <c r="A1082" s="177" t="n">
        <v>45277</v>
      </c>
      <c r="B1082" s="177" t="n">
        <v>45272</v>
      </c>
      <c r="C1082" s="177" t="n">
        <v>45278</v>
      </c>
      <c r="D1082" t="inlineStr">
        <is>
          <t>BW20231212</t>
        </is>
      </c>
      <c r="E1082" t="n">
        <v>2023</v>
      </c>
      <c r="F1082" t="inlineStr">
        <is>
          <t>Grudzień</t>
        </is>
      </c>
      <c r="G1082" t="inlineStr">
        <is>
          <t>Nd</t>
        </is>
      </c>
      <c r="H1082">
        <f>'Floor Hours Engine'!$E$6</f>
        <v/>
      </c>
      <c r="I1082" t="inlineStr">
        <is>
          <t>W3</t>
        </is>
      </c>
      <c r="J1082" t="inlineStr">
        <is>
          <t>2023_Grudzień_W3</t>
        </is>
      </c>
    </row>
    <row r="1083">
      <c r="A1083" s="177" t="n">
        <v>45278</v>
      </c>
      <c r="B1083" s="177" t="n">
        <v>45272</v>
      </c>
      <c r="C1083" s="177" t="n">
        <v>45278</v>
      </c>
      <c r="D1083" t="inlineStr">
        <is>
          <t>BW20231212</t>
        </is>
      </c>
      <c r="E1083" t="n">
        <v>2023</v>
      </c>
      <c r="F1083" t="inlineStr">
        <is>
          <t>Grudzień</t>
        </is>
      </c>
      <c r="G1083" t="inlineStr">
        <is>
          <t>Pn</t>
        </is>
      </c>
      <c r="H1083">
        <f>'Floor Hours Engine'!$E$4</f>
        <v/>
      </c>
      <c r="I1083" t="inlineStr">
        <is>
          <t>W3</t>
        </is>
      </c>
      <c r="J1083" t="inlineStr">
        <is>
          <t>2023_Grudzień_W3</t>
        </is>
      </c>
    </row>
    <row r="1084">
      <c r="A1084" s="177" t="n">
        <v>45279</v>
      </c>
      <c r="B1084" s="177" t="n">
        <v>45279</v>
      </c>
      <c r="C1084" s="177" t="n">
        <v>45285</v>
      </c>
      <c r="D1084" t="inlineStr">
        <is>
          <t>BW20231219</t>
        </is>
      </c>
      <c r="E1084" t="n">
        <v>2023</v>
      </c>
      <c r="F1084" t="inlineStr">
        <is>
          <t>Grudzień</t>
        </is>
      </c>
      <c r="G1084" t="inlineStr">
        <is>
          <t>Wt</t>
        </is>
      </c>
      <c r="H1084">
        <f>'Floor Hours Engine'!$E$4</f>
        <v/>
      </c>
      <c r="I1084" t="inlineStr">
        <is>
          <t>W4</t>
        </is>
      </c>
      <c r="J1084" t="inlineStr">
        <is>
          <t>2023_Grudzień_W4</t>
        </is>
      </c>
    </row>
    <row r="1085">
      <c r="A1085" s="177" t="n">
        <v>45280</v>
      </c>
      <c r="B1085" s="177" t="n">
        <v>45279</v>
      </c>
      <c r="C1085" s="177" t="n">
        <v>45285</v>
      </c>
      <c r="D1085" t="inlineStr">
        <is>
          <t>BW20231219</t>
        </is>
      </c>
      <c r="E1085" t="n">
        <v>2023</v>
      </c>
      <c r="F1085" t="inlineStr">
        <is>
          <t>Grudzień</t>
        </is>
      </c>
      <c r="G1085" t="inlineStr">
        <is>
          <t>Śr</t>
        </is>
      </c>
      <c r="H1085">
        <f>'Floor Hours Engine'!$E$4</f>
        <v/>
      </c>
      <c r="I1085" t="inlineStr">
        <is>
          <t>W4</t>
        </is>
      </c>
      <c r="J1085" t="inlineStr">
        <is>
          <t>2023_Grudzień_W4</t>
        </is>
      </c>
    </row>
    <row r="1086">
      <c r="A1086" s="177" t="n">
        <v>45281</v>
      </c>
      <c r="B1086" s="177" t="n">
        <v>45279</v>
      </c>
      <c r="C1086" s="177" t="n">
        <v>45285</v>
      </c>
      <c r="D1086" t="inlineStr">
        <is>
          <t>BW20231219</t>
        </is>
      </c>
      <c r="E1086" t="n">
        <v>2023</v>
      </c>
      <c r="F1086" t="inlineStr">
        <is>
          <t>Grudzień</t>
        </is>
      </c>
      <c r="G1086" t="inlineStr">
        <is>
          <t>Czw</t>
        </is>
      </c>
      <c r="H1086">
        <f>'Floor Hours Engine'!$E$4</f>
        <v/>
      </c>
      <c r="I1086" t="inlineStr">
        <is>
          <t>W4</t>
        </is>
      </c>
      <c r="J1086" t="inlineStr">
        <is>
          <t>2023_Grudzień_W4</t>
        </is>
      </c>
    </row>
    <row r="1087">
      <c r="A1087" s="177" t="n">
        <v>45282</v>
      </c>
      <c r="B1087" s="177" t="n">
        <v>45279</v>
      </c>
      <c r="C1087" s="177" t="n">
        <v>45285</v>
      </c>
      <c r="D1087" t="inlineStr">
        <is>
          <t>BW20231219</t>
        </is>
      </c>
      <c r="E1087" t="n">
        <v>2023</v>
      </c>
      <c r="F1087" t="inlineStr">
        <is>
          <t>Grudzień</t>
        </is>
      </c>
      <c r="G1087" t="inlineStr">
        <is>
          <t>Pt</t>
        </is>
      </c>
      <c r="H1087">
        <f>'Floor Hours Engine'!$E$5</f>
        <v/>
      </c>
      <c r="I1087" t="inlineStr">
        <is>
          <t>W4</t>
        </is>
      </c>
      <c r="J1087" t="inlineStr">
        <is>
          <t>2023_Grudzień_W4</t>
        </is>
      </c>
    </row>
    <row r="1088">
      <c r="A1088" s="177" t="n">
        <v>45283</v>
      </c>
      <c r="B1088" s="177" t="n">
        <v>45279</v>
      </c>
      <c r="C1088" s="177" t="n">
        <v>45285</v>
      </c>
      <c r="D1088" t="inlineStr">
        <is>
          <t>BW20231219</t>
        </is>
      </c>
      <c r="E1088" t="n">
        <v>2023</v>
      </c>
      <c r="F1088" t="inlineStr">
        <is>
          <t>Grudzień</t>
        </is>
      </c>
      <c r="G1088" t="inlineStr">
        <is>
          <t>Sob</t>
        </is>
      </c>
      <c r="H1088">
        <f>'Floor Hours Engine'!$E$5</f>
        <v/>
      </c>
      <c r="I1088" t="inlineStr">
        <is>
          <t>W4</t>
        </is>
      </c>
      <c r="J1088" t="inlineStr">
        <is>
          <t>2023_Grudzień_W4</t>
        </is>
      </c>
    </row>
    <row r="1089">
      <c r="A1089" s="177" t="n">
        <v>45284</v>
      </c>
      <c r="B1089" s="177" t="n">
        <v>45279</v>
      </c>
      <c r="C1089" s="177" t="n">
        <v>45285</v>
      </c>
      <c r="D1089" t="inlineStr">
        <is>
          <t>BW20231219</t>
        </is>
      </c>
      <c r="E1089" t="n">
        <v>2023</v>
      </c>
      <c r="F1089" t="inlineStr">
        <is>
          <t>Grudzień</t>
        </is>
      </c>
      <c r="G1089" t="inlineStr">
        <is>
          <t>Nd</t>
        </is>
      </c>
      <c r="H1089">
        <f>'Floor Hours Engine'!$E$6</f>
        <v/>
      </c>
      <c r="I1089" t="inlineStr">
        <is>
          <t>W4</t>
        </is>
      </c>
      <c r="J1089" t="inlineStr">
        <is>
          <t>2023_Grudzień_W4</t>
        </is>
      </c>
    </row>
    <row r="1090">
      <c r="A1090" s="177" t="n">
        <v>45285</v>
      </c>
      <c r="B1090" s="177" t="n">
        <v>45279</v>
      </c>
      <c r="C1090" s="177" t="n">
        <v>45285</v>
      </c>
      <c r="D1090" t="inlineStr">
        <is>
          <t>BW20231219</t>
        </is>
      </c>
      <c r="E1090" t="n">
        <v>2023</v>
      </c>
      <c r="F1090" t="inlineStr">
        <is>
          <t>Grudzień</t>
        </is>
      </c>
      <c r="G1090" t="inlineStr">
        <is>
          <t>Pn</t>
        </is>
      </c>
      <c r="H1090">
        <f>'Floor Hours Engine'!$E$4</f>
        <v/>
      </c>
      <c r="I1090" t="inlineStr">
        <is>
          <t>W4</t>
        </is>
      </c>
      <c r="J1090" t="inlineStr">
        <is>
          <t>2023_Grudzień_W4</t>
        </is>
      </c>
    </row>
    <row r="1091">
      <c r="A1091" s="177" t="n">
        <v>45286</v>
      </c>
      <c r="B1091" s="177" t="n">
        <v>45286</v>
      </c>
      <c r="C1091" s="177" t="n">
        <v>45292</v>
      </c>
      <c r="D1091" t="inlineStr">
        <is>
          <t>BW20231226</t>
        </is>
      </c>
      <c r="E1091" t="n">
        <v>2023</v>
      </c>
      <c r="F1091" t="inlineStr">
        <is>
          <t>Grudzień</t>
        </is>
      </c>
      <c r="G1091" t="inlineStr">
        <is>
          <t>Wt</t>
        </is>
      </c>
      <c r="H1091">
        <f>'Floor Hours Engine'!$E$4</f>
        <v/>
      </c>
      <c r="I1091" t="inlineStr">
        <is>
          <t>W5</t>
        </is>
      </c>
      <c r="J1091" t="inlineStr">
        <is>
          <t>2023_Grudzień_W5</t>
        </is>
      </c>
    </row>
    <row r="1092">
      <c r="A1092" s="177" t="n">
        <v>45287</v>
      </c>
      <c r="B1092" s="177" t="n">
        <v>45286</v>
      </c>
      <c r="C1092" s="177" t="n">
        <v>45292</v>
      </c>
      <c r="D1092" t="inlineStr">
        <is>
          <t>BW20231226</t>
        </is>
      </c>
      <c r="E1092" t="n">
        <v>2023</v>
      </c>
      <c r="F1092" t="inlineStr">
        <is>
          <t>Grudzień</t>
        </is>
      </c>
      <c r="G1092" t="inlineStr">
        <is>
          <t>Śr</t>
        </is>
      </c>
      <c r="H1092">
        <f>'Floor Hours Engine'!$E$4</f>
        <v/>
      </c>
      <c r="I1092" t="inlineStr">
        <is>
          <t>W5</t>
        </is>
      </c>
      <c r="J1092" t="inlineStr">
        <is>
          <t>2023_Grudzień_W5</t>
        </is>
      </c>
    </row>
    <row r="1093">
      <c r="A1093" s="177" t="n">
        <v>45288</v>
      </c>
      <c r="B1093" s="177" t="n">
        <v>45286</v>
      </c>
      <c r="C1093" s="177" t="n">
        <v>45292</v>
      </c>
      <c r="D1093" t="inlineStr">
        <is>
          <t>BW20231226</t>
        </is>
      </c>
      <c r="E1093" t="n">
        <v>2023</v>
      </c>
      <c r="F1093" t="inlineStr">
        <is>
          <t>Grudzień</t>
        </is>
      </c>
      <c r="G1093" t="inlineStr">
        <is>
          <t>Czw</t>
        </is>
      </c>
      <c r="H1093">
        <f>'Floor Hours Engine'!$E$4</f>
        <v/>
      </c>
      <c r="I1093" t="inlineStr">
        <is>
          <t>W5</t>
        </is>
      </c>
      <c r="J1093" t="inlineStr">
        <is>
          <t>2023_Grudzień_W5</t>
        </is>
      </c>
    </row>
    <row r="1094">
      <c r="A1094" s="177" t="n">
        <v>45289</v>
      </c>
      <c r="B1094" s="177" t="n">
        <v>45286</v>
      </c>
      <c r="C1094" s="177" t="n">
        <v>45292</v>
      </c>
      <c r="D1094" t="inlineStr">
        <is>
          <t>BW20231226</t>
        </is>
      </c>
      <c r="E1094" t="n">
        <v>2023</v>
      </c>
      <c r="F1094" t="inlineStr">
        <is>
          <t>Grudzień</t>
        </is>
      </c>
      <c r="G1094" t="inlineStr">
        <is>
          <t>Pt</t>
        </is>
      </c>
      <c r="H1094">
        <f>'Floor Hours Engine'!$E$5</f>
        <v/>
      </c>
      <c r="I1094" t="inlineStr">
        <is>
          <t>W5</t>
        </is>
      </c>
      <c r="J1094" t="inlineStr">
        <is>
          <t>2023_Grudzień_W5</t>
        </is>
      </c>
    </row>
    <row r="1095">
      <c r="A1095" s="177" t="n">
        <v>45290</v>
      </c>
      <c r="B1095" s="177" t="n">
        <v>45286</v>
      </c>
      <c r="C1095" s="177" t="n">
        <v>45292</v>
      </c>
      <c r="D1095" t="inlineStr">
        <is>
          <t>BW20231226</t>
        </is>
      </c>
      <c r="E1095" t="n">
        <v>2023</v>
      </c>
      <c r="F1095" t="inlineStr">
        <is>
          <t>Grudzień</t>
        </is>
      </c>
      <c r="G1095" t="inlineStr">
        <is>
          <t>Sob</t>
        </is>
      </c>
      <c r="H1095">
        <f>'Floor Hours Engine'!$E$5</f>
        <v/>
      </c>
      <c r="I1095" t="inlineStr">
        <is>
          <t>W5</t>
        </is>
      </c>
      <c r="J1095" t="inlineStr">
        <is>
          <t>2023_Grudzień_W5</t>
        </is>
      </c>
    </row>
    <row r="1096">
      <c r="A1096" s="177" t="n">
        <v>45291</v>
      </c>
      <c r="B1096" s="177" t="n">
        <v>45286</v>
      </c>
      <c r="C1096" s="177" t="n">
        <v>45292</v>
      </c>
      <c r="D1096" t="inlineStr">
        <is>
          <t>BW20231226</t>
        </is>
      </c>
      <c r="E1096" t="n">
        <v>2023</v>
      </c>
      <c r="F1096" t="inlineStr">
        <is>
          <t>Grudzień</t>
        </is>
      </c>
      <c r="G1096" t="inlineStr">
        <is>
          <t>Nd</t>
        </is>
      </c>
      <c r="H1096">
        <f>'Floor Hours Engine'!$E$6</f>
        <v/>
      </c>
      <c r="I1096" t="inlineStr">
        <is>
          <t>W5</t>
        </is>
      </c>
      <c r="J1096" t="inlineStr">
        <is>
          <t>2023_Grudzień_W5</t>
        </is>
      </c>
    </row>
    <row r="1097">
      <c r="A1097" s="177" t="n">
        <v>45292</v>
      </c>
      <c r="B1097" s="177" t="n">
        <v>45286</v>
      </c>
      <c r="C1097" s="177" t="n">
        <v>45292</v>
      </c>
      <c r="D1097" t="inlineStr">
        <is>
          <t>BW20231226</t>
        </is>
      </c>
      <c r="E1097" t="n">
        <v>2024</v>
      </c>
      <c r="F1097" t="inlineStr">
        <is>
          <t>Styczeń</t>
        </is>
      </c>
      <c r="G1097" t="inlineStr">
        <is>
          <t>Pn</t>
        </is>
      </c>
      <c r="H1097">
        <f>'Floor Hours Engine'!$E$4</f>
        <v/>
      </c>
      <c r="I1097" t="inlineStr">
        <is>
          <t>W1</t>
        </is>
      </c>
      <c r="J1097" t="inlineStr">
        <is>
          <t>2024_Styczeń_W1</t>
        </is>
      </c>
    </row>
    <row r="1098">
      <c r="A1098" s="177" t="n">
        <v>45293</v>
      </c>
      <c r="B1098" s="177" t="n">
        <v>45293</v>
      </c>
      <c r="C1098" s="177" t="n">
        <v>45299</v>
      </c>
      <c r="D1098" t="inlineStr">
        <is>
          <t>BW20240102</t>
        </is>
      </c>
      <c r="E1098" t="n">
        <v>2024</v>
      </c>
      <c r="F1098" t="inlineStr">
        <is>
          <t>Styczeń</t>
        </is>
      </c>
      <c r="G1098" t="inlineStr">
        <is>
          <t>Wt</t>
        </is>
      </c>
      <c r="H1098">
        <f>'Floor Hours Engine'!$E$4</f>
        <v/>
      </c>
      <c r="I1098" t="inlineStr">
        <is>
          <t>W2</t>
        </is>
      </c>
      <c r="J1098" t="inlineStr">
        <is>
          <t>2024_Styczeń_W2</t>
        </is>
      </c>
    </row>
    <row r="1099">
      <c r="A1099" s="177" t="n">
        <v>45294</v>
      </c>
      <c r="B1099" s="177" t="n">
        <v>45293</v>
      </c>
      <c r="C1099" s="177" t="n">
        <v>45299</v>
      </c>
      <c r="D1099" t="inlineStr">
        <is>
          <t>BW20240102</t>
        </is>
      </c>
      <c r="E1099" t="n">
        <v>2024</v>
      </c>
      <c r="F1099" t="inlineStr">
        <is>
          <t>Styczeń</t>
        </is>
      </c>
      <c r="G1099" t="inlineStr">
        <is>
          <t>Śr</t>
        </is>
      </c>
      <c r="H1099">
        <f>'Floor Hours Engine'!$E$4</f>
        <v/>
      </c>
      <c r="I1099" t="inlineStr">
        <is>
          <t>W2</t>
        </is>
      </c>
      <c r="J1099" t="inlineStr">
        <is>
          <t>2024_Styczeń_W2</t>
        </is>
      </c>
    </row>
    <row r="1100">
      <c r="A1100" s="177" t="n">
        <v>45295</v>
      </c>
      <c r="B1100" s="177" t="n">
        <v>45293</v>
      </c>
      <c r="C1100" s="177" t="n">
        <v>45299</v>
      </c>
      <c r="D1100" t="inlineStr">
        <is>
          <t>BW20240102</t>
        </is>
      </c>
      <c r="E1100" t="n">
        <v>2024</v>
      </c>
      <c r="F1100" t="inlineStr">
        <is>
          <t>Styczeń</t>
        </is>
      </c>
      <c r="G1100" t="inlineStr">
        <is>
          <t>Czw</t>
        </is>
      </c>
      <c r="H1100">
        <f>'Floor Hours Engine'!$E$4</f>
        <v/>
      </c>
      <c r="I1100" t="inlineStr">
        <is>
          <t>W2</t>
        </is>
      </c>
      <c r="J1100" t="inlineStr">
        <is>
          <t>2024_Styczeń_W2</t>
        </is>
      </c>
    </row>
    <row r="1101">
      <c r="A1101" s="177" t="n">
        <v>45296</v>
      </c>
      <c r="B1101" s="177" t="n">
        <v>45293</v>
      </c>
      <c r="C1101" s="177" t="n">
        <v>45299</v>
      </c>
      <c r="D1101" t="inlineStr">
        <is>
          <t>BW20240102</t>
        </is>
      </c>
      <c r="E1101" t="n">
        <v>2024</v>
      </c>
      <c r="F1101" t="inlineStr">
        <is>
          <t>Styczeń</t>
        </is>
      </c>
      <c r="G1101" t="inlineStr">
        <is>
          <t>Pt</t>
        </is>
      </c>
      <c r="H1101">
        <f>'Floor Hours Engine'!$E$5</f>
        <v/>
      </c>
      <c r="I1101" t="inlineStr">
        <is>
          <t>W2</t>
        </is>
      </c>
      <c r="J1101" t="inlineStr">
        <is>
          <t>2024_Styczeń_W2</t>
        </is>
      </c>
    </row>
    <row r="1102">
      <c r="A1102" s="177" t="n">
        <v>45297</v>
      </c>
      <c r="B1102" s="177" t="n">
        <v>45293</v>
      </c>
      <c r="C1102" s="177" t="n">
        <v>45299</v>
      </c>
      <c r="D1102" t="inlineStr">
        <is>
          <t>BW20240102</t>
        </is>
      </c>
      <c r="E1102" t="n">
        <v>2024</v>
      </c>
      <c r="F1102" t="inlineStr">
        <is>
          <t>Styczeń</t>
        </is>
      </c>
      <c r="G1102" t="inlineStr">
        <is>
          <t>Sob</t>
        </is>
      </c>
      <c r="H1102">
        <f>'Floor Hours Engine'!$E$5</f>
        <v/>
      </c>
      <c r="I1102" t="inlineStr">
        <is>
          <t>W2</t>
        </is>
      </c>
      <c r="J1102" t="inlineStr">
        <is>
          <t>2024_Styczeń_W2</t>
        </is>
      </c>
    </row>
    <row r="1103">
      <c r="A1103" s="177" t="n">
        <v>45298</v>
      </c>
      <c r="B1103" s="177" t="n">
        <v>45293</v>
      </c>
      <c r="C1103" s="177" t="n">
        <v>45299</v>
      </c>
      <c r="D1103" t="inlineStr">
        <is>
          <t>BW20240102</t>
        </is>
      </c>
      <c r="E1103" t="n">
        <v>2024</v>
      </c>
      <c r="F1103" t="inlineStr">
        <is>
          <t>Styczeń</t>
        </is>
      </c>
      <c r="G1103" t="inlineStr">
        <is>
          <t>Nd</t>
        </is>
      </c>
      <c r="H1103">
        <f>'Floor Hours Engine'!$E$6</f>
        <v/>
      </c>
      <c r="I1103" t="inlineStr">
        <is>
          <t>W2</t>
        </is>
      </c>
      <c r="J1103" t="inlineStr">
        <is>
          <t>2024_Styczeń_W2</t>
        </is>
      </c>
    </row>
    <row r="1104">
      <c r="A1104" s="177" t="n">
        <v>45299</v>
      </c>
      <c r="B1104" s="177" t="n">
        <v>45293</v>
      </c>
      <c r="C1104" s="177" t="n">
        <v>45299</v>
      </c>
      <c r="D1104" t="inlineStr">
        <is>
          <t>BW20240102</t>
        </is>
      </c>
      <c r="E1104" t="n">
        <v>2024</v>
      </c>
      <c r="F1104" t="inlineStr">
        <is>
          <t>Styczeń</t>
        </is>
      </c>
      <c r="G1104" t="inlineStr">
        <is>
          <t>Pn</t>
        </is>
      </c>
      <c r="H1104">
        <f>'Floor Hours Engine'!$E$4</f>
        <v/>
      </c>
      <c r="I1104" t="inlineStr">
        <is>
          <t>W2</t>
        </is>
      </c>
      <c r="J1104" t="inlineStr">
        <is>
          <t>2024_Styczeń_W2</t>
        </is>
      </c>
    </row>
    <row r="1105">
      <c r="A1105" s="177" t="n">
        <v>45300</v>
      </c>
      <c r="B1105" s="177" t="n">
        <v>45300</v>
      </c>
      <c r="C1105" s="177" t="n">
        <v>45306</v>
      </c>
      <c r="D1105" t="inlineStr">
        <is>
          <t>BW20240109</t>
        </is>
      </c>
      <c r="E1105" t="n">
        <v>2024</v>
      </c>
      <c r="F1105" t="inlineStr">
        <is>
          <t>Styczeń</t>
        </is>
      </c>
      <c r="G1105" t="inlineStr">
        <is>
          <t>Wt</t>
        </is>
      </c>
      <c r="H1105">
        <f>'Floor Hours Engine'!$E$4</f>
        <v/>
      </c>
      <c r="I1105" t="inlineStr">
        <is>
          <t>W3</t>
        </is>
      </c>
      <c r="J1105" t="inlineStr">
        <is>
          <t>2024_Styczeń_W3</t>
        </is>
      </c>
    </row>
    <row r="1106">
      <c r="A1106" s="177" t="n">
        <v>45301</v>
      </c>
      <c r="B1106" s="177" t="n">
        <v>45300</v>
      </c>
      <c r="C1106" s="177" t="n">
        <v>45306</v>
      </c>
      <c r="D1106" t="inlineStr">
        <is>
          <t>BW20240109</t>
        </is>
      </c>
      <c r="E1106" t="n">
        <v>2024</v>
      </c>
      <c r="F1106" t="inlineStr">
        <is>
          <t>Styczeń</t>
        </is>
      </c>
      <c r="G1106" t="inlineStr">
        <is>
          <t>Śr</t>
        </is>
      </c>
      <c r="H1106">
        <f>'Floor Hours Engine'!$E$4</f>
        <v/>
      </c>
      <c r="I1106" t="inlineStr">
        <is>
          <t>W3</t>
        </is>
      </c>
      <c r="J1106" t="inlineStr">
        <is>
          <t>2024_Styczeń_W3</t>
        </is>
      </c>
    </row>
    <row r="1107">
      <c r="A1107" s="177" t="n">
        <v>45302</v>
      </c>
      <c r="B1107" s="177" t="n">
        <v>45300</v>
      </c>
      <c r="C1107" s="177" t="n">
        <v>45306</v>
      </c>
      <c r="D1107" t="inlineStr">
        <is>
          <t>BW20240109</t>
        </is>
      </c>
      <c r="E1107" t="n">
        <v>2024</v>
      </c>
      <c r="F1107" t="inlineStr">
        <is>
          <t>Styczeń</t>
        </is>
      </c>
      <c r="G1107" t="inlineStr">
        <is>
          <t>Czw</t>
        </is>
      </c>
      <c r="H1107">
        <f>'Floor Hours Engine'!$E$4</f>
        <v/>
      </c>
      <c r="I1107" t="inlineStr">
        <is>
          <t>W3</t>
        </is>
      </c>
      <c r="J1107" t="inlineStr">
        <is>
          <t>2024_Styczeń_W3</t>
        </is>
      </c>
    </row>
    <row r="1108">
      <c r="A1108" s="177" t="n">
        <v>45303</v>
      </c>
      <c r="B1108" s="177" t="n">
        <v>45300</v>
      </c>
      <c r="C1108" s="177" t="n">
        <v>45306</v>
      </c>
      <c r="D1108" t="inlineStr">
        <is>
          <t>BW20240109</t>
        </is>
      </c>
      <c r="E1108" t="n">
        <v>2024</v>
      </c>
      <c r="F1108" t="inlineStr">
        <is>
          <t>Styczeń</t>
        </is>
      </c>
      <c r="G1108" t="inlineStr">
        <is>
          <t>Pt</t>
        </is>
      </c>
      <c r="H1108">
        <f>'Floor Hours Engine'!$E$5</f>
        <v/>
      </c>
      <c r="I1108" t="inlineStr">
        <is>
          <t>W3</t>
        </is>
      </c>
      <c r="J1108" t="inlineStr">
        <is>
          <t>2024_Styczeń_W3</t>
        </is>
      </c>
    </row>
    <row r="1109">
      <c r="A1109" s="177" t="n">
        <v>45304</v>
      </c>
      <c r="B1109" s="177" t="n">
        <v>45300</v>
      </c>
      <c r="C1109" s="177" t="n">
        <v>45306</v>
      </c>
      <c r="D1109" t="inlineStr">
        <is>
          <t>BW20240109</t>
        </is>
      </c>
      <c r="E1109" t="n">
        <v>2024</v>
      </c>
      <c r="F1109" t="inlineStr">
        <is>
          <t>Styczeń</t>
        </is>
      </c>
      <c r="G1109" t="inlineStr">
        <is>
          <t>Sob</t>
        </is>
      </c>
      <c r="H1109">
        <f>'Floor Hours Engine'!$E$5</f>
        <v/>
      </c>
      <c r="I1109" t="inlineStr">
        <is>
          <t>W3</t>
        </is>
      </c>
      <c r="J1109" t="inlineStr">
        <is>
          <t>2024_Styczeń_W3</t>
        </is>
      </c>
    </row>
    <row r="1110">
      <c r="A1110" s="177" t="n">
        <v>45305</v>
      </c>
      <c r="B1110" s="177" t="n">
        <v>45300</v>
      </c>
      <c r="C1110" s="177" t="n">
        <v>45306</v>
      </c>
      <c r="D1110" t="inlineStr">
        <is>
          <t>BW20240109</t>
        </is>
      </c>
      <c r="E1110" t="n">
        <v>2024</v>
      </c>
      <c r="F1110" t="inlineStr">
        <is>
          <t>Styczeń</t>
        </is>
      </c>
      <c r="G1110" t="inlineStr">
        <is>
          <t>Nd</t>
        </is>
      </c>
      <c r="H1110">
        <f>'Floor Hours Engine'!$E$6</f>
        <v/>
      </c>
      <c r="I1110" t="inlineStr">
        <is>
          <t>W3</t>
        </is>
      </c>
      <c r="J1110" t="inlineStr">
        <is>
          <t>2024_Styczeń_W3</t>
        </is>
      </c>
    </row>
    <row r="1111">
      <c r="A1111" s="177" t="n">
        <v>45306</v>
      </c>
      <c r="B1111" s="177" t="n">
        <v>45300</v>
      </c>
      <c r="C1111" s="177" t="n">
        <v>45306</v>
      </c>
      <c r="D1111" t="inlineStr">
        <is>
          <t>BW20240109</t>
        </is>
      </c>
      <c r="E1111" t="n">
        <v>2024</v>
      </c>
      <c r="F1111" t="inlineStr">
        <is>
          <t>Styczeń</t>
        </is>
      </c>
      <c r="G1111" t="inlineStr">
        <is>
          <t>Pn</t>
        </is>
      </c>
      <c r="H1111">
        <f>'Floor Hours Engine'!$E$4</f>
        <v/>
      </c>
      <c r="I1111" t="inlineStr">
        <is>
          <t>W3</t>
        </is>
      </c>
      <c r="J1111" t="inlineStr">
        <is>
          <t>2024_Styczeń_W3</t>
        </is>
      </c>
    </row>
    <row r="1112">
      <c r="A1112" s="177" t="n">
        <v>45307</v>
      </c>
      <c r="B1112" s="177" t="n">
        <v>45307</v>
      </c>
      <c r="C1112" s="177" t="n">
        <v>45313</v>
      </c>
      <c r="D1112" t="inlineStr">
        <is>
          <t>BW20240116</t>
        </is>
      </c>
      <c r="E1112" t="n">
        <v>2024</v>
      </c>
      <c r="F1112" t="inlineStr">
        <is>
          <t>Styczeń</t>
        </is>
      </c>
      <c r="G1112" t="inlineStr">
        <is>
          <t>Wt</t>
        </is>
      </c>
      <c r="H1112">
        <f>'Floor Hours Engine'!$E$4</f>
        <v/>
      </c>
      <c r="I1112" t="inlineStr">
        <is>
          <t>W4</t>
        </is>
      </c>
      <c r="J1112" t="inlineStr">
        <is>
          <t>2024_Styczeń_W4</t>
        </is>
      </c>
    </row>
    <row r="1113">
      <c r="A1113" s="177" t="n">
        <v>45308</v>
      </c>
      <c r="B1113" s="177" t="n">
        <v>45307</v>
      </c>
      <c r="C1113" s="177" t="n">
        <v>45313</v>
      </c>
      <c r="D1113" t="inlineStr">
        <is>
          <t>BW20240116</t>
        </is>
      </c>
      <c r="E1113" t="n">
        <v>2024</v>
      </c>
      <c r="F1113" t="inlineStr">
        <is>
          <t>Styczeń</t>
        </is>
      </c>
      <c r="G1113" t="inlineStr">
        <is>
          <t>Śr</t>
        </is>
      </c>
      <c r="H1113">
        <f>'Floor Hours Engine'!$E$4</f>
        <v/>
      </c>
      <c r="I1113" t="inlineStr">
        <is>
          <t>W4</t>
        </is>
      </c>
      <c r="J1113" t="inlineStr">
        <is>
          <t>2024_Styczeń_W4</t>
        </is>
      </c>
    </row>
    <row r="1114">
      <c r="A1114" s="177" t="n">
        <v>45309</v>
      </c>
      <c r="B1114" s="177" t="n">
        <v>45307</v>
      </c>
      <c r="C1114" s="177" t="n">
        <v>45313</v>
      </c>
      <c r="D1114" t="inlineStr">
        <is>
          <t>BW20240116</t>
        </is>
      </c>
      <c r="E1114" t="n">
        <v>2024</v>
      </c>
      <c r="F1114" t="inlineStr">
        <is>
          <t>Styczeń</t>
        </is>
      </c>
      <c r="G1114" t="inlineStr">
        <is>
          <t>Czw</t>
        </is>
      </c>
      <c r="H1114">
        <f>'Floor Hours Engine'!$E$4</f>
        <v/>
      </c>
      <c r="I1114" t="inlineStr">
        <is>
          <t>W4</t>
        </is>
      </c>
      <c r="J1114" t="inlineStr">
        <is>
          <t>2024_Styczeń_W4</t>
        </is>
      </c>
    </row>
    <row r="1115">
      <c r="A1115" s="177" t="n">
        <v>45310</v>
      </c>
      <c r="B1115" s="177" t="n">
        <v>45307</v>
      </c>
      <c r="C1115" s="177" t="n">
        <v>45313</v>
      </c>
      <c r="D1115" t="inlineStr">
        <is>
          <t>BW20240116</t>
        </is>
      </c>
      <c r="E1115" t="n">
        <v>2024</v>
      </c>
      <c r="F1115" t="inlineStr">
        <is>
          <t>Styczeń</t>
        </is>
      </c>
      <c r="G1115" t="inlineStr">
        <is>
          <t>Pt</t>
        </is>
      </c>
      <c r="H1115">
        <f>'Floor Hours Engine'!$E$5</f>
        <v/>
      </c>
      <c r="I1115" t="inlineStr">
        <is>
          <t>W4</t>
        </is>
      </c>
      <c r="J1115" t="inlineStr">
        <is>
          <t>2024_Styczeń_W4</t>
        </is>
      </c>
    </row>
    <row r="1116">
      <c r="A1116" s="177" t="n">
        <v>45311</v>
      </c>
      <c r="B1116" s="177" t="n">
        <v>45307</v>
      </c>
      <c r="C1116" s="177" t="n">
        <v>45313</v>
      </c>
      <c r="D1116" t="inlineStr">
        <is>
          <t>BW20240116</t>
        </is>
      </c>
      <c r="E1116" t="n">
        <v>2024</v>
      </c>
      <c r="F1116" t="inlineStr">
        <is>
          <t>Styczeń</t>
        </is>
      </c>
      <c r="G1116" t="inlineStr">
        <is>
          <t>Sob</t>
        </is>
      </c>
      <c r="H1116">
        <f>'Floor Hours Engine'!$E$5</f>
        <v/>
      </c>
      <c r="I1116" t="inlineStr">
        <is>
          <t>W4</t>
        </is>
      </c>
      <c r="J1116" t="inlineStr">
        <is>
          <t>2024_Styczeń_W4</t>
        </is>
      </c>
    </row>
    <row r="1117">
      <c r="A1117" s="177" t="n">
        <v>45312</v>
      </c>
      <c r="B1117" s="177" t="n">
        <v>45307</v>
      </c>
      <c r="C1117" s="177" t="n">
        <v>45313</v>
      </c>
      <c r="D1117" t="inlineStr">
        <is>
          <t>BW20240116</t>
        </is>
      </c>
      <c r="E1117" t="n">
        <v>2024</v>
      </c>
      <c r="F1117" t="inlineStr">
        <is>
          <t>Styczeń</t>
        </is>
      </c>
      <c r="G1117" t="inlineStr">
        <is>
          <t>Nd</t>
        </is>
      </c>
      <c r="H1117">
        <f>'Floor Hours Engine'!$E$6</f>
        <v/>
      </c>
      <c r="I1117" t="inlineStr">
        <is>
          <t>W4</t>
        </is>
      </c>
      <c r="J1117" t="inlineStr">
        <is>
          <t>2024_Styczeń_W4</t>
        </is>
      </c>
    </row>
    <row r="1118">
      <c r="A1118" s="177" t="n">
        <v>45313</v>
      </c>
      <c r="B1118" s="177" t="n">
        <v>45307</v>
      </c>
      <c r="C1118" s="177" t="n">
        <v>45313</v>
      </c>
      <c r="D1118" t="inlineStr">
        <is>
          <t>BW20240116</t>
        </is>
      </c>
      <c r="E1118" t="n">
        <v>2024</v>
      </c>
      <c r="F1118" t="inlineStr">
        <is>
          <t>Styczeń</t>
        </is>
      </c>
      <c r="G1118" t="inlineStr">
        <is>
          <t>Pn</t>
        </is>
      </c>
      <c r="H1118">
        <f>'Floor Hours Engine'!$E$4</f>
        <v/>
      </c>
      <c r="I1118" t="inlineStr">
        <is>
          <t>W4</t>
        </is>
      </c>
      <c r="J1118" t="inlineStr">
        <is>
          <t>2024_Styczeń_W4</t>
        </is>
      </c>
    </row>
    <row r="1119">
      <c r="A1119" s="177" t="n">
        <v>45314</v>
      </c>
      <c r="B1119" s="177" t="n">
        <v>45314</v>
      </c>
      <c r="C1119" s="177" t="n">
        <v>45320</v>
      </c>
      <c r="D1119" t="inlineStr">
        <is>
          <t>BW20240123</t>
        </is>
      </c>
      <c r="E1119" t="n">
        <v>2024</v>
      </c>
      <c r="F1119" t="inlineStr">
        <is>
          <t>Styczeń</t>
        </is>
      </c>
      <c r="G1119" t="inlineStr">
        <is>
          <t>Wt</t>
        </is>
      </c>
      <c r="H1119">
        <f>'Floor Hours Engine'!$E$4</f>
        <v/>
      </c>
      <c r="I1119" t="inlineStr">
        <is>
          <t>W5</t>
        </is>
      </c>
      <c r="J1119" t="inlineStr">
        <is>
          <t>2024_Styczeń_W5</t>
        </is>
      </c>
    </row>
    <row r="1120">
      <c r="A1120" s="177" t="n">
        <v>45315</v>
      </c>
      <c r="B1120" s="177" t="n">
        <v>45314</v>
      </c>
      <c r="C1120" s="177" t="n">
        <v>45320</v>
      </c>
      <c r="D1120" t="inlineStr">
        <is>
          <t>BW20240123</t>
        </is>
      </c>
      <c r="E1120" t="n">
        <v>2024</v>
      </c>
      <c r="F1120" t="inlineStr">
        <is>
          <t>Styczeń</t>
        </is>
      </c>
      <c r="G1120" t="inlineStr">
        <is>
          <t>Śr</t>
        </is>
      </c>
      <c r="H1120">
        <f>'Floor Hours Engine'!$E$4</f>
        <v/>
      </c>
      <c r="I1120" t="inlineStr">
        <is>
          <t>W5</t>
        </is>
      </c>
      <c r="J1120" t="inlineStr">
        <is>
          <t>2024_Styczeń_W5</t>
        </is>
      </c>
    </row>
    <row r="1121">
      <c r="A1121" s="177" t="n">
        <v>45316</v>
      </c>
      <c r="B1121" s="177" t="n">
        <v>45314</v>
      </c>
      <c r="C1121" s="177" t="n">
        <v>45320</v>
      </c>
      <c r="D1121" t="inlineStr">
        <is>
          <t>BW20240123</t>
        </is>
      </c>
      <c r="E1121" t="n">
        <v>2024</v>
      </c>
      <c r="F1121" t="inlineStr">
        <is>
          <t>Styczeń</t>
        </is>
      </c>
      <c r="G1121" t="inlineStr">
        <is>
          <t>Czw</t>
        </is>
      </c>
      <c r="H1121">
        <f>'Floor Hours Engine'!$E$4</f>
        <v/>
      </c>
      <c r="I1121" t="inlineStr">
        <is>
          <t>W5</t>
        </is>
      </c>
      <c r="J1121" t="inlineStr">
        <is>
          <t>2024_Styczeń_W5</t>
        </is>
      </c>
    </row>
    <row r="1122">
      <c r="A1122" s="177" t="n">
        <v>45317</v>
      </c>
      <c r="B1122" s="177" t="n">
        <v>45314</v>
      </c>
      <c r="C1122" s="177" t="n">
        <v>45320</v>
      </c>
      <c r="D1122" t="inlineStr">
        <is>
          <t>BW20240123</t>
        </is>
      </c>
      <c r="E1122" t="n">
        <v>2024</v>
      </c>
      <c r="F1122" t="inlineStr">
        <is>
          <t>Styczeń</t>
        </is>
      </c>
      <c r="G1122" t="inlineStr">
        <is>
          <t>Pt</t>
        </is>
      </c>
      <c r="H1122">
        <f>'Floor Hours Engine'!$E$5</f>
        <v/>
      </c>
      <c r="I1122" t="inlineStr">
        <is>
          <t>W5</t>
        </is>
      </c>
      <c r="J1122" t="inlineStr">
        <is>
          <t>2024_Styczeń_W5</t>
        </is>
      </c>
    </row>
    <row r="1123">
      <c r="A1123" s="177" t="n">
        <v>45318</v>
      </c>
      <c r="B1123" s="177" t="n">
        <v>45314</v>
      </c>
      <c r="C1123" s="177" t="n">
        <v>45320</v>
      </c>
      <c r="D1123" t="inlineStr">
        <is>
          <t>BW20240123</t>
        </is>
      </c>
      <c r="E1123" t="n">
        <v>2024</v>
      </c>
      <c r="F1123" t="inlineStr">
        <is>
          <t>Styczeń</t>
        </is>
      </c>
      <c r="G1123" t="inlineStr">
        <is>
          <t>Sob</t>
        </is>
      </c>
      <c r="H1123">
        <f>'Floor Hours Engine'!$E$5</f>
        <v/>
      </c>
      <c r="I1123" t="inlineStr">
        <is>
          <t>W5</t>
        </is>
      </c>
      <c r="J1123" t="inlineStr">
        <is>
          <t>2024_Styczeń_W5</t>
        </is>
      </c>
    </row>
    <row r="1124">
      <c r="A1124" s="177" t="n">
        <v>45319</v>
      </c>
      <c r="B1124" s="177" t="n">
        <v>45314</v>
      </c>
      <c r="C1124" s="177" t="n">
        <v>45320</v>
      </c>
      <c r="D1124" t="inlineStr">
        <is>
          <t>BW20240123</t>
        </is>
      </c>
      <c r="E1124" t="n">
        <v>2024</v>
      </c>
      <c r="F1124" t="inlineStr">
        <is>
          <t>Styczeń</t>
        </is>
      </c>
      <c r="G1124" t="inlineStr">
        <is>
          <t>Nd</t>
        </is>
      </c>
      <c r="H1124">
        <f>'Floor Hours Engine'!$E$6</f>
        <v/>
      </c>
      <c r="I1124" t="inlineStr">
        <is>
          <t>W5</t>
        </is>
      </c>
      <c r="J1124" t="inlineStr">
        <is>
          <t>2024_Styczeń_W5</t>
        </is>
      </c>
    </row>
    <row r="1125">
      <c r="A1125" s="177" t="n">
        <v>45320</v>
      </c>
      <c r="B1125" s="177" t="n">
        <v>45314</v>
      </c>
      <c r="C1125" s="177" t="n">
        <v>45320</v>
      </c>
      <c r="D1125" t="inlineStr">
        <is>
          <t>BW20240123</t>
        </is>
      </c>
      <c r="E1125" t="n">
        <v>2024</v>
      </c>
      <c r="F1125" t="inlineStr">
        <is>
          <t>Styczeń</t>
        </is>
      </c>
      <c r="G1125" t="inlineStr">
        <is>
          <t>Pn</t>
        </is>
      </c>
      <c r="H1125">
        <f>'Floor Hours Engine'!$E$4</f>
        <v/>
      </c>
      <c r="I1125" t="inlineStr">
        <is>
          <t>W5</t>
        </is>
      </c>
      <c r="J1125" t="inlineStr">
        <is>
          <t>2024_Styczeń_W5</t>
        </is>
      </c>
    </row>
    <row r="1126">
      <c r="A1126" s="177" t="n">
        <v>45321</v>
      </c>
      <c r="B1126" s="177" t="n">
        <v>45321</v>
      </c>
      <c r="C1126" s="177" t="n">
        <v>45327</v>
      </c>
      <c r="D1126" t="inlineStr">
        <is>
          <t>BW20240130</t>
        </is>
      </c>
      <c r="E1126" t="n">
        <v>2024</v>
      </c>
      <c r="F1126" t="inlineStr">
        <is>
          <t>Styczeń</t>
        </is>
      </c>
      <c r="G1126" t="inlineStr">
        <is>
          <t>Wt</t>
        </is>
      </c>
      <c r="H1126">
        <f>'Floor Hours Engine'!$E$4</f>
        <v/>
      </c>
      <c r="I1126" t="inlineStr">
        <is>
          <t>W6</t>
        </is>
      </c>
      <c r="J1126" t="inlineStr">
        <is>
          <t>2024_Styczeń_W6</t>
        </is>
      </c>
    </row>
    <row r="1127">
      <c r="A1127" s="177" t="n">
        <v>45322</v>
      </c>
      <c r="B1127" s="177" t="n">
        <v>45321</v>
      </c>
      <c r="C1127" s="177" t="n">
        <v>45327</v>
      </c>
      <c r="D1127" t="inlineStr">
        <is>
          <t>BW20240130</t>
        </is>
      </c>
      <c r="E1127" t="n">
        <v>2024</v>
      </c>
      <c r="F1127" t="inlineStr">
        <is>
          <t>Styczeń</t>
        </is>
      </c>
      <c r="G1127" t="inlineStr">
        <is>
          <t>Śr</t>
        </is>
      </c>
      <c r="H1127">
        <f>'Floor Hours Engine'!$E$4</f>
        <v/>
      </c>
      <c r="I1127" t="inlineStr">
        <is>
          <t>W6</t>
        </is>
      </c>
      <c r="J1127" t="inlineStr">
        <is>
          <t>2024_Styczeń_W6</t>
        </is>
      </c>
    </row>
    <row r="1128">
      <c r="A1128" s="177" t="n">
        <v>45323</v>
      </c>
      <c r="B1128" s="177" t="n">
        <v>45321</v>
      </c>
      <c r="C1128" s="177" t="n">
        <v>45327</v>
      </c>
      <c r="D1128" t="inlineStr">
        <is>
          <t>BW20240130</t>
        </is>
      </c>
      <c r="E1128" t="n">
        <v>2024</v>
      </c>
      <c r="F1128" t="inlineStr">
        <is>
          <t>Luty</t>
        </is>
      </c>
      <c r="G1128" t="inlineStr">
        <is>
          <t>Czw</t>
        </is>
      </c>
      <c r="H1128">
        <f>'Floor Hours Engine'!$E$4</f>
        <v/>
      </c>
      <c r="I1128" t="inlineStr">
        <is>
          <t>W1</t>
        </is>
      </c>
      <c r="J1128" t="inlineStr">
        <is>
          <t>2024_Luty_W1</t>
        </is>
      </c>
    </row>
    <row r="1129">
      <c r="A1129" s="177" t="n">
        <v>45324</v>
      </c>
      <c r="B1129" s="177" t="n">
        <v>45321</v>
      </c>
      <c r="C1129" s="177" t="n">
        <v>45327</v>
      </c>
      <c r="D1129" t="inlineStr">
        <is>
          <t>BW20240130</t>
        </is>
      </c>
      <c r="E1129" t="n">
        <v>2024</v>
      </c>
      <c r="F1129" t="inlineStr">
        <is>
          <t>Luty</t>
        </is>
      </c>
      <c r="G1129" t="inlineStr">
        <is>
          <t>Pt</t>
        </is>
      </c>
      <c r="H1129">
        <f>'Floor Hours Engine'!$E$5</f>
        <v/>
      </c>
      <c r="I1129" t="inlineStr">
        <is>
          <t>W1</t>
        </is>
      </c>
      <c r="J1129" t="inlineStr">
        <is>
          <t>2024_Luty_W1</t>
        </is>
      </c>
    </row>
    <row r="1130">
      <c r="A1130" s="177" t="n">
        <v>45325</v>
      </c>
      <c r="B1130" s="177" t="n">
        <v>45321</v>
      </c>
      <c r="C1130" s="177" t="n">
        <v>45327</v>
      </c>
      <c r="D1130" t="inlineStr">
        <is>
          <t>BW20240130</t>
        </is>
      </c>
      <c r="E1130" t="n">
        <v>2024</v>
      </c>
      <c r="F1130" t="inlineStr">
        <is>
          <t>Luty</t>
        </is>
      </c>
      <c r="G1130" t="inlineStr">
        <is>
          <t>Sob</t>
        </is>
      </c>
      <c r="H1130">
        <f>'Floor Hours Engine'!$E$5</f>
        <v/>
      </c>
      <c r="I1130" t="inlineStr">
        <is>
          <t>W1</t>
        </is>
      </c>
      <c r="J1130" t="inlineStr">
        <is>
          <t>2024_Luty_W1</t>
        </is>
      </c>
    </row>
    <row r="1131">
      <c r="A1131" s="177" t="n">
        <v>45326</v>
      </c>
      <c r="B1131" s="177" t="n">
        <v>45321</v>
      </c>
      <c r="C1131" s="177" t="n">
        <v>45327</v>
      </c>
      <c r="D1131" t="inlineStr">
        <is>
          <t>BW20240130</t>
        </is>
      </c>
      <c r="E1131" t="n">
        <v>2024</v>
      </c>
      <c r="F1131" t="inlineStr">
        <is>
          <t>Luty</t>
        </is>
      </c>
      <c r="G1131" t="inlineStr">
        <is>
          <t>Nd</t>
        </is>
      </c>
      <c r="H1131">
        <f>'Floor Hours Engine'!$E$6</f>
        <v/>
      </c>
      <c r="I1131" t="inlineStr">
        <is>
          <t>W1</t>
        </is>
      </c>
      <c r="J1131" t="inlineStr">
        <is>
          <t>2024_Luty_W1</t>
        </is>
      </c>
    </row>
    <row r="1132">
      <c r="A1132" s="177" t="n">
        <v>45327</v>
      </c>
      <c r="B1132" s="177" t="n">
        <v>45321</v>
      </c>
      <c r="C1132" s="177" t="n">
        <v>45327</v>
      </c>
      <c r="D1132" t="inlineStr">
        <is>
          <t>BW20240130</t>
        </is>
      </c>
      <c r="E1132" t="n">
        <v>2024</v>
      </c>
      <c r="F1132" t="inlineStr">
        <is>
          <t>Luty</t>
        </is>
      </c>
      <c r="G1132" t="inlineStr">
        <is>
          <t>Pn</t>
        </is>
      </c>
      <c r="H1132">
        <f>'Floor Hours Engine'!$E$4</f>
        <v/>
      </c>
      <c r="I1132" t="inlineStr">
        <is>
          <t>W1</t>
        </is>
      </c>
      <c r="J1132" t="inlineStr">
        <is>
          <t>2024_Luty_W1</t>
        </is>
      </c>
    </row>
    <row r="1133">
      <c r="A1133" s="177" t="n">
        <v>45328</v>
      </c>
      <c r="B1133" s="177" t="n">
        <v>45328</v>
      </c>
      <c r="C1133" s="177" t="n">
        <v>45334</v>
      </c>
      <c r="D1133" t="inlineStr">
        <is>
          <t>BW20240206</t>
        </is>
      </c>
      <c r="E1133" t="n">
        <v>2024</v>
      </c>
      <c r="F1133" t="inlineStr">
        <is>
          <t>Luty</t>
        </is>
      </c>
      <c r="G1133" t="inlineStr">
        <is>
          <t>Wt</t>
        </is>
      </c>
      <c r="H1133">
        <f>'Floor Hours Engine'!$E$4</f>
        <v/>
      </c>
      <c r="I1133" t="inlineStr">
        <is>
          <t>W2</t>
        </is>
      </c>
      <c r="J1133" t="inlineStr">
        <is>
          <t>2024_Luty_W2</t>
        </is>
      </c>
    </row>
    <row r="1134">
      <c r="A1134" s="177" t="n">
        <v>45329</v>
      </c>
      <c r="B1134" s="177" t="n">
        <v>45328</v>
      </c>
      <c r="C1134" s="177" t="n">
        <v>45334</v>
      </c>
      <c r="D1134" t="inlineStr">
        <is>
          <t>BW20240206</t>
        </is>
      </c>
      <c r="E1134" t="n">
        <v>2024</v>
      </c>
      <c r="F1134" t="inlineStr">
        <is>
          <t>Luty</t>
        </is>
      </c>
      <c r="G1134" t="inlineStr">
        <is>
          <t>Śr</t>
        </is>
      </c>
      <c r="H1134">
        <f>'Floor Hours Engine'!$E$4</f>
        <v/>
      </c>
      <c r="I1134" t="inlineStr">
        <is>
          <t>W2</t>
        </is>
      </c>
      <c r="J1134" t="inlineStr">
        <is>
          <t>2024_Luty_W2</t>
        </is>
      </c>
    </row>
    <row r="1135">
      <c r="A1135" s="177" t="n">
        <v>45330</v>
      </c>
      <c r="B1135" s="177" t="n">
        <v>45328</v>
      </c>
      <c r="C1135" s="177" t="n">
        <v>45334</v>
      </c>
      <c r="D1135" t="inlineStr">
        <is>
          <t>BW20240206</t>
        </is>
      </c>
      <c r="E1135" t="n">
        <v>2024</v>
      </c>
      <c r="F1135" t="inlineStr">
        <is>
          <t>Luty</t>
        </is>
      </c>
      <c r="G1135" t="inlineStr">
        <is>
          <t>Czw</t>
        </is>
      </c>
      <c r="H1135">
        <f>'Floor Hours Engine'!$E$4</f>
        <v/>
      </c>
      <c r="I1135" t="inlineStr">
        <is>
          <t>W2</t>
        </is>
      </c>
      <c r="J1135" t="inlineStr">
        <is>
          <t>2024_Luty_W2</t>
        </is>
      </c>
    </row>
    <row r="1136">
      <c r="A1136" s="177" t="n">
        <v>45331</v>
      </c>
      <c r="B1136" s="177" t="n">
        <v>45328</v>
      </c>
      <c r="C1136" s="177" t="n">
        <v>45334</v>
      </c>
      <c r="D1136" t="inlineStr">
        <is>
          <t>BW20240206</t>
        </is>
      </c>
      <c r="E1136" t="n">
        <v>2024</v>
      </c>
      <c r="F1136" t="inlineStr">
        <is>
          <t>Luty</t>
        </is>
      </c>
      <c r="G1136" t="inlineStr">
        <is>
          <t>Pt</t>
        </is>
      </c>
      <c r="H1136">
        <f>'Floor Hours Engine'!$E$5</f>
        <v/>
      </c>
      <c r="I1136" t="inlineStr">
        <is>
          <t>W2</t>
        </is>
      </c>
      <c r="J1136" t="inlineStr">
        <is>
          <t>2024_Luty_W2</t>
        </is>
      </c>
    </row>
    <row r="1137">
      <c r="A1137" s="177" t="n">
        <v>45332</v>
      </c>
      <c r="B1137" s="177" t="n">
        <v>45328</v>
      </c>
      <c r="C1137" s="177" t="n">
        <v>45334</v>
      </c>
      <c r="D1137" t="inlineStr">
        <is>
          <t>BW20240206</t>
        </is>
      </c>
      <c r="E1137" t="n">
        <v>2024</v>
      </c>
      <c r="F1137" t="inlineStr">
        <is>
          <t>Luty</t>
        </is>
      </c>
      <c r="G1137" t="inlineStr">
        <is>
          <t>Sob</t>
        </is>
      </c>
      <c r="H1137">
        <f>'Floor Hours Engine'!$E$5</f>
        <v/>
      </c>
      <c r="I1137" t="inlineStr">
        <is>
          <t>W2</t>
        </is>
      </c>
      <c r="J1137" t="inlineStr">
        <is>
          <t>2024_Luty_W2</t>
        </is>
      </c>
    </row>
    <row r="1138">
      <c r="A1138" s="177" t="n">
        <v>45333</v>
      </c>
      <c r="B1138" s="177" t="n">
        <v>45328</v>
      </c>
      <c r="C1138" s="177" t="n">
        <v>45334</v>
      </c>
      <c r="D1138" t="inlineStr">
        <is>
          <t>BW20240206</t>
        </is>
      </c>
      <c r="E1138" t="n">
        <v>2024</v>
      </c>
      <c r="F1138" t="inlineStr">
        <is>
          <t>Luty</t>
        </is>
      </c>
      <c r="G1138" t="inlineStr">
        <is>
          <t>Nd</t>
        </is>
      </c>
      <c r="H1138">
        <f>'Floor Hours Engine'!$E$6</f>
        <v/>
      </c>
      <c r="I1138" t="inlineStr">
        <is>
          <t>W2</t>
        </is>
      </c>
      <c r="J1138" t="inlineStr">
        <is>
          <t>2024_Luty_W2</t>
        </is>
      </c>
    </row>
    <row r="1139">
      <c r="A1139" s="177" t="n">
        <v>45334</v>
      </c>
      <c r="B1139" s="177" t="n">
        <v>45328</v>
      </c>
      <c r="C1139" s="177" t="n">
        <v>45334</v>
      </c>
      <c r="D1139" t="inlineStr">
        <is>
          <t>BW20240206</t>
        </is>
      </c>
      <c r="E1139" t="n">
        <v>2024</v>
      </c>
      <c r="F1139" t="inlineStr">
        <is>
          <t>Luty</t>
        </is>
      </c>
      <c r="G1139" t="inlineStr">
        <is>
          <t>Pn</t>
        </is>
      </c>
      <c r="H1139">
        <f>'Floor Hours Engine'!$E$4</f>
        <v/>
      </c>
      <c r="I1139" t="inlineStr">
        <is>
          <t>W2</t>
        </is>
      </c>
      <c r="J1139" t="inlineStr">
        <is>
          <t>2024_Luty_W2</t>
        </is>
      </c>
    </row>
    <row r="1140">
      <c r="A1140" s="177" t="n">
        <v>45335</v>
      </c>
      <c r="B1140" s="177" t="n">
        <v>45335</v>
      </c>
      <c r="C1140" s="177" t="n">
        <v>45341</v>
      </c>
      <c r="D1140" t="inlineStr">
        <is>
          <t>BW20240213</t>
        </is>
      </c>
      <c r="E1140" t="n">
        <v>2024</v>
      </c>
      <c r="F1140" t="inlineStr">
        <is>
          <t>Luty</t>
        </is>
      </c>
      <c r="G1140" t="inlineStr">
        <is>
          <t>Wt</t>
        </is>
      </c>
      <c r="H1140">
        <f>'Floor Hours Engine'!$E$4</f>
        <v/>
      </c>
      <c r="I1140" t="inlineStr">
        <is>
          <t>W3</t>
        </is>
      </c>
      <c r="J1140" t="inlineStr">
        <is>
          <t>2024_Luty_W3</t>
        </is>
      </c>
    </row>
    <row r="1141">
      <c r="A1141" s="177" t="n">
        <v>45336</v>
      </c>
      <c r="B1141" s="177" t="n">
        <v>45335</v>
      </c>
      <c r="C1141" s="177" t="n">
        <v>45341</v>
      </c>
      <c r="D1141" t="inlineStr">
        <is>
          <t>BW20240213</t>
        </is>
      </c>
      <c r="E1141" t="n">
        <v>2024</v>
      </c>
      <c r="F1141" t="inlineStr">
        <is>
          <t>Luty</t>
        </is>
      </c>
      <c r="G1141" t="inlineStr">
        <is>
          <t>Śr</t>
        </is>
      </c>
      <c r="H1141">
        <f>'Floor Hours Engine'!$E$4</f>
        <v/>
      </c>
      <c r="I1141" t="inlineStr">
        <is>
          <t>W3</t>
        </is>
      </c>
      <c r="J1141" t="inlineStr">
        <is>
          <t>2024_Luty_W3</t>
        </is>
      </c>
    </row>
    <row r="1142">
      <c r="A1142" s="177" t="n">
        <v>45337</v>
      </c>
      <c r="B1142" s="177" t="n">
        <v>45335</v>
      </c>
      <c r="C1142" s="177" t="n">
        <v>45341</v>
      </c>
      <c r="D1142" t="inlineStr">
        <is>
          <t>BW20240213</t>
        </is>
      </c>
      <c r="E1142" t="n">
        <v>2024</v>
      </c>
      <c r="F1142" t="inlineStr">
        <is>
          <t>Luty</t>
        </is>
      </c>
      <c r="G1142" t="inlineStr">
        <is>
          <t>Czw</t>
        </is>
      </c>
      <c r="H1142">
        <f>'Floor Hours Engine'!$E$4</f>
        <v/>
      </c>
      <c r="I1142" t="inlineStr">
        <is>
          <t>W3</t>
        </is>
      </c>
      <c r="J1142" t="inlineStr">
        <is>
          <t>2024_Luty_W3</t>
        </is>
      </c>
    </row>
    <row r="1143">
      <c r="A1143" s="177" t="n">
        <v>45338</v>
      </c>
      <c r="B1143" s="177" t="n">
        <v>45335</v>
      </c>
      <c r="C1143" s="177" t="n">
        <v>45341</v>
      </c>
      <c r="D1143" t="inlineStr">
        <is>
          <t>BW20240213</t>
        </is>
      </c>
      <c r="E1143" t="n">
        <v>2024</v>
      </c>
      <c r="F1143" t="inlineStr">
        <is>
          <t>Luty</t>
        </is>
      </c>
      <c r="G1143" t="inlineStr">
        <is>
          <t>Pt</t>
        </is>
      </c>
      <c r="H1143">
        <f>'Floor Hours Engine'!$E$5</f>
        <v/>
      </c>
      <c r="I1143" t="inlineStr">
        <is>
          <t>W3</t>
        </is>
      </c>
      <c r="J1143" t="inlineStr">
        <is>
          <t>2024_Luty_W3</t>
        </is>
      </c>
    </row>
    <row r="1144">
      <c r="A1144" s="177" t="n">
        <v>45339</v>
      </c>
      <c r="B1144" s="177" t="n">
        <v>45335</v>
      </c>
      <c r="C1144" s="177" t="n">
        <v>45341</v>
      </c>
      <c r="D1144" t="inlineStr">
        <is>
          <t>BW20240213</t>
        </is>
      </c>
      <c r="E1144" t="n">
        <v>2024</v>
      </c>
      <c r="F1144" t="inlineStr">
        <is>
          <t>Luty</t>
        </is>
      </c>
      <c r="G1144" t="inlineStr">
        <is>
          <t>Sob</t>
        </is>
      </c>
      <c r="H1144">
        <f>'Floor Hours Engine'!$E$5</f>
        <v/>
      </c>
      <c r="I1144" t="inlineStr">
        <is>
          <t>W3</t>
        </is>
      </c>
      <c r="J1144" t="inlineStr">
        <is>
          <t>2024_Luty_W3</t>
        </is>
      </c>
    </row>
    <row r="1145">
      <c r="A1145" s="177" t="n">
        <v>45340</v>
      </c>
      <c r="B1145" s="177" t="n">
        <v>45335</v>
      </c>
      <c r="C1145" s="177" t="n">
        <v>45341</v>
      </c>
      <c r="D1145" t="inlineStr">
        <is>
          <t>BW20240213</t>
        </is>
      </c>
      <c r="E1145" t="n">
        <v>2024</v>
      </c>
      <c r="F1145" t="inlineStr">
        <is>
          <t>Luty</t>
        </is>
      </c>
      <c r="G1145" t="inlineStr">
        <is>
          <t>Nd</t>
        </is>
      </c>
      <c r="H1145">
        <f>'Floor Hours Engine'!$E$6</f>
        <v/>
      </c>
      <c r="I1145" t="inlineStr">
        <is>
          <t>W3</t>
        </is>
      </c>
      <c r="J1145" t="inlineStr">
        <is>
          <t>2024_Luty_W3</t>
        </is>
      </c>
    </row>
    <row r="1146">
      <c r="A1146" s="177" t="n">
        <v>45341</v>
      </c>
      <c r="B1146" s="177" t="n">
        <v>45335</v>
      </c>
      <c r="C1146" s="177" t="n">
        <v>45341</v>
      </c>
      <c r="D1146" t="inlineStr">
        <is>
          <t>BW20240213</t>
        </is>
      </c>
      <c r="E1146" t="n">
        <v>2024</v>
      </c>
      <c r="F1146" t="inlineStr">
        <is>
          <t>Luty</t>
        </is>
      </c>
      <c r="G1146" t="inlineStr">
        <is>
          <t>Pn</t>
        </is>
      </c>
      <c r="H1146">
        <f>'Floor Hours Engine'!$E$4</f>
        <v/>
      </c>
      <c r="I1146" t="inlineStr">
        <is>
          <t>W3</t>
        </is>
      </c>
      <c r="J1146" t="inlineStr">
        <is>
          <t>2024_Luty_W3</t>
        </is>
      </c>
    </row>
    <row r="1147">
      <c r="A1147" s="177" t="n">
        <v>45342</v>
      </c>
      <c r="B1147" s="177" t="n">
        <v>45342</v>
      </c>
      <c r="C1147" s="177" t="n">
        <v>45348</v>
      </c>
      <c r="D1147" t="inlineStr">
        <is>
          <t>BW20240220</t>
        </is>
      </c>
      <c r="E1147" t="n">
        <v>2024</v>
      </c>
      <c r="F1147" t="inlineStr">
        <is>
          <t>Luty</t>
        </is>
      </c>
      <c r="G1147" t="inlineStr">
        <is>
          <t>Wt</t>
        </is>
      </c>
      <c r="H1147">
        <f>'Floor Hours Engine'!$E$4</f>
        <v/>
      </c>
      <c r="I1147" t="inlineStr">
        <is>
          <t>W4</t>
        </is>
      </c>
      <c r="J1147" t="inlineStr">
        <is>
          <t>2024_Luty_W4</t>
        </is>
      </c>
    </row>
    <row r="1148">
      <c r="A1148" s="177" t="n">
        <v>45343</v>
      </c>
      <c r="B1148" s="177" t="n">
        <v>45342</v>
      </c>
      <c r="C1148" s="177" t="n">
        <v>45348</v>
      </c>
      <c r="D1148" t="inlineStr">
        <is>
          <t>BW20240220</t>
        </is>
      </c>
      <c r="E1148" t="n">
        <v>2024</v>
      </c>
      <c r="F1148" t="inlineStr">
        <is>
          <t>Luty</t>
        </is>
      </c>
      <c r="G1148" t="inlineStr">
        <is>
          <t>Śr</t>
        </is>
      </c>
      <c r="H1148">
        <f>'Floor Hours Engine'!$E$4</f>
        <v/>
      </c>
      <c r="I1148" t="inlineStr">
        <is>
          <t>W4</t>
        </is>
      </c>
      <c r="J1148" t="inlineStr">
        <is>
          <t>2024_Luty_W4</t>
        </is>
      </c>
    </row>
    <row r="1149">
      <c r="A1149" s="177" t="n">
        <v>45344</v>
      </c>
      <c r="B1149" s="177" t="n">
        <v>45342</v>
      </c>
      <c r="C1149" s="177" t="n">
        <v>45348</v>
      </c>
      <c r="D1149" t="inlineStr">
        <is>
          <t>BW20240220</t>
        </is>
      </c>
      <c r="E1149" t="n">
        <v>2024</v>
      </c>
      <c r="F1149" t="inlineStr">
        <is>
          <t>Luty</t>
        </is>
      </c>
      <c r="G1149" t="inlineStr">
        <is>
          <t>Czw</t>
        </is>
      </c>
      <c r="H1149">
        <f>'Floor Hours Engine'!$E$4</f>
        <v/>
      </c>
      <c r="I1149" t="inlineStr">
        <is>
          <t>W4</t>
        </is>
      </c>
      <c r="J1149" t="inlineStr">
        <is>
          <t>2024_Luty_W4</t>
        </is>
      </c>
    </row>
    <row r="1150">
      <c r="A1150" s="177" t="n">
        <v>45345</v>
      </c>
      <c r="B1150" s="177" t="n">
        <v>45342</v>
      </c>
      <c r="C1150" s="177" t="n">
        <v>45348</v>
      </c>
      <c r="D1150" t="inlineStr">
        <is>
          <t>BW20240220</t>
        </is>
      </c>
      <c r="E1150" t="n">
        <v>2024</v>
      </c>
      <c r="F1150" t="inlineStr">
        <is>
          <t>Luty</t>
        </is>
      </c>
      <c r="G1150" t="inlineStr">
        <is>
          <t>Pt</t>
        </is>
      </c>
      <c r="H1150">
        <f>'Floor Hours Engine'!$E$5</f>
        <v/>
      </c>
      <c r="I1150" t="inlineStr">
        <is>
          <t>W4</t>
        </is>
      </c>
      <c r="J1150" t="inlineStr">
        <is>
          <t>2024_Luty_W4</t>
        </is>
      </c>
    </row>
    <row r="1151">
      <c r="A1151" s="177" t="n">
        <v>45346</v>
      </c>
      <c r="B1151" s="177" t="n">
        <v>45342</v>
      </c>
      <c r="C1151" s="177" t="n">
        <v>45348</v>
      </c>
      <c r="D1151" t="inlineStr">
        <is>
          <t>BW20240220</t>
        </is>
      </c>
      <c r="E1151" t="n">
        <v>2024</v>
      </c>
      <c r="F1151" t="inlineStr">
        <is>
          <t>Luty</t>
        </is>
      </c>
      <c r="G1151" t="inlineStr">
        <is>
          <t>Sob</t>
        </is>
      </c>
      <c r="H1151">
        <f>'Floor Hours Engine'!$E$5</f>
        <v/>
      </c>
      <c r="I1151" t="inlineStr">
        <is>
          <t>W4</t>
        </is>
      </c>
      <c r="J1151" t="inlineStr">
        <is>
          <t>2024_Luty_W4</t>
        </is>
      </c>
    </row>
    <row r="1152">
      <c r="A1152" s="177" t="n">
        <v>45347</v>
      </c>
      <c r="B1152" s="177" t="n">
        <v>45342</v>
      </c>
      <c r="C1152" s="177" t="n">
        <v>45348</v>
      </c>
      <c r="D1152" t="inlineStr">
        <is>
          <t>BW20240220</t>
        </is>
      </c>
      <c r="E1152" t="n">
        <v>2024</v>
      </c>
      <c r="F1152" t="inlineStr">
        <is>
          <t>Luty</t>
        </is>
      </c>
      <c r="G1152" t="inlineStr">
        <is>
          <t>Nd</t>
        </is>
      </c>
      <c r="H1152">
        <f>'Floor Hours Engine'!$E$6</f>
        <v/>
      </c>
      <c r="I1152" t="inlineStr">
        <is>
          <t>W4</t>
        </is>
      </c>
      <c r="J1152" t="inlineStr">
        <is>
          <t>2024_Luty_W4</t>
        </is>
      </c>
    </row>
    <row r="1153">
      <c r="A1153" s="177" t="n">
        <v>45348</v>
      </c>
      <c r="B1153" s="177" t="n">
        <v>45342</v>
      </c>
      <c r="C1153" s="177" t="n">
        <v>45348</v>
      </c>
      <c r="D1153" t="inlineStr">
        <is>
          <t>BW20240220</t>
        </is>
      </c>
      <c r="E1153" t="n">
        <v>2024</v>
      </c>
      <c r="F1153" t="inlineStr">
        <is>
          <t>Luty</t>
        </is>
      </c>
      <c r="G1153" t="inlineStr">
        <is>
          <t>Pn</t>
        </is>
      </c>
      <c r="H1153">
        <f>'Floor Hours Engine'!$E$4</f>
        <v/>
      </c>
      <c r="I1153" t="inlineStr">
        <is>
          <t>W4</t>
        </is>
      </c>
      <c r="J1153" t="inlineStr">
        <is>
          <t>2024_Luty_W4</t>
        </is>
      </c>
    </row>
    <row r="1154">
      <c r="A1154" s="177" t="n">
        <v>45349</v>
      </c>
      <c r="B1154" s="177" t="n">
        <v>45349</v>
      </c>
      <c r="C1154" s="177" t="n">
        <v>45355</v>
      </c>
      <c r="D1154" t="inlineStr">
        <is>
          <t>BW20240227</t>
        </is>
      </c>
      <c r="E1154" t="n">
        <v>2024</v>
      </c>
      <c r="F1154" t="inlineStr">
        <is>
          <t>Luty</t>
        </is>
      </c>
      <c r="G1154" t="inlineStr">
        <is>
          <t>Wt</t>
        </is>
      </c>
      <c r="H1154">
        <f>'Floor Hours Engine'!$E$4</f>
        <v/>
      </c>
      <c r="I1154" t="inlineStr">
        <is>
          <t>W5</t>
        </is>
      </c>
      <c r="J1154" t="inlineStr">
        <is>
          <t>2024_Luty_W5</t>
        </is>
      </c>
    </row>
    <row r="1155">
      <c r="A1155" s="177" t="n">
        <v>45350</v>
      </c>
      <c r="B1155" s="177" t="n">
        <v>45349</v>
      </c>
      <c r="C1155" s="177" t="n">
        <v>45355</v>
      </c>
      <c r="D1155" t="inlineStr">
        <is>
          <t>BW20240227</t>
        </is>
      </c>
      <c r="E1155" t="n">
        <v>2024</v>
      </c>
      <c r="F1155" t="inlineStr">
        <is>
          <t>Luty</t>
        </is>
      </c>
      <c r="G1155" t="inlineStr">
        <is>
          <t>Śr</t>
        </is>
      </c>
      <c r="H1155">
        <f>'Floor Hours Engine'!$E$4</f>
        <v/>
      </c>
      <c r="I1155" t="inlineStr">
        <is>
          <t>W5</t>
        </is>
      </c>
      <c r="J1155" t="inlineStr">
        <is>
          <t>2024_Luty_W5</t>
        </is>
      </c>
    </row>
    <row r="1156">
      <c r="A1156" s="177" t="n">
        <v>45351</v>
      </c>
      <c r="B1156" s="177" t="n">
        <v>45349</v>
      </c>
      <c r="C1156" s="177" t="n">
        <v>45355</v>
      </c>
      <c r="D1156" t="inlineStr">
        <is>
          <t>BW20240227</t>
        </is>
      </c>
      <c r="E1156" t="n">
        <v>2024</v>
      </c>
      <c r="F1156" t="inlineStr">
        <is>
          <t>Luty</t>
        </is>
      </c>
      <c r="G1156" t="inlineStr">
        <is>
          <t>Czw</t>
        </is>
      </c>
      <c r="H1156">
        <f>'Floor Hours Engine'!$E$4</f>
        <v/>
      </c>
      <c r="I1156" t="inlineStr">
        <is>
          <t>W5</t>
        </is>
      </c>
      <c r="J1156" t="inlineStr">
        <is>
          <t>2024_Luty_W5</t>
        </is>
      </c>
    </row>
    <row r="1157">
      <c r="A1157" s="177" t="n">
        <v>45352</v>
      </c>
      <c r="B1157" s="177" t="n">
        <v>45349</v>
      </c>
      <c r="C1157" s="177" t="n">
        <v>45355</v>
      </c>
      <c r="D1157" t="inlineStr">
        <is>
          <t>BW20240227</t>
        </is>
      </c>
      <c r="E1157" t="n">
        <v>2024</v>
      </c>
      <c r="F1157" t="inlineStr">
        <is>
          <t>Marzec</t>
        </is>
      </c>
      <c r="G1157" t="inlineStr">
        <is>
          <t>Pt</t>
        </is>
      </c>
      <c r="H1157">
        <f>'Floor Hours Engine'!$E$5</f>
        <v/>
      </c>
      <c r="I1157" t="inlineStr">
        <is>
          <t>W1</t>
        </is>
      </c>
      <c r="J1157" t="inlineStr">
        <is>
          <t>2024_Marzec_W1</t>
        </is>
      </c>
    </row>
    <row r="1158">
      <c r="A1158" s="177" t="n">
        <v>45353</v>
      </c>
      <c r="B1158" s="177" t="n">
        <v>45349</v>
      </c>
      <c r="C1158" s="177" t="n">
        <v>45355</v>
      </c>
      <c r="D1158" t="inlineStr">
        <is>
          <t>BW20240227</t>
        </is>
      </c>
      <c r="E1158" t="n">
        <v>2024</v>
      </c>
      <c r="F1158" t="inlineStr">
        <is>
          <t>Marzec</t>
        </is>
      </c>
      <c r="G1158" t="inlineStr">
        <is>
          <t>Sob</t>
        </is>
      </c>
      <c r="H1158">
        <f>'Floor Hours Engine'!$E$5</f>
        <v/>
      </c>
      <c r="I1158" t="inlineStr">
        <is>
          <t>W1</t>
        </is>
      </c>
      <c r="J1158" t="inlineStr">
        <is>
          <t>2024_Marzec_W1</t>
        </is>
      </c>
    </row>
    <row r="1159">
      <c r="A1159" s="177" t="n">
        <v>45354</v>
      </c>
      <c r="B1159" s="177" t="n">
        <v>45349</v>
      </c>
      <c r="C1159" s="177" t="n">
        <v>45355</v>
      </c>
      <c r="D1159" t="inlineStr">
        <is>
          <t>BW20240227</t>
        </is>
      </c>
      <c r="E1159" t="n">
        <v>2024</v>
      </c>
      <c r="F1159" t="inlineStr">
        <is>
          <t>Marzec</t>
        </is>
      </c>
      <c r="G1159" t="inlineStr">
        <is>
          <t>Nd</t>
        </is>
      </c>
      <c r="H1159">
        <f>'Floor Hours Engine'!$E$6</f>
        <v/>
      </c>
      <c r="I1159" t="inlineStr">
        <is>
          <t>W1</t>
        </is>
      </c>
      <c r="J1159" t="inlineStr">
        <is>
          <t>2024_Marzec_W1</t>
        </is>
      </c>
    </row>
    <row r="1160">
      <c r="A1160" s="177" t="n">
        <v>45355</v>
      </c>
      <c r="B1160" s="177" t="n">
        <v>45349</v>
      </c>
      <c r="C1160" s="177" t="n">
        <v>45355</v>
      </c>
      <c r="D1160" t="inlineStr">
        <is>
          <t>BW20240227</t>
        </is>
      </c>
      <c r="E1160" t="n">
        <v>2024</v>
      </c>
      <c r="F1160" t="inlineStr">
        <is>
          <t>Marzec</t>
        </is>
      </c>
      <c r="G1160" t="inlineStr">
        <is>
          <t>Pn</t>
        </is>
      </c>
      <c r="H1160">
        <f>'Floor Hours Engine'!$E$4</f>
        <v/>
      </c>
      <c r="I1160" t="inlineStr">
        <is>
          <t>W1</t>
        </is>
      </c>
      <c r="J1160" t="inlineStr">
        <is>
          <t>2024_Marzec_W1</t>
        </is>
      </c>
    </row>
    <row r="1161">
      <c r="A1161" s="177" t="n">
        <v>45356</v>
      </c>
      <c r="B1161" s="177" t="n">
        <v>45356</v>
      </c>
      <c r="C1161" s="177" t="n">
        <v>45362</v>
      </c>
      <c r="D1161" t="inlineStr">
        <is>
          <t>BW20240305</t>
        </is>
      </c>
      <c r="E1161" t="n">
        <v>2024</v>
      </c>
      <c r="F1161" t="inlineStr">
        <is>
          <t>Marzec</t>
        </is>
      </c>
      <c r="G1161" t="inlineStr">
        <is>
          <t>Wt</t>
        </is>
      </c>
      <c r="H1161">
        <f>'Floor Hours Engine'!$E$4</f>
        <v/>
      </c>
      <c r="I1161" t="inlineStr">
        <is>
          <t>W2</t>
        </is>
      </c>
      <c r="J1161" t="inlineStr">
        <is>
          <t>2024_Marzec_W2</t>
        </is>
      </c>
    </row>
    <row r="1162">
      <c r="A1162" s="177" t="n">
        <v>45357</v>
      </c>
      <c r="B1162" s="177" t="n">
        <v>45356</v>
      </c>
      <c r="C1162" s="177" t="n">
        <v>45362</v>
      </c>
      <c r="D1162" t="inlineStr">
        <is>
          <t>BW20240305</t>
        </is>
      </c>
      <c r="E1162" t="n">
        <v>2024</v>
      </c>
      <c r="F1162" t="inlineStr">
        <is>
          <t>Marzec</t>
        </is>
      </c>
      <c r="G1162" t="inlineStr">
        <is>
          <t>Śr</t>
        </is>
      </c>
      <c r="H1162">
        <f>'Floor Hours Engine'!$E$4</f>
        <v/>
      </c>
      <c r="I1162" t="inlineStr">
        <is>
          <t>W2</t>
        </is>
      </c>
      <c r="J1162" t="inlineStr">
        <is>
          <t>2024_Marzec_W2</t>
        </is>
      </c>
    </row>
    <row r="1163">
      <c r="A1163" s="177" t="n">
        <v>45358</v>
      </c>
      <c r="B1163" s="177" t="n">
        <v>45356</v>
      </c>
      <c r="C1163" s="177" t="n">
        <v>45362</v>
      </c>
      <c r="D1163" t="inlineStr">
        <is>
          <t>BW20240305</t>
        </is>
      </c>
      <c r="E1163" t="n">
        <v>2024</v>
      </c>
      <c r="F1163" t="inlineStr">
        <is>
          <t>Marzec</t>
        </is>
      </c>
      <c r="G1163" t="inlineStr">
        <is>
          <t>Czw</t>
        </is>
      </c>
      <c r="H1163">
        <f>'Floor Hours Engine'!$E$4</f>
        <v/>
      </c>
      <c r="I1163" t="inlineStr">
        <is>
          <t>W2</t>
        </is>
      </c>
      <c r="J1163" t="inlineStr">
        <is>
          <t>2024_Marzec_W2</t>
        </is>
      </c>
    </row>
    <row r="1164">
      <c r="A1164" s="177" t="n">
        <v>45359</v>
      </c>
      <c r="B1164" s="177" t="n">
        <v>45356</v>
      </c>
      <c r="C1164" s="177" t="n">
        <v>45362</v>
      </c>
      <c r="D1164" t="inlineStr">
        <is>
          <t>BW20240305</t>
        </is>
      </c>
      <c r="E1164" t="n">
        <v>2024</v>
      </c>
      <c r="F1164" t="inlineStr">
        <is>
          <t>Marzec</t>
        </is>
      </c>
      <c r="G1164" t="inlineStr">
        <is>
          <t>Pt</t>
        </is>
      </c>
      <c r="H1164">
        <f>'Floor Hours Engine'!$E$5</f>
        <v/>
      </c>
      <c r="I1164" t="inlineStr">
        <is>
          <t>W2</t>
        </is>
      </c>
      <c r="J1164" t="inlineStr">
        <is>
          <t>2024_Marzec_W2</t>
        </is>
      </c>
    </row>
    <row r="1165">
      <c r="A1165" s="177" t="n">
        <v>45360</v>
      </c>
      <c r="B1165" s="177" t="n">
        <v>45356</v>
      </c>
      <c r="C1165" s="177" t="n">
        <v>45362</v>
      </c>
      <c r="D1165" t="inlineStr">
        <is>
          <t>BW20240305</t>
        </is>
      </c>
      <c r="E1165" t="n">
        <v>2024</v>
      </c>
      <c r="F1165" t="inlineStr">
        <is>
          <t>Marzec</t>
        </is>
      </c>
      <c r="G1165" t="inlineStr">
        <is>
          <t>Sob</t>
        </is>
      </c>
      <c r="H1165">
        <f>'Floor Hours Engine'!$E$5</f>
        <v/>
      </c>
      <c r="I1165" t="inlineStr">
        <is>
          <t>W2</t>
        </is>
      </c>
      <c r="J1165" t="inlineStr">
        <is>
          <t>2024_Marzec_W2</t>
        </is>
      </c>
    </row>
    <row r="1166">
      <c r="A1166" s="177" t="n">
        <v>45361</v>
      </c>
      <c r="B1166" s="177" t="n">
        <v>45356</v>
      </c>
      <c r="C1166" s="177" t="n">
        <v>45362</v>
      </c>
      <c r="D1166" t="inlineStr">
        <is>
          <t>BW20240305</t>
        </is>
      </c>
      <c r="E1166" t="n">
        <v>2024</v>
      </c>
      <c r="F1166" t="inlineStr">
        <is>
          <t>Marzec</t>
        </is>
      </c>
      <c r="G1166" t="inlineStr">
        <is>
          <t>Nd</t>
        </is>
      </c>
      <c r="H1166">
        <f>'Floor Hours Engine'!$E$6</f>
        <v/>
      </c>
      <c r="I1166" t="inlineStr">
        <is>
          <t>W2</t>
        </is>
      </c>
      <c r="J1166" t="inlineStr">
        <is>
          <t>2024_Marzec_W2</t>
        </is>
      </c>
    </row>
    <row r="1167">
      <c r="A1167" s="177" t="n">
        <v>45362</v>
      </c>
      <c r="B1167" s="177" t="n">
        <v>45356</v>
      </c>
      <c r="C1167" s="177" t="n">
        <v>45362</v>
      </c>
      <c r="D1167" t="inlineStr">
        <is>
          <t>BW20240305</t>
        </is>
      </c>
      <c r="E1167" t="n">
        <v>2024</v>
      </c>
      <c r="F1167" t="inlineStr">
        <is>
          <t>Marzec</t>
        </is>
      </c>
      <c r="G1167" t="inlineStr">
        <is>
          <t>Pn</t>
        </is>
      </c>
      <c r="H1167">
        <f>'Floor Hours Engine'!$E$4</f>
        <v/>
      </c>
      <c r="I1167" t="inlineStr">
        <is>
          <t>W2</t>
        </is>
      </c>
      <c r="J1167" t="inlineStr">
        <is>
          <t>2024_Marzec_W2</t>
        </is>
      </c>
    </row>
    <row r="1168">
      <c r="A1168" s="177" t="n">
        <v>45363</v>
      </c>
      <c r="B1168" s="177" t="n">
        <v>45363</v>
      </c>
      <c r="C1168" s="177" t="n">
        <v>45369</v>
      </c>
      <c r="D1168" t="inlineStr">
        <is>
          <t>BW20240312</t>
        </is>
      </c>
      <c r="E1168" t="n">
        <v>2024</v>
      </c>
      <c r="F1168" t="inlineStr">
        <is>
          <t>Marzec</t>
        </is>
      </c>
      <c r="G1168" t="inlineStr">
        <is>
          <t>Wt</t>
        </is>
      </c>
      <c r="H1168">
        <f>'Floor Hours Engine'!$E$4</f>
        <v/>
      </c>
      <c r="I1168" t="inlineStr">
        <is>
          <t>W3</t>
        </is>
      </c>
      <c r="J1168" t="inlineStr">
        <is>
          <t>2024_Marzec_W3</t>
        </is>
      </c>
    </row>
    <row r="1169">
      <c r="A1169" s="177" t="n">
        <v>45364</v>
      </c>
      <c r="B1169" s="177" t="n">
        <v>45363</v>
      </c>
      <c r="C1169" s="177" t="n">
        <v>45369</v>
      </c>
      <c r="D1169" t="inlineStr">
        <is>
          <t>BW20240312</t>
        </is>
      </c>
      <c r="E1169" t="n">
        <v>2024</v>
      </c>
      <c r="F1169" t="inlineStr">
        <is>
          <t>Marzec</t>
        </is>
      </c>
      <c r="G1169" t="inlineStr">
        <is>
          <t>Śr</t>
        </is>
      </c>
      <c r="H1169">
        <f>'Floor Hours Engine'!$E$4</f>
        <v/>
      </c>
      <c r="I1169" t="inlineStr">
        <is>
          <t>W3</t>
        </is>
      </c>
      <c r="J1169" t="inlineStr">
        <is>
          <t>2024_Marzec_W3</t>
        </is>
      </c>
    </row>
    <row r="1170">
      <c r="A1170" s="177" t="n">
        <v>45365</v>
      </c>
      <c r="B1170" s="177" t="n">
        <v>45363</v>
      </c>
      <c r="C1170" s="177" t="n">
        <v>45369</v>
      </c>
      <c r="D1170" t="inlineStr">
        <is>
          <t>BW20240312</t>
        </is>
      </c>
      <c r="E1170" t="n">
        <v>2024</v>
      </c>
      <c r="F1170" t="inlineStr">
        <is>
          <t>Marzec</t>
        </is>
      </c>
      <c r="G1170" t="inlineStr">
        <is>
          <t>Czw</t>
        </is>
      </c>
      <c r="H1170">
        <f>'Floor Hours Engine'!$E$4</f>
        <v/>
      </c>
      <c r="I1170" t="inlineStr">
        <is>
          <t>W3</t>
        </is>
      </c>
      <c r="J1170" t="inlineStr">
        <is>
          <t>2024_Marzec_W3</t>
        </is>
      </c>
    </row>
    <row r="1171">
      <c r="A1171" s="177" t="n">
        <v>45366</v>
      </c>
      <c r="B1171" s="177" t="n">
        <v>45363</v>
      </c>
      <c r="C1171" s="177" t="n">
        <v>45369</v>
      </c>
      <c r="D1171" t="inlineStr">
        <is>
          <t>BW20240312</t>
        </is>
      </c>
      <c r="E1171" t="n">
        <v>2024</v>
      </c>
      <c r="F1171" t="inlineStr">
        <is>
          <t>Marzec</t>
        </is>
      </c>
      <c r="G1171" t="inlineStr">
        <is>
          <t>Pt</t>
        </is>
      </c>
      <c r="H1171">
        <f>'Floor Hours Engine'!$E$5</f>
        <v/>
      </c>
      <c r="I1171" t="inlineStr">
        <is>
          <t>W3</t>
        </is>
      </c>
      <c r="J1171" t="inlineStr">
        <is>
          <t>2024_Marzec_W3</t>
        </is>
      </c>
    </row>
    <row r="1172">
      <c r="A1172" s="177" t="n">
        <v>45367</v>
      </c>
      <c r="B1172" s="177" t="n">
        <v>45363</v>
      </c>
      <c r="C1172" s="177" t="n">
        <v>45369</v>
      </c>
      <c r="D1172" t="inlineStr">
        <is>
          <t>BW20240312</t>
        </is>
      </c>
      <c r="E1172" t="n">
        <v>2024</v>
      </c>
      <c r="F1172" t="inlineStr">
        <is>
          <t>Marzec</t>
        </is>
      </c>
      <c r="G1172" t="inlineStr">
        <is>
          <t>Sob</t>
        </is>
      </c>
      <c r="H1172">
        <f>'Floor Hours Engine'!$E$5</f>
        <v/>
      </c>
      <c r="I1172" t="inlineStr">
        <is>
          <t>W3</t>
        </is>
      </c>
      <c r="J1172" t="inlineStr">
        <is>
          <t>2024_Marzec_W3</t>
        </is>
      </c>
    </row>
    <row r="1173">
      <c r="A1173" s="177" t="n">
        <v>45368</v>
      </c>
      <c r="B1173" s="177" t="n">
        <v>45363</v>
      </c>
      <c r="C1173" s="177" t="n">
        <v>45369</v>
      </c>
      <c r="D1173" t="inlineStr">
        <is>
          <t>BW20240312</t>
        </is>
      </c>
      <c r="E1173" t="n">
        <v>2024</v>
      </c>
      <c r="F1173" t="inlineStr">
        <is>
          <t>Marzec</t>
        </is>
      </c>
      <c r="G1173" t="inlineStr">
        <is>
          <t>Nd</t>
        </is>
      </c>
      <c r="H1173">
        <f>'Floor Hours Engine'!$E$6</f>
        <v/>
      </c>
      <c r="I1173" t="inlineStr">
        <is>
          <t>W3</t>
        </is>
      </c>
      <c r="J1173" t="inlineStr">
        <is>
          <t>2024_Marzec_W3</t>
        </is>
      </c>
    </row>
    <row r="1174">
      <c r="A1174" s="177" t="n">
        <v>45369</v>
      </c>
      <c r="B1174" s="177" t="n">
        <v>45363</v>
      </c>
      <c r="C1174" s="177" t="n">
        <v>45369</v>
      </c>
      <c r="D1174" t="inlineStr">
        <is>
          <t>BW20240312</t>
        </is>
      </c>
      <c r="E1174" t="n">
        <v>2024</v>
      </c>
      <c r="F1174" t="inlineStr">
        <is>
          <t>Marzec</t>
        </is>
      </c>
      <c r="G1174" t="inlineStr">
        <is>
          <t>Pn</t>
        </is>
      </c>
      <c r="H1174">
        <f>'Floor Hours Engine'!$E$4</f>
        <v/>
      </c>
      <c r="I1174" t="inlineStr">
        <is>
          <t>W3</t>
        </is>
      </c>
      <c r="J1174" t="inlineStr">
        <is>
          <t>2024_Marzec_W3</t>
        </is>
      </c>
    </row>
    <row r="1175">
      <c r="A1175" s="177" t="n">
        <v>45370</v>
      </c>
      <c r="B1175" s="177" t="n">
        <v>45370</v>
      </c>
      <c r="C1175" s="177" t="n">
        <v>45376</v>
      </c>
      <c r="D1175" t="inlineStr">
        <is>
          <t>BW20240319</t>
        </is>
      </c>
      <c r="E1175" t="n">
        <v>2024</v>
      </c>
      <c r="F1175" t="inlineStr">
        <is>
          <t>Marzec</t>
        </is>
      </c>
      <c r="G1175" t="inlineStr">
        <is>
          <t>Wt</t>
        </is>
      </c>
      <c r="H1175">
        <f>'Floor Hours Engine'!$E$4</f>
        <v/>
      </c>
      <c r="I1175" t="inlineStr">
        <is>
          <t>W4</t>
        </is>
      </c>
      <c r="J1175" t="inlineStr">
        <is>
          <t>2024_Marzec_W4</t>
        </is>
      </c>
    </row>
    <row r="1176">
      <c r="A1176" s="177" t="n">
        <v>45371</v>
      </c>
      <c r="B1176" s="177" t="n">
        <v>45370</v>
      </c>
      <c r="C1176" s="177" t="n">
        <v>45376</v>
      </c>
      <c r="D1176" t="inlineStr">
        <is>
          <t>BW20240319</t>
        </is>
      </c>
      <c r="E1176" t="n">
        <v>2024</v>
      </c>
      <c r="F1176" t="inlineStr">
        <is>
          <t>Marzec</t>
        </is>
      </c>
      <c r="G1176" t="inlineStr">
        <is>
          <t>Śr</t>
        </is>
      </c>
      <c r="H1176">
        <f>'Floor Hours Engine'!$E$4</f>
        <v/>
      </c>
      <c r="I1176" t="inlineStr">
        <is>
          <t>W4</t>
        </is>
      </c>
      <c r="J1176" t="inlineStr">
        <is>
          <t>2024_Marzec_W4</t>
        </is>
      </c>
    </row>
    <row r="1177">
      <c r="A1177" s="177" t="n">
        <v>45372</v>
      </c>
      <c r="B1177" s="177" t="n">
        <v>45370</v>
      </c>
      <c r="C1177" s="177" t="n">
        <v>45376</v>
      </c>
      <c r="D1177" t="inlineStr">
        <is>
          <t>BW20240319</t>
        </is>
      </c>
      <c r="E1177" t="n">
        <v>2024</v>
      </c>
      <c r="F1177" t="inlineStr">
        <is>
          <t>Marzec</t>
        </is>
      </c>
      <c r="G1177" t="inlineStr">
        <is>
          <t>Czw</t>
        </is>
      </c>
      <c r="H1177">
        <f>'Floor Hours Engine'!$E$4</f>
        <v/>
      </c>
      <c r="I1177" t="inlineStr">
        <is>
          <t>W4</t>
        </is>
      </c>
      <c r="J1177" t="inlineStr">
        <is>
          <t>2024_Marzec_W4</t>
        </is>
      </c>
    </row>
    <row r="1178">
      <c r="A1178" s="177" t="n">
        <v>45373</v>
      </c>
      <c r="B1178" s="177" t="n">
        <v>45370</v>
      </c>
      <c r="C1178" s="177" t="n">
        <v>45376</v>
      </c>
      <c r="D1178" t="inlineStr">
        <is>
          <t>BW20240319</t>
        </is>
      </c>
      <c r="E1178" t="n">
        <v>2024</v>
      </c>
      <c r="F1178" t="inlineStr">
        <is>
          <t>Marzec</t>
        </is>
      </c>
      <c r="G1178" t="inlineStr">
        <is>
          <t>Pt</t>
        </is>
      </c>
      <c r="H1178">
        <f>'Floor Hours Engine'!$E$5</f>
        <v/>
      </c>
      <c r="I1178" t="inlineStr">
        <is>
          <t>W4</t>
        </is>
      </c>
      <c r="J1178" t="inlineStr">
        <is>
          <t>2024_Marzec_W4</t>
        </is>
      </c>
    </row>
    <row r="1179">
      <c r="A1179" s="177" t="n">
        <v>45374</v>
      </c>
      <c r="B1179" s="177" t="n">
        <v>45370</v>
      </c>
      <c r="C1179" s="177" t="n">
        <v>45376</v>
      </c>
      <c r="D1179" t="inlineStr">
        <is>
          <t>BW20240319</t>
        </is>
      </c>
      <c r="E1179" t="n">
        <v>2024</v>
      </c>
      <c r="F1179" t="inlineStr">
        <is>
          <t>Marzec</t>
        </is>
      </c>
      <c r="G1179" t="inlineStr">
        <is>
          <t>Sob</t>
        </is>
      </c>
      <c r="H1179">
        <f>'Floor Hours Engine'!$E$5</f>
        <v/>
      </c>
      <c r="I1179" t="inlineStr">
        <is>
          <t>W4</t>
        </is>
      </c>
      <c r="J1179" t="inlineStr">
        <is>
          <t>2024_Marzec_W4</t>
        </is>
      </c>
    </row>
    <row r="1180">
      <c r="A1180" s="177" t="n">
        <v>45375</v>
      </c>
      <c r="B1180" s="177" t="n">
        <v>45370</v>
      </c>
      <c r="C1180" s="177" t="n">
        <v>45376</v>
      </c>
      <c r="D1180" t="inlineStr">
        <is>
          <t>BW20240319</t>
        </is>
      </c>
      <c r="E1180" t="n">
        <v>2024</v>
      </c>
      <c r="F1180" t="inlineStr">
        <is>
          <t>Marzec</t>
        </is>
      </c>
      <c r="G1180" t="inlineStr">
        <is>
          <t>Nd</t>
        </is>
      </c>
      <c r="H1180">
        <f>'Floor Hours Engine'!$E$6</f>
        <v/>
      </c>
      <c r="I1180" t="inlineStr">
        <is>
          <t>W4</t>
        </is>
      </c>
      <c r="J1180" t="inlineStr">
        <is>
          <t>2024_Marzec_W4</t>
        </is>
      </c>
    </row>
    <row r="1181">
      <c r="A1181" s="177" t="n">
        <v>45376</v>
      </c>
      <c r="B1181" s="177" t="n">
        <v>45370</v>
      </c>
      <c r="C1181" s="177" t="n">
        <v>45376</v>
      </c>
      <c r="D1181" t="inlineStr">
        <is>
          <t>BW20240319</t>
        </is>
      </c>
      <c r="E1181" t="n">
        <v>2024</v>
      </c>
      <c r="F1181" t="inlineStr">
        <is>
          <t>Marzec</t>
        </is>
      </c>
      <c r="G1181" t="inlineStr">
        <is>
          <t>Pn</t>
        </is>
      </c>
      <c r="H1181">
        <f>'Floor Hours Engine'!$E$4</f>
        <v/>
      </c>
      <c r="I1181" t="inlineStr">
        <is>
          <t>W4</t>
        </is>
      </c>
      <c r="J1181" t="inlineStr">
        <is>
          <t>2024_Marzec_W4</t>
        </is>
      </c>
    </row>
    <row r="1182">
      <c r="A1182" s="177" t="n">
        <v>45377</v>
      </c>
      <c r="B1182" s="177" t="n">
        <v>45377</v>
      </c>
      <c r="C1182" s="177" t="n">
        <v>45383</v>
      </c>
      <c r="D1182" t="inlineStr">
        <is>
          <t>BW20240326</t>
        </is>
      </c>
      <c r="E1182" t="n">
        <v>2024</v>
      </c>
      <c r="F1182" t="inlineStr">
        <is>
          <t>Marzec</t>
        </is>
      </c>
      <c r="G1182" t="inlineStr">
        <is>
          <t>Wt</t>
        </is>
      </c>
      <c r="H1182">
        <f>'Floor Hours Engine'!$E$4</f>
        <v/>
      </c>
      <c r="I1182" t="inlineStr">
        <is>
          <t>W5</t>
        </is>
      </c>
      <c r="J1182" t="inlineStr">
        <is>
          <t>2024_Marzec_W5</t>
        </is>
      </c>
    </row>
    <row r="1183">
      <c r="A1183" s="177" t="n">
        <v>45378</v>
      </c>
      <c r="B1183" s="177" t="n">
        <v>45377</v>
      </c>
      <c r="C1183" s="177" t="n">
        <v>45383</v>
      </c>
      <c r="D1183" t="inlineStr">
        <is>
          <t>BW20240326</t>
        </is>
      </c>
      <c r="E1183" t="n">
        <v>2024</v>
      </c>
      <c r="F1183" t="inlineStr">
        <is>
          <t>Marzec</t>
        </is>
      </c>
      <c r="G1183" t="inlineStr">
        <is>
          <t>Śr</t>
        </is>
      </c>
      <c r="H1183">
        <f>'Floor Hours Engine'!$E$4</f>
        <v/>
      </c>
      <c r="I1183" t="inlineStr">
        <is>
          <t>W5</t>
        </is>
      </c>
      <c r="J1183" t="inlineStr">
        <is>
          <t>2024_Marzec_W5</t>
        </is>
      </c>
    </row>
    <row r="1184">
      <c r="A1184" s="177" t="n">
        <v>45379</v>
      </c>
      <c r="B1184" s="177" t="n">
        <v>45377</v>
      </c>
      <c r="C1184" s="177" t="n">
        <v>45383</v>
      </c>
      <c r="D1184" t="inlineStr">
        <is>
          <t>BW20240326</t>
        </is>
      </c>
      <c r="E1184" t="n">
        <v>2024</v>
      </c>
      <c r="F1184" t="inlineStr">
        <is>
          <t>Marzec</t>
        </is>
      </c>
      <c r="G1184" t="inlineStr">
        <is>
          <t>Czw</t>
        </is>
      </c>
      <c r="H1184">
        <f>'Floor Hours Engine'!$E$4</f>
        <v/>
      </c>
      <c r="I1184" t="inlineStr">
        <is>
          <t>W5</t>
        </is>
      </c>
      <c r="J1184" t="inlineStr">
        <is>
          <t>2024_Marzec_W5</t>
        </is>
      </c>
    </row>
    <row r="1185">
      <c r="A1185" s="177" t="n">
        <v>45380</v>
      </c>
      <c r="B1185" s="177" t="n">
        <v>45377</v>
      </c>
      <c r="C1185" s="177" t="n">
        <v>45383</v>
      </c>
      <c r="D1185" t="inlineStr">
        <is>
          <t>BW20240326</t>
        </is>
      </c>
      <c r="E1185" t="n">
        <v>2024</v>
      </c>
      <c r="F1185" t="inlineStr">
        <is>
          <t>Marzec</t>
        </is>
      </c>
      <c r="G1185" t="inlineStr">
        <is>
          <t>Pt</t>
        </is>
      </c>
      <c r="H1185">
        <f>'Floor Hours Engine'!$E$5</f>
        <v/>
      </c>
      <c r="I1185" t="inlineStr">
        <is>
          <t>W5</t>
        </is>
      </c>
      <c r="J1185" t="inlineStr">
        <is>
          <t>2024_Marzec_W5</t>
        </is>
      </c>
    </row>
    <row r="1186">
      <c r="A1186" s="177" t="n">
        <v>45381</v>
      </c>
      <c r="B1186" s="177" t="n">
        <v>45377</v>
      </c>
      <c r="C1186" s="177" t="n">
        <v>45383</v>
      </c>
      <c r="D1186" t="inlineStr">
        <is>
          <t>BW20240326</t>
        </is>
      </c>
      <c r="E1186" t="n">
        <v>2024</v>
      </c>
      <c r="F1186" t="inlineStr">
        <is>
          <t>Marzec</t>
        </is>
      </c>
      <c r="G1186" t="inlineStr">
        <is>
          <t>Sob</t>
        </is>
      </c>
      <c r="H1186">
        <f>'Floor Hours Engine'!$E$5</f>
        <v/>
      </c>
      <c r="I1186" t="inlineStr">
        <is>
          <t>W5</t>
        </is>
      </c>
      <c r="J1186" t="inlineStr">
        <is>
          <t>2024_Marzec_W5</t>
        </is>
      </c>
    </row>
    <row r="1187">
      <c r="A1187" s="177" t="n">
        <v>45382</v>
      </c>
      <c r="B1187" s="177" t="n">
        <v>45377</v>
      </c>
      <c r="C1187" s="177" t="n">
        <v>45383</v>
      </c>
      <c r="D1187" t="inlineStr">
        <is>
          <t>BW20240326</t>
        </is>
      </c>
      <c r="E1187" t="n">
        <v>2024</v>
      </c>
      <c r="F1187" t="inlineStr">
        <is>
          <t>Marzec</t>
        </is>
      </c>
      <c r="G1187" t="inlineStr">
        <is>
          <t>Nd</t>
        </is>
      </c>
      <c r="H1187">
        <f>'Floor Hours Engine'!$E$6</f>
        <v/>
      </c>
      <c r="I1187" t="inlineStr">
        <is>
          <t>W5</t>
        </is>
      </c>
      <c r="J1187" t="inlineStr">
        <is>
          <t>2024_Marzec_W5</t>
        </is>
      </c>
    </row>
    <row r="1188">
      <c r="A1188" s="177" t="n">
        <v>45383</v>
      </c>
      <c r="B1188" s="177" t="n">
        <v>45377</v>
      </c>
      <c r="C1188" s="177" t="n">
        <v>45383</v>
      </c>
      <c r="D1188" t="inlineStr">
        <is>
          <t>BW20240326</t>
        </is>
      </c>
      <c r="E1188" t="n">
        <v>2024</v>
      </c>
      <c r="F1188" t="inlineStr">
        <is>
          <t>Kwiecień</t>
        </is>
      </c>
      <c r="G1188" t="inlineStr">
        <is>
          <t>Pn</t>
        </is>
      </c>
      <c r="H1188">
        <f>'Floor Hours Engine'!$E$4</f>
        <v/>
      </c>
      <c r="I1188" t="inlineStr">
        <is>
          <t>W1</t>
        </is>
      </c>
      <c r="J1188" t="inlineStr">
        <is>
          <t>2024_Kwiecień_W1</t>
        </is>
      </c>
    </row>
    <row r="1189">
      <c r="A1189" s="177" t="n">
        <v>45384</v>
      </c>
      <c r="B1189" s="177" t="n">
        <v>45384</v>
      </c>
      <c r="C1189" s="177" t="n">
        <v>45390</v>
      </c>
      <c r="D1189" t="inlineStr">
        <is>
          <t>BW20240402</t>
        </is>
      </c>
      <c r="E1189" t="n">
        <v>2024</v>
      </c>
      <c r="F1189" t="inlineStr">
        <is>
          <t>Kwiecień</t>
        </is>
      </c>
      <c r="G1189" t="inlineStr">
        <is>
          <t>Wt</t>
        </is>
      </c>
      <c r="H1189">
        <f>'Floor Hours Engine'!$E$4</f>
        <v/>
      </c>
      <c r="I1189" t="inlineStr">
        <is>
          <t>W2</t>
        </is>
      </c>
      <c r="J1189" t="inlineStr">
        <is>
          <t>2024_Kwiecień_W2</t>
        </is>
      </c>
    </row>
    <row r="1190">
      <c r="A1190" s="177" t="n">
        <v>45385</v>
      </c>
      <c r="B1190" s="177" t="n">
        <v>45384</v>
      </c>
      <c r="C1190" s="177" t="n">
        <v>45390</v>
      </c>
      <c r="D1190" t="inlineStr">
        <is>
          <t>BW20240402</t>
        </is>
      </c>
      <c r="E1190" t="n">
        <v>2024</v>
      </c>
      <c r="F1190" t="inlineStr">
        <is>
          <t>Kwiecień</t>
        </is>
      </c>
      <c r="G1190" t="inlineStr">
        <is>
          <t>Śr</t>
        </is>
      </c>
      <c r="H1190">
        <f>'Floor Hours Engine'!$E$4</f>
        <v/>
      </c>
      <c r="I1190" t="inlineStr">
        <is>
          <t>W2</t>
        </is>
      </c>
      <c r="J1190" t="inlineStr">
        <is>
          <t>2024_Kwiecień_W2</t>
        </is>
      </c>
    </row>
    <row r="1191">
      <c r="A1191" s="177" t="n">
        <v>45386</v>
      </c>
      <c r="B1191" s="177" t="n">
        <v>45384</v>
      </c>
      <c r="C1191" s="177" t="n">
        <v>45390</v>
      </c>
      <c r="D1191" t="inlineStr">
        <is>
          <t>BW20240402</t>
        </is>
      </c>
      <c r="E1191" t="n">
        <v>2024</v>
      </c>
      <c r="F1191" t="inlineStr">
        <is>
          <t>Kwiecień</t>
        </is>
      </c>
      <c r="G1191" t="inlineStr">
        <is>
          <t>Czw</t>
        </is>
      </c>
      <c r="H1191">
        <f>'Floor Hours Engine'!$E$4</f>
        <v/>
      </c>
      <c r="I1191" t="inlineStr">
        <is>
          <t>W2</t>
        </is>
      </c>
      <c r="J1191" t="inlineStr">
        <is>
          <t>2024_Kwiecień_W2</t>
        </is>
      </c>
    </row>
    <row r="1192">
      <c r="A1192" s="177" t="n">
        <v>45387</v>
      </c>
      <c r="B1192" s="177" t="n">
        <v>45384</v>
      </c>
      <c r="C1192" s="177" t="n">
        <v>45390</v>
      </c>
      <c r="D1192" t="inlineStr">
        <is>
          <t>BW20240402</t>
        </is>
      </c>
      <c r="E1192" t="n">
        <v>2024</v>
      </c>
      <c r="F1192" t="inlineStr">
        <is>
          <t>Kwiecień</t>
        </is>
      </c>
      <c r="G1192" t="inlineStr">
        <is>
          <t>Pt</t>
        </is>
      </c>
      <c r="H1192">
        <f>'Floor Hours Engine'!$E$5</f>
        <v/>
      </c>
      <c r="I1192" t="inlineStr">
        <is>
          <t>W2</t>
        </is>
      </c>
      <c r="J1192" t="inlineStr">
        <is>
          <t>2024_Kwiecień_W2</t>
        </is>
      </c>
    </row>
    <row r="1193">
      <c r="A1193" s="177" t="n">
        <v>45388</v>
      </c>
      <c r="B1193" s="177" t="n">
        <v>45384</v>
      </c>
      <c r="C1193" s="177" t="n">
        <v>45390</v>
      </c>
      <c r="D1193" t="inlineStr">
        <is>
          <t>BW20240402</t>
        </is>
      </c>
      <c r="E1193" t="n">
        <v>2024</v>
      </c>
      <c r="F1193" t="inlineStr">
        <is>
          <t>Kwiecień</t>
        </is>
      </c>
      <c r="G1193" t="inlineStr">
        <is>
          <t>Sob</t>
        </is>
      </c>
      <c r="H1193">
        <f>'Floor Hours Engine'!$E$5</f>
        <v/>
      </c>
      <c r="I1193" t="inlineStr">
        <is>
          <t>W2</t>
        </is>
      </c>
      <c r="J1193" t="inlineStr">
        <is>
          <t>2024_Kwiecień_W2</t>
        </is>
      </c>
    </row>
    <row r="1194">
      <c r="A1194" s="177" t="n">
        <v>45389</v>
      </c>
      <c r="B1194" s="177" t="n">
        <v>45384</v>
      </c>
      <c r="C1194" s="177" t="n">
        <v>45390</v>
      </c>
      <c r="D1194" t="inlineStr">
        <is>
          <t>BW20240402</t>
        </is>
      </c>
      <c r="E1194" t="n">
        <v>2024</v>
      </c>
      <c r="F1194" t="inlineStr">
        <is>
          <t>Kwiecień</t>
        </is>
      </c>
      <c r="G1194" t="inlineStr">
        <is>
          <t>Nd</t>
        </is>
      </c>
      <c r="H1194">
        <f>'Floor Hours Engine'!$E$6</f>
        <v/>
      </c>
      <c r="I1194" t="inlineStr">
        <is>
          <t>W2</t>
        </is>
      </c>
      <c r="J1194" t="inlineStr">
        <is>
          <t>2024_Kwiecień_W2</t>
        </is>
      </c>
    </row>
    <row r="1195">
      <c r="A1195" s="177" t="n">
        <v>45390</v>
      </c>
      <c r="B1195" s="177" t="n">
        <v>45384</v>
      </c>
      <c r="C1195" s="177" t="n">
        <v>45390</v>
      </c>
      <c r="D1195" t="inlineStr">
        <is>
          <t>BW20240402</t>
        </is>
      </c>
      <c r="E1195" t="n">
        <v>2024</v>
      </c>
      <c r="F1195" t="inlineStr">
        <is>
          <t>Kwiecień</t>
        </is>
      </c>
      <c r="G1195" t="inlineStr">
        <is>
          <t>Pn</t>
        </is>
      </c>
      <c r="H1195">
        <f>'Floor Hours Engine'!$E$4</f>
        <v/>
      </c>
      <c r="I1195" t="inlineStr">
        <is>
          <t>W2</t>
        </is>
      </c>
      <c r="J1195" t="inlineStr">
        <is>
          <t>2024_Kwiecień_W2</t>
        </is>
      </c>
    </row>
    <row r="1196">
      <c r="A1196" s="177" t="n">
        <v>45391</v>
      </c>
      <c r="B1196" s="177" t="n">
        <v>45391</v>
      </c>
      <c r="C1196" s="177" t="n">
        <v>45397</v>
      </c>
      <c r="D1196" t="inlineStr">
        <is>
          <t>BW20240409</t>
        </is>
      </c>
      <c r="E1196" t="n">
        <v>2024</v>
      </c>
      <c r="F1196" t="inlineStr">
        <is>
          <t>Kwiecień</t>
        </is>
      </c>
      <c r="G1196" t="inlineStr">
        <is>
          <t>Wt</t>
        </is>
      </c>
      <c r="H1196">
        <f>'Floor Hours Engine'!$E$4</f>
        <v/>
      </c>
      <c r="I1196" t="inlineStr">
        <is>
          <t>W3</t>
        </is>
      </c>
      <c r="J1196" t="inlineStr">
        <is>
          <t>2024_Kwiecień_W3</t>
        </is>
      </c>
    </row>
    <row r="1197">
      <c r="A1197" s="177" t="n">
        <v>45392</v>
      </c>
      <c r="B1197" s="177" t="n">
        <v>45391</v>
      </c>
      <c r="C1197" s="177" t="n">
        <v>45397</v>
      </c>
      <c r="D1197" t="inlineStr">
        <is>
          <t>BW20240409</t>
        </is>
      </c>
      <c r="E1197" t="n">
        <v>2024</v>
      </c>
      <c r="F1197" t="inlineStr">
        <is>
          <t>Kwiecień</t>
        </is>
      </c>
      <c r="G1197" t="inlineStr">
        <is>
          <t>Śr</t>
        </is>
      </c>
      <c r="H1197">
        <f>'Floor Hours Engine'!$E$4</f>
        <v/>
      </c>
      <c r="I1197" t="inlineStr">
        <is>
          <t>W3</t>
        </is>
      </c>
      <c r="J1197" t="inlineStr">
        <is>
          <t>2024_Kwiecień_W3</t>
        </is>
      </c>
    </row>
    <row r="1198">
      <c r="A1198" s="177" t="n">
        <v>45393</v>
      </c>
      <c r="B1198" s="177" t="n">
        <v>45391</v>
      </c>
      <c r="C1198" s="177" t="n">
        <v>45397</v>
      </c>
      <c r="D1198" t="inlineStr">
        <is>
          <t>BW20240409</t>
        </is>
      </c>
      <c r="E1198" t="n">
        <v>2024</v>
      </c>
      <c r="F1198" t="inlineStr">
        <is>
          <t>Kwiecień</t>
        </is>
      </c>
      <c r="G1198" t="inlineStr">
        <is>
          <t>Czw</t>
        </is>
      </c>
      <c r="H1198">
        <f>'Floor Hours Engine'!$E$4</f>
        <v/>
      </c>
      <c r="I1198" t="inlineStr">
        <is>
          <t>W3</t>
        </is>
      </c>
      <c r="J1198" t="inlineStr">
        <is>
          <t>2024_Kwiecień_W3</t>
        </is>
      </c>
    </row>
    <row r="1199">
      <c r="A1199" s="177" t="n">
        <v>45394</v>
      </c>
      <c r="B1199" s="177" t="n">
        <v>45391</v>
      </c>
      <c r="C1199" s="177" t="n">
        <v>45397</v>
      </c>
      <c r="D1199" t="inlineStr">
        <is>
          <t>BW20240409</t>
        </is>
      </c>
      <c r="E1199" t="n">
        <v>2024</v>
      </c>
      <c r="F1199" t="inlineStr">
        <is>
          <t>Kwiecień</t>
        </is>
      </c>
      <c r="G1199" t="inlineStr">
        <is>
          <t>Pt</t>
        </is>
      </c>
      <c r="H1199">
        <f>'Floor Hours Engine'!$E$5</f>
        <v/>
      </c>
      <c r="I1199" t="inlineStr">
        <is>
          <t>W3</t>
        </is>
      </c>
      <c r="J1199" t="inlineStr">
        <is>
          <t>2024_Kwiecień_W3</t>
        </is>
      </c>
    </row>
    <row r="1200">
      <c r="A1200" s="177" t="n">
        <v>45395</v>
      </c>
      <c r="B1200" s="177" t="n">
        <v>45391</v>
      </c>
      <c r="C1200" s="177" t="n">
        <v>45397</v>
      </c>
      <c r="D1200" t="inlineStr">
        <is>
          <t>BW20240409</t>
        </is>
      </c>
      <c r="E1200" t="n">
        <v>2024</v>
      </c>
      <c r="F1200" t="inlineStr">
        <is>
          <t>Kwiecień</t>
        </is>
      </c>
      <c r="G1200" t="inlineStr">
        <is>
          <t>Sob</t>
        </is>
      </c>
      <c r="H1200">
        <f>'Floor Hours Engine'!$E$5</f>
        <v/>
      </c>
      <c r="I1200" t="inlineStr">
        <is>
          <t>W3</t>
        </is>
      </c>
      <c r="J1200" t="inlineStr">
        <is>
          <t>2024_Kwiecień_W3</t>
        </is>
      </c>
    </row>
    <row r="1201">
      <c r="A1201" s="177" t="n">
        <v>45396</v>
      </c>
      <c r="B1201" s="177" t="n">
        <v>45391</v>
      </c>
      <c r="C1201" s="177" t="n">
        <v>45397</v>
      </c>
      <c r="D1201" t="inlineStr">
        <is>
          <t>BW20240409</t>
        </is>
      </c>
      <c r="E1201" t="n">
        <v>2024</v>
      </c>
      <c r="F1201" t="inlineStr">
        <is>
          <t>Kwiecień</t>
        </is>
      </c>
      <c r="G1201" t="inlineStr">
        <is>
          <t>Nd</t>
        </is>
      </c>
      <c r="H1201">
        <f>'Floor Hours Engine'!$E$6</f>
        <v/>
      </c>
      <c r="I1201" t="inlineStr">
        <is>
          <t>W3</t>
        </is>
      </c>
      <c r="J1201" t="inlineStr">
        <is>
          <t>2024_Kwiecień_W3</t>
        </is>
      </c>
    </row>
    <row r="1202">
      <c r="A1202" s="177" t="n">
        <v>45397</v>
      </c>
      <c r="B1202" s="177" t="n">
        <v>45391</v>
      </c>
      <c r="C1202" s="177" t="n">
        <v>45397</v>
      </c>
      <c r="D1202" t="inlineStr">
        <is>
          <t>BW20240409</t>
        </is>
      </c>
      <c r="E1202" t="n">
        <v>2024</v>
      </c>
      <c r="F1202" t="inlineStr">
        <is>
          <t>Kwiecień</t>
        </is>
      </c>
      <c r="G1202" t="inlineStr">
        <is>
          <t>Pn</t>
        </is>
      </c>
      <c r="H1202">
        <f>'Floor Hours Engine'!$E$4</f>
        <v/>
      </c>
      <c r="I1202" t="inlineStr">
        <is>
          <t>W3</t>
        </is>
      </c>
      <c r="J1202" t="inlineStr">
        <is>
          <t>2024_Kwiecień_W3</t>
        </is>
      </c>
    </row>
    <row r="1203">
      <c r="A1203" s="177" t="n">
        <v>45398</v>
      </c>
      <c r="B1203" s="177" t="n">
        <v>45398</v>
      </c>
      <c r="C1203" s="177" t="n">
        <v>45404</v>
      </c>
      <c r="D1203" t="inlineStr">
        <is>
          <t>BW20240416</t>
        </is>
      </c>
      <c r="E1203" t="n">
        <v>2024</v>
      </c>
      <c r="F1203" t="inlineStr">
        <is>
          <t>Kwiecień</t>
        </is>
      </c>
      <c r="G1203" t="inlineStr">
        <is>
          <t>Wt</t>
        </is>
      </c>
      <c r="H1203">
        <f>'Floor Hours Engine'!$E$4</f>
        <v/>
      </c>
      <c r="I1203" t="inlineStr">
        <is>
          <t>W4</t>
        </is>
      </c>
      <c r="J1203" t="inlineStr">
        <is>
          <t>2024_Kwiecień_W4</t>
        </is>
      </c>
    </row>
    <row r="1204">
      <c r="A1204" s="177" t="n">
        <v>45399</v>
      </c>
      <c r="B1204" s="177" t="n">
        <v>45398</v>
      </c>
      <c r="C1204" s="177" t="n">
        <v>45404</v>
      </c>
      <c r="D1204" t="inlineStr">
        <is>
          <t>BW20240416</t>
        </is>
      </c>
      <c r="E1204" t="n">
        <v>2024</v>
      </c>
      <c r="F1204" t="inlineStr">
        <is>
          <t>Kwiecień</t>
        </is>
      </c>
      <c r="G1204" t="inlineStr">
        <is>
          <t>Śr</t>
        </is>
      </c>
      <c r="H1204">
        <f>'Floor Hours Engine'!$E$4</f>
        <v/>
      </c>
      <c r="I1204" t="inlineStr">
        <is>
          <t>W4</t>
        </is>
      </c>
      <c r="J1204" t="inlineStr">
        <is>
          <t>2024_Kwiecień_W4</t>
        </is>
      </c>
    </row>
    <row r="1205">
      <c r="A1205" s="177" t="n">
        <v>45400</v>
      </c>
      <c r="B1205" s="177" t="n">
        <v>45398</v>
      </c>
      <c r="C1205" s="177" t="n">
        <v>45404</v>
      </c>
      <c r="D1205" t="inlineStr">
        <is>
          <t>BW20240416</t>
        </is>
      </c>
      <c r="E1205" t="n">
        <v>2024</v>
      </c>
      <c r="F1205" t="inlineStr">
        <is>
          <t>Kwiecień</t>
        </is>
      </c>
      <c r="G1205" t="inlineStr">
        <is>
          <t>Czw</t>
        </is>
      </c>
      <c r="H1205">
        <f>'Floor Hours Engine'!$E$4</f>
        <v/>
      </c>
      <c r="I1205" t="inlineStr">
        <is>
          <t>W4</t>
        </is>
      </c>
      <c r="J1205" t="inlineStr">
        <is>
          <t>2024_Kwiecień_W4</t>
        </is>
      </c>
    </row>
    <row r="1206">
      <c r="A1206" s="177" t="n">
        <v>45401</v>
      </c>
      <c r="B1206" s="177" t="n">
        <v>45398</v>
      </c>
      <c r="C1206" s="177" t="n">
        <v>45404</v>
      </c>
      <c r="D1206" t="inlineStr">
        <is>
          <t>BW20240416</t>
        </is>
      </c>
      <c r="E1206" t="n">
        <v>2024</v>
      </c>
      <c r="F1206" t="inlineStr">
        <is>
          <t>Kwiecień</t>
        </is>
      </c>
      <c r="G1206" t="inlineStr">
        <is>
          <t>Pt</t>
        </is>
      </c>
      <c r="H1206">
        <f>'Floor Hours Engine'!$E$5</f>
        <v/>
      </c>
      <c r="I1206" t="inlineStr">
        <is>
          <t>W4</t>
        </is>
      </c>
      <c r="J1206" t="inlineStr">
        <is>
          <t>2024_Kwiecień_W4</t>
        </is>
      </c>
    </row>
    <row r="1207">
      <c r="A1207" s="177" t="n">
        <v>45402</v>
      </c>
      <c r="B1207" s="177" t="n">
        <v>45398</v>
      </c>
      <c r="C1207" s="177" t="n">
        <v>45404</v>
      </c>
      <c r="D1207" t="inlineStr">
        <is>
          <t>BW20240416</t>
        </is>
      </c>
      <c r="E1207" t="n">
        <v>2024</v>
      </c>
      <c r="F1207" t="inlineStr">
        <is>
          <t>Kwiecień</t>
        </is>
      </c>
      <c r="G1207" t="inlineStr">
        <is>
          <t>Sob</t>
        </is>
      </c>
      <c r="H1207">
        <f>'Floor Hours Engine'!$E$5</f>
        <v/>
      </c>
      <c r="I1207" t="inlineStr">
        <is>
          <t>W4</t>
        </is>
      </c>
      <c r="J1207" t="inlineStr">
        <is>
          <t>2024_Kwiecień_W4</t>
        </is>
      </c>
    </row>
    <row r="1208">
      <c r="A1208" s="177" t="n">
        <v>45403</v>
      </c>
      <c r="B1208" s="177" t="n">
        <v>45398</v>
      </c>
      <c r="C1208" s="177" t="n">
        <v>45404</v>
      </c>
      <c r="D1208" t="inlineStr">
        <is>
          <t>BW20240416</t>
        </is>
      </c>
      <c r="E1208" t="n">
        <v>2024</v>
      </c>
      <c r="F1208" t="inlineStr">
        <is>
          <t>Kwiecień</t>
        </is>
      </c>
      <c r="G1208" t="inlineStr">
        <is>
          <t>Nd</t>
        </is>
      </c>
      <c r="H1208">
        <f>'Floor Hours Engine'!$E$6</f>
        <v/>
      </c>
      <c r="I1208" t="inlineStr">
        <is>
          <t>W4</t>
        </is>
      </c>
      <c r="J1208" t="inlineStr">
        <is>
          <t>2024_Kwiecień_W4</t>
        </is>
      </c>
    </row>
    <row r="1209">
      <c r="A1209" s="177" t="n">
        <v>45404</v>
      </c>
      <c r="B1209" s="177" t="n">
        <v>45398</v>
      </c>
      <c r="C1209" s="177" t="n">
        <v>45404</v>
      </c>
      <c r="D1209" t="inlineStr">
        <is>
          <t>BW20240416</t>
        </is>
      </c>
      <c r="E1209" t="n">
        <v>2024</v>
      </c>
      <c r="F1209" t="inlineStr">
        <is>
          <t>Kwiecień</t>
        </is>
      </c>
      <c r="G1209" t="inlineStr">
        <is>
          <t>Pn</t>
        </is>
      </c>
      <c r="H1209">
        <f>'Floor Hours Engine'!$E$4</f>
        <v/>
      </c>
      <c r="I1209" t="inlineStr">
        <is>
          <t>W4</t>
        </is>
      </c>
      <c r="J1209" t="inlineStr">
        <is>
          <t>2024_Kwiecień_W4</t>
        </is>
      </c>
    </row>
    <row r="1210">
      <c r="A1210" s="177" t="n">
        <v>45405</v>
      </c>
      <c r="B1210" s="177" t="n">
        <v>45405</v>
      </c>
      <c r="C1210" s="177" t="n">
        <v>45411</v>
      </c>
      <c r="D1210" t="inlineStr">
        <is>
          <t>BW20240423</t>
        </is>
      </c>
      <c r="E1210" t="n">
        <v>2024</v>
      </c>
      <c r="F1210" t="inlineStr">
        <is>
          <t>Kwiecień</t>
        </is>
      </c>
      <c r="G1210" t="inlineStr">
        <is>
          <t>Wt</t>
        </is>
      </c>
      <c r="H1210">
        <f>'Floor Hours Engine'!$E$4</f>
        <v/>
      </c>
      <c r="I1210" t="inlineStr">
        <is>
          <t>W5</t>
        </is>
      </c>
      <c r="J1210" t="inlineStr">
        <is>
          <t>2024_Kwiecień_W5</t>
        </is>
      </c>
    </row>
    <row r="1211">
      <c r="A1211" s="177" t="n">
        <v>45406</v>
      </c>
      <c r="B1211" s="177" t="n">
        <v>45405</v>
      </c>
      <c r="C1211" s="177" t="n">
        <v>45411</v>
      </c>
      <c r="D1211" t="inlineStr">
        <is>
          <t>BW20240423</t>
        </is>
      </c>
      <c r="E1211" t="n">
        <v>2024</v>
      </c>
      <c r="F1211" t="inlineStr">
        <is>
          <t>Kwiecień</t>
        </is>
      </c>
      <c r="G1211" t="inlineStr">
        <is>
          <t>Śr</t>
        </is>
      </c>
      <c r="H1211">
        <f>'Floor Hours Engine'!$E$4</f>
        <v/>
      </c>
      <c r="I1211" t="inlineStr">
        <is>
          <t>W5</t>
        </is>
      </c>
      <c r="J1211" t="inlineStr">
        <is>
          <t>2024_Kwiecień_W5</t>
        </is>
      </c>
    </row>
    <row r="1212">
      <c r="A1212" s="177" t="n">
        <v>45407</v>
      </c>
      <c r="B1212" s="177" t="n">
        <v>45405</v>
      </c>
      <c r="C1212" s="177" t="n">
        <v>45411</v>
      </c>
      <c r="D1212" t="inlineStr">
        <is>
          <t>BW20240423</t>
        </is>
      </c>
      <c r="E1212" t="n">
        <v>2024</v>
      </c>
      <c r="F1212" t="inlineStr">
        <is>
          <t>Kwiecień</t>
        </is>
      </c>
      <c r="G1212" t="inlineStr">
        <is>
          <t>Czw</t>
        </is>
      </c>
      <c r="H1212">
        <f>'Floor Hours Engine'!$E$4</f>
        <v/>
      </c>
      <c r="I1212" t="inlineStr">
        <is>
          <t>W5</t>
        </is>
      </c>
      <c r="J1212" t="inlineStr">
        <is>
          <t>2024_Kwiecień_W5</t>
        </is>
      </c>
    </row>
    <row r="1213">
      <c r="A1213" s="177" t="n">
        <v>45408</v>
      </c>
      <c r="B1213" s="177" t="n">
        <v>45405</v>
      </c>
      <c r="C1213" s="177" t="n">
        <v>45411</v>
      </c>
      <c r="D1213" t="inlineStr">
        <is>
          <t>BW20240423</t>
        </is>
      </c>
      <c r="E1213" t="n">
        <v>2024</v>
      </c>
      <c r="F1213" t="inlineStr">
        <is>
          <t>Kwiecień</t>
        </is>
      </c>
      <c r="G1213" t="inlineStr">
        <is>
          <t>Pt</t>
        </is>
      </c>
      <c r="H1213">
        <f>'Floor Hours Engine'!$E$5</f>
        <v/>
      </c>
      <c r="I1213" t="inlineStr">
        <is>
          <t>W5</t>
        </is>
      </c>
      <c r="J1213" t="inlineStr">
        <is>
          <t>2024_Kwiecień_W5</t>
        </is>
      </c>
    </row>
    <row r="1214">
      <c r="A1214" s="177" t="n">
        <v>45409</v>
      </c>
      <c r="B1214" s="177" t="n">
        <v>45405</v>
      </c>
      <c r="C1214" s="177" t="n">
        <v>45411</v>
      </c>
      <c r="D1214" t="inlineStr">
        <is>
          <t>BW20240423</t>
        </is>
      </c>
      <c r="E1214" t="n">
        <v>2024</v>
      </c>
      <c r="F1214" t="inlineStr">
        <is>
          <t>Kwiecień</t>
        </is>
      </c>
      <c r="G1214" t="inlineStr">
        <is>
          <t>Sob</t>
        </is>
      </c>
      <c r="H1214">
        <f>'Floor Hours Engine'!$E$5</f>
        <v/>
      </c>
      <c r="I1214" t="inlineStr">
        <is>
          <t>W5</t>
        </is>
      </c>
      <c r="J1214" t="inlineStr">
        <is>
          <t>2024_Kwiecień_W5</t>
        </is>
      </c>
    </row>
    <row r="1215">
      <c r="A1215" s="177" t="n">
        <v>45410</v>
      </c>
      <c r="B1215" s="177" t="n">
        <v>45405</v>
      </c>
      <c r="C1215" s="177" t="n">
        <v>45411</v>
      </c>
      <c r="D1215" t="inlineStr">
        <is>
          <t>BW20240423</t>
        </is>
      </c>
      <c r="E1215" t="n">
        <v>2024</v>
      </c>
      <c r="F1215" t="inlineStr">
        <is>
          <t>Kwiecień</t>
        </is>
      </c>
      <c r="G1215" t="inlineStr">
        <is>
          <t>Nd</t>
        </is>
      </c>
      <c r="H1215">
        <f>'Floor Hours Engine'!$E$6</f>
        <v/>
      </c>
      <c r="I1215" t="inlineStr">
        <is>
          <t>W5</t>
        </is>
      </c>
      <c r="J1215" t="inlineStr">
        <is>
          <t>2024_Kwiecień_W5</t>
        </is>
      </c>
    </row>
    <row r="1216">
      <c r="A1216" s="177" t="n">
        <v>45411</v>
      </c>
      <c r="B1216" s="177" t="n">
        <v>45405</v>
      </c>
      <c r="C1216" s="177" t="n">
        <v>45411</v>
      </c>
      <c r="D1216" t="inlineStr">
        <is>
          <t>BW20240423</t>
        </is>
      </c>
      <c r="E1216" t="n">
        <v>2024</v>
      </c>
      <c r="F1216" t="inlineStr">
        <is>
          <t>Kwiecień</t>
        </is>
      </c>
      <c r="G1216" t="inlineStr">
        <is>
          <t>Pn</t>
        </is>
      </c>
      <c r="H1216">
        <f>'Floor Hours Engine'!$E$4</f>
        <v/>
      </c>
      <c r="I1216" t="inlineStr">
        <is>
          <t>W5</t>
        </is>
      </c>
      <c r="J1216" t="inlineStr">
        <is>
          <t>2024_Kwiecień_W5</t>
        </is>
      </c>
    </row>
    <row r="1217">
      <c r="A1217" s="177" t="n">
        <v>45412</v>
      </c>
      <c r="B1217" s="177" t="n">
        <v>45412</v>
      </c>
      <c r="C1217" s="177" t="n">
        <v>45418</v>
      </c>
      <c r="D1217" t="inlineStr">
        <is>
          <t>BW20240430</t>
        </is>
      </c>
      <c r="E1217" t="n">
        <v>2024</v>
      </c>
      <c r="F1217" t="inlineStr">
        <is>
          <t>Kwiecień</t>
        </is>
      </c>
      <c r="G1217" t="inlineStr">
        <is>
          <t>Wt</t>
        </is>
      </c>
      <c r="H1217">
        <f>'Floor Hours Engine'!$E$4</f>
        <v/>
      </c>
      <c r="I1217" t="inlineStr">
        <is>
          <t>W6</t>
        </is>
      </c>
      <c r="J1217" t="inlineStr">
        <is>
          <t>2024_Kwiecień_W6</t>
        </is>
      </c>
    </row>
    <row r="1218">
      <c r="A1218" s="177" t="n">
        <v>45413</v>
      </c>
      <c r="B1218" s="177" t="n">
        <v>45412</v>
      </c>
      <c r="C1218" s="177" t="n">
        <v>45418</v>
      </c>
      <c r="D1218" t="inlineStr">
        <is>
          <t>BW20240430</t>
        </is>
      </c>
      <c r="E1218" t="n">
        <v>2024</v>
      </c>
      <c r="F1218" t="inlineStr">
        <is>
          <t>Maj</t>
        </is>
      </c>
      <c r="G1218" t="inlineStr">
        <is>
          <t>Śr</t>
        </is>
      </c>
      <c r="H1218">
        <f>'Floor Hours Engine'!$E$4</f>
        <v/>
      </c>
      <c r="I1218" t="inlineStr">
        <is>
          <t>W1</t>
        </is>
      </c>
      <c r="J1218" t="inlineStr">
        <is>
          <t>2024_Maj_W1</t>
        </is>
      </c>
    </row>
    <row r="1219">
      <c r="A1219" s="177" t="n">
        <v>45414</v>
      </c>
      <c r="B1219" s="177" t="n">
        <v>45412</v>
      </c>
      <c r="C1219" s="177" t="n">
        <v>45418</v>
      </c>
      <c r="D1219" t="inlineStr">
        <is>
          <t>BW20240430</t>
        </is>
      </c>
      <c r="E1219" t="n">
        <v>2024</v>
      </c>
      <c r="F1219" t="inlineStr">
        <is>
          <t>Maj</t>
        </is>
      </c>
      <c r="G1219" t="inlineStr">
        <is>
          <t>Czw</t>
        </is>
      </c>
      <c r="H1219">
        <f>'Floor Hours Engine'!$E$4</f>
        <v/>
      </c>
      <c r="I1219" t="inlineStr">
        <is>
          <t>W1</t>
        </is>
      </c>
      <c r="J1219" t="inlineStr">
        <is>
          <t>2024_Maj_W1</t>
        </is>
      </c>
    </row>
    <row r="1220">
      <c r="A1220" s="177" t="n">
        <v>45415</v>
      </c>
      <c r="B1220" s="177" t="n">
        <v>45412</v>
      </c>
      <c r="C1220" s="177" t="n">
        <v>45418</v>
      </c>
      <c r="D1220" t="inlineStr">
        <is>
          <t>BW20240430</t>
        </is>
      </c>
      <c r="E1220" t="n">
        <v>2024</v>
      </c>
      <c r="F1220" t="inlineStr">
        <is>
          <t>Maj</t>
        </is>
      </c>
      <c r="G1220" t="inlineStr">
        <is>
          <t>Pt</t>
        </is>
      </c>
      <c r="H1220">
        <f>'Floor Hours Engine'!$E$5</f>
        <v/>
      </c>
      <c r="I1220" t="inlineStr">
        <is>
          <t>W1</t>
        </is>
      </c>
      <c r="J1220" t="inlineStr">
        <is>
          <t>2024_Maj_W1</t>
        </is>
      </c>
    </row>
    <row r="1221">
      <c r="A1221" s="177" t="n">
        <v>45416</v>
      </c>
      <c r="B1221" s="177" t="n">
        <v>45412</v>
      </c>
      <c r="C1221" s="177" t="n">
        <v>45418</v>
      </c>
      <c r="D1221" t="inlineStr">
        <is>
          <t>BW20240430</t>
        </is>
      </c>
      <c r="E1221" t="n">
        <v>2024</v>
      </c>
      <c r="F1221" t="inlineStr">
        <is>
          <t>Maj</t>
        </is>
      </c>
      <c r="G1221" t="inlineStr">
        <is>
          <t>Sob</t>
        </is>
      </c>
      <c r="H1221">
        <f>'Floor Hours Engine'!$E$5</f>
        <v/>
      </c>
      <c r="I1221" t="inlineStr">
        <is>
          <t>W1</t>
        </is>
      </c>
      <c r="J1221" t="inlineStr">
        <is>
          <t>2024_Maj_W1</t>
        </is>
      </c>
    </row>
    <row r="1222">
      <c r="A1222" s="177" t="n">
        <v>45417</v>
      </c>
      <c r="B1222" s="177" t="n">
        <v>45412</v>
      </c>
      <c r="C1222" s="177" t="n">
        <v>45418</v>
      </c>
      <c r="D1222" t="inlineStr">
        <is>
          <t>BW20240430</t>
        </is>
      </c>
      <c r="E1222" t="n">
        <v>2024</v>
      </c>
      <c r="F1222" t="inlineStr">
        <is>
          <t>Maj</t>
        </is>
      </c>
      <c r="G1222" t="inlineStr">
        <is>
          <t>Nd</t>
        </is>
      </c>
      <c r="H1222">
        <f>'Floor Hours Engine'!$E$6</f>
        <v/>
      </c>
      <c r="I1222" t="inlineStr">
        <is>
          <t>W1</t>
        </is>
      </c>
      <c r="J1222" t="inlineStr">
        <is>
          <t>2024_Maj_W1</t>
        </is>
      </c>
    </row>
    <row r="1223">
      <c r="A1223" s="177" t="n">
        <v>45418</v>
      </c>
      <c r="B1223" s="177" t="n">
        <v>45412</v>
      </c>
      <c r="C1223" s="177" t="n">
        <v>45418</v>
      </c>
      <c r="D1223" t="inlineStr">
        <is>
          <t>BW20240430</t>
        </is>
      </c>
      <c r="E1223" t="n">
        <v>2024</v>
      </c>
      <c r="F1223" t="inlineStr">
        <is>
          <t>Maj</t>
        </is>
      </c>
      <c r="G1223" t="inlineStr">
        <is>
          <t>Pn</t>
        </is>
      </c>
      <c r="H1223">
        <f>'Floor Hours Engine'!$E$4</f>
        <v/>
      </c>
      <c r="I1223" t="inlineStr">
        <is>
          <t>W1</t>
        </is>
      </c>
      <c r="J1223" t="inlineStr">
        <is>
          <t>2024_Maj_W1</t>
        </is>
      </c>
    </row>
    <row r="1224">
      <c r="A1224" s="177" t="n">
        <v>45419</v>
      </c>
      <c r="B1224" s="177" t="n">
        <v>45419</v>
      </c>
      <c r="C1224" s="177" t="n">
        <v>45425</v>
      </c>
      <c r="D1224" t="inlineStr">
        <is>
          <t>BW20240507</t>
        </is>
      </c>
      <c r="E1224" t="n">
        <v>2024</v>
      </c>
      <c r="F1224" t="inlineStr">
        <is>
          <t>Maj</t>
        </is>
      </c>
      <c r="G1224" t="inlineStr">
        <is>
          <t>Wt</t>
        </is>
      </c>
      <c r="H1224">
        <f>'Floor Hours Engine'!$E$4</f>
        <v/>
      </c>
      <c r="I1224" t="inlineStr">
        <is>
          <t>W2</t>
        </is>
      </c>
      <c r="J1224" t="inlineStr">
        <is>
          <t>2024_Maj_W2</t>
        </is>
      </c>
    </row>
    <row r="1225">
      <c r="A1225" s="177" t="n">
        <v>45420</v>
      </c>
      <c r="B1225" s="177" t="n">
        <v>45419</v>
      </c>
      <c r="C1225" s="177" t="n">
        <v>45425</v>
      </c>
      <c r="D1225" t="inlineStr">
        <is>
          <t>BW20240507</t>
        </is>
      </c>
      <c r="E1225" t="n">
        <v>2024</v>
      </c>
      <c r="F1225" t="inlineStr">
        <is>
          <t>Maj</t>
        </is>
      </c>
      <c r="G1225" t="inlineStr">
        <is>
          <t>Śr</t>
        </is>
      </c>
      <c r="H1225">
        <f>'Floor Hours Engine'!$E$4</f>
        <v/>
      </c>
      <c r="I1225" t="inlineStr">
        <is>
          <t>W2</t>
        </is>
      </c>
      <c r="J1225" t="inlineStr">
        <is>
          <t>2024_Maj_W2</t>
        </is>
      </c>
    </row>
    <row r="1226">
      <c r="A1226" s="177" t="n">
        <v>45421</v>
      </c>
      <c r="B1226" s="177" t="n">
        <v>45419</v>
      </c>
      <c r="C1226" s="177" t="n">
        <v>45425</v>
      </c>
      <c r="D1226" t="inlineStr">
        <is>
          <t>BW20240507</t>
        </is>
      </c>
      <c r="E1226" t="n">
        <v>2024</v>
      </c>
      <c r="F1226" t="inlineStr">
        <is>
          <t>Maj</t>
        </is>
      </c>
      <c r="G1226" t="inlineStr">
        <is>
          <t>Czw</t>
        </is>
      </c>
      <c r="H1226">
        <f>'Floor Hours Engine'!$E$4</f>
        <v/>
      </c>
      <c r="I1226" t="inlineStr">
        <is>
          <t>W2</t>
        </is>
      </c>
      <c r="J1226" t="inlineStr">
        <is>
          <t>2024_Maj_W2</t>
        </is>
      </c>
    </row>
    <row r="1227">
      <c r="A1227" s="177" t="n">
        <v>45422</v>
      </c>
      <c r="B1227" s="177" t="n">
        <v>45419</v>
      </c>
      <c r="C1227" s="177" t="n">
        <v>45425</v>
      </c>
      <c r="D1227" t="inlineStr">
        <is>
          <t>BW20240507</t>
        </is>
      </c>
      <c r="E1227" t="n">
        <v>2024</v>
      </c>
      <c r="F1227" t="inlineStr">
        <is>
          <t>Maj</t>
        </is>
      </c>
      <c r="G1227" t="inlineStr">
        <is>
          <t>Pt</t>
        </is>
      </c>
      <c r="H1227">
        <f>'Floor Hours Engine'!$E$5</f>
        <v/>
      </c>
      <c r="I1227" t="inlineStr">
        <is>
          <t>W2</t>
        </is>
      </c>
      <c r="J1227" t="inlineStr">
        <is>
          <t>2024_Maj_W2</t>
        </is>
      </c>
    </row>
    <row r="1228">
      <c r="A1228" s="177" t="n">
        <v>45423</v>
      </c>
      <c r="B1228" s="177" t="n">
        <v>45419</v>
      </c>
      <c r="C1228" s="177" t="n">
        <v>45425</v>
      </c>
      <c r="D1228" t="inlineStr">
        <is>
          <t>BW20240507</t>
        </is>
      </c>
      <c r="E1228" t="n">
        <v>2024</v>
      </c>
      <c r="F1228" t="inlineStr">
        <is>
          <t>Maj</t>
        </is>
      </c>
      <c r="G1228" t="inlineStr">
        <is>
          <t>Sob</t>
        </is>
      </c>
      <c r="H1228">
        <f>'Floor Hours Engine'!$E$5</f>
        <v/>
      </c>
      <c r="I1228" t="inlineStr">
        <is>
          <t>W2</t>
        </is>
      </c>
      <c r="J1228" t="inlineStr">
        <is>
          <t>2024_Maj_W2</t>
        </is>
      </c>
    </row>
    <row r="1229">
      <c r="A1229" s="177" t="n">
        <v>45424</v>
      </c>
      <c r="B1229" s="177" t="n">
        <v>45419</v>
      </c>
      <c r="C1229" s="177" t="n">
        <v>45425</v>
      </c>
      <c r="D1229" t="inlineStr">
        <is>
          <t>BW20240507</t>
        </is>
      </c>
      <c r="E1229" t="n">
        <v>2024</v>
      </c>
      <c r="F1229" t="inlineStr">
        <is>
          <t>Maj</t>
        </is>
      </c>
      <c r="G1229" t="inlineStr">
        <is>
          <t>Nd</t>
        </is>
      </c>
      <c r="H1229">
        <f>'Floor Hours Engine'!$E$6</f>
        <v/>
      </c>
      <c r="I1229" t="inlineStr">
        <is>
          <t>W2</t>
        </is>
      </c>
      <c r="J1229" t="inlineStr">
        <is>
          <t>2024_Maj_W2</t>
        </is>
      </c>
    </row>
    <row r="1230">
      <c r="A1230" s="177" t="n">
        <v>45425</v>
      </c>
      <c r="B1230" s="177" t="n">
        <v>45419</v>
      </c>
      <c r="C1230" s="177" t="n">
        <v>45425</v>
      </c>
      <c r="D1230" t="inlineStr">
        <is>
          <t>BW20240507</t>
        </is>
      </c>
      <c r="E1230" t="n">
        <v>2024</v>
      </c>
      <c r="F1230" t="inlineStr">
        <is>
          <t>Maj</t>
        </is>
      </c>
      <c r="G1230" t="inlineStr">
        <is>
          <t>Pn</t>
        </is>
      </c>
      <c r="H1230">
        <f>'Floor Hours Engine'!$E$4</f>
        <v/>
      </c>
      <c r="I1230" t="inlineStr">
        <is>
          <t>W2</t>
        </is>
      </c>
      <c r="J1230" t="inlineStr">
        <is>
          <t>2024_Maj_W2</t>
        </is>
      </c>
    </row>
    <row r="1231">
      <c r="A1231" s="177" t="n">
        <v>45426</v>
      </c>
      <c r="B1231" s="177" t="n">
        <v>45426</v>
      </c>
      <c r="C1231" s="177" t="n">
        <v>45432</v>
      </c>
      <c r="D1231" t="inlineStr">
        <is>
          <t>BW20240514</t>
        </is>
      </c>
      <c r="E1231" t="n">
        <v>2024</v>
      </c>
      <c r="F1231" t="inlineStr">
        <is>
          <t>Maj</t>
        </is>
      </c>
      <c r="G1231" t="inlineStr">
        <is>
          <t>Wt</t>
        </is>
      </c>
      <c r="H1231">
        <f>'Floor Hours Engine'!$E$4</f>
        <v/>
      </c>
      <c r="I1231" t="inlineStr">
        <is>
          <t>W3</t>
        </is>
      </c>
      <c r="J1231" t="inlineStr">
        <is>
          <t>2024_Maj_W3</t>
        </is>
      </c>
    </row>
    <row r="1232">
      <c r="A1232" s="177" t="n">
        <v>45427</v>
      </c>
      <c r="B1232" s="177" t="n">
        <v>45426</v>
      </c>
      <c r="C1232" s="177" t="n">
        <v>45432</v>
      </c>
      <c r="D1232" t="inlineStr">
        <is>
          <t>BW20240514</t>
        </is>
      </c>
      <c r="E1232" t="n">
        <v>2024</v>
      </c>
      <c r="F1232" t="inlineStr">
        <is>
          <t>Maj</t>
        </is>
      </c>
      <c r="G1232" t="inlineStr">
        <is>
          <t>Śr</t>
        </is>
      </c>
      <c r="H1232">
        <f>'Floor Hours Engine'!$E$4</f>
        <v/>
      </c>
      <c r="I1232" t="inlineStr">
        <is>
          <t>W3</t>
        </is>
      </c>
      <c r="J1232" t="inlineStr">
        <is>
          <t>2024_Maj_W3</t>
        </is>
      </c>
    </row>
    <row r="1233">
      <c r="A1233" s="177" t="n">
        <v>45428</v>
      </c>
      <c r="B1233" s="177" t="n">
        <v>45426</v>
      </c>
      <c r="C1233" s="177" t="n">
        <v>45432</v>
      </c>
      <c r="D1233" t="inlineStr">
        <is>
          <t>BW20240514</t>
        </is>
      </c>
      <c r="E1233" t="n">
        <v>2024</v>
      </c>
      <c r="F1233" t="inlineStr">
        <is>
          <t>Maj</t>
        </is>
      </c>
      <c r="G1233" t="inlineStr">
        <is>
          <t>Czw</t>
        </is>
      </c>
      <c r="H1233">
        <f>'Floor Hours Engine'!$E$4</f>
        <v/>
      </c>
      <c r="I1233" t="inlineStr">
        <is>
          <t>W3</t>
        </is>
      </c>
      <c r="J1233" t="inlineStr">
        <is>
          <t>2024_Maj_W3</t>
        </is>
      </c>
    </row>
    <row r="1234">
      <c r="A1234" s="177" t="n">
        <v>45429</v>
      </c>
      <c r="B1234" s="177" t="n">
        <v>45426</v>
      </c>
      <c r="C1234" s="177" t="n">
        <v>45432</v>
      </c>
      <c r="D1234" t="inlineStr">
        <is>
          <t>BW20240514</t>
        </is>
      </c>
      <c r="E1234" t="n">
        <v>2024</v>
      </c>
      <c r="F1234" t="inlineStr">
        <is>
          <t>Maj</t>
        </is>
      </c>
      <c r="G1234" t="inlineStr">
        <is>
          <t>Pt</t>
        </is>
      </c>
      <c r="H1234">
        <f>'Floor Hours Engine'!$E$5</f>
        <v/>
      </c>
      <c r="I1234" t="inlineStr">
        <is>
          <t>W3</t>
        </is>
      </c>
      <c r="J1234" t="inlineStr">
        <is>
          <t>2024_Maj_W3</t>
        </is>
      </c>
    </row>
    <row r="1235">
      <c r="A1235" s="177" t="n">
        <v>45430</v>
      </c>
      <c r="B1235" s="177" t="n">
        <v>45426</v>
      </c>
      <c r="C1235" s="177" t="n">
        <v>45432</v>
      </c>
      <c r="D1235" t="inlineStr">
        <is>
          <t>BW20240514</t>
        </is>
      </c>
      <c r="E1235" t="n">
        <v>2024</v>
      </c>
      <c r="F1235" t="inlineStr">
        <is>
          <t>Maj</t>
        </is>
      </c>
      <c r="G1235" t="inlineStr">
        <is>
          <t>Sob</t>
        </is>
      </c>
      <c r="H1235">
        <f>'Floor Hours Engine'!$E$5</f>
        <v/>
      </c>
      <c r="I1235" t="inlineStr">
        <is>
          <t>W3</t>
        </is>
      </c>
      <c r="J1235" t="inlineStr">
        <is>
          <t>2024_Maj_W3</t>
        </is>
      </c>
    </row>
    <row r="1236">
      <c r="A1236" s="177" t="n">
        <v>45431</v>
      </c>
      <c r="B1236" s="177" t="n">
        <v>45426</v>
      </c>
      <c r="C1236" s="177" t="n">
        <v>45432</v>
      </c>
      <c r="D1236" t="inlineStr">
        <is>
          <t>BW20240514</t>
        </is>
      </c>
      <c r="E1236" t="n">
        <v>2024</v>
      </c>
      <c r="F1236" t="inlineStr">
        <is>
          <t>Maj</t>
        </is>
      </c>
      <c r="G1236" t="inlineStr">
        <is>
          <t>Nd</t>
        </is>
      </c>
      <c r="H1236">
        <f>'Floor Hours Engine'!$E$6</f>
        <v/>
      </c>
      <c r="I1236" t="inlineStr">
        <is>
          <t>W3</t>
        </is>
      </c>
      <c r="J1236" t="inlineStr">
        <is>
          <t>2024_Maj_W3</t>
        </is>
      </c>
    </row>
    <row r="1237">
      <c r="A1237" s="177" t="n">
        <v>45432</v>
      </c>
      <c r="B1237" s="177" t="n">
        <v>45426</v>
      </c>
      <c r="C1237" s="177" t="n">
        <v>45432</v>
      </c>
      <c r="D1237" t="inlineStr">
        <is>
          <t>BW20240514</t>
        </is>
      </c>
      <c r="E1237" t="n">
        <v>2024</v>
      </c>
      <c r="F1237" t="inlineStr">
        <is>
          <t>Maj</t>
        </is>
      </c>
      <c r="G1237" t="inlineStr">
        <is>
          <t>Pn</t>
        </is>
      </c>
      <c r="H1237">
        <f>'Floor Hours Engine'!$E$4</f>
        <v/>
      </c>
      <c r="I1237" t="inlineStr">
        <is>
          <t>W3</t>
        </is>
      </c>
      <c r="J1237" t="inlineStr">
        <is>
          <t>2024_Maj_W3</t>
        </is>
      </c>
    </row>
    <row r="1238">
      <c r="A1238" s="177" t="n">
        <v>45433</v>
      </c>
      <c r="B1238" s="177" t="n">
        <v>45433</v>
      </c>
      <c r="C1238" s="177" t="n">
        <v>45439</v>
      </c>
      <c r="D1238" t="inlineStr">
        <is>
          <t>BW20240521</t>
        </is>
      </c>
      <c r="E1238" t="n">
        <v>2024</v>
      </c>
      <c r="F1238" t="inlineStr">
        <is>
          <t>Maj</t>
        </is>
      </c>
      <c r="G1238" t="inlineStr">
        <is>
          <t>Wt</t>
        </is>
      </c>
      <c r="H1238">
        <f>'Floor Hours Engine'!$E$4</f>
        <v/>
      </c>
      <c r="I1238" t="inlineStr">
        <is>
          <t>W4</t>
        </is>
      </c>
      <c r="J1238" t="inlineStr">
        <is>
          <t>2024_Maj_W4</t>
        </is>
      </c>
    </row>
    <row r="1239">
      <c r="A1239" s="177" t="n">
        <v>45434</v>
      </c>
      <c r="B1239" s="177" t="n">
        <v>45433</v>
      </c>
      <c r="C1239" s="177" t="n">
        <v>45439</v>
      </c>
      <c r="D1239" t="inlineStr">
        <is>
          <t>BW20240521</t>
        </is>
      </c>
      <c r="E1239" t="n">
        <v>2024</v>
      </c>
      <c r="F1239" t="inlineStr">
        <is>
          <t>Maj</t>
        </is>
      </c>
      <c r="G1239" t="inlineStr">
        <is>
          <t>Śr</t>
        </is>
      </c>
      <c r="H1239">
        <f>'Floor Hours Engine'!$E$4</f>
        <v/>
      </c>
      <c r="I1239" t="inlineStr">
        <is>
          <t>W4</t>
        </is>
      </c>
      <c r="J1239" t="inlineStr">
        <is>
          <t>2024_Maj_W4</t>
        </is>
      </c>
    </row>
    <row r="1240">
      <c r="A1240" s="177" t="n">
        <v>45435</v>
      </c>
      <c r="B1240" s="177" t="n">
        <v>45433</v>
      </c>
      <c r="C1240" s="177" t="n">
        <v>45439</v>
      </c>
      <c r="D1240" t="inlineStr">
        <is>
          <t>BW20240521</t>
        </is>
      </c>
      <c r="E1240" t="n">
        <v>2024</v>
      </c>
      <c r="F1240" t="inlineStr">
        <is>
          <t>Maj</t>
        </is>
      </c>
      <c r="G1240" t="inlineStr">
        <is>
          <t>Czw</t>
        </is>
      </c>
      <c r="H1240">
        <f>'Floor Hours Engine'!$E$4</f>
        <v/>
      </c>
      <c r="I1240" t="inlineStr">
        <is>
          <t>W4</t>
        </is>
      </c>
      <c r="J1240" t="inlineStr">
        <is>
          <t>2024_Maj_W4</t>
        </is>
      </c>
    </row>
    <row r="1241">
      <c r="A1241" s="177" t="n">
        <v>45436</v>
      </c>
      <c r="B1241" s="177" t="n">
        <v>45433</v>
      </c>
      <c r="C1241" s="177" t="n">
        <v>45439</v>
      </c>
      <c r="D1241" t="inlineStr">
        <is>
          <t>BW20240521</t>
        </is>
      </c>
      <c r="E1241" t="n">
        <v>2024</v>
      </c>
      <c r="F1241" t="inlineStr">
        <is>
          <t>Maj</t>
        </is>
      </c>
      <c r="G1241" t="inlineStr">
        <is>
          <t>Pt</t>
        </is>
      </c>
      <c r="H1241">
        <f>'Floor Hours Engine'!$E$5</f>
        <v/>
      </c>
      <c r="I1241" t="inlineStr">
        <is>
          <t>W4</t>
        </is>
      </c>
      <c r="J1241" t="inlineStr">
        <is>
          <t>2024_Maj_W4</t>
        </is>
      </c>
    </row>
    <row r="1242">
      <c r="A1242" s="177" t="n">
        <v>45437</v>
      </c>
      <c r="B1242" s="177" t="n">
        <v>45433</v>
      </c>
      <c r="C1242" s="177" t="n">
        <v>45439</v>
      </c>
      <c r="D1242" t="inlineStr">
        <is>
          <t>BW20240521</t>
        </is>
      </c>
      <c r="E1242" t="n">
        <v>2024</v>
      </c>
      <c r="F1242" t="inlineStr">
        <is>
          <t>Maj</t>
        </is>
      </c>
      <c r="G1242" t="inlineStr">
        <is>
          <t>Sob</t>
        </is>
      </c>
      <c r="H1242">
        <f>'Floor Hours Engine'!$E$5</f>
        <v/>
      </c>
      <c r="I1242" t="inlineStr">
        <is>
          <t>W4</t>
        </is>
      </c>
      <c r="J1242" t="inlineStr">
        <is>
          <t>2024_Maj_W4</t>
        </is>
      </c>
    </row>
    <row r="1243">
      <c r="A1243" s="177" t="n">
        <v>45438</v>
      </c>
      <c r="B1243" s="177" t="n">
        <v>45433</v>
      </c>
      <c r="C1243" s="177" t="n">
        <v>45439</v>
      </c>
      <c r="D1243" t="inlineStr">
        <is>
          <t>BW20240521</t>
        </is>
      </c>
      <c r="E1243" t="n">
        <v>2024</v>
      </c>
      <c r="F1243" t="inlineStr">
        <is>
          <t>Maj</t>
        </is>
      </c>
      <c r="G1243" t="inlineStr">
        <is>
          <t>Nd</t>
        </is>
      </c>
      <c r="H1243">
        <f>'Floor Hours Engine'!$E$6</f>
        <v/>
      </c>
      <c r="I1243" t="inlineStr">
        <is>
          <t>W4</t>
        </is>
      </c>
      <c r="J1243" t="inlineStr">
        <is>
          <t>2024_Maj_W4</t>
        </is>
      </c>
    </row>
    <row r="1244">
      <c r="A1244" s="177" t="n">
        <v>45439</v>
      </c>
      <c r="B1244" s="177" t="n">
        <v>45433</v>
      </c>
      <c r="C1244" s="177" t="n">
        <v>45439</v>
      </c>
      <c r="D1244" t="inlineStr">
        <is>
          <t>BW20240521</t>
        </is>
      </c>
      <c r="E1244" t="n">
        <v>2024</v>
      </c>
      <c r="F1244" t="inlineStr">
        <is>
          <t>Maj</t>
        </is>
      </c>
      <c r="G1244" t="inlineStr">
        <is>
          <t>Pn</t>
        </is>
      </c>
      <c r="H1244">
        <f>'Floor Hours Engine'!$E$4</f>
        <v/>
      </c>
      <c r="I1244" t="inlineStr">
        <is>
          <t>W4</t>
        </is>
      </c>
      <c r="J1244" t="inlineStr">
        <is>
          <t>2024_Maj_W4</t>
        </is>
      </c>
    </row>
    <row r="1245">
      <c r="A1245" s="177" t="n">
        <v>45440</v>
      </c>
      <c r="B1245" s="177" t="n">
        <v>45440</v>
      </c>
      <c r="C1245" s="177" t="n">
        <v>45446</v>
      </c>
      <c r="D1245" t="inlineStr">
        <is>
          <t>BW20240528</t>
        </is>
      </c>
      <c r="E1245" t="n">
        <v>2024</v>
      </c>
      <c r="F1245" t="inlineStr">
        <is>
          <t>Maj</t>
        </is>
      </c>
      <c r="G1245" t="inlineStr">
        <is>
          <t>Wt</t>
        </is>
      </c>
      <c r="H1245">
        <f>'Floor Hours Engine'!$E$4</f>
        <v/>
      </c>
      <c r="I1245" t="inlineStr">
        <is>
          <t>W5</t>
        </is>
      </c>
      <c r="J1245" t="inlineStr">
        <is>
          <t>2024_Maj_W5</t>
        </is>
      </c>
    </row>
    <row r="1246">
      <c r="A1246" s="177" t="n">
        <v>45441</v>
      </c>
      <c r="B1246" s="177" t="n">
        <v>45440</v>
      </c>
      <c r="C1246" s="177" t="n">
        <v>45446</v>
      </c>
      <c r="D1246" t="inlineStr">
        <is>
          <t>BW20240528</t>
        </is>
      </c>
      <c r="E1246" t="n">
        <v>2024</v>
      </c>
      <c r="F1246" t="inlineStr">
        <is>
          <t>Maj</t>
        </is>
      </c>
      <c r="G1246" t="inlineStr">
        <is>
          <t>Śr</t>
        </is>
      </c>
      <c r="H1246">
        <f>'Floor Hours Engine'!$E$4</f>
        <v/>
      </c>
      <c r="I1246" t="inlineStr">
        <is>
          <t>W5</t>
        </is>
      </c>
      <c r="J1246" t="inlineStr">
        <is>
          <t>2024_Maj_W5</t>
        </is>
      </c>
    </row>
    <row r="1247">
      <c r="A1247" s="177" t="n">
        <v>45442</v>
      </c>
      <c r="B1247" s="177" t="n">
        <v>45440</v>
      </c>
      <c r="C1247" s="177" t="n">
        <v>45446</v>
      </c>
      <c r="D1247" t="inlineStr">
        <is>
          <t>BW20240528</t>
        </is>
      </c>
      <c r="E1247" t="n">
        <v>2024</v>
      </c>
      <c r="F1247" t="inlineStr">
        <is>
          <t>Maj</t>
        </is>
      </c>
      <c r="G1247" t="inlineStr">
        <is>
          <t>Czw</t>
        </is>
      </c>
      <c r="H1247">
        <f>'Floor Hours Engine'!$E$4</f>
        <v/>
      </c>
      <c r="I1247" t="inlineStr">
        <is>
          <t>W5</t>
        </is>
      </c>
      <c r="J1247" t="inlineStr">
        <is>
          <t>2024_Maj_W5</t>
        </is>
      </c>
    </row>
    <row r="1248">
      <c r="A1248" s="177" t="n">
        <v>45443</v>
      </c>
      <c r="B1248" s="177" t="n">
        <v>45440</v>
      </c>
      <c r="C1248" s="177" t="n">
        <v>45446</v>
      </c>
      <c r="D1248" t="inlineStr">
        <is>
          <t>BW20240528</t>
        </is>
      </c>
      <c r="E1248" t="n">
        <v>2024</v>
      </c>
      <c r="F1248" t="inlineStr">
        <is>
          <t>Maj</t>
        </is>
      </c>
      <c r="G1248" t="inlineStr">
        <is>
          <t>Pt</t>
        </is>
      </c>
      <c r="H1248">
        <f>'Floor Hours Engine'!$E$5</f>
        <v/>
      </c>
      <c r="I1248" t="inlineStr">
        <is>
          <t>W5</t>
        </is>
      </c>
      <c r="J1248" t="inlineStr">
        <is>
          <t>2024_Maj_W5</t>
        </is>
      </c>
    </row>
    <row r="1249">
      <c r="A1249" s="177" t="n">
        <v>45444</v>
      </c>
      <c r="B1249" s="177" t="n">
        <v>45440</v>
      </c>
      <c r="C1249" s="177" t="n">
        <v>45446</v>
      </c>
      <c r="D1249" t="inlineStr">
        <is>
          <t>BW20240528</t>
        </is>
      </c>
      <c r="E1249" t="n">
        <v>2024</v>
      </c>
      <c r="F1249" t="inlineStr">
        <is>
          <t>Czerwiec</t>
        </is>
      </c>
      <c r="G1249" t="inlineStr">
        <is>
          <t>Sob</t>
        </is>
      </c>
      <c r="H1249">
        <f>'Floor Hours Engine'!$E$5</f>
        <v/>
      </c>
      <c r="I1249" t="inlineStr">
        <is>
          <t>W1</t>
        </is>
      </c>
      <c r="J1249" t="inlineStr">
        <is>
          <t>2024_Czerwiec_W1</t>
        </is>
      </c>
    </row>
    <row r="1250">
      <c r="A1250" s="177" t="n">
        <v>45445</v>
      </c>
      <c r="B1250" s="177" t="n">
        <v>45440</v>
      </c>
      <c r="C1250" s="177" t="n">
        <v>45446</v>
      </c>
      <c r="D1250" t="inlineStr">
        <is>
          <t>BW20240528</t>
        </is>
      </c>
      <c r="E1250" t="n">
        <v>2024</v>
      </c>
      <c r="F1250" t="inlineStr">
        <is>
          <t>Czerwiec</t>
        </is>
      </c>
      <c r="G1250" t="inlineStr">
        <is>
          <t>Nd</t>
        </is>
      </c>
      <c r="H1250">
        <f>'Floor Hours Engine'!$E$6</f>
        <v/>
      </c>
      <c r="I1250" t="inlineStr">
        <is>
          <t>W1</t>
        </is>
      </c>
      <c r="J1250" t="inlineStr">
        <is>
          <t>2024_Czerwiec_W1</t>
        </is>
      </c>
    </row>
    <row r="1251">
      <c r="A1251" s="177" t="n">
        <v>45446</v>
      </c>
      <c r="B1251" s="177" t="n">
        <v>45440</v>
      </c>
      <c r="C1251" s="177" t="n">
        <v>45446</v>
      </c>
      <c r="D1251" t="inlineStr">
        <is>
          <t>BW20240528</t>
        </is>
      </c>
      <c r="E1251" t="n">
        <v>2024</v>
      </c>
      <c r="F1251" t="inlineStr">
        <is>
          <t>Czerwiec</t>
        </is>
      </c>
      <c r="G1251" t="inlineStr">
        <is>
          <t>Pn</t>
        </is>
      </c>
      <c r="H1251">
        <f>'Floor Hours Engine'!$E$4</f>
        <v/>
      </c>
      <c r="I1251" t="inlineStr">
        <is>
          <t>W1</t>
        </is>
      </c>
      <c r="J1251" t="inlineStr">
        <is>
          <t>2024_Czerwiec_W1</t>
        </is>
      </c>
    </row>
    <row r="1252">
      <c r="A1252" s="177" t="n">
        <v>45447</v>
      </c>
      <c r="B1252" s="177" t="n">
        <v>45447</v>
      </c>
      <c r="C1252" s="177" t="n">
        <v>45453</v>
      </c>
      <c r="D1252" t="inlineStr">
        <is>
          <t>BW20240604</t>
        </is>
      </c>
      <c r="E1252" t="n">
        <v>2024</v>
      </c>
      <c r="F1252" t="inlineStr">
        <is>
          <t>Czerwiec</t>
        </is>
      </c>
      <c r="G1252" t="inlineStr">
        <is>
          <t>Wt</t>
        </is>
      </c>
      <c r="H1252">
        <f>'Floor Hours Engine'!$E$4</f>
        <v/>
      </c>
      <c r="I1252" t="inlineStr">
        <is>
          <t>W2</t>
        </is>
      </c>
      <c r="J1252" t="inlineStr">
        <is>
          <t>2024_Czerwiec_W2</t>
        </is>
      </c>
    </row>
    <row r="1253">
      <c r="A1253" s="177" t="n">
        <v>45448</v>
      </c>
      <c r="B1253" s="177" t="n">
        <v>45447</v>
      </c>
      <c r="C1253" s="177" t="n">
        <v>45453</v>
      </c>
      <c r="D1253" t="inlineStr">
        <is>
          <t>BW20240604</t>
        </is>
      </c>
      <c r="E1253" t="n">
        <v>2024</v>
      </c>
      <c r="F1253" t="inlineStr">
        <is>
          <t>Czerwiec</t>
        </is>
      </c>
      <c r="G1253" t="inlineStr">
        <is>
          <t>Śr</t>
        </is>
      </c>
      <c r="H1253">
        <f>'Floor Hours Engine'!$E$4</f>
        <v/>
      </c>
      <c r="I1253" t="inlineStr">
        <is>
          <t>W2</t>
        </is>
      </c>
      <c r="J1253" t="inlineStr">
        <is>
          <t>2024_Czerwiec_W2</t>
        </is>
      </c>
    </row>
    <row r="1254">
      <c r="A1254" s="177" t="n">
        <v>45449</v>
      </c>
      <c r="B1254" s="177" t="n">
        <v>45447</v>
      </c>
      <c r="C1254" s="177" t="n">
        <v>45453</v>
      </c>
      <c r="D1254" t="inlineStr">
        <is>
          <t>BW20240604</t>
        </is>
      </c>
      <c r="E1254" t="n">
        <v>2024</v>
      </c>
      <c r="F1254" t="inlineStr">
        <is>
          <t>Czerwiec</t>
        </is>
      </c>
      <c r="G1254" t="inlineStr">
        <is>
          <t>Czw</t>
        </is>
      </c>
      <c r="H1254">
        <f>'Floor Hours Engine'!$E$4</f>
        <v/>
      </c>
      <c r="I1254" t="inlineStr">
        <is>
          <t>W2</t>
        </is>
      </c>
      <c r="J1254" t="inlineStr">
        <is>
          <t>2024_Czerwiec_W2</t>
        </is>
      </c>
    </row>
    <row r="1255">
      <c r="A1255" s="177" t="n">
        <v>45450</v>
      </c>
      <c r="B1255" s="177" t="n">
        <v>45447</v>
      </c>
      <c r="C1255" s="177" t="n">
        <v>45453</v>
      </c>
      <c r="D1255" t="inlineStr">
        <is>
          <t>BW20240604</t>
        </is>
      </c>
      <c r="E1255" t="n">
        <v>2024</v>
      </c>
      <c r="F1255" t="inlineStr">
        <is>
          <t>Czerwiec</t>
        </is>
      </c>
      <c r="G1255" t="inlineStr">
        <is>
          <t>Pt</t>
        </is>
      </c>
      <c r="H1255">
        <f>'Floor Hours Engine'!$E$5</f>
        <v/>
      </c>
      <c r="I1255" t="inlineStr">
        <is>
          <t>W2</t>
        </is>
      </c>
      <c r="J1255" t="inlineStr">
        <is>
          <t>2024_Czerwiec_W2</t>
        </is>
      </c>
    </row>
    <row r="1256">
      <c r="A1256" s="177" t="n">
        <v>45451</v>
      </c>
      <c r="B1256" s="177" t="n">
        <v>45447</v>
      </c>
      <c r="C1256" s="177" t="n">
        <v>45453</v>
      </c>
      <c r="D1256" t="inlineStr">
        <is>
          <t>BW20240604</t>
        </is>
      </c>
      <c r="E1256" t="n">
        <v>2024</v>
      </c>
      <c r="F1256" t="inlineStr">
        <is>
          <t>Czerwiec</t>
        </is>
      </c>
      <c r="G1256" t="inlineStr">
        <is>
          <t>Sob</t>
        </is>
      </c>
      <c r="H1256">
        <f>'Floor Hours Engine'!$E$5</f>
        <v/>
      </c>
      <c r="I1256" t="inlineStr">
        <is>
          <t>W2</t>
        </is>
      </c>
      <c r="J1256" t="inlineStr">
        <is>
          <t>2024_Czerwiec_W2</t>
        </is>
      </c>
    </row>
    <row r="1257">
      <c r="A1257" s="177" t="n">
        <v>45452</v>
      </c>
      <c r="B1257" s="177" t="n">
        <v>45447</v>
      </c>
      <c r="C1257" s="177" t="n">
        <v>45453</v>
      </c>
      <c r="D1257" t="inlineStr">
        <is>
          <t>BW20240604</t>
        </is>
      </c>
      <c r="E1257" t="n">
        <v>2024</v>
      </c>
      <c r="F1257" t="inlineStr">
        <is>
          <t>Czerwiec</t>
        </is>
      </c>
      <c r="G1257" t="inlineStr">
        <is>
          <t>Nd</t>
        </is>
      </c>
      <c r="H1257">
        <f>'Floor Hours Engine'!$E$6</f>
        <v/>
      </c>
      <c r="I1257" t="inlineStr">
        <is>
          <t>W2</t>
        </is>
      </c>
      <c r="J1257" t="inlineStr">
        <is>
          <t>2024_Czerwiec_W2</t>
        </is>
      </c>
    </row>
    <row r="1258">
      <c r="A1258" s="177" t="n">
        <v>45453</v>
      </c>
      <c r="B1258" s="177" t="n">
        <v>45447</v>
      </c>
      <c r="C1258" s="177" t="n">
        <v>45453</v>
      </c>
      <c r="D1258" t="inlineStr">
        <is>
          <t>BW20240604</t>
        </is>
      </c>
      <c r="E1258" t="n">
        <v>2024</v>
      </c>
      <c r="F1258" t="inlineStr">
        <is>
          <t>Czerwiec</t>
        </is>
      </c>
      <c r="G1258" t="inlineStr">
        <is>
          <t>Pn</t>
        </is>
      </c>
      <c r="H1258">
        <f>'Floor Hours Engine'!$E$4</f>
        <v/>
      </c>
      <c r="I1258" t="inlineStr">
        <is>
          <t>W2</t>
        </is>
      </c>
      <c r="J1258" t="inlineStr">
        <is>
          <t>2024_Czerwiec_W2</t>
        </is>
      </c>
    </row>
    <row r="1259">
      <c r="A1259" s="177" t="n">
        <v>45454</v>
      </c>
      <c r="B1259" s="177" t="n">
        <v>45454</v>
      </c>
      <c r="C1259" s="177" t="n">
        <v>45460</v>
      </c>
      <c r="D1259" t="inlineStr">
        <is>
          <t>BW20240611</t>
        </is>
      </c>
      <c r="E1259" t="n">
        <v>2024</v>
      </c>
      <c r="F1259" t="inlineStr">
        <is>
          <t>Czerwiec</t>
        </is>
      </c>
      <c r="G1259" t="inlineStr">
        <is>
          <t>Wt</t>
        </is>
      </c>
      <c r="H1259">
        <f>'Floor Hours Engine'!$E$4</f>
        <v/>
      </c>
      <c r="I1259" t="inlineStr">
        <is>
          <t>W3</t>
        </is>
      </c>
      <c r="J1259" t="inlineStr">
        <is>
          <t>2024_Czerwiec_W3</t>
        </is>
      </c>
    </row>
    <row r="1260">
      <c r="A1260" s="177" t="n">
        <v>45455</v>
      </c>
      <c r="B1260" s="177" t="n">
        <v>45454</v>
      </c>
      <c r="C1260" s="177" t="n">
        <v>45460</v>
      </c>
      <c r="D1260" t="inlineStr">
        <is>
          <t>BW20240611</t>
        </is>
      </c>
      <c r="E1260" t="n">
        <v>2024</v>
      </c>
      <c r="F1260" t="inlineStr">
        <is>
          <t>Czerwiec</t>
        </is>
      </c>
      <c r="G1260" t="inlineStr">
        <is>
          <t>Śr</t>
        </is>
      </c>
      <c r="H1260">
        <f>'Floor Hours Engine'!$E$4</f>
        <v/>
      </c>
      <c r="I1260" t="inlineStr">
        <is>
          <t>W3</t>
        </is>
      </c>
      <c r="J1260" t="inlineStr">
        <is>
          <t>2024_Czerwiec_W3</t>
        </is>
      </c>
    </row>
    <row r="1261">
      <c r="A1261" s="177" t="n">
        <v>45456</v>
      </c>
      <c r="B1261" s="177" t="n">
        <v>45454</v>
      </c>
      <c r="C1261" s="177" t="n">
        <v>45460</v>
      </c>
      <c r="D1261" t="inlineStr">
        <is>
          <t>BW20240611</t>
        </is>
      </c>
      <c r="E1261" t="n">
        <v>2024</v>
      </c>
      <c r="F1261" t="inlineStr">
        <is>
          <t>Czerwiec</t>
        </is>
      </c>
      <c r="G1261" t="inlineStr">
        <is>
          <t>Czw</t>
        </is>
      </c>
      <c r="H1261">
        <f>'Floor Hours Engine'!$E$4</f>
        <v/>
      </c>
      <c r="I1261" t="inlineStr">
        <is>
          <t>W3</t>
        </is>
      </c>
      <c r="J1261" t="inlineStr">
        <is>
          <t>2024_Czerwiec_W3</t>
        </is>
      </c>
    </row>
    <row r="1262">
      <c r="A1262" s="177" t="n">
        <v>45457</v>
      </c>
      <c r="B1262" s="177" t="n">
        <v>45454</v>
      </c>
      <c r="C1262" s="177" t="n">
        <v>45460</v>
      </c>
      <c r="D1262" t="inlineStr">
        <is>
          <t>BW20240611</t>
        </is>
      </c>
      <c r="E1262" t="n">
        <v>2024</v>
      </c>
      <c r="F1262" t="inlineStr">
        <is>
          <t>Czerwiec</t>
        </is>
      </c>
      <c r="G1262" t="inlineStr">
        <is>
          <t>Pt</t>
        </is>
      </c>
      <c r="H1262">
        <f>'Floor Hours Engine'!$E$5</f>
        <v/>
      </c>
      <c r="I1262" t="inlineStr">
        <is>
          <t>W3</t>
        </is>
      </c>
      <c r="J1262" t="inlineStr">
        <is>
          <t>2024_Czerwiec_W3</t>
        </is>
      </c>
    </row>
    <row r="1263">
      <c r="A1263" s="177" t="n">
        <v>45458</v>
      </c>
      <c r="B1263" s="177" t="n">
        <v>45454</v>
      </c>
      <c r="C1263" s="177" t="n">
        <v>45460</v>
      </c>
      <c r="D1263" t="inlineStr">
        <is>
          <t>BW20240611</t>
        </is>
      </c>
      <c r="E1263" t="n">
        <v>2024</v>
      </c>
      <c r="F1263" t="inlineStr">
        <is>
          <t>Czerwiec</t>
        </is>
      </c>
      <c r="G1263" t="inlineStr">
        <is>
          <t>Sob</t>
        </is>
      </c>
      <c r="H1263">
        <f>'Floor Hours Engine'!$E$5</f>
        <v/>
      </c>
      <c r="I1263" t="inlineStr">
        <is>
          <t>W3</t>
        </is>
      </c>
      <c r="J1263" t="inlineStr">
        <is>
          <t>2024_Czerwiec_W3</t>
        </is>
      </c>
    </row>
    <row r="1264">
      <c r="A1264" s="177" t="n">
        <v>45459</v>
      </c>
      <c r="B1264" s="177" t="n">
        <v>45454</v>
      </c>
      <c r="C1264" s="177" t="n">
        <v>45460</v>
      </c>
      <c r="D1264" t="inlineStr">
        <is>
          <t>BW20240611</t>
        </is>
      </c>
      <c r="E1264" t="n">
        <v>2024</v>
      </c>
      <c r="F1264" t="inlineStr">
        <is>
          <t>Czerwiec</t>
        </is>
      </c>
      <c r="G1264" t="inlineStr">
        <is>
          <t>Nd</t>
        </is>
      </c>
      <c r="H1264">
        <f>'Floor Hours Engine'!$E$6</f>
        <v/>
      </c>
      <c r="I1264" t="inlineStr">
        <is>
          <t>W3</t>
        </is>
      </c>
      <c r="J1264" t="inlineStr">
        <is>
          <t>2024_Czerwiec_W3</t>
        </is>
      </c>
    </row>
    <row r="1265">
      <c r="A1265" s="177" t="n">
        <v>45460</v>
      </c>
      <c r="B1265" s="177" t="n">
        <v>45454</v>
      </c>
      <c r="C1265" s="177" t="n">
        <v>45460</v>
      </c>
      <c r="D1265" t="inlineStr">
        <is>
          <t>BW20240611</t>
        </is>
      </c>
      <c r="E1265" t="n">
        <v>2024</v>
      </c>
      <c r="F1265" t="inlineStr">
        <is>
          <t>Czerwiec</t>
        </is>
      </c>
      <c r="G1265" t="inlineStr">
        <is>
          <t>Pn</t>
        </is>
      </c>
      <c r="H1265">
        <f>'Floor Hours Engine'!$E$4</f>
        <v/>
      </c>
      <c r="I1265" t="inlineStr">
        <is>
          <t>W3</t>
        </is>
      </c>
      <c r="J1265" t="inlineStr">
        <is>
          <t>2024_Czerwiec_W3</t>
        </is>
      </c>
    </row>
    <row r="1266">
      <c r="A1266" s="177" t="n">
        <v>45461</v>
      </c>
      <c r="B1266" s="177" t="n">
        <v>45461</v>
      </c>
      <c r="C1266" s="177" t="n">
        <v>45467</v>
      </c>
      <c r="D1266" t="inlineStr">
        <is>
          <t>BW20240618</t>
        </is>
      </c>
      <c r="E1266" t="n">
        <v>2024</v>
      </c>
      <c r="F1266" t="inlineStr">
        <is>
          <t>Czerwiec</t>
        </is>
      </c>
      <c r="G1266" t="inlineStr">
        <is>
          <t>Wt</t>
        </is>
      </c>
      <c r="H1266">
        <f>'Floor Hours Engine'!$E$4</f>
        <v/>
      </c>
      <c r="I1266" t="inlineStr">
        <is>
          <t>W4</t>
        </is>
      </c>
      <c r="J1266" t="inlineStr">
        <is>
          <t>2024_Czerwiec_W4</t>
        </is>
      </c>
    </row>
    <row r="1267">
      <c r="A1267" s="177" t="n">
        <v>45462</v>
      </c>
      <c r="B1267" s="177" t="n">
        <v>45461</v>
      </c>
      <c r="C1267" s="177" t="n">
        <v>45467</v>
      </c>
      <c r="D1267" t="inlineStr">
        <is>
          <t>BW20240618</t>
        </is>
      </c>
      <c r="E1267" t="n">
        <v>2024</v>
      </c>
      <c r="F1267" t="inlineStr">
        <is>
          <t>Czerwiec</t>
        </is>
      </c>
      <c r="G1267" t="inlineStr">
        <is>
          <t>Śr</t>
        </is>
      </c>
      <c r="H1267">
        <f>'Floor Hours Engine'!$E$4</f>
        <v/>
      </c>
      <c r="I1267" t="inlineStr">
        <is>
          <t>W4</t>
        </is>
      </c>
      <c r="J1267" t="inlineStr">
        <is>
          <t>2024_Czerwiec_W4</t>
        </is>
      </c>
    </row>
    <row r="1268">
      <c r="A1268" s="177" t="n">
        <v>45463</v>
      </c>
      <c r="B1268" s="177" t="n">
        <v>45461</v>
      </c>
      <c r="C1268" s="177" t="n">
        <v>45467</v>
      </c>
      <c r="D1268" t="inlineStr">
        <is>
          <t>BW20240618</t>
        </is>
      </c>
      <c r="E1268" t="n">
        <v>2024</v>
      </c>
      <c r="F1268" t="inlineStr">
        <is>
          <t>Czerwiec</t>
        </is>
      </c>
      <c r="G1268" t="inlineStr">
        <is>
          <t>Czw</t>
        </is>
      </c>
      <c r="H1268">
        <f>'Floor Hours Engine'!$E$4</f>
        <v/>
      </c>
      <c r="I1268" t="inlineStr">
        <is>
          <t>W4</t>
        </is>
      </c>
      <c r="J1268" t="inlineStr">
        <is>
          <t>2024_Czerwiec_W4</t>
        </is>
      </c>
    </row>
    <row r="1269">
      <c r="A1269" s="177" t="n">
        <v>45464</v>
      </c>
      <c r="B1269" s="177" t="n">
        <v>45461</v>
      </c>
      <c r="C1269" s="177" t="n">
        <v>45467</v>
      </c>
      <c r="D1269" t="inlineStr">
        <is>
          <t>BW20240618</t>
        </is>
      </c>
      <c r="E1269" t="n">
        <v>2024</v>
      </c>
      <c r="F1269" t="inlineStr">
        <is>
          <t>Czerwiec</t>
        </is>
      </c>
      <c r="G1269" t="inlineStr">
        <is>
          <t>Pt</t>
        </is>
      </c>
      <c r="H1269">
        <f>'Floor Hours Engine'!$E$5</f>
        <v/>
      </c>
      <c r="I1269" t="inlineStr">
        <is>
          <t>W4</t>
        </is>
      </c>
      <c r="J1269" t="inlineStr">
        <is>
          <t>2024_Czerwiec_W4</t>
        </is>
      </c>
    </row>
    <row r="1270">
      <c r="A1270" s="177" t="n">
        <v>45465</v>
      </c>
      <c r="B1270" s="177" t="n">
        <v>45461</v>
      </c>
      <c r="C1270" s="177" t="n">
        <v>45467</v>
      </c>
      <c r="D1270" t="inlineStr">
        <is>
          <t>BW20240618</t>
        </is>
      </c>
      <c r="E1270" t="n">
        <v>2024</v>
      </c>
      <c r="F1270" t="inlineStr">
        <is>
          <t>Czerwiec</t>
        </is>
      </c>
      <c r="G1270" t="inlineStr">
        <is>
          <t>Sob</t>
        </is>
      </c>
      <c r="H1270">
        <f>'Floor Hours Engine'!$E$5</f>
        <v/>
      </c>
      <c r="I1270" t="inlineStr">
        <is>
          <t>W4</t>
        </is>
      </c>
      <c r="J1270" t="inlineStr">
        <is>
          <t>2024_Czerwiec_W4</t>
        </is>
      </c>
    </row>
    <row r="1271">
      <c r="A1271" s="177" t="n">
        <v>45466</v>
      </c>
      <c r="B1271" s="177" t="n">
        <v>45461</v>
      </c>
      <c r="C1271" s="177" t="n">
        <v>45467</v>
      </c>
      <c r="D1271" t="inlineStr">
        <is>
          <t>BW20240618</t>
        </is>
      </c>
      <c r="E1271" t="n">
        <v>2024</v>
      </c>
      <c r="F1271" t="inlineStr">
        <is>
          <t>Czerwiec</t>
        </is>
      </c>
      <c r="G1271" t="inlineStr">
        <is>
          <t>Nd</t>
        </is>
      </c>
      <c r="H1271">
        <f>'Floor Hours Engine'!$E$6</f>
        <v/>
      </c>
      <c r="I1271" t="inlineStr">
        <is>
          <t>W4</t>
        </is>
      </c>
      <c r="J1271" t="inlineStr">
        <is>
          <t>2024_Czerwiec_W4</t>
        </is>
      </c>
    </row>
    <row r="1272">
      <c r="A1272" s="177" t="n">
        <v>45467</v>
      </c>
      <c r="B1272" s="177" t="n">
        <v>45461</v>
      </c>
      <c r="C1272" s="177" t="n">
        <v>45467</v>
      </c>
      <c r="D1272" t="inlineStr">
        <is>
          <t>BW20240618</t>
        </is>
      </c>
      <c r="E1272" t="n">
        <v>2024</v>
      </c>
      <c r="F1272" t="inlineStr">
        <is>
          <t>Czerwiec</t>
        </is>
      </c>
      <c r="G1272" t="inlineStr">
        <is>
          <t>Pn</t>
        </is>
      </c>
      <c r="H1272">
        <f>'Floor Hours Engine'!$E$4</f>
        <v/>
      </c>
      <c r="I1272" t="inlineStr">
        <is>
          <t>W4</t>
        </is>
      </c>
      <c r="J1272" t="inlineStr">
        <is>
          <t>2024_Czerwiec_W4</t>
        </is>
      </c>
    </row>
    <row r="1273">
      <c r="A1273" s="177" t="n">
        <v>45468</v>
      </c>
      <c r="B1273" s="177" t="n">
        <v>45468</v>
      </c>
      <c r="C1273" s="177" t="n">
        <v>45474</v>
      </c>
      <c r="D1273" t="inlineStr">
        <is>
          <t>BW20240625</t>
        </is>
      </c>
      <c r="E1273" t="n">
        <v>2024</v>
      </c>
      <c r="F1273" t="inlineStr">
        <is>
          <t>Czerwiec</t>
        </is>
      </c>
      <c r="G1273" t="inlineStr">
        <is>
          <t>Wt</t>
        </is>
      </c>
      <c r="H1273">
        <f>'Floor Hours Engine'!$E$4</f>
        <v/>
      </c>
      <c r="I1273" t="inlineStr">
        <is>
          <t>W5</t>
        </is>
      </c>
      <c r="J1273" t="inlineStr">
        <is>
          <t>2024_Czerwiec_W5</t>
        </is>
      </c>
    </row>
    <row r="1274">
      <c r="A1274" s="177" t="n">
        <v>45469</v>
      </c>
      <c r="B1274" s="177" t="n">
        <v>45468</v>
      </c>
      <c r="C1274" s="177" t="n">
        <v>45474</v>
      </c>
      <c r="D1274" t="inlineStr">
        <is>
          <t>BW20240625</t>
        </is>
      </c>
      <c r="E1274" t="n">
        <v>2024</v>
      </c>
      <c r="F1274" t="inlineStr">
        <is>
          <t>Czerwiec</t>
        </is>
      </c>
      <c r="G1274" t="inlineStr">
        <is>
          <t>Śr</t>
        </is>
      </c>
      <c r="H1274">
        <f>'Floor Hours Engine'!$E$4</f>
        <v/>
      </c>
      <c r="I1274" t="inlineStr">
        <is>
          <t>W5</t>
        </is>
      </c>
      <c r="J1274" t="inlineStr">
        <is>
          <t>2024_Czerwiec_W5</t>
        </is>
      </c>
    </row>
    <row r="1275">
      <c r="A1275" s="177" t="n">
        <v>45470</v>
      </c>
      <c r="B1275" s="177" t="n">
        <v>45468</v>
      </c>
      <c r="C1275" s="177" t="n">
        <v>45474</v>
      </c>
      <c r="D1275" t="inlineStr">
        <is>
          <t>BW20240625</t>
        </is>
      </c>
      <c r="E1275" t="n">
        <v>2024</v>
      </c>
      <c r="F1275" t="inlineStr">
        <is>
          <t>Czerwiec</t>
        </is>
      </c>
      <c r="G1275" t="inlineStr">
        <is>
          <t>Czw</t>
        </is>
      </c>
      <c r="H1275">
        <f>'Floor Hours Engine'!$E$4</f>
        <v/>
      </c>
      <c r="I1275" t="inlineStr">
        <is>
          <t>W5</t>
        </is>
      </c>
      <c r="J1275" t="inlineStr">
        <is>
          <t>2024_Czerwiec_W5</t>
        </is>
      </c>
    </row>
    <row r="1276">
      <c r="A1276" s="177" t="n">
        <v>45471</v>
      </c>
      <c r="B1276" s="177" t="n">
        <v>45468</v>
      </c>
      <c r="C1276" s="177" t="n">
        <v>45474</v>
      </c>
      <c r="D1276" t="inlineStr">
        <is>
          <t>BW20240625</t>
        </is>
      </c>
      <c r="E1276" t="n">
        <v>2024</v>
      </c>
      <c r="F1276" t="inlineStr">
        <is>
          <t>Czerwiec</t>
        </is>
      </c>
      <c r="G1276" t="inlineStr">
        <is>
          <t>Pt</t>
        </is>
      </c>
      <c r="H1276">
        <f>'Floor Hours Engine'!$E$5</f>
        <v/>
      </c>
      <c r="I1276" t="inlineStr">
        <is>
          <t>W5</t>
        </is>
      </c>
      <c r="J1276" t="inlineStr">
        <is>
          <t>2024_Czerwiec_W5</t>
        </is>
      </c>
    </row>
    <row r="1277">
      <c r="A1277" s="177" t="n">
        <v>45472</v>
      </c>
      <c r="B1277" s="177" t="n">
        <v>45468</v>
      </c>
      <c r="C1277" s="177" t="n">
        <v>45474</v>
      </c>
      <c r="D1277" t="inlineStr">
        <is>
          <t>BW20240625</t>
        </is>
      </c>
      <c r="E1277" t="n">
        <v>2024</v>
      </c>
      <c r="F1277" t="inlineStr">
        <is>
          <t>Czerwiec</t>
        </is>
      </c>
      <c r="G1277" t="inlineStr">
        <is>
          <t>Sob</t>
        </is>
      </c>
      <c r="H1277">
        <f>'Floor Hours Engine'!$E$5</f>
        <v/>
      </c>
      <c r="I1277" t="inlineStr">
        <is>
          <t>W5</t>
        </is>
      </c>
      <c r="J1277" t="inlineStr">
        <is>
          <t>2024_Czerwiec_W5</t>
        </is>
      </c>
    </row>
    <row r="1278">
      <c r="A1278" s="177" t="n">
        <v>45473</v>
      </c>
      <c r="B1278" s="177" t="n">
        <v>45468</v>
      </c>
      <c r="C1278" s="177" t="n">
        <v>45474</v>
      </c>
      <c r="D1278" t="inlineStr">
        <is>
          <t>BW20240625</t>
        </is>
      </c>
      <c r="E1278" t="n">
        <v>2024</v>
      </c>
      <c r="F1278" t="inlineStr">
        <is>
          <t>Czerwiec</t>
        </is>
      </c>
      <c r="G1278" t="inlineStr">
        <is>
          <t>Nd</t>
        </is>
      </c>
      <c r="H1278">
        <f>'Floor Hours Engine'!$E$6</f>
        <v/>
      </c>
      <c r="I1278" t="inlineStr">
        <is>
          <t>W5</t>
        </is>
      </c>
      <c r="J1278" t="inlineStr">
        <is>
          <t>2024_Czerwiec_W5</t>
        </is>
      </c>
    </row>
    <row r="1279">
      <c r="A1279" s="177" t="n">
        <v>45474</v>
      </c>
      <c r="B1279" s="177" t="n">
        <v>45468</v>
      </c>
      <c r="C1279" s="177" t="n">
        <v>45474</v>
      </c>
      <c r="D1279" t="inlineStr">
        <is>
          <t>BW20240625</t>
        </is>
      </c>
      <c r="E1279" t="n">
        <v>2024</v>
      </c>
      <c r="F1279" t="inlineStr">
        <is>
          <t>Lipiec</t>
        </is>
      </c>
      <c r="G1279" t="inlineStr">
        <is>
          <t>Pn</t>
        </is>
      </c>
      <c r="H1279">
        <f>'Floor Hours Engine'!$E$4</f>
        <v/>
      </c>
      <c r="I1279" t="inlineStr">
        <is>
          <t>W1</t>
        </is>
      </c>
      <c r="J1279" t="inlineStr">
        <is>
          <t>2024_Lipiec_W1</t>
        </is>
      </c>
    </row>
    <row r="1280">
      <c r="A1280" s="177" t="n">
        <v>45475</v>
      </c>
      <c r="B1280" s="177" t="n">
        <v>45475</v>
      </c>
      <c r="C1280" s="177" t="n">
        <v>45481</v>
      </c>
      <c r="D1280" t="inlineStr">
        <is>
          <t>BW20240702</t>
        </is>
      </c>
      <c r="E1280" t="n">
        <v>2024</v>
      </c>
      <c r="F1280" t="inlineStr">
        <is>
          <t>Lipiec</t>
        </is>
      </c>
      <c r="G1280" t="inlineStr">
        <is>
          <t>Wt</t>
        </is>
      </c>
      <c r="H1280">
        <f>'Floor Hours Engine'!$E$4</f>
        <v/>
      </c>
      <c r="I1280" t="inlineStr">
        <is>
          <t>W2</t>
        </is>
      </c>
      <c r="J1280" t="inlineStr">
        <is>
          <t>2024_Lipiec_W2</t>
        </is>
      </c>
    </row>
    <row r="1281">
      <c r="A1281" s="177" t="n">
        <v>45476</v>
      </c>
      <c r="B1281" s="177" t="n">
        <v>45475</v>
      </c>
      <c r="C1281" s="177" t="n">
        <v>45481</v>
      </c>
      <c r="D1281" t="inlineStr">
        <is>
          <t>BW20240702</t>
        </is>
      </c>
      <c r="E1281" t="n">
        <v>2024</v>
      </c>
      <c r="F1281" t="inlineStr">
        <is>
          <t>Lipiec</t>
        </is>
      </c>
      <c r="G1281" t="inlineStr">
        <is>
          <t>Śr</t>
        </is>
      </c>
      <c r="H1281">
        <f>'Floor Hours Engine'!$E$4</f>
        <v/>
      </c>
      <c r="I1281" t="inlineStr">
        <is>
          <t>W2</t>
        </is>
      </c>
      <c r="J1281" t="inlineStr">
        <is>
          <t>2024_Lipiec_W2</t>
        </is>
      </c>
    </row>
    <row r="1282">
      <c r="A1282" s="177" t="n">
        <v>45477</v>
      </c>
      <c r="B1282" s="177" t="n">
        <v>45475</v>
      </c>
      <c r="C1282" s="177" t="n">
        <v>45481</v>
      </c>
      <c r="D1282" t="inlineStr">
        <is>
          <t>BW20240702</t>
        </is>
      </c>
      <c r="E1282" t="n">
        <v>2024</v>
      </c>
      <c r="F1282" t="inlineStr">
        <is>
          <t>Lipiec</t>
        </is>
      </c>
      <c r="G1282" t="inlineStr">
        <is>
          <t>Czw</t>
        </is>
      </c>
      <c r="H1282">
        <f>'Floor Hours Engine'!$E$4</f>
        <v/>
      </c>
      <c r="I1282" t="inlineStr">
        <is>
          <t>W2</t>
        </is>
      </c>
      <c r="J1282" t="inlineStr">
        <is>
          <t>2024_Lipiec_W2</t>
        </is>
      </c>
    </row>
    <row r="1283">
      <c r="A1283" s="177" t="n">
        <v>45478</v>
      </c>
      <c r="B1283" s="177" t="n">
        <v>45475</v>
      </c>
      <c r="C1283" s="177" t="n">
        <v>45481</v>
      </c>
      <c r="D1283" t="inlineStr">
        <is>
          <t>BW20240702</t>
        </is>
      </c>
      <c r="E1283" t="n">
        <v>2024</v>
      </c>
      <c r="F1283" t="inlineStr">
        <is>
          <t>Lipiec</t>
        </is>
      </c>
      <c r="G1283" t="inlineStr">
        <is>
          <t>Pt</t>
        </is>
      </c>
      <c r="H1283">
        <f>'Floor Hours Engine'!$E$5</f>
        <v/>
      </c>
      <c r="I1283" t="inlineStr">
        <is>
          <t>W2</t>
        </is>
      </c>
      <c r="J1283" t="inlineStr">
        <is>
          <t>2024_Lipiec_W2</t>
        </is>
      </c>
    </row>
    <row r="1284">
      <c r="A1284" s="177" t="n">
        <v>45479</v>
      </c>
      <c r="B1284" s="177" t="n">
        <v>45475</v>
      </c>
      <c r="C1284" s="177" t="n">
        <v>45481</v>
      </c>
      <c r="D1284" t="inlineStr">
        <is>
          <t>BW20240702</t>
        </is>
      </c>
      <c r="E1284" t="n">
        <v>2024</v>
      </c>
      <c r="F1284" t="inlineStr">
        <is>
          <t>Lipiec</t>
        </is>
      </c>
      <c r="G1284" t="inlineStr">
        <is>
          <t>Sob</t>
        </is>
      </c>
      <c r="H1284">
        <f>'Floor Hours Engine'!$E$5</f>
        <v/>
      </c>
      <c r="I1284" t="inlineStr">
        <is>
          <t>W2</t>
        </is>
      </c>
      <c r="J1284" t="inlineStr">
        <is>
          <t>2024_Lipiec_W2</t>
        </is>
      </c>
    </row>
    <row r="1285">
      <c r="A1285" s="177" t="n">
        <v>45480</v>
      </c>
      <c r="B1285" s="177" t="n">
        <v>45475</v>
      </c>
      <c r="C1285" s="177" t="n">
        <v>45481</v>
      </c>
      <c r="D1285" t="inlineStr">
        <is>
          <t>BW20240702</t>
        </is>
      </c>
      <c r="E1285" t="n">
        <v>2024</v>
      </c>
      <c r="F1285" t="inlineStr">
        <is>
          <t>Lipiec</t>
        </is>
      </c>
      <c r="G1285" t="inlineStr">
        <is>
          <t>Nd</t>
        </is>
      </c>
      <c r="H1285">
        <f>'Floor Hours Engine'!$E$6</f>
        <v/>
      </c>
      <c r="I1285" t="inlineStr">
        <is>
          <t>W2</t>
        </is>
      </c>
      <c r="J1285" t="inlineStr">
        <is>
          <t>2024_Lipiec_W2</t>
        </is>
      </c>
    </row>
    <row r="1286">
      <c r="A1286" s="177" t="n">
        <v>45481</v>
      </c>
      <c r="B1286" s="177" t="n">
        <v>45475</v>
      </c>
      <c r="C1286" s="177" t="n">
        <v>45481</v>
      </c>
      <c r="D1286" t="inlineStr">
        <is>
          <t>BW20240702</t>
        </is>
      </c>
      <c r="E1286" t="n">
        <v>2024</v>
      </c>
      <c r="F1286" t="inlineStr">
        <is>
          <t>Lipiec</t>
        </is>
      </c>
      <c r="G1286" t="inlineStr">
        <is>
          <t>Pn</t>
        </is>
      </c>
      <c r="H1286">
        <f>'Floor Hours Engine'!$E$4</f>
        <v/>
      </c>
      <c r="I1286" t="inlineStr">
        <is>
          <t>W2</t>
        </is>
      </c>
      <c r="J1286" t="inlineStr">
        <is>
          <t>2024_Lipiec_W2</t>
        </is>
      </c>
    </row>
    <row r="1287">
      <c r="A1287" s="177" t="n">
        <v>45482</v>
      </c>
      <c r="B1287" s="177" t="n">
        <v>45482</v>
      </c>
      <c r="C1287" s="177" t="n">
        <v>45488</v>
      </c>
      <c r="D1287" t="inlineStr">
        <is>
          <t>BW20240709</t>
        </is>
      </c>
      <c r="E1287" t="n">
        <v>2024</v>
      </c>
      <c r="F1287" t="inlineStr">
        <is>
          <t>Lipiec</t>
        </is>
      </c>
      <c r="G1287" t="inlineStr">
        <is>
          <t>Wt</t>
        </is>
      </c>
      <c r="H1287">
        <f>'Floor Hours Engine'!$E$4</f>
        <v/>
      </c>
      <c r="I1287" t="inlineStr">
        <is>
          <t>W3</t>
        </is>
      </c>
      <c r="J1287" t="inlineStr">
        <is>
          <t>2024_Lipiec_W3</t>
        </is>
      </c>
    </row>
    <row r="1288">
      <c r="A1288" s="177" t="n">
        <v>45483</v>
      </c>
      <c r="B1288" s="177" t="n">
        <v>45482</v>
      </c>
      <c r="C1288" s="177" t="n">
        <v>45488</v>
      </c>
      <c r="D1288" t="inlineStr">
        <is>
          <t>BW20240709</t>
        </is>
      </c>
      <c r="E1288" t="n">
        <v>2024</v>
      </c>
      <c r="F1288" t="inlineStr">
        <is>
          <t>Lipiec</t>
        </is>
      </c>
      <c r="G1288" t="inlineStr">
        <is>
          <t>Śr</t>
        </is>
      </c>
      <c r="H1288">
        <f>'Floor Hours Engine'!$E$4</f>
        <v/>
      </c>
      <c r="I1288" t="inlineStr">
        <is>
          <t>W3</t>
        </is>
      </c>
      <c r="J1288" t="inlineStr">
        <is>
          <t>2024_Lipiec_W3</t>
        </is>
      </c>
    </row>
    <row r="1289">
      <c r="A1289" s="177" t="n">
        <v>45484</v>
      </c>
      <c r="B1289" s="177" t="n">
        <v>45482</v>
      </c>
      <c r="C1289" s="177" t="n">
        <v>45488</v>
      </c>
      <c r="D1289" t="inlineStr">
        <is>
          <t>BW20240709</t>
        </is>
      </c>
      <c r="E1289" t="n">
        <v>2024</v>
      </c>
      <c r="F1289" t="inlineStr">
        <is>
          <t>Lipiec</t>
        </is>
      </c>
      <c r="G1289" t="inlineStr">
        <is>
          <t>Czw</t>
        </is>
      </c>
      <c r="H1289">
        <f>'Floor Hours Engine'!$E$4</f>
        <v/>
      </c>
      <c r="I1289" t="inlineStr">
        <is>
          <t>W3</t>
        </is>
      </c>
      <c r="J1289" t="inlineStr">
        <is>
          <t>2024_Lipiec_W3</t>
        </is>
      </c>
    </row>
    <row r="1290">
      <c r="A1290" s="177" t="n">
        <v>45485</v>
      </c>
      <c r="B1290" s="177" t="n">
        <v>45482</v>
      </c>
      <c r="C1290" s="177" t="n">
        <v>45488</v>
      </c>
      <c r="D1290" t="inlineStr">
        <is>
          <t>BW20240709</t>
        </is>
      </c>
      <c r="E1290" t="n">
        <v>2024</v>
      </c>
      <c r="F1290" t="inlineStr">
        <is>
          <t>Lipiec</t>
        </is>
      </c>
      <c r="G1290" t="inlineStr">
        <is>
          <t>Pt</t>
        </is>
      </c>
      <c r="H1290">
        <f>'Floor Hours Engine'!$E$5</f>
        <v/>
      </c>
      <c r="I1290" t="inlineStr">
        <is>
          <t>W3</t>
        </is>
      </c>
      <c r="J1290" t="inlineStr">
        <is>
          <t>2024_Lipiec_W3</t>
        </is>
      </c>
    </row>
    <row r="1291">
      <c r="A1291" s="177" t="n">
        <v>45486</v>
      </c>
      <c r="B1291" s="177" t="n">
        <v>45482</v>
      </c>
      <c r="C1291" s="177" t="n">
        <v>45488</v>
      </c>
      <c r="D1291" t="inlineStr">
        <is>
          <t>BW20240709</t>
        </is>
      </c>
      <c r="E1291" t="n">
        <v>2024</v>
      </c>
      <c r="F1291" t="inlineStr">
        <is>
          <t>Lipiec</t>
        </is>
      </c>
      <c r="G1291" t="inlineStr">
        <is>
          <t>Sob</t>
        </is>
      </c>
      <c r="H1291">
        <f>'Floor Hours Engine'!$E$5</f>
        <v/>
      </c>
      <c r="I1291" t="inlineStr">
        <is>
          <t>W3</t>
        </is>
      </c>
      <c r="J1291" t="inlineStr">
        <is>
          <t>2024_Lipiec_W3</t>
        </is>
      </c>
    </row>
    <row r="1292">
      <c r="A1292" s="177" t="n">
        <v>45487</v>
      </c>
      <c r="B1292" s="177" t="n">
        <v>45482</v>
      </c>
      <c r="C1292" s="177" t="n">
        <v>45488</v>
      </c>
      <c r="D1292" t="inlineStr">
        <is>
          <t>BW20240709</t>
        </is>
      </c>
      <c r="E1292" t="n">
        <v>2024</v>
      </c>
      <c r="F1292" t="inlineStr">
        <is>
          <t>Lipiec</t>
        </is>
      </c>
      <c r="G1292" t="inlineStr">
        <is>
          <t>Nd</t>
        </is>
      </c>
      <c r="H1292">
        <f>'Floor Hours Engine'!$E$6</f>
        <v/>
      </c>
      <c r="I1292" t="inlineStr">
        <is>
          <t>W3</t>
        </is>
      </c>
      <c r="J1292" t="inlineStr">
        <is>
          <t>2024_Lipiec_W3</t>
        </is>
      </c>
    </row>
    <row r="1293">
      <c r="A1293" s="177" t="n">
        <v>45488</v>
      </c>
      <c r="B1293" s="177" t="n">
        <v>45482</v>
      </c>
      <c r="C1293" s="177" t="n">
        <v>45488</v>
      </c>
      <c r="D1293" t="inlineStr">
        <is>
          <t>BW20240709</t>
        </is>
      </c>
      <c r="E1293" t="n">
        <v>2024</v>
      </c>
      <c r="F1293" t="inlineStr">
        <is>
          <t>Lipiec</t>
        </is>
      </c>
      <c r="G1293" t="inlineStr">
        <is>
          <t>Pn</t>
        </is>
      </c>
      <c r="H1293">
        <f>'Floor Hours Engine'!$E$4</f>
        <v/>
      </c>
      <c r="I1293" t="inlineStr">
        <is>
          <t>W3</t>
        </is>
      </c>
      <c r="J1293" t="inlineStr">
        <is>
          <t>2024_Lipiec_W3</t>
        </is>
      </c>
    </row>
    <row r="1294">
      <c r="A1294" s="177" t="n">
        <v>45489</v>
      </c>
      <c r="B1294" s="177" t="n">
        <v>45489</v>
      </c>
      <c r="C1294" s="177" t="n">
        <v>45495</v>
      </c>
      <c r="D1294" t="inlineStr">
        <is>
          <t>BW20240716</t>
        </is>
      </c>
      <c r="E1294" t="n">
        <v>2024</v>
      </c>
      <c r="F1294" t="inlineStr">
        <is>
          <t>Lipiec</t>
        </is>
      </c>
      <c r="G1294" t="inlineStr">
        <is>
          <t>Wt</t>
        </is>
      </c>
      <c r="H1294">
        <f>'Floor Hours Engine'!$E$4</f>
        <v/>
      </c>
      <c r="I1294" t="inlineStr">
        <is>
          <t>W4</t>
        </is>
      </c>
      <c r="J1294" t="inlineStr">
        <is>
          <t>2024_Lipiec_W4</t>
        </is>
      </c>
    </row>
    <row r="1295">
      <c r="A1295" s="177" t="n">
        <v>45490</v>
      </c>
      <c r="B1295" s="177" t="n">
        <v>45489</v>
      </c>
      <c r="C1295" s="177" t="n">
        <v>45495</v>
      </c>
      <c r="D1295" t="inlineStr">
        <is>
          <t>BW20240716</t>
        </is>
      </c>
      <c r="E1295" t="n">
        <v>2024</v>
      </c>
      <c r="F1295" t="inlineStr">
        <is>
          <t>Lipiec</t>
        </is>
      </c>
      <c r="G1295" t="inlineStr">
        <is>
          <t>Śr</t>
        </is>
      </c>
      <c r="H1295">
        <f>'Floor Hours Engine'!$E$4</f>
        <v/>
      </c>
      <c r="I1295" t="inlineStr">
        <is>
          <t>W4</t>
        </is>
      </c>
      <c r="J1295" t="inlineStr">
        <is>
          <t>2024_Lipiec_W4</t>
        </is>
      </c>
    </row>
    <row r="1296">
      <c r="A1296" s="177" t="n">
        <v>45491</v>
      </c>
      <c r="B1296" s="177" t="n">
        <v>45489</v>
      </c>
      <c r="C1296" s="177" t="n">
        <v>45495</v>
      </c>
      <c r="D1296" t="inlineStr">
        <is>
          <t>BW20240716</t>
        </is>
      </c>
      <c r="E1296" t="n">
        <v>2024</v>
      </c>
      <c r="F1296" t="inlineStr">
        <is>
          <t>Lipiec</t>
        </is>
      </c>
      <c r="G1296" t="inlineStr">
        <is>
          <t>Czw</t>
        </is>
      </c>
      <c r="H1296">
        <f>'Floor Hours Engine'!$E$4</f>
        <v/>
      </c>
      <c r="I1296" t="inlineStr">
        <is>
          <t>W4</t>
        </is>
      </c>
      <c r="J1296" t="inlineStr">
        <is>
          <t>2024_Lipiec_W4</t>
        </is>
      </c>
    </row>
    <row r="1297">
      <c r="A1297" s="177" t="n">
        <v>45492</v>
      </c>
      <c r="B1297" s="177" t="n">
        <v>45489</v>
      </c>
      <c r="C1297" s="177" t="n">
        <v>45495</v>
      </c>
      <c r="D1297" t="inlineStr">
        <is>
          <t>BW20240716</t>
        </is>
      </c>
      <c r="E1297" t="n">
        <v>2024</v>
      </c>
      <c r="F1297" t="inlineStr">
        <is>
          <t>Lipiec</t>
        </is>
      </c>
      <c r="G1297" t="inlineStr">
        <is>
          <t>Pt</t>
        </is>
      </c>
      <c r="H1297">
        <f>'Floor Hours Engine'!$E$5</f>
        <v/>
      </c>
      <c r="I1297" t="inlineStr">
        <is>
          <t>W4</t>
        </is>
      </c>
      <c r="J1297" t="inlineStr">
        <is>
          <t>2024_Lipiec_W4</t>
        </is>
      </c>
    </row>
    <row r="1298">
      <c r="A1298" s="177" t="n">
        <v>45493</v>
      </c>
      <c r="B1298" s="177" t="n">
        <v>45489</v>
      </c>
      <c r="C1298" s="177" t="n">
        <v>45495</v>
      </c>
      <c r="D1298" t="inlineStr">
        <is>
          <t>BW20240716</t>
        </is>
      </c>
      <c r="E1298" t="n">
        <v>2024</v>
      </c>
      <c r="F1298" t="inlineStr">
        <is>
          <t>Lipiec</t>
        </is>
      </c>
      <c r="G1298" t="inlineStr">
        <is>
          <t>Sob</t>
        </is>
      </c>
      <c r="H1298">
        <f>'Floor Hours Engine'!$E$5</f>
        <v/>
      </c>
      <c r="I1298" t="inlineStr">
        <is>
          <t>W4</t>
        </is>
      </c>
      <c r="J1298" t="inlineStr">
        <is>
          <t>2024_Lipiec_W4</t>
        </is>
      </c>
    </row>
    <row r="1299">
      <c r="A1299" s="177" t="n">
        <v>45494</v>
      </c>
      <c r="B1299" s="177" t="n">
        <v>45489</v>
      </c>
      <c r="C1299" s="177" t="n">
        <v>45495</v>
      </c>
      <c r="D1299" t="inlineStr">
        <is>
          <t>BW20240716</t>
        </is>
      </c>
      <c r="E1299" t="n">
        <v>2024</v>
      </c>
      <c r="F1299" t="inlineStr">
        <is>
          <t>Lipiec</t>
        </is>
      </c>
      <c r="G1299" t="inlineStr">
        <is>
          <t>Nd</t>
        </is>
      </c>
      <c r="H1299">
        <f>'Floor Hours Engine'!$E$6</f>
        <v/>
      </c>
      <c r="I1299" t="inlineStr">
        <is>
          <t>W4</t>
        </is>
      </c>
      <c r="J1299" t="inlineStr">
        <is>
          <t>2024_Lipiec_W4</t>
        </is>
      </c>
    </row>
    <row r="1300">
      <c r="A1300" s="177" t="n">
        <v>45495</v>
      </c>
      <c r="B1300" s="177" t="n">
        <v>45489</v>
      </c>
      <c r="C1300" s="177" t="n">
        <v>45495</v>
      </c>
      <c r="D1300" t="inlineStr">
        <is>
          <t>BW20240716</t>
        </is>
      </c>
      <c r="E1300" t="n">
        <v>2024</v>
      </c>
      <c r="F1300" t="inlineStr">
        <is>
          <t>Lipiec</t>
        </is>
      </c>
      <c r="G1300" t="inlineStr">
        <is>
          <t>Pn</t>
        </is>
      </c>
      <c r="H1300">
        <f>'Floor Hours Engine'!$E$4</f>
        <v/>
      </c>
      <c r="I1300" t="inlineStr">
        <is>
          <t>W4</t>
        </is>
      </c>
      <c r="J1300" t="inlineStr">
        <is>
          <t>2024_Lipiec_W4</t>
        </is>
      </c>
    </row>
    <row r="1301">
      <c r="A1301" s="177" t="n">
        <v>45496</v>
      </c>
      <c r="B1301" s="177" t="n">
        <v>45496</v>
      </c>
      <c r="C1301" s="177" t="n">
        <v>45502</v>
      </c>
      <c r="D1301" t="inlineStr">
        <is>
          <t>BW20240723</t>
        </is>
      </c>
      <c r="E1301" t="n">
        <v>2024</v>
      </c>
      <c r="F1301" t="inlineStr">
        <is>
          <t>Lipiec</t>
        </is>
      </c>
      <c r="G1301" t="inlineStr">
        <is>
          <t>Wt</t>
        </is>
      </c>
      <c r="H1301">
        <f>'Floor Hours Engine'!$E$4</f>
        <v/>
      </c>
      <c r="I1301" t="inlineStr">
        <is>
          <t>W5</t>
        </is>
      </c>
      <c r="J1301" t="inlineStr">
        <is>
          <t>2024_Lipiec_W5</t>
        </is>
      </c>
    </row>
    <row r="1302">
      <c r="A1302" s="177" t="n">
        <v>45497</v>
      </c>
      <c r="B1302" s="177" t="n">
        <v>45496</v>
      </c>
      <c r="C1302" s="177" t="n">
        <v>45502</v>
      </c>
      <c r="D1302" t="inlineStr">
        <is>
          <t>BW20240723</t>
        </is>
      </c>
      <c r="E1302" t="n">
        <v>2024</v>
      </c>
      <c r="F1302" t="inlineStr">
        <is>
          <t>Lipiec</t>
        </is>
      </c>
      <c r="G1302" t="inlineStr">
        <is>
          <t>Śr</t>
        </is>
      </c>
      <c r="H1302">
        <f>'Floor Hours Engine'!$E$4</f>
        <v/>
      </c>
      <c r="I1302" t="inlineStr">
        <is>
          <t>W5</t>
        </is>
      </c>
      <c r="J1302" t="inlineStr">
        <is>
          <t>2024_Lipiec_W5</t>
        </is>
      </c>
    </row>
    <row r="1303">
      <c r="A1303" s="177" t="n">
        <v>45498</v>
      </c>
      <c r="B1303" s="177" t="n">
        <v>45496</v>
      </c>
      <c r="C1303" s="177" t="n">
        <v>45502</v>
      </c>
      <c r="D1303" t="inlineStr">
        <is>
          <t>BW20240723</t>
        </is>
      </c>
      <c r="E1303" t="n">
        <v>2024</v>
      </c>
      <c r="F1303" t="inlineStr">
        <is>
          <t>Lipiec</t>
        </is>
      </c>
      <c r="G1303" t="inlineStr">
        <is>
          <t>Czw</t>
        </is>
      </c>
      <c r="H1303">
        <f>'Floor Hours Engine'!$E$4</f>
        <v/>
      </c>
      <c r="I1303" t="inlineStr">
        <is>
          <t>W5</t>
        </is>
      </c>
      <c r="J1303" t="inlineStr">
        <is>
          <t>2024_Lipiec_W5</t>
        </is>
      </c>
    </row>
    <row r="1304">
      <c r="A1304" s="177" t="n">
        <v>45499</v>
      </c>
      <c r="B1304" s="177" t="n">
        <v>45496</v>
      </c>
      <c r="C1304" s="177" t="n">
        <v>45502</v>
      </c>
      <c r="D1304" t="inlineStr">
        <is>
          <t>BW20240723</t>
        </is>
      </c>
      <c r="E1304" t="n">
        <v>2024</v>
      </c>
      <c r="F1304" t="inlineStr">
        <is>
          <t>Lipiec</t>
        </is>
      </c>
      <c r="G1304" t="inlineStr">
        <is>
          <t>Pt</t>
        </is>
      </c>
      <c r="H1304">
        <f>'Floor Hours Engine'!$E$5</f>
        <v/>
      </c>
      <c r="I1304" t="inlineStr">
        <is>
          <t>W5</t>
        </is>
      </c>
      <c r="J1304" t="inlineStr">
        <is>
          <t>2024_Lipiec_W5</t>
        </is>
      </c>
    </row>
    <row r="1305">
      <c r="A1305" s="177" t="n">
        <v>45500</v>
      </c>
      <c r="B1305" s="177" t="n">
        <v>45496</v>
      </c>
      <c r="C1305" s="177" t="n">
        <v>45502</v>
      </c>
      <c r="D1305" t="inlineStr">
        <is>
          <t>BW20240723</t>
        </is>
      </c>
      <c r="E1305" t="n">
        <v>2024</v>
      </c>
      <c r="F1305" t="inlineStr">
        <is>
          <t>Lipiec</t>
        </is>
      </c>
      <c r="G1305" t="inlineStr">
        <is>
          <t>Sob</t>
        </is>
      </c>
      <c r="H1305">
        <f>'Floor Hours Engine'!$E$5</f>
        <v/>
      </c>
      <c r="I1305" t="inlineStr">
        <is>
          <t>W5</t>
        </is>
      </c>
      <c r="J1305" t="inlineStr">
        <is>
          <t>2024_Lipiec_W5</t>
        </is>
      </c>
    </row>
    <row r="1306">
      <c r="A1306" s="177" t="n">
        <v>45501</v>
      </c>
      <c r="B1306" s="177" t="n">
        <v>45496</v>
      </c>
      <c r="C1306" s="177" t="n">
        <v>45502</v>
      </c>
      <c r="D1306" t="inlineStr">
        <is>
          <t>BW20240723</t>
        </is>
      </c>
      <c r="E1306" t="n">
        <v>2024</v>
      </c>
      <c r="F1306" t="inlineStr">
        <is>
          <t>Lipiec</t>
        </is>
      </c>
      <c r="G1306" t="inlineStr">
        <is>
          <t>Nd</t>
        </is>
      </c>
      <c r="H1306">
        <f>'Floor Hours Engine'!$E$6</f>
        <v/>
      </c>
      <c r="I1306" t="inlineStr">
        <is>
          <t>W5</t>
        </is>
      </c>
      <c r="J1306" t="inlineStr">
        <is>
          <t>2024_Lipiec_W5</t>
        </is>
      </c>
    </row>
    <row r="1307">
      <c r="A1307" s="177" t="n">
        <v>45502</v>
      </c>
      <c r="B1307" s="177" t="n">
        <v>45496</v>
      </c>
      <c r="C1307" s="177" t="n">
        <v>45502</v>
      </c>
      <c r="D1307" t="inlineStr">
        <is>
          <t>BW20240723</t>
        </is>
      </c>
      <c r="E1307" t="n">
        <v>2024</v>
      </c>
      <c r="F1307" t="inlineStr">
        <is>
          <t>Lipiec</t>
        </is>
      </c>
      <c r="G1307" t="inlineStr">
        <is>
          <t>Pn</t>
        </is>
      </c>
      <c r="H1307">
        <f>'Floor Hours Engine'!$E$4</f>
        <v/>
      </c>
      <c r="I1307" t="inlineStr">
        <is>
          <t>W5</t>
        </is>
      </c>
      <c r="J1307" t="inlineStr">
        <is>
          <t>2024_Lipiec_W5</t>
        </is>
      </c>
    </row>
    <row r="1308">
      <c r="A1308" s="177" t="n">
        <v>45503</v>
      </c>
      <c r="B1308" s="177" t="n">
        <v>45503</v>
      </c>
      <c r="C1308" s="177" t="n">
        <v>45509</v>
      </c>
      <c r="D1308" t="inlineStr">
        <is>
          <t>BW20240730</t>
        </is>
      </c>
      <c r="E1308" t="n">
        <v>2024</v>
      </c>
      <c r="F1308" t="inlineStr">
        <is>
          <t>Lipiec</t>
        </is>
      </c>
      <c r="G1308" t="inlineStr">
        <is>
          <t>Wt</t>
        </is>
      </c>
      <c r="H1308">
        <f>'Floor Hours Engine'!$E$4</f>
        <v/>
      </c>
      <c r="I1308" t="inlineStr">
        <is>
          <t>W6</t>
        </is>
      </c>
      <c r="J1308" t="inlineStr">
        <is>
          <t>2024_Lipiec_W6</t>
        </is>
      </c>
    </row>
    <row r="1309">
      <c r="A1309" s="177" t="n">
        <v>45504</v>
      </c>
      <c r="B1309" s="177" t="n">
        <v>45503</v>
      </c>
      <c r="C1309" s="177" t="n">
        <v>45509</v>
      </c>
      <c r="D1309" t="inlineStr">
        <is>
          <t>BW20240730</t>
        </is>
      </c>
      <c r="E1309" t="n">
        <v>2024</v>
      </c>
      <c r="F1309" t="inlineStr">
        <is>
          <t>Lipiec</t>
        </is>
      </c>
      <c r="G1309" t="inlineStr">
        <is>
          <t>Śr</t>
        </is>
      </c>
      <c r="H1309">
        <f>'Floor Hours Engine'!$E$4</f>
        <v/>
      </c>
      <c r="I1309" t="inlineStr">
        <is>
          <t>W6</t>
        </is>
      </c>
      <c r="J1309" t="inlineStr">
        <is>
          <t>2024_Lipiec_W6</t>
        </is>
      </c>
    </row>
    <row r="1310">
      <c r="A1310" s="177" t="n">
        <v>45505</v>
      </c>
      <c r="B1310" s="177" t="n">
        <v>45503</v>
      </c>
      <c r="C1310" s="177" t="n">
        <v>45509</v>
      </c>
      <c r="D1310" t="inlineStr">
        <is>
          <t>BW20240730</t>
        </is>
      </c>
      <c r="E1310" t="n">
        <v>2024</v>
      </c>
      <c r="F1310" t="inlineStr">
        <is>
          <t>Sierpień</t>
        </is>
      </c>
      <c r="G1310" t="inlineStr">
        <is>
          <t>Czw</t>
        </is>
      </c>
      <c r="H1310">
        <f>'Floor Hours Engine'!$E$4</f>
        <v/>
      </c>
      <c r="I1310" t="inlineStr">
        <is>
          <t>W1</t>
        </is>
      </c>
      <c r="J1310" t="inlineStr">
        <is>
          <t>2024_Sierpień_W1</t>
        </is>
      </c>
    </row>
    <row r="1311">
      <c r="A1311" s="177" t="n">
        <v>45506</v>
      </c>
      <c r="B1311" s="177" t="n">
        <v>45503</v>
      </c>
      <c r="C1311" s="177" t="n">
        <v>45509</v>
      </c>
      <c r="D1311" t="inlineStr">
        <is>
          <t>BW20240730</t>
        </is>
      </c>
      <c r="E1311" t="n">
        <v>2024</v>
      </c>
      <c r="F1311" t="inlineStr">
        <is>
          <t>Sierpień</t>
        </is>
      </c>
      <c r="G1311" t="inlineStr">
        <is>
          <t>Pt</t>
        </is>
      </c>
      <c r="H1311">
        <f>'Floor Hours Engine'!$E$5</f>
        <v/>
      </c>
      <c r="I1311" t="inlineStr">
        <is>
          <t>W1</t>
        </is>
      </c>
      <c r="J1311" t="inlineStr">
        <is>
          <t>2024_Sierpień_W1</t>
        </is>
      </c>
    </row>
    <row r="1312">
      <c r="A1312" s="177" t="n">
        <v>45507</v>
      </c>
      <c r="B1312" s="177" t="n">
        <v>45503</v>
      </c>
      <c r="C1312" s="177" t="n">
        <v>45509</v>
      </c>
      <c r="D1312" t="inlineStr">
        <is>
          <t>BW20240730</t>
        </is>
      </c>
      <c r="E1312" t="n">
        <v>2024</v>
      </c>
      <c r="F1312" t="inlineStr">
        <is>
          <t>Sierpień</t>
        </is>
      </c>
      <c r="G1312" t="inlineStr">
        <is>
          <t>Sob</t>
        </is>
      </c>
      <c r="H1312">
        <f>'Floor Hours Engine'!$E$5</f>
        <v/>
      </c>
      <c r="I1312" t="inlineStr">
        <is>
          <t>W1</t>
        </is>
      </c>
      <c r="J1312" t="inlineStr">
        <is>
          <t>2024_Sierpień_W1</t>
        </is>
      </c>
    </row>
    <row r="1313">
      <c r="A1313" s="177" t="n">
        <v>45508</v>
      </c>
      <c r="B1313" s="177" t="n">
        <v>45503</v>
      </c>
      <c r="C1313" s="177" t="n">
        <v>45509</v>
      </c>
      <c r="D1313" t="inlineStr">
        <is>
          <t>BW20240730</t>
        </is>
      </c>
      <c r="E1313" t="n">
        <v>2024</v>
      </c>
      <c r="F1313" t="inlineStr">
        <is>
          <t>Sierpień</t>
        </is>
      </c>
      <c r="G1313" t="inlineStr">
        <is>
          <t>Nd</t>
        </is>
      </c>
      <c r="H1313">
        <f>'Floor Hours Engine'!$E$6</f>
        <v/>
      </c>
      <c r="I1313" t="inlineStr">
        <is>
          <t>W1</t>
        </is>
      </c>
      <c r="J1313" t="inlineStr">
        <is>
          <t>2024_Sierpień_W1</t>
        </is>
      </c>
    </row>
    <row r="1314">
      <c r="A1314" s="177" t="n">
        <v>45509</v>
      </c>
      <c r="B1314" s="177" t="n">
        <v>45503</v>
      </c>
      <c r="C1314" s="177" t="n">
        <v>45509</v>
      </c>
      <c r="D1314" t="inlineStr">
        <is>
          <t>BW20240730</t>
        </is>
      </c>
      <c r="E1314" t="n">
        <v>2024</v>
      </c>
      <c r="F1314" t="inlineStr">
        <is>
          <t>Sierpień</t>
        </is>
      </c>
      <c r="G1314" t="inlineStr">
        <is>
          <t>Pn</t>
        </is>
      </c>
      <c r="H1314">
        <f>'Floor Hours Engine'!$E$4</f>
        <v/>
      </c>
      <c r="I1314" t="inlineStr">
        <is>
          <t>W1</t>
        </is>
      </c>
      <c r="J1314" t="inlineStr">
        <is>
          <t>2024_Sierpień_W1</t>
        </is>
      </c>
    </row>
    <row r="1315">
      <c r="A1315" s="177" t="n">
        <v>45510</v>
      </c>
      <c r="B1315" s="177" t="n">
        <v>45510</v>
      </c>
      <c r="C1315" s="177" t="n">
        <v>45516</v>
      </c>
      <c r="D1315" t="inlineStr">
        <is>
          <t>BW20240806</t>
        </is>
      </c>
      <c r="E1315" t="n">
        <v>2024</v>
      </c>
      <c r="F1315" t="inlineStr">
        <is>
          <t>Sierpień</t>
        </is>
      </c>
      <c r="G1315" t="inlineStr">
        <is>
          <t>Wt</t>
        </is>
      </c>
      <c r="H1315">
        <f>'Floor Hours Engine'!$E$4</f>
        <v/>
      </c>
      <c r="I1315" t="inlineStr">
        <is>
          <t>W2</t>
        </is>
      </c>
      <c r="J1315" t="inlineStr">
        <is>
          <t>2024_Sierpień_W2</t>
        </is>
      </c>
    </row>
    <row r="1316">
      <c r="A1316" s="177" t="n">
        <v>45511</v>
      </c>
      <c r="B1316" s="177" t="n">
        <v>45510</v>
      </c>
      <c r="C1316" s="177" t="n">
        <v>45516</v>
      </c>
      <c r="D1316" t="inlineStr">
        <is>
          <t>BW20240806</t>
        </is>
      </c>
      <c r="E1316" t="n">
        <v>2024</v>
      </c>
      <c r="F1316" t="inlineStr">
        <is>
          <t>Sierpień</t>
        </is>
      </c>
      <c r="G1316" t="inlineStr">
        <is>
          <t>Śr</t>
        </is>
      </c>
      <c r="H1316">
        <f>'Floor Hours Engine'!$E$4</f>
        <v/>
      </c>
      <c r="I1316" t="inlineStr">
        <is>
          <t>W2</t>
        </is>
      </c>
      <c r="J1316" t="inlineStr">
        <is>
          <t>2024_Sierpień_W2</t>
        </is>
      </c>
    </row>
    <row r="1317">
      <c r="A1317" s="177" t="n">
        <v>45512</v>
      </c>
      <c r="B1317" s="177" t="n">
        <v>45510</v>
      </c>
      <c r="C1317" s="177" t="n">
        <v>45516</v>
      </c>
      <c r="D1317" t="inlineStr">
        <is>
          <t>BW20240806</t>
        </is>
      </c>
      <c r="E1317" t="n">
        <v>2024</v>
      </c>
      <c r="F1317" t="inlineStr">
        <is>
          <t>Sierpień</t>
        </is>
      </c>
      <c r="G1317" t="inlineStr">
        <is>
          <t>Czw</t>
        </is>
      </c>
      <c r="H1317">
        <f>'Floor Hours Engine'!$E$4</f>
        <v/>
      </c>
      <c r="I1317" t="inlineStr">
        <is>
          <t>W2</t>
        </is>
      </c>
      <c r="J1317" t="inlineStr">
        <is>
          <t>2024_Sierpień_W2</t>
        </is>
      </c>
    </row>
    <row r="1318">
      <c r="A1318" s="177" t="n">
        <v>45513</v>
      </c>
      <c r="B1318" s="177" t="n">
        <v>45510</v>
      </c>
      <c r="C1318" s="177" t="n">
        <v>45516</v>
      </c>
      <c r="D1318" t="inlineStr">
        <is>
          <t>BW20240806</t>
        </is>
      </c>
      <c r="E1318" t="n">
        <v>2024</v>
      </c>
      <c r="F1318" t="inlineStr">
        <is>
          <t>Sierpień</t>
        </is>
      </c>
      <c r="G1318" t="inlineStr">
        <is>
          <t>Pt</t>
        </is>
      </c>
      <c r="H1318">
        <f>'Floor Hours Engine'!$E$5</f>
        <v/>
      </c>
      <c r="I1318" t="inlineStr">
        <is>
          <t>W2</t>
        </is>
      </c>
      <c r="J1318" t="inlineStr">
        <is>
          <t>2024_Sierpień_W2</t>
        </is>
      </c>
    </row>
    <row r="1319">
      <c r="A1319" s="177" t="n">
        <v>45514</v>
      </c>
      <c r="B1319" s="177" t="n">
        <v>45510</v>
      </c>
      <c r="C1319" s="177" t="n">
        <v>45516</v>
      </c>
      <c r="D1319" t="inlineStr">
        <is>
          <t>BW20240806</t>
        </is>
      </c>
      <c r="E1319" t="n">
        <v>2024</v>
      </c>
      <c r="F1319" t="inlineStr">
        <is>
          <t>Sierpień</t>
        </is>
      </c>
      <c r="G1319" t="inlineStr">
        <is>
          <t>Sob</t>
        </is>
      </c>
      <c r="H1319">
        <f>'Floor Hours Engine'!$E$5</f>
        <v/>
      </c>
      <c r="I1319" t="inlineStr">
        <is>
          <t>W2</t>
        </is>
      </c>
      <c r="J1319" t="inlineStr">
        <is>
          <t>2024_Sierpień_W2</t>
        </is>
      </c>
    </row>
    <row r="1320">
      <c r="A1320" s="177" t="n">
        <v>45515</v>
      </c>
      <c r="B1320" s="177" t="n">
        <v>45510</v>
      </c>
      <c r="C1320" s="177" t="n">
        <v>45516</v>
      </c>
      <c r="D1320" t="inlineStr">
        <is>
          <t>BW20240806</t>
        </is>
      </c>
      <c r="E1320" t="n">
        <v>2024</v>
      </c>
      <c r="F1320" t="inlineStr">
        <is>
          <t>Sierpień</t>
        </is>
      </c>
      <c r="G1320" t="inlineStr">
        <is>
          <t>Nd</t>
        </is>
      </c>
      <c r="H1320">
        <f>'Floor Hours Engine'!$E$6</f>
        <v/>
      </c>
      <c r="I1320" t="inlineStr">
        <is>
          <t>W2</t>
        </is>
      </c>
      <c r="J1320" t="inlineStr">
        <is>
          <t>2024_Sierpień_W2</t>
        </is>
      </c>
    </row>
    <row r="1321">
      <c r="A1321" s="177" t="n">
        <v>45516</v>
      </c>
      <c r="B1321" s="177" t="n">
        <v>45510</v>
      </c>
      <c r="C1321" s="177" t="n">
        <v>45516</v>
      </c>
      <c r="D1321" t="inlineStr">
        <is>
          <t>BW20240806</t>
        </is>
      </c>
      <c r="E1321" t="n">
        <v>2024</v>
      </c>
      <c r="F1321" t="inlineStr">
        <is>
          <t>Sierpień</t>
        </is>
      </c>
      <c r="G1321" t="inlineStr">
        <is>
          <t>Pn</t>
        </is>
      </c>
      <c r="H1321">
        <f>'Floor Hours Engine'!$E$4</f>
        <v/>
      </c>
      <c r="I1321" t="inlineStr">
        <is>
          <t>W2</t>
        </is>
      </c>
      <c r="J1321" t="inlineStr">
        <is>
          <t>2024_Sierpień_W2</t>
        </is>
      </c>
    </row>
    <row r="1322">
      <c r="A1322" s="177" t="n">
        <v>45517</v>
      </c>
      <c r="B1322" s="177" t="n">
        <v>45517</v>
      </c>
      <c r="C1322" s="177" t="n">
        <v>45523</v>
      </c>
      <c r="D1322" t="inlineStr">
        <is>
          <t>BW20240813</t>
        </is>
      </c>
      <c r="E1322" t="n">
        <v>2024</v>
      </c>
      <c r="F1322" t="inlineStr">
        <is>
          <t>Sierpień</t>
        </is>
      </c>
      <c r="G1322" t="inlineStr">
        <is>
          <t>Wt</t>
        </is>
      </c>
      <c r="H1322">
        <f>'Floor Hours Engine'!$E$4</f>
        <v/>
      </c>
      <c r="I1322" t="inlineStr">
        <is>
          <t>W3</t>
        </is>
      </c>
      <c r="J1322" t="inlineStr">
        <is>
          <t>2024_Sierpień_W3</t>
        </is>
      </c>
    </row>
    <row r="1323">
      <c r="A1323" s="177" t="n">
        <v>45518</v>
      </c>
      <c r="B1323" s="177" t="n">
        <v>45517</v>
      </c>
      <c r="C1323" s="177" t="n">
        <v>45523</v>
      </c>
      <c r="D1323" t="inlineStr">
        <is>
          <t>BW20240813</t>
        </is>
      </c>
      <c r="E1323" t="n">
        <v>2024</v>
      </c>
      <c r="F1323" t="inlineStr">
        <is>
          <t>Sierpień</t>
        </is>
      </c>
      <c r="G1323" t="inlineStr">
        <is>
          <t>Śr</t>
        </is>
      </c>
      <c r="H1323">
        <f>'Floor Hours Engine'!$E$4</f>
        <v/>
      </c>
      <c r="I1323" t="inlineStr">
        <is>
          <t>W3</t>
        </is>
      </c>
      <c r="J1323" t="inlineStr">
        <is>
          <t>2024_Sierpień_W3</t>
        </is>
      </c>
    </row>
    <row r="1324">
      <c r="A1324" s="177" t="n">
        <v>45519</v>
      </c>
      <c r="B1324" s="177" t="n">
        <v>45517</v>
      </c>
      <c r="C1324" s="177" t="n">
        <v>45523</v>
      </c>
      <c r="D1324" t="inlineStr">
        <is>
          <t>BW20240813</t>
        </is>
      </c>
      <c r="E1324" t="n">
        <v>2024</v>
      </c>
      <c r="F1324" t="inlineStr">
        <is>
          <t>Sierpień</t>
        </is>
      </c>
      <c r="G1324" t="inlineStr">
        <is>
          <t>Czw</t>
        </is>
      </c>
      <c r="H1324">
        <f>'Floor Hours Engine'!$E$4</f>
        <v/>
      </c>
      <c r="I1324" t="inlineStr">
        <is>
          <t>W3</t>
        </is>
      </c>
      <c r="J1324" t="inlineStr">
        <is>
          <t>2024_Sierpień_W3</t>
        </is>
      </c>
    </row>
    <row r="1325">
      <c r="A1325" s="177" t="n">
        <v>45520</v>
      </c>
      <c r="B1325" s="177" t="n">
        <v>45517</v>
      </c>
      <c r="C1325" s="177" t="n">
        <v>45523</v>
      </c>
      <c r="D1325" t="inlineStr">
        <is>
          <t>BW20240813</t>
        </is>
      </c>
      <c r="E1325" t="n">
        <v>2024</v>
      </c>
      <c r="F1325" t="inlineStr">
        <is>
          <t>Sierpień</t>
        </is>
      </c>
      <c r="G1325" t="inlineStr">
        <is>
          <t>Pt</t>
        </is>
      </c>
      <c r="H1325">
        <f>'Floor Hours Engine'!$E$5</f>
        <v/>
      </c>
      <c r="I1325" t="inlineStr">
        <is>
          <t>W3</t>
        </is>
      </c>
      <c r="J1325" t="inlineStr">
        <is>
          <t>2024_Sierpień_W3</t>
        </is>
      </c>
    </row>
    <row r="1326">
      <c r="A1326" s="177" t="n">
        <v>45521</v>
      </c>
      <c r="B1326" s="177" t="n">
        <v>45517</v>
      </c>
      <c r="C1326" s="177" t="n">
        <v>45523</v>
      </c>
      <c r="D1326" t="inlineStr">
        <is>
          <t>BW20240813</t>
        </is>
      </c>
      <c r="E1326" t="n">
        <v>2024</v>
      </c>
      <c r="F1326" t="inlineStr">
        <is>
          <t>Sierpień</t>
        </is>
      </c>
      <c r="G1326" t="inlineStr">
        <is>
          <t>Sob</t>
        </is>
      </c>
      <c r="H1326">
        <f>'Floor Hours Engine'!$E$5</f>
        <v/>
      </c>
      <c r="I1326" t="inlineStr">
        <is>
          <t>W3</t>
        </is>
      </c>
      <c r="J1326" t="inlineStr">
        <is>
          <t>2024_Sierpień_W3</t>
        </is>
      </c>
    </row>
    <row r="1327">
      <c r="A1327" s="177" t="n">
        <v>45522</v>
      </c>
      <c r="B1327" s="177" t="n">
        <v>45517</v>
      </c>
      <c r="C1327" s="177" t="n">
        <v>45523</v>
      </c>
      <c r="D1327" t="inlineStr">
        <is>
          <t>BW20240813</t>
        </is>
      </c>
      <c r="E1327" t="n">
        <v>2024</v>
      </c>
      <c r="F1327" t="inlineStr">
        <is>
          <t>Sierpień</t>
        </is>
      </c>
      <c r="G1327" t="inlineStr">
        <is>
          <t>Nd</t>
        </is>
      </c>
      <c r="H1327">
        <f>'Floor Hours Engine'!$E$6</f>
        <v/>
      </c>
      <c r="I1327" t="inlineStr">
        <is>
          <t>W3</t>
        </is>
      </c>
      <c r="J1327" t="inlineStr">
        <is>
          <t>2024_Sierpień_W3</t>
        </is>
      </c>
    </row>
    <row r="1328">
      <c r="A1328" s="177" t="n">
        <v>45523</v>
      </c>
      <c r="B1328" s="177" t="n">
        <v>45517</v>
      </c>
      <c r="C1328" s="177" t="n">
        <v>45523</v>
      </c>
      <c r="D1328" t="inlineStr">
        <is>
          <t>BW20240813</t>
        </is>
      </c>
      <c r="E1328" t="n">
        <v>2024</v>
      </c>
      <c r="F1328" t="inlineStr">
        <is>
          <t>Sierpień</t>
        </is>
      </c>
      <c r="G1328" t="inlineStr">
        <is>
          <t>Pn</t>
        </is>
      </c>
      <c r="H1328">
        <f>'Floor Hours Engine'!$E$4</f>
        <v/>
      </c>
      <c r="I1328" t="inlineStr">
        <is>
          <t>W3</t>
        </is>
      </c>
      <c r="J1328" t="inlineStr">
        <is>
          <t>2024_Sierpień_W3</t>
        </is>
      </c>
    </row>
    <row r="1329">
      <c r="A1329" s="177" t="n">
        <v>45524</v>
      </c>
      <c r="B1329" s="177" t="n">
        <v>45524</v>
      </c>
      <c r="C1329" s="177" t="n">
        <v>45530</v>
      </c>
      <c r="D1329" t="inlineStr">
        <is>
          <t>BW20240820</t>
        </is>
      </c>
      <c r="E1329" t="n">
        <v>2024</v>
      </c>
      <c r="F1329" t="inlineStr">
        <is>
          <t>Sierpień</t>
        </is>
      </c>
      <c r="G1329" t="inlineStr">
        <is>
          <t>Wt</t>
        </is>
      </c>
      <c r="H1329">
        <f>'Floor Hours Engine'!$E$4</f>
        <v/>
      </c>
      <c r="I1329" t="inlineStr">
        <is>
          <t>W4</t>
        </is>
      </c>
      <c r="J1329" t="inlineStr">
        <is>
          <t>2024_Sierpień_W4</t>
        </is>
      </c>
    </row>
    <row r="1330">
      <c r="A1330" s="177" t="n">
        <v>45525</v>
      </c>
      <c r="B1330" s="177" t="n">
        <v>45524</v>
      </c>
      <c r="C1330" s="177" t="n">
        <v>45530</v>
      </c>
      <c r="D1330" t="inlineStr">
        <is>
          <t>BW20240820</t>
        </is>
      </c>
      <c r="E1330" t="n">
        <v>2024</v>
      </c>
      <c r="F1330" t="inlineStr">
        <is>
          <t>Sierpień</t>
        </is>
      </c>
      <c r="G1330" t="inlineStr">
        <is>
          <t>Śr</t>
        </is>
      </c>
      <c r="H1330">
        <f>'Floor Hours Engine'!$E$4</f>
        <v/>
      </c>
      <c r="I1330" t="inlineStr">
        <is>
          <t>W4</t>
        </is>
      </c>
      <c r="J1330" t="inlineStr">
        <is>
          <t>2024_Sierpień_W4</t>
        </is>
      </c>
    </row>
    <row r="1331">
      <c r="A1331" s="177" t="n">
        <v>45526</v>
      </c>
      <c r="B1331" s="177" t="n">
        <v>45524</v>
      </c>
      <c r="C1331" s="177" t="n">
        <v>45530</v>
      </c>
      <c r="D1331" t="inlineStr">
        <is>
          <t>BW20240820</t>
        </is>
      </c>
      <c r="E1331" t="n">
        <v>2024</v>
      </c>
      <c r="F1331" t="inlineStr">
        <is>
          <t>Sierpień</t>
        </is>
      </c>
      <c r="G1331" t="inlineStr">
        <is>
          <t>Czw</t>
        </is>
      </c>
      <c r="H1331">
        <f>'Floor Hours Engine'!$E$4</f>
        <v/>
      </c>
      <c r="I1331" t="inlineStr">
        <is>
          <t>W4</t>
        </is>
      </c>
      <c r="J1331" t="inlineStr">
        <is>
          <t>2024_Sierpień_W4</t>
        </is>
      </c>
    </row>
    <row r="1332">
      <c r="A1332" s="177" t="n">
        <v>45527</v>
      </c>
      <c r="B1332" s="177" t="n">
        <v>45524</v>
      </c>
      <c r="C1332" s="177" t="n">
        <v>45530</v>
      </c>
      <c r="D1332" t="inlineStr">
        <is>
          <t>BW20240820</t>
        </is>
      </c>
      <c r="E1332" t="n">
        <v>2024</v>
      </c>
      <c r="F1332" t="inlineStr">
        <is>
          <t>Sierpień</t>
        </is>
      </c>
      <c r="G1332" t="inlineStr">
        <is>
          <t>Pt</t>
        </is>
      </c>
      <c r="H1332">
        <f>'Floor Hours Engine'!$E$5</f>
        <v/>
      </c>
      <c r="I1332" t="inlineStr">
        <is>
          <t>W4</t>
        </is>
      </c>
      <c r="J1332" t="inlineStr">
        <is>
          <t>2024_Sierpień_W4</t>
        </is>
      </c>
    </row>
    <row r="1333">
      <c r="A1333" s="177" t="n">
        <v>45528</v>
      </c>
      <c r="B1333" s="177" t="n">
        <v>45524</v>
      </c>
      <c r="C1333" s="177" t="n">
        <v>45530</v>
      </c>
      <c r="D1333" t="inlineStr">
        <is>
          <t>BW20240820</t>
        </is>
      </c>
      <c r="E1333" t="n">
        <v>2024</v>
      </c>
      <c r="F1333" t="inlineStr">
        <is>
          <t>Sierpień</t>
        </is>
      </c>
      <c r="G1333" t="inlineStr">
        <is>
          <t>Sob</t>
        </is>
      </c>
      <c r="H1333">
        <f>'Floor Hours Engine'!$E$5</f>
        <v/>
      </c>
      <c r="I1333" t="inlineStr">
        <is>
          <t>W4</t>
        </is>
      </c>
      <c r="J1333" t="inlineStr">
        <is>
          <t>2024_Sierpień_W4</t>
        </is>
      </c>
    </row>
    <row r="1334">
      <c r="A1334" s="177" t="n">
        <v>45529</v>
      </c>
      <c r="B1334" s="177" t="n">
        <v>45524</v>
      </c>
      <c r="C1334" s="177" t="n">
        <v>45530</v>
      </c>
      <c r="D1334" t="inlineStr">
        <is>
          <t>BW20240820</t>
        </is>
      </c>
      <c r="E1334" t="n">
        <v>2024</v>
      </c>
      <c r="F1334" t="inlineStr">
        <is>
          <t>Sierpień</t>
        </is>
      </c>
      <c r="G1334" t="inlineStr">
        <is>
          <t>Nd</t>
        </is>
      </c>
      <c r="H1334">
        <f>'Floor Hours Engine'!$E$6</f>
        <v/>
      </c>
      <c r="I1334" t="inlineStr">
        <is>
          <t>W4</t>
        </is>
      </c>
      <c r="J1334" t="inlineStr">
        <is>
          <t>2024_Sierpień_W4</t>
        </is>
      </c>
    </row>
    <row r="1335">
      <c r="A1335" s="177" t="n">
        <v>45530</v>
      </c>
      <c r="B1335" s="177" t="n">
        <v>45524</v>
      </c>
      <c r="C1335" s="177" t="n">
        <v>45530</v>
      </c>
      <c r="D1335" t="inlineStr">
        <is>
          <t>BW20240820</t>
        </is>
      </c>
      <c r="E1335" t="n">
        <v>2024</v>
      </c>
      <c r="F1335" t="inlineStr">
        <is>
          <t>Sierpień</t>
        </is>
      </c>
      <c r="G1335" t="inlineStr">
        <is>
          <t>Pn</t>
        </is>
      </c>
      <c r="H1335">
        <f>'Floor Hours Engine'!$E$4</f>
        <v/>
      </c>
      <c r="I1335" t="inlineStr">
        <is>
          <t>W4</t>
        </is>
      </c>
      <c r="J1335" t="inlineStr">
        <is>
          <t>2024_Sierpień_W4</t>
        </is>
      </c>
    </row>
    <row r="1336">
      <c r="A1336" s="177" t="n">
        <v>45531</v>
      </c>
      <c r="B1336" s="177" t="n">
        <v>45531</v>
      </c>
      <c r="C1336" s="177" t="n">
        <v>45537</v>
      </c>
      <c r="D1336" t="inlineStr">
        <is>
          <t>BW20240827</t>
        </is>
      </c>
      <c r="E1336" t="n">
        <v>2024</v>
      </c>
      <c r="F1336" t="inlineStr">
        <is>
          <t>Sierpień</t>
        </is>
      </c>
      <c r="G1336" t="inlineStr">
        <is>
          <t>Wt</t>
        </is>
      </c>
      <c r="H1336">
        <f>'Floor Hours Engine'!$E$4</f>
        <v/>
      </c>
      <c r="I1336" t="inlineStr">
        <is>
          <t>W5</t>
        </is>
      </c>
      <c r="J1336" t="inlineStr">
        <is>
          <t>2024_Sierpień_W5</t>
        </is>
      </c>
    </row>
    <row r="1337">
      <c r="A1337" s="177" t="n">
        <v>45532</v>
      </c>
      <c r="B1337" s="177" t="n">
        <v>45531</v>
      </c>
      <c r="C1337" s="177" t="n">
        <v>45537</v>
      </c>
      <c r="D1337" t="inlineStr">
        <is>
          <t>BW20240827</t>
        </is>
      </c>
      <c r="E1337" t="n">
        <v>2024</v>
      </c>
      <c r="F1337" t="inlineStr">
        <is>
          <t>Sierpień</t>
        </is>
      </c>
      <c r="G1337" t="inlineStr">
        <is>
          <t>Śr</t>
        </is>
      </c>
      <c r="H1337">
        <f>'Floor Hours Engine'!$E$4</f>
        <v/>
      </c>
      <c r="I1337" t="inlineStr">
        <is>
          <t>W5</t>
        </is>
      </c>
      <c r="J1337" t="inlineStr">
        <is>
          <t>2024_Sierpień_W5</t>
        </is>
      </c>
    </row>
    <row r="1338">
      <c r="A1338" s="177" t="n">
        <v>45533</v>
      </c>
      <c r="B1338" s="177" t="n">
        <v>45531</v>
      </c>
      <c r="C1338" s="177" t="n">
        <v>45537</v>
      </c>
      <c r="D1338" t="inlineStr">
        <is>
          <t>BW20240827</t>
        </is>
      </c>
      <c r="E1338" t="n">
        <v>2024</v>
      </c>
      <c r="F1338" t="inlineStr">
        <is>
          <t>Sierpień</t>
        </is>
      </c>
      <c r="G1338" t="inlineStr">
        <is>
          <t>Czw</t>
        </is>
      </c>
      <c r="H1338">
        <f>'Floor Hours Engine'!$E$4</f>
        <v/>
      </c>
      <c r="I1338" t="inlineStr">
        <is>
          <t>W5</t>
        </is>
      </c>
      <c r="J1338" t="inlineStr">
        <is>
          <t>2024_Sierpień_W5</t>
        </is>
      </c>
    </row>
    <row r="1339">
      <c r="A1339" s="177" t="n">
        <v>45534</v>
      </c>
      <c r="B1339" s="177" t="n">
        <v>45531</v>
      </c>
      <c r="C1339" s="177" t="n">
        <v>45537</v>
      </c>
      <c r="D1339" t="inlineStr">
        <is>
          <t>BW20240827</t>
        </is>
      </c>
      <c r="E1339" t="n">
        <v>2024</v>
      </c>
      <c r="F1339" t="inlineStr">
        <is>
          <t>Sierpień</t>
        </is>
      </c>
      <c r="G1339" t="inlineStr">
        <is>
          <t>Pt</t>
        </is>
      </c>
      <c r="H1339">
        <f>'Floor Hours Engine'!$E$5</f>
        <v/>
      </c>
      <c r="I1339" t="inlineStr">
        <is>
          <t>W5</t>
        </is>
      </c>
      <c r="J1339" t="inlineStr">
        <is>
          <t>2024_Sierpień_W5</t>
        </is>
      </c>
    </row>
    <row r="1340">
      <c r="A1340" s="177" t="n">
        <v>45535</v>
      </c>
      <c r="B1340" s="177" t="n">
        <v>45531</v>
      </c>
      <c r="C1340" s="177" t="n">
        <v>45537</v>
      </c>
      <c r="D1340" t="inlineStr">
        <is>
          <t>BW20240827</t>
        </is>
      </c>
      <c r="E1340" t="n">
        <v>2024</v>
      </c>
      <c r="F1340" t="inlineStr">
        <is>
          <t>Sierpień</t>
        </is>
      </c>
      <c r="G1340" t="inlineStr">
        <is>
          <t>Sob</t>
        </is>
      </c>
      <c r="H1340">
        <f>'Floor Hours Engine'!$E$5</f>
        <v/>
      </c>
      <c r="I1340" t="inlineStr">
        <is>
          <t>W5</t>
        </is>
      </c>
      <c r="J1340" t="inlineStr">
        <is>
          <t>2024_Sierpień_W5</t>
        </is>
      </c>
    </row>
    <row r="1341">
      <c r="A1341" s="177" t="n">
        <v>45536</v>
      </c>
      <c r="B1341" s="177" t="n">
        <v>45531</v>
      </c>
      <c r="C1341" s="177" t="n">
        <v>45537</v>
      </c>
      <c r="D1341" t="inlineStr">
        <is>
          <t>BW20240827</t>
        </is>
      </c>
      <c r="E1341" t="n">
        <v>2024</v>
      </c>
      <c r="F1341" t="inlineStr">
        <is>
          <t>Wrzesień</t>
        </is>
      </c>
      <c r="G1341" t="inlineStr">
        <is>
          <t>Nd</t>
        </is>
      </c>
      <c r="H1341">
        <f>'Floor Hours Engine'!$E$6</f>
        <v/>
      </c>
      <c r="I1341" t="inlineStr">
        <is>
          <t>W1</t>
        </is>
      </c>
      <c r="J1341" t="inlineStr">
        <is>
          <t>2024_Wrzesień_W1</t>
        </is>
      </c>
    </row>
    <row r="1342">
      <c r="A1342" s="177" t="n">
        <v>45537</v>
      </c>
      <c r="B1342" s="177" t="n">
        <v>45531</v>
      </c>
      <c r="C1342" s="177" t="n">
        <v>45537</v>
      </c>
      <c r="D1342" t="inlineStr">
        <is>
          <t>BW20240827</t>
        </is>
      </c>
      <c r="E1342" t="n">
        <v>2024</v>
      </c>
      <c r="F1342" t="inlineStr">
        <is>
          <t>Wrzesień</t>
        </is>
      </c>
      <c r="G1342" t="inlineStr">
        <is>
          <t>Pn</t>
        </is>
      </c>
      <c r="H1342">
        <f>'Floor Hours Engine'!$E$4</f>
        <v/>
      </c>
      <c r="I1342" t="inlineStr">
        <is>
          <t>W1</t>
        </is>
      </c>
      <c r="J1342" t="inlineStr">
        <is>
          <t>2024_Wrzesień_W1</t>
        </is>
      </c>
    </row>
    <row r="1343">
      <c r="A1343" s="177" t="n">
        <v>45538</v>
      </c>
      <c r="B1343" s="177" t="n">
        <v>45538</v>
      </c>
      <c r="C1343" s="177" t="n">
        <v>45544</v>
      </c>
      <c r="D1343" t="inlineStr">
        <is>
          <t>BW20240903</t>
        </is>
      </c>
      <c r="E1343" t="n">
        <v>2024</v>
      </c>
      <c r="F1343" t="inlineStr">
        <is>
          <t>Wrzesień</t>
        </is>
      </c>
      <c r="G1343" t="inlineStr">
        <is>
          <t>Wt</t>
        </is>
      </c>
      <c r="H1343">
        <f>'Floor Hours Engine'!$E$4</f>
        <v/>
      </c>
      <c r="I1343" t="inlineStr">
        <is>
          <t>W2</t>
        </is>
      </c>
      <c r="J1343" t="inlineStr">
        <is>
          <t>2024_Wrzesień_W2</t>
        </is>
      </c>
    </row>
    <row r="1344">
      <c r="A1344" s="177" t="n">
        <v>45539</v>
      </c>
      <c r="B1344" s="177" t="n">
        <v>45538</v>
      </c>
      <c r="C1344" s="177" t="n">
        <v>45544</v>
      </c>
      <c r="D1344" t="inlineStr">
        <is>
          <t>BW20240903</t>
        </is>
      </c>
      <c r="E1344" t="n">
        <v>2024</v>
      </c>
      <c r="F1344" t="inlineStr">
        <is>
          <t>Wrzesień</t>
        </is>
      </c>
      <c r="G1344" t="inlineStr">
        <is>
          <t>Śr</t>
        </is>
      </c>
      <c r="H1344">
        <f>'Floor Hours Engine'!$E$4</f>
        <v/>
      </c>
      <c r="I1344" t="inlineStr">
        <is>
          <t>W2</t>
        </is>
      </c>
      <c r="J1344" t="inlineStr">
        <is>
          <t>2024_Wrzesień_W2</t>
        </is>
      </c>
    </row>
    <row r="1345">
      <c r="A1345" s="177" t="n">
        <v>45540</v>
      </c>
      <c r="B1345" s="177" t="n">
        <v>45538</v>
      </c>
      <c r="C1345" s="177" t="n">
        <v>45544</v>
      </c>
      <c r="D1345" t="inlineStr">
        <is>
          <t>BW20240903</t>
        </is>
      </c>
      <c r="E1345" t="n">
        <v>2024</v>
      </c>
      <c r="F1345" t="inlineStr">
        <is>
          <t>Wrzesień</t>
        </is>
      </c>
      <c r="G1345" t="inlineStr">
        <is>
          <t>Czw</t>
        </is>
      </c>
      <c r="H1345">
        <f>'Floor Hours Engine'!$E$4</f>
        <v/>
      </c>
      <c r="I1345" t="inlineStr">
        <is>
          <t>W2</t>
        </is>
      </c>
      <c r="J1345" t="inlineStr">
        <is>
          <t>2024_Wrzesień_W2</t>
        </is>
      </c>
    </row>
    <row r="1346">
      <c r="A1346" s="177" t="n">
        <v>45541</v>
      </c>
      <c r="B1346" s="177" t="n">
        <v>45538</v>
      </c>
      <c r="C1346" s="177" t="n">
        <v>45544</v>
      </c>
      <c r="D1346" t="inlineStr">
        <is>
          <t>BW20240903</t>
        </is>
      </c>
      <c r="E1346" t="n">
        <v>2024</v>
      </c>
      <c r="F1346" t="inlineStr">
        <is>
          <t>Wrzesień</t>
        </is>
      </c>
      <c r="G1346" t="inlineStr">
        <is>
          <t>Pt</t>
        </is>
      </c>
      <c r="H1346">
        <f>'Floor Hours Engine'!$E$5</f>
        <v/>
      </c>
      <c r="I1346" t="inlineStr">
        <is>
          <t>W2</t>
        </is>
      </c>
      <c r="J1346" t="inlineStr">
        <is>
          <t>2024_Wrzesień_W2</t>
        </is>
      </c>
    </row>
    <row r="1347">
      <c r="A1347" s="177" t="n">
        <v>45542</v>
      </c>
      <c r="B1347" s="177" t="n">
        <v>45538</v>
      </c>
      <c r="C1347" s="177" t="n">
        <v>45544</v>
      </c>
      <c r="D1347" t="inlineStr">
        <is>
          <t>BW20240903</t>
        </is>
      </c>
      <c r="E1347" t="n">
        <v>2024</v>
      </c>
      <c r="F1347" t="inlineStr">
        <is>
          <t>Wrzesień</t>
        </is>
      </c>
      <c r="G1347" t="inlineStr">
        <is>
          <t>Sob</t>
        </is>
      </c>
      <c r="H1347">
        <f>'Floor Hours Engine'!$E$5</f>
        <v/>
      </c>
      <c r="I1347" t="inlineStr">
        <is>
          <t>W2</t>
        </is>
      </c>
      <c r="J1347" t="inlineStr">
        <is>
          <t>2024_Wrzesień_W2</t>
        </is>
      </c>
    </row>
    <row r="1348">
      <c r="A1348" s="177" t="n">
        <v>45543</v>
      </c>
      <c r="B1348" s="177" t="n">
        <v>45538</v>
      </c>
      <c r="C1348" s="177" t="n">
        <v>45544</v>
      </c>
      <c r="D1348" t="inlineStr">
        <is>
          <t>BW20240903</t>
        </is>
      </c>
      <c r="E1348" t="n">
        <v>2024</v>
      </c>
      <c r="F1348" t="inlineStr">
        <is>
          <t>Wrzesień</t>
        </is>
      </c>
      <c r="G1348" t="inlineStr">
        <is>
          <t>Nd</t>
        </is>
      </c>
      <c r="H1348">
        <f>'Floor Hours Engine'!$E$6</f>
        <v/>
      </c>
      <c r="I1348" t="inlineStr">
        <is>
          <t>W2</t>
        </is>
      </c>
      <c r="J1348" t="inlineStr">
        <is>
          <t>2024_Wrzesień_W2</t>
        </is>
      </c>
    </row>
    <row r="1349">
      <c r="A1349" s="177" t="n">
        <v>45544</v>
      </c>
      <c r="B1349" s="177" t="n">
        <v>45538</v>
      </c>
      <c r="C1349" s="177" t="n">
        <v>45544</v>
      </c>
      <c r="D1349" t="inlineStr">
        <is>
          <t>BW20240903</t>
        </is>
      </c>
      <c r="E1349" t="n">
        <v>2024</v>
      </c>
      <c r="F1349" t="inlineStr">
        <is>
          <t>Wrzesień</t>
        </is>
      </c>
      <c r="G1349" t="inlineStr">
        <is>
          <t>Pn</t>
        </is>
      </c>
      <c r="H1349">
        <f>'Floor Hours Engine'!$E$4</f>
        <v/>
      </c>
      <c r="I1349" t="inlineStr">
        <is>
          <t>W2</t>
        </is>
      </c>
      <c r="J1349" t="inlineStr">
        <is>
          <t>2024_Wrzesień_W2</t>
        </is>
      </c>
    </row>
    <row r="1350">
      <c r="A1350" s="177" t="n">
        <v>45545</v>
      </c>
      <c r="B1350" s="177" t="n">
        <v>45545</v>
      </c>
      <c r="C1350" s="177" t="n">
        <v>45551</v>
      </c>
      <c r="D1350" t="inlineStr">
        <is>
          <t>BW20240910</t>
        </is>
      </c>
      <c r="E1350" t="n">
        <v>2024</v>
      </c>
      <c r="F1350" t="inlineStr">
        <is>
          <t>Wrzesień</t>
        </is>
      </c>
      <c r="G1350" t="inlineStr">
        <is>
          <t>Wt</t>
        </is>
      </c>
      <c r="H1350">
        <f>'Floor Hours Engine'!$E$4</f>
        <v/>
      </c>
      <c r="I1350" t="inlineStr">
        <is>
          <t>W3</t>
        </is>
      </c>
      <c r="J1350" t="inlineStr">
        <is>
          <t>2024_Wrzesień_W3</t>
        </is>
      </c>
    </row>
    <row r="1351">
      <c r="A1351" s="177" t="n">
        <v>45546</v>
      </c>
      <c r="B1351" s="177" t="n">
        <v>45545</v>
      </c>
      <c r="C1351" s="177" t="n">
        <v>45551</v>
      </c>
      <c r="D1351" t="inlineStr">
        <is>
          <t>BW20240910</t>
        </is>
      </c>
      <c r="E1351" t="n">
        <v>2024</v>
      </c>
      <c r="F1351" t="inlineStr">
        <is>
          <t>Wrzesień</t>
        </is>
      </c>
      <c r="G1351" t="inlineStr">
        <is>
          <t>Śr</t>
        </is>
      </c>
      <c r="H1351">
        <f>'Floor Hours Engine'!$E$4</f>
        <v/>
      </c>
      <c r="I1351" t="inlineStr">
        <is>
          <t>W3</t>
        </is>
      </c>
      <c r="J1351" t="inlineStr">
        <is>
          <t>2024_Wrzesień_W3</t>
        </is>
      </c>
    </row>
    <row r="1352">
      <c r="A1352" s="177" t="n">
        <v>45547</v>
      </c>
      <c r="B1352" s="177" t="n">
        <v>45545</v>
      </c>
      <c r="C1352" s="177" t="n">
        <v>45551</v>
      </c>
      <c r="D1352" t="inlineStr">
        <is>
          <t>BW20240910</t>
        </is>
      </c>
      <c r="E1352" t="n">
        <v>2024</v>
      </c>
      <c r="F1352" t="inlineStr">
        <is>
          <t>Wrzesień</t>
        </is>
      </c>
      <c r="G1352" t="inlineStr">
        <is>
          <t>Czw</t>
        </is>
      </c>
      <c r="H1352">
        <f>'Floor Hours Engine'!$E$4</f>
        <v/>
      </c>
      <c r="I1352" t="inlineStr">
        <is>
          <t>W3</t>
        </is>
      </c>
      <c r="J1352" t="inlineStr">
        <is>
          <t>2024_Wrzesień_W3</t>
        </is>
      </c>
    </row>
    <row r="1353">
      <c r="A1353" s="177" t="n">
        <v>45548</v>
      </c>
      <c r="B1353" s="177" t="n">
        <v>45545</v>
      </c>
      <c r="C1353" s="177" t="n">
        <v>45551</v>
      </c>
      <c r="D1353" t="inlineStr">
        <is>
          <t>BW20240910</t>
        </is>
      </c>
      <c r="E1353" t="n">
        <v>2024</v>
      </c>
      <c r="F1353" t="inlineStr">
        <is>
          <t>Wrzesień</t>
        </is>
      </c>
      <c r="G1353" t="inlineStr">
        <is>
          <t>Pt</t>
        </is>
      </c>
      <c r="H1353">
        <f>'Floor Hours Engine'!$E$5</f>
        <v/>
      </c>
      <c r="I1353" t="inlineStr">
        <is>
          <t>W3</t>
        </is>
      </c>
      <c r="J1353" t="inlineStr">
        <is>
          <t>2024_Wrzesień_W3</t>
        </is>
      </c>
    </row>
    <row r="1354">
      <c r="A1354" s="177" t="n">
        <v>45549</v>
      </c>
      <c r="B1354" s="177" t="n">
        <v>45545</v>
      </c>
      <c r="C1354" s="177" t="n">
        <v>45551</v>
      </c>
      <c r="D1354" t="inlineStr">
        <is>
          <t>BW20240910</t>
        </is>
      </c>
      <c r="E1354" t="n">
        <v>2024</v>
      </c>
      <c r="F1354" t="inlineStr">
        <is>
          <t>Wrzesień</t>
        </is>
      </c>
      <c r="G1354" t="inlineStr">
        <is>
          <t>Sob</t>
        </is>
      </c>
      <c r="H1354">
        <f>'Floor Hours Engine'!$E$5</f>
        <v/>
      </c>
      <c r="I1354" t="inlineStr">
        <is>
          <t>W3</t>
        </is>
      </c>
      <c r="J1354" t="inlineStr">
        <is>
          <t>2024_Wrzesień_W3</t>
        </is>
      </c>
    </row>
    <row r="1355">
      <c r="A1355" s="177" t="n">
        <v>45550</v>
      </c>
      <c r="B1355" s="177" t="n">
        <v>45545</v>
      </c>
      <c r="C1355" s="177" t="n">
        <v>45551</v>
      </c>
      <c r="D1355" t="inlineStr">
        <is>
          <t>BW20240910</t>
        </is>
      </c>
      <c r="E1355" t="n">
        <v>2024</v>
      </c>
      <c r="F1355" t="inlineStr">
        <is>
          <t>Wrzesień</t>
        </is>
      </c>
      <c r="G1355" t="inlineStr">
        <is>
          <t>Nd</t>
        </is>
      </c>
      <c r="H1355">
        <f>'Floor Hours Engine'!$E$6</f>
        <v/>
      </c>
      <c r="I1355" t="inlineStr">
        <is>
          <t>W3</t>
        </is>
      </c>
      <c r="J1355" t="inlineStr">
        <is>
          <t>2024_Wrzesień_W3</t>
        </is>
      </c>
    </row>
    <row r="1356">
      <c r="A1356" s="177" t="n">
        <v>45551</v>
      </c>
      <c r="B1356" s="177" t="n">
        <v>45545</v>
      </c>
      <c r="C1356" s="177" t="n">
        <v>45551</v>
      </c>
      <c r="D1356" t="inlineStr">
        <is>
          <t>BW20240910</t>
        </is>
      </c>
      <c r="E1356" t="n">
        <v>2024</v>
      </c>
      <c r="F1356" t="inlineStr">
        <is>
          <t>Wrzesień</t>
        </is>
      </c>
      <c r="G1356" t="inlineStr">
        <is>
          <t>Pn</t>
        </is>
      </c>
      <c r="H1356">
        <f>'Floor Hours Engine'!$E$4</f>
        <v/>
      </c>
      <c r="I1356" t="inlineStr">
        <is>
          <t>W3</t>
        </is>
      </c>
      <c r="J1356" t="inlineStr">
        <is>
          <t>2024_Wrzesień_W3</t>
        </is>
      </c>
    </row>
    <row r="1357">
      <c r="A1357" s="177" t="n">
        <v>45552</v>
      </c>
      <c r="B1357" s="177" t="n">
        <v>45552</v>
      </c>
      <c r="C1357" s="177" t="n">
        <v>45558</v>
      </c>
      <c r="D1357" t="inlineStr">
        <is>
          <t>BW20240917</t>
        </is>
      </c>
      <c r="E1357" t="n">
        <v>2024</v>
      </c>
      <c r="F1357" t="inlineStr">
        <is>
          <t>Wrzesień</t>
        </is>
      </c>
      <c r="G1357" t="inlineStr">
        <is>
          <t>Wt</t>
        </is>
      </c>
      <c r="H1357">
        <f>'Floor Hours Engine'!$E$4</f>
        <v/>
      </c>
      <c r="I1357" t="inlineStr">
        <is>
          <t>W4</t>
        </is>
      </c>
      <c r="J1357" t="inlineStr">
        <is>
          <t>2024_Wrzesień_W4</t>
        </is>
      </c>
    </row>
    <row r="1358">
      <c r="A1358" s="177" t="n">
        <v>45553</v>
      </c>
      <c r="B1358" s="177" t="n">
        <v>45552</v>
      </c>
      <c r="C1358" s="177" t="n">
        <v>45558</v>
      </c>
      <c r="D1358" t="inlineStr">
        <is>
          <t>BW20240917</t>
        </is>
      </c>
      <c r="E1358" t="n">
        <v>2024</v>
      </c>
      <c r="F1358" t="inlineStr">
        <is>
          <t>Wrzesień</t>
        </is>
      </c>
      <c r="G1358" t="inlineStr">
        <is>
          <t>Śr</t>
        </is>
      </c>
      <c r="H1358">
        <f>'Floor Hours Engine'!$E$4</f>
        <v/>
      </c>
      <c r="I1358" t="inlineStr">
        <is>
          <t>W4</t>
        </is>
      </c>
      <c r="J1358" t="inlineStr">
        <is>
          <t>2024_Wrzesień_W4</t>
        </is>
      </c>
    </row>
    <row r="1359">
      <c r="A1359" s="177" t="n">
        <v>45554</v>
      </c>
      <c r="B1359" s="177" t="n">
        <v>45552</v>
      </c>
      <c r="C1359" s="177" t="n">
        <v>45558</v>
      </c>
      <c r="D1359" t="inlineStr">
        <is>
          <t>BW20240917</t>
        </is>
      </c>
      <c r="E1359" t="n">
        <v>2024</v>
      </c>
      <c r="F1359" t="inlineStr">
        <is>
          <t>Wrzesień</t>
        </is>
      </c>
      <c r="G1359" t="inlineStr">
        <is>
          <t>Czw</t>
        </is>
      </c>
      <c r="H1359">
        <f>'Floor Hours Engine'!$E$4</f>
        <v/>
      </c>
      <c r="I1359" t="inlineStr">
        <is>
          <t>W4</t>
        </is>
      </c>
      <c r="J1359" t="inlineStr">
        <is>
          <t>2024_Wrzesień_W4</t>
        </is>
      </c>
    </row>
    <row r="1360">
      <c r="A1360" s="177" t="n">
        <v>45555</v>
      </c>
      <c r="B1360" s="177" t="n">
        <v>45552</v>
      </c>
      <c r="C1360" s="177" t="n">
        <v>45558</v>
      </c>
      <c r="D1360" t="inlineStr">
        <is>
          <t>BW20240917</t>
        </is>
      </c>
      <c r="E1360" t="n">
        <v>2024</v>
      </c>
      <c r="F1360" t="inlineStr">
        <is>
          <t>Wrzesień</t>
        </is>
      </c>
      <c r="G1360" t="inlineStr">
        <is>
          <t>Pt</t>
        </is>
      </c>
      <c r="H1360">
        <f>'Floor Hours Engine'!$E$5</f>
        <v/>
      </c>
      <c r="I1360" t="inlineStr">
        <is>
          <t>W4</t>
        </is>
      </c>
      <c r="J1360" t="inlineStr">
        <is>
          <t>2024_Wrzesień_W4</t>
        </is>
      </c>
    </row>
    <row r="1361">
      <c r="A1361" s="177" t="n">
        <v>45556</v>
      </c>
      <c r="B1361" s="177" t="n">
        <v>45552</v>
      </c>
      <c r="C1361" s="177" t="n">
        <v>45558</v>
      </c>
      <c r="D1361" t="inlineStr">
        <is>
          <t>BW20240917</t>
        </is>
      </c>
      <c r="E1361" t="n">
        <v>2024</v>
      </c>
      <c r="F1361" t="inlineStr">
        <is>
          <t>Wrzesień</t>
        </is>
      </c>
      <c r="G1361" t="inlineStr">
        <is>
          <t>Sob</t>
        </is>
      </c>
      <c r="H1361">
        <f>'Floor Hours Engine'!$E$5</f>
        <v/>
      </c>
      <c r="I1361" t="inlineStr">
        <is>
          <t>W4</t>
        </is>
      </c>
      <c r="J1361" t="inlineStr">
        <is>
          <t>2024_Wrzesień_W4</t>
        </is>
      </c>
    </row>
    <row r="1362">
      <c r="A1362" s="177" t="n">
        <v>45557</v>
      </c>
      <c r="B1362" s="177" t="n">
        <v>45552</v>
      </c>
      <c r="C1362" s="177" t="n">
        <v>45558</v>
      </c>
      <c r="D1362" t="inlineStr">
        <is>
          <t>BW20240917</t>
        </is>
      </c>
      <c r="E1362" t="n">
        <v>2024</v>
      </c>
      <c r="F1362" t="inlineStr">
        <is>
          <t>Wrzesień</t>
        </is>
      </c>
      <c r="G1362" t="inlineStr">
        <is>
          <t>Nd</t>
        </is>
      </c>
      <c r="H1362">
        <f>'Floor Hours Engine'!$E$6</f>
        <v/>
      </c>
      <c r="I1362" t="inlineStr">
        <is>
          <t>W4</t>
        </is>
      </c>
      <c r="J1362" t="inlineStr">
        <is>
          <t>2024_Wrzesień_W4</t>
        </is>
      </c>
    </row>
    <row r="1363">
      <c r="A1363" s="177" t="n">
        <v>45558</v>
      </c>
      <c r="B1363" s="177" t="n">
        <v>45552</v>
      </c>
      <c r="C1363" s="177" t="n">
        <v>45558</v>
      </c>
      <c r="D1363" t="inlineStr">
        <is>
          <t>BW20240917</t>
        </is>
      </c>
      <c r="E1363" t="n">
        <v>2024</v>
      </c>
      <c r="F1363" t="inlineStr">
        <is>
          <t>Wrzesień</t>
        </is>
      </c>
      <c r="G1363" t="inlineStr">
        <is>
          <t>Pn</t>
        </is>
      </c>
      <c r="H1363">
        <f>'Floor Hours Engine'!$E$4</f>
        <v/>
      </c>
      <c r="I1363" t="inlineStr">
        <is>
          <t>W4</t>
        </is>
      </c>
      <c r="J1363" t="inlineStr">
        <is>
          <t>2024_Wrzesień_W4</t>
        </is>
      </c>
    </row>
    <row r="1364">
      <c r="A1364" s="177" t="n">
        <v>45559</v>
      </c>
      <c r="B1364" s="177" t="n">
        <v>45559</v>
      </c>
      <c r="C1364" s="177" t="n">
        <v>45565</v>
      </c>
      <c r="D1364" t="inlineStr">
        <is>
          <t>BW20240924</t>
        </is>
      </c>
      <c r="E1364" t="n">
        <v>2024</v>
      </c>
      <c r="F1364" t="inlineStr">
        <is>
          <t>Wrzesień</t>
        </is>
      </c>
      <c r="G1364" t="inlineStr">
        <is>
          <t>Wt</t>
        </is>
      </c>
      <c r="H1364">
        <f>'Floor Hours Engine'!$E$4</f>
        <v/>
      </c>
      <c r="I1364" t="inlineStr">
        <is>
          <t>W5</t>
        </is>
      </c>
      <c r="J1364" t="inlineStr">
        <is>
          <t>2024_Wrzesień_W5</t>
        </is>
      </c>
    </row>
    <row r="1365">
      <c r="A1365" s="177" t="n">
        <v>45560</v>
      </c>
      <c r="B1365" s="177" t="n">
        <v>45559</v>
      </c>
      <c r="C1365" s="177" t="n">
        <v>45565</v>
      </c>
      <c r="D1365" t="inlineStr">
        <is>
          <t>BW20240924</t>
        </is>
      </c>
      <c r="E1365" t="n">
        <v>2024</v>
      </c>
      <c r="F1365" t="inlineStr">
        <is>
          <t>Wrzesień</t>
        </is>
      </c>
      <c r="G1365" t="inlineStr">
        <is>
          <t>Śr</t>
        </is>
      </c>
      <c r="H1365">
        <f>'Floor Hours Engine'!$E$4</f>
        <v/>
      </c>
      <c r="I1365" t="inlineStr">
        <is>
          <t>W5</t>
        </is>
      </c>
      <c r="J1365" t="inlineStr">
        <is>
          <t>2024_Wrzesień_W5</t>
        </is>
      </c>
    </row>
    <row r="1366">
      <c r="A1366" s="177" t="n">
        <v>45561</v>
      </c>
      <c r="B1366" s="177" t="n">
        <v>45559</v>
      </c>
      <c r="C1366" s="177" t="n">
        <v>45565</v>
      </c>
      <c r="D1366" t="inlineStr">
        <is>
          <t>BW20240924</t>
        </is>
      </c>
      <c r="E1366" t="n">
        <v>2024</v>
      </c>
      <c r="F1366" t="inlineStr">
        <is>
          <t>Wrzesień</t>
        </is>
      </c>
      <c r="G1366" t="inlineStr">
        <is>
          <t>Czw</t>
        </is>
      </c>
      <c r="H1366">
        <f>'Floor Hours Engine'!$E$4</f>
        <v/>
      </c>
      <c r="I1366" t="inlineStr">
        <is>
          <t>W5</t>
        </is>
      </c>
      <c r="J1366" t="inlineStr">
        <is>
          <t>2024_Wrzesień_W5</t>
        </is>
      </c>
    </row>
    <row r="1367">
      <c r="A1367" s="177" t="n">
        <v>45562</v>
      </c>
      <c r="B1367" s="177" t="n">
        <v>45559</v>
      </c>
      <c r="C1367" s="177" t="n">
        <v>45565</v>
      </c>
      <c r="D1367" t="inlineStr">
        <is>
          <t>BW20240924</t>
        </is>
      </c>
      <c r="E1367" t="n">
        <v>2024</v>
      </c>
      <c r="F1367" t="inlineStr">
        <is>
          <t>Wrzesień</t>
        </is>
      </c>
      <c r="G1367" t="inlineStr">
        <is>
          <t>Pt</t>
        </is>
      </c>
      <c r="H1367">
        <f>'Floor Hours Engine'!$E$5</f>
        <v/>
      </c>
      <c r="I1367" t="inlineStr">
        <is>
          <t>W5</t>
        </is>
      </c>
      <c r="J1367" t="inlineStr">
        <is>
          <t>2024_Wrzesień_W5</t>
        </is>
      </c>
    </row>
    <row r="1368">
      <c r="A1368" s="177" t="n">
        <v>45563</v>
      </c>
      <c r="B1368" s="177" t="n">
        <v>45559</v>
      </c>
      <c r="C1368" s="177" t="n">
        <v>45565</v>
      </c>
      <c r="D1368" t="inlineStr">
        <is>
          <t>BW20240924</t>
        </is>
      </c>
      <c r="E1368" t="n">
        <v>2024</v>
      </c>
      <c r="F1368" t="inlineStr">
        <is>
          <t>Wrzesień</t>
        </is>
      </c>
      <c r="G1368" t="inlineStr">
        <is>
          <t>Sob</t>
        </is>
      </c>
      <c r="H1368">
        <f>'Floor Hours Engine'!$E$5</f>
        <v/>
      </c>
      <c r="I1368" t="inlineStr">
        <is>
          <t>W5</t>
        </is>
      </c>
      <c r="J1368" t="inlineStr">
        <is>
          <t>2024_Wrzesień_W5</t>
        </is>
      </c>
    </row>
    <row r="1369">
      <c r="A1369" s="177" t="n">
        <v>45564</v>
      </c>
      <c r="B1369" s="177" t="n">
        <v>45559</v>
      </c>
      <c r="C1369" s="177" t="n">
        <v>45565</v>
      </c>
      <c r="D1369" t="inlineStr">
        <is>
          <t>BW20240924</t>
        </is>
      </c>
      <c r="E1369" t="n">
        <v>2024</v>
      </c>
      <c r="F1369" t="inlineStr">
        <is>
          <t>Wrzesień</t>
        </is>
      </c>
      <c r="G1369" t="inlineStr">
        <is>
          <t>Nd</t>
        </is>
      </c>
      <c r="H1369">
        <f>'Floor Hours Engine'!$E$6</f>
        <v/>
      </c>
      <c r="I1369" t="inlineStr">
        <is>
          <t>W5</t>
        </is>
      </c>
      <c r="J1369" t="inlineStr">
        <is>
          <t>2024_Wrzesień_W5</t>
        </is>
      </c>
    </row>
    <row r="1370">
      <c r="A1370" s="177" t="n">
        <v>45565</v>
      </c>
      <c r="B1370" s="177" t="n">
        <v>45559</v>
      </c>
      <c r="C1370" s="177" t="n">
        <v>45565</v>
      </c>
      <c r="D1370" t="inlineStr">
        <is>
          <t>BW20240924</t>
        </is>
      </c>
      <c r="E1370" t="n">
        <v>2024</v>
      </c>
      <c r="F1370" t="inlineStr">
        <is>
          <t>Wrzesień</t>
        </is>
      </c>
      <c r="G1370" t="inlineStr">
        <is>
          <t>Pn</t>
        </is>
      </c>
      <c r="H1370">
        <f>'Floor Hours Engine'!$E$4</f>
        <v/>
      </c>
      <c r="I1370" t="inlineStr">
        <is>
          <t>W5</t>
        </is>
      </c>
      <c r="J1370" t="inlineStr">
        <is>
          <t>2024_Wrzesień_W5</t>
        </is>
      </c>
    </row>
    <row r="1371">
      <c r="A1371" s="177" t="n">
        <v>45566</v>
      </c>
      <c r="B1371" s="177" t="n">
        <v>45566</v>
      </c>
      <c r="C1371" s="177" t="n">
        <v>45572</v>
      </c>
      <c r="D1371" t="inlineStr">
        <is>
          <t>BW20241001</t>
        </is>
      </c>
      <c r="E1371" t="n">
        <v>2024</v>
      </c>
      <c r="F1371" t="inlineStr">
        <is>
          <t>Październik</t>
        </is>
      </c>
      <c r="G1371" t="inlineStr">
        <is>
          <t>Wt</t>
        </is>
      </c>
      <c r="H1371">
        <f>'Floor Hours Engine'!$E$4</f>
        <v/>
      </c>
      <c r="I1371" t="inlineStr">
        <is>
          <t>W1</t>
        </is>
      </c>
      <c r="J1371" t="inlineStr">
        <is>
          <t>2024_Październik_W1</t>
        </is>
      </c>
    </row>
    <row r="1372">
      <c r="A1372" s="177" t="n">
        <v>45567</v>
      </c>
      <c r="B1372" s="177" t="n">
        <v>45566</v>
      </c>
      <c r="C1372" s="177" t="n">
        <v>45572</v>
      </c>
      <c r="D1372" t="inlineStr">
        <is>
          <t>BW20241001</t>
        </is>
      </c>
      <c r="E1372" t="n">
        <v>2024</v>
      </c>
      <c r="F1372" t="inlineStr">
        <is>
          <t>Październik</t>
        </is>
      </c>
      <c r="G1372" t="inlineStr">
        <is>
          <t>Śr</t>
        </is>
      </c>
      <c r="H1372">
        <f>'Floor Hours Engine'!$E$4</f>
        <v/>
      </c>
      <c r="I1372" t="inlineStr">
        <is>
          <t>W1</t>
        </is>
      </c>
      <c r="J1372" t="inlineStr">
        <is>
          <t>2024_Październik_W1</t>
        </is>
      </c>
    </row>
    <row r="1373">
      <c r="A1373" s="177" t="n">
        <v>45568</v>
      </c>
      <c r="B1373" s="177" t="n">
        <v>45566</v>
      </c>
      <c r="C1373" s="177" t="n">
        <v>45572</v>
      </c>
      <c r="D1373" t="inlineStr">
        <is>
          <t>BW20241001</t>
        </is>
      </c>
      <c r="E1373" t="n">
        <v>2024</v>
      </c>
      <c r="F1373" t="inlineStr">
        <is>
          <t>Październik</t>
        </is>
      </c>
      <c r="G1373" t="inlineStr">
        <is>
          <t>Czw</t>
        </is>
      </c>
      <c r="H1373">
        <f>'Floor Hours Engine'!$E$4</f>
        <v/>
      </c>
      <c r="I1373" t="inlineStr">
        <is>
          <t>W1</t>
        </is>
      </c>
      <c r="J1373" t="inlineStr">
        <is>
          <t>2024_Październik_W1</t>
        </is>
      </c>
    </row>
    <row r="1374">
      <c r="A1374" s="177" t="n">
        <v>45569</v>
      </c>
      <c r="B1374" s="177" t="n">
        <v>45566</v>
      </c>
      <c r="C1374" s="177" t="n">
        <v>45572</v>
      </c>
      <c r="D1374" t="inlineStr">
        <is>
          <t>BW20241001</t>
        </is>
      </c>
      <c r="E1374" t="n">
        <v>2024</v>
      </c>
      <c r="F1374" t="inlineStr">
        <is>
          <t>Październik</t>
        </is>
      </c>
      <c r="G1374" t="inlineStr">
        <is>
          <t>Pt</t>
        </is>
      </c>
      <c r="H1374">
        <f>'Floor Hours Engine'!$E$5</f>
        <v/>
      </c>
      <c r="I1374" t="inlineStr">
        <is>
          <t>W1</t>
        </is>
      </c>
      <c r="J1374" t="inlineStr">
        <is>
          <t>2024_Październik_W1</t>
        </is>
      </c>
    </row>
    <row r="1375">
      <c r="A1375" s="177" t="n">
        <v>45570</v>
      </c>
      <c r="B1375" s="177" t="n">
        <v>45566</v>
      </c>
      <c r="C1375" s="177" t="n">
        <v>45572</v>
      </c>
      <c r="D1375" t="inlineStr">
        <is>
          <t>BW20241001</t>
        </is>
      </c>
      <c r="E1375" t="n">
        <v>2024</v>
      </c>
      <c r="F1375" t="inlineStr">
        <is>
          <t>Październik</t>
        </is>
      </c>
      <c r="G1375" t="inlineStr">
        <is>
          <t>Sob</t>
        </is>
      </c>
      <c r="H1375">
        <f>'Floor Hours Engine'!$E$5</f>
        <v/>
      </c>
      <c r="I1375" t="inlineStr">
        <is>
          <t>W1</t>
        </is>
      </c>
      <c r="J1375" t="inlineStr">
        <is>
          <t>2024_Październik_W1</t>
        </is>
      </c>
    </row>
    <row r="1376">
      <c r="A1376" s="177" t="n">
        <v>45571</v>
      </c>
      <c r="B1376" s="177" t="n">
        <v>45566</v>
      </c>
      <c r="C1376" s="177" t="n">
        <v>45572</v>
      </c>
      <c r="D1376" t="inlineStr">
        <is>
          <t>BW20241001</t>
        </is>
      </c>
      <c r="E1376" t="n">
        <v>2024</v>
      </c>
      <c r="F1376" t="inlineStr">
        <is>
          <t>Październik</t>
        </is>
      </c>
      <c r="G1376" t="inlineStr">
        <is>
          <t>Nd</t>
        </is>
      </c>
      <c r="H1376">
        <f>'Floor Hours Engine'!$E$6</f>
        <v/>
      </c>
      <c r="I1376" t="inlineStr">
        <is>
          <t>W1</t>
        </is>
      </c>
      <c r="J1376" t="inlineStr">
        <is>
          <t>2024_Październik_W1</t>
        </is>
      </c>
    </row>
    <row r="1377">
      <c r="A1377" s="177" t="n">
        <v>45572</v>
      </c>
      <c r="B1377" s="177" t="n">
        <v>45566</v>
      </c>
      <c r="C1377" s="177" t="n">
        <v>45572</v>
      </c>
      <c r="D1377" t="inlineStr">
        <is>
          <t>BW20241001</t>
        </is>
      </c>
      <c r="E1377" t="n">
        <v>2024</v>
      </c>
      <c r="F1377" t="inlineStr">
        <is>
          <t>Październik</t>
        </is>
      </c>
      <c r="G1377" t="inlineStr">
        <is>
          <t>Pn</t>
        </is>
      </c>
      <c r="H1377">
        <f>'Floor Hours Engine'!$E$4</f>
        <v/>
      </c>
      <c r="I1377" t="inlineStr">
        <is>
          <t>W1</t>
        </is>
      </c>
      <c r="J1377" t="inlineStr">
        <is>
          <t>2024_Październik_W1</t>
        </is>
      </c>
    </row>
    <row r="1378">
      <c r="A1378" s="177" t="n">
        <v>45573</v>
      </c>
      <c r="B1378" s="177" t="n">
        <v>45573</v>
      </c>
      <c r="C1378" s="177" t="n">
        <v>45579</v>
      </c>
      <c r="D1378" t="inlineStr">
        <is>
          <t>BW20241008</t>
        </is>
      </c>
      <c r="E1378" t="n">
        <v>2024</v>
      </c>
      <c r="F1378" t="inlineStr">
        <is>
          <t>Październik</t>
        </is>
      </c>
      <c r="G1378" t="inlineStr">
        <is>
          <t>Wt</t>
        </is>
      </c>
      <c r="H1378">
        <f>'Floor Hours Engine'!$E$4</f>
        <v/>
      </c>
      <c r="I1378" t="inlineStr">
        <is>
          <t>W2</t>
        </is>
      </c>
      <c r="J1378" t="inlineStr">
        <is>
          <t>2024_Październik_W2</t>
        </is>
      </c>
    </row>
    <row r="1379">
      <c r="A1379" s="177" t="n">
        <v>45574</v>
      </c>
      <c r="B1379" s="177" t="n">
        <v>45573</v>
      </c>
      <c r="C1379" s="177" t="n">
        <v>45579</v>
      </c>
      <c r="D1379" t="inlineStr">
        <is>
          <t>BW20241008</t>
        </is>
      </c>
      <c r="E1379" t="n">
        <v>2024</v>
      </c>
      <c r="F1379" t="inlineStr">
        <is>
          <t>Październik</t>
        </is>
      </c>
      <c r="G1379" t="inlineStr">
        <is>
          <t>Śr</t>
        </is>
      </c>
      <c r="H1379">
        <f>'Floor Hours Engine'!$E$4</f>
        <v/>
      </c>
      <c r="I1379" t="inlineStr">
        <is>
          <t>W2</t>
        </is>
      </c>
      <c r="J1379" t="inlineStr">
        <is>
          <t>2024_Październik_W2</t>
        </is>
      </c>
    </row>
    <row r="1380">
      <c r="A1380" s="177" t="n">
        <v>45575</v>
      </c>
      <c r="B1380" s="177" t="n">
        <v>45573</v>
      </c>
      <c r="C1380" s="177" t="n">
        <v>45579</v>
      </c>
      <c r="D1380" t="inlineStr">
        <is>
          <t>BW20241008</t>
        </is>
      </c>
      <c r="E1380" t="n">
        <v>2024</v>
      </c>
      <c r="F1380" t="inlineStr">
        <is>
          <t>Październik</t>
        </is>
      </c>
      <c r="G1380" t="inlineStr">
        <is>
          <t>Czw</t>
        </is>
      </c>
      <c r="H1380">
        <f>'Floor Hours Engine'!$E$4</f>
        <v/>
      </c>
      <c r="I1380" t="inlineStr">
        <is>
          <t>W2</t>
        </is>
      </c>
      <c r="J1380" t="inlineStr">
        <is>
          <t>2024_Październik_W2</t>
        </is>
      </c>
    </row>
    <row r="1381">
      <c r="A1381" s="177" t="n">
        <v>45576</v>
      </c>
      <c r="B1381" s="177" t="n">
        <v>45573</v>
      </c>
      <c r="C1381" s="177" t="n">
        <v>45579</v>
      </c>
      <c r="D1381" t="inlineStr">
        <is>
          <t>BW20241008</t>
        </is>
      </c>
      <c r="E1381" t="n">
        <v>2024</v>
      </c>
      <c r="F1381" t="inlineStr">
        <is>
          <t>Październik</t>
        </is>
      </c>
      <c r="G1381" t="inlineStr">
        <is>
          <t>Pt</t>
        </is>
      </c>
      <c r="H1381">
        <f>'Floor Hours Engine'!$E$5</f>
        <v/>
      </c>
      <c r="I1381" t="inlineStr">
        <is>
          <t>W2</t>
        </is>
      </c>
      <c r="J1381" t="inlineStr">
        <is>
          <t>2024_Październik_W2</t>
        </is>
      </c>
    </row>
    <row r="1382">
      <c r="A1382" s="177" t="n">
        <v>45577</v>
      </c>
      <c r="B1382" s="177" t="n">
        <v>45573</v>
      </c>
      <c r="C1382" s="177" t="n">
        <v>45579</v>
      </c>
      <c r="D1382" t="inlineStr">
        <is>
          <t>BW20241008</t>
        </is>
      </c>
      <c r="E1382" t="n">
        <v>2024</v>
      </c>
      <c r="F1382" t="inlineStr">
        <is>
          <t>Październik</t>
        </is>
      </c>
      <c r="G1382" t="inlineStr">
        <is>
          <t>Sob</t>
        </is>
      </c>
      <c r="H1382">
        <f>'Floor Hours Engine'!$E$5</f>
        <v/>
      </c>
      <c r="I1382" t="inlineStr">
        <is>
          <t>W2</t>
        </is>
      </c>
      <c r="J1382" t="inlineStr">
        <is>
          <t>2024_Październik_W2</t>
        </is>
      </c>
    </row>
    <row r="1383">
      <c r="A1383" s="177" t="n">
        <v>45578</v>
      </c>
      <c r="B1383" s="177" t="n">
        <v>45573</v>
      </c>
      <c r="C1383" s="177" t="n">
        <v>45579</v>
      </c>
      <c r="D1383" t="inlineStr">
        <is>
          <t>BW20241008</t>
        </is>
      </c>
      <c r="E1383" t="n">
        <v>2024</v>
      </c>
      <c r="F1383" t="inlineStr">
        <is>
          <t>Październik</t>
        </is>
      </c>
      <c r="G1383" t="inlineStr">
        <is>
          <t>Nd</t>
        </is>
      </c>
      <c r="H1383">
        <f>'Floor Hours Engine'!$E$6</f>
        <v/>
      </c>
      <c r="I1383" t="inlineStr">
        <is>
          <t>W2</t>
        </is>
      </c>
      <c r="J1383" t="inlineStr">
        <is>
          <t>2024_Październik_W2</t>
        </is>
      </c>
    </row>
    <row r="1384">
      <c r="A1384" s="177" t="n">
        <v>45579</v>
      </c>
      <c r="B1384" s="177" t="n">
        <v>45573</v>
      </c>
      <c r="C1384" s="177" t="n">
        <v>45579</v>
      </c>
      <c r="D1384" t="inlineStr">
        <is>
          <t>BW20241008</t>
        </is>
      </c>
      <c r="E1384" t="n">
        <v>2024</v>
      </c>
      <c r="F1384" t="inlineStr">
        <is>
          <t>Październik</t>
        </is>
      </c>
      <c r="G1384" t="inlineStr">
        <is>
          <t>Pn</t>
        </is>
      </c>
      <c r="H1384">
        <f>'Floor Hours Engine'!$E$4</f>
        <v/>
      </c>
      <c r="I1384" t="inlineStr">
        <is>
          <t>W2</t>
        </is>
      </c>
      <c r="J1384" t="inlineStr">
        <is>
          <t>2024_Październik_W2</t>
        </is>
      </c>
    </row>
    <row r="1385">
      <c r="A1385" s="177" t="n">
        <v>45580</v>
      </c>
      <c r="B1385" s="177" t="n">
        <v>45580</v>
      </c>
      <c r="C1385" s="177" t="n">
        <v>45586</v>
      </c>
      <c r="D1385" t="inlineStr">
        <is>
          <t>BW20241015</t>
        </is>
      </c>
      <c r="E1385" t="n">
        <v>2024</v>
      </c>
      <c r="F1385" t="inlineStr">
        <is>
          <t>Październik</t>
        </is>
      </c>
      <c r="G1385" t="inlineStr">
        <is>
          <t>Wt</t>
        </is>
      </c>
      <c r="H1385">
        <f>'Floor Hours Engine'!$E$4</f>
        <v/>
      </c>
      <c r="I1385" t="inlineStr">
        <is>
          <t>W3</t>
        </is>
      </c>
      <c r="J1385" t="inlineStr">
        <is>
          <t>2024_Październik_W3</t>
        </is>
      </c>
    </row>
    <row r="1386">
      <c r="A1386" s="177" t="n">
        <v>45581</v>
      </c>
      <c r="B1386" s="177" t="n">
        <v>45580</v>
      </c>
      <c r="C1386" s="177" t="n">
        <v>45586</v>
      </c>
      <c r="D1386" t="inlineStr">
        <is>
          <t>BW20241015</t>
        </is>
      </c>
      <c r="E1386" t="n">
        <v>2024</v>
      </c>
      <c r="F1386" t="inlineStr">
        <is>
          <t>Październik</t>
        </is>
      </c>
      <c r="G1386" t="inlineStr">
        <is>
          <t>Śr</t>
        </is>
      </c>
      <c r="H1386">
        <f>'Floor Hours Engine'!$E$4</f>
        <v/>
      </c>
      <c r="I1386" t="inlineStr">
        <is>
          <t>W3</t>
        </is>
      </c>
      <c r="J1386" t="inlineStr">
        <is>
          <t>2024_Październik_W3</t>
        </is>
      </c>
    </row>
    <row r="1387">
      <c r="A1387" s="177" t="n">
        <v>45582</v>
      </c>
      <c r="B1387" s="177" t="n">
        <v>45580</v>
      </c>
      <c r="C1387" s="177" t="n">
        <v>45586</v>
      </c>
      <c r="D1387" t="inlineStr">
        <is>
          <t>BW20241015</t>
        </is>
      </c>
      <c r="E1387" t="n">
        <v>2024</v>
      </c>
      <c r="F1387" t="inlineStr">
        <is>
          <t>Październik</t>
        </is>
      </c>
      <c r="G1387" t="inlineStr">
        <is>
          <t>Czw</t>
        </is>
      </c>
      <c r="H1387">
        <f>'Floor Hours Engine'!$E$4</f>
        <v/>
      </c>
      <c r="I1387" t="inlineStr">
        <is>
          <t>W3</t>
        </is>
      </c>
      <c r="J1387" t="inlineStr">
        <is>
          <t>2024_Październik_W3</t>
        </is>
      </c>
    </row>
    <row r="1388">
      <c r="A1388" s="177" t="n">
        <v>45583</v>
      </c>
      <c r="B1388" s="177" t="n">
        <v>45580</v>
      </c>
      <c r="C1388" s="177" t="n">
        <v>45586</v>
      </c>
      <c r="D1388" t="inlineStr">
        <is>
          <t>BW20241015</t>
        </is>
      </c>
      <c r="E1388" t="n">
        <v>2024</v>
      </c>
      <c r="F1388" t="inlineStr">
        <is>
          <t>Październik</t>
        </is>
      </c>
      <c r="G1388" t="inlineStr">
        <is>
          <t>Pt</t>
        </is>
      </c>
      <c r="H1388">
        <f>'Floor Hours Engine'!$E$5</f>
        <v/>
      </c>
      <c r="I1388" t="inlineStr">
        <is>
          <t>W3</t>
        </is>
      </c>
      <c r="J1388" t="inlineStr">
        <is>
          <t>2024_Październik_W3</t>
        </is>
      </c>
    </row>
    <row r="1389">
      <c r="A1389" s="177" t="n">
        <v>45584</v>
      </c>
      <c r="B1389" s="177" t="n">
        <v>45580</v>
      </c>
      <c r="C1389" s="177" t="n">
        <v>45586</v>
      </c>
      <c r="D1389" t="inlineStr">
        <is>
          <t>BW20241015</t>
        </is>
      </c>
      <c r="E1389" t="n">
        <v>2024</v>
      </c>
      <c r="F1389" t="inlineStr">
        <is>
          <t>Październik</t>
        </is>
      </c>
      <c r="G1389" t="inlineStr">
        <is>
          <t>Sob</t>
        </is>
      </c>
      <c r="H1389">
        <f>'Floor Hours Engine'!$E$5</f>
        <v/>
      </c>
      <c r="I1389" t="inlineStr">
        <is>
          <t>W3</t>
        </is>
      </c>
      <c r="J1389" t="inlineStr">
        <is>
          <t>2024_Październik_W3</t>
        </is>
      </c>
    </row>
    <row r="1390">
      <c r="A1390" s="177" t="n">
        <v>45585</v>
      </c>
      <c r="B1390" s="177" t="n">
        <v>45580</v>
      </c>
      <c r="C1390" s="177" t="n">
        <v>45586</v>
      </c>
      <c r="D1390" t="inlineStr">
        <is>
          <t>BW20241015</t>
        </is>
      </c>
      <c r="E1390" t="n">
        <v>2024</v>
      </c>
      <c r="F1390" t="inlineStr">
        <is>
          <t>Październik</t>
        </is>
      </c>
      <c r="G1390" t="inlineStr">
        <is>
          <t>Nd</t>
        </is>
      </c>
      <c r="H1390">
        <f>'Floor Hours Engine'!$E$6</f>
        <v/>
      </c>
      <c r="I1390" t="inlineStr">
        <is>
          <t>W3</t>
        </is>
      </c>
      <c r="J1390" t="inlineStr">
        <is>
          <t>2024_Październik_W3</t>
        </is>
      </c>
    </row>
    <row r="1391">
      <c r="A1391" s="177" t="n">
        <v>45586</v>
      </c>
      <c r="B1391" s="177" t="n">
        <v>45580</v>
      </c>
      <c r="C1391" s="177" t="n">
        <v>45586</v>
      </c>
      <c r="D1391" t="inlineStr">
        <is>
          <t>BW20241015</t>
        </is>
      </c>
      <c r="E1391" t="n">
        <v>2024</v>
      </c>
      <c r="F1391" t="inlineStr">
        <is>
          <t>Październik</t>
        </is>
      </c>
      <c r="G1391" t="inlineStr">
        <is>
          <t>Pn</t>
        </is>
      </c>
      <c r="H1391">
        <f>'Floor Hours Engine'!$E$4</f>
        <v/>
      </c>
      <c r="I1391" t="inlineStr">
        <is>
          <t>W3</t>
        </is>
      </c>
      <c r="J1391" t="inlineStr">
        <is>
          <t>2024_Październik_W3</t>
        </is>
      </c>
    </row>
    <row r="1392">
      <c r="A1392" s="177" t="n">
        <v>45587</v>
      </c>
      <c r="B1392" s="177" t="n">
        <v>45587</v>
      </c>
      <c r="C1392" s="177" t="n">
        <v>45593</v>
      </c>
      <c r="D1392" t="inlineStr">
        <is>
          <t>BW20241022</t>
        </is>
      </c>
      <c r="E1392" t="n">
        <v>2024</v>
      </c>
      <c r="F1392" t="inlineStr">
        <is>
          <t>Październik</t>
        </is>
      </c>
      <c r="G1392" t="inlineStr">
        <is>
          <t>Wt</t>
        </is>
      </c>
      <c r="H1392">
        <f>'Floor Hours Engine'!$E$4</f>
        <v/>
      </c>
      <c r="I1392" t="inlineStr">
        <is>
          <t>W4</t>
        </is>
      </c>
      <c r="J1392" t="inlineStr">
        <is>
          <t>2024_Październik_W4</t>
        </is>
      </c>
    </row>
    <row r="1393">
      <c r="A1393" s="177" t="n">
        <v>45588</v>
      </c>
      <c r="B1393" s="177" t="n">
        <v>45587</v>
      </c>
      <c r="C1393" s="177" t="n">
        <v>45593</v>
      </c>
      <c r="D1393" t="inlineStr">
        <is>
          <t>BW20241022</t>
        </is>
      </c>
      <c r="E1393" t="n">
        <v>2024</v>
      </c>
      <c r="F1393" t="inlineStr">
        <is>
          <t>Październik</t>
        </is>
      </c>
      <c r="G1393" t="inlineStr">
        <is>
          <t>Śr</t>
        </is>
      </c>
      <c r="H1393">
        <f>'Floor Hours Engine'!$E$4</f>
        <v/>
      </c>
      <c r="I1393" t="inlineStr">
        <is>
          <t>W4</t>
        </is>
      </c>
      <c r="J1393" t="inlineStr">
        <is>
          <t>2024_Październik_W4</t>
        </is>
      </c>
    </row>
    <row r="1394">
      <c r="A1394" s="177" t="n">
        <v>45589</v>
      </c>
      <c r="B1394" s="177" t="n">
        <v>45587</v>
      </c>
      <c r="C1394" s="177" t="n">
        <v>45593</v>
      </c>
      <c r="D1394" t="inlineStr">
        <is>
          <t>BW20241022</t>
        </is>
      </c>
      <c r="E1394" t="n">
        <v>2024</v>
      </c>
      <c r="F1394" t="inlineStr">
        <is>
          <t>Październik</t>
        </is>
      </c>
      <c r="G1394" t="inlineStr">
        <is>
          <t>Czw</t>
        </is>
      </c>
      <c r="H1394">
        <f>'Floor Hours Engine'!$E$4</f>
        <v/>
      </c>
      <c r="I1394" t="inlineStr">
        <is>
          <t>W4</t>
        </is>
      </c>
      <c r="J1394" t="inlineStr">
        <is>
          <t>2024_Październik_W4</t>
        </is>
      </c>
    </row>
    <row r="1395">
      <c r="A1395" s="177" t="n">
        <v>45590</v>
      </c>
      <c r="B1395" s="177" t="n">
        <v>45587</v>
      </c>
      <c r="C1395" s="177" t="n">
        <v>45593</v>
      </c>
      <c r="D1395" t="inlineStr">
        <is>
          <t>BW20241022</t>
        </is>
      </c>
      <c r="E1395" t="n">
        <v>2024</v>
      </c>
      <c r="F1395" t="inlineStr">
        <is>
          <t>Październik</t>
        </is>
      </c>
      <c r="G1395" t="inlineStr">
        <is>
          <t>Pt</t>
        </is>
      </c>
      <c r="H1395">
        <f>'Floor Hours Engine'!$E$5</f>
        <v/>
      </c>
      <c r="I1395" t="inlineStr">
        <is>
          <t>W4</t>
        </is>
      </c>
      <c r="J1395" t="inlineStr">
        <is>
          <t>2024_Październik_W4</t>
        </is>
      </c>
    </row>
    <row r="1396">
      <c r="A1396" s="177" t="n">
        <v>45591</v>
      </c>
      <c r="B1396" s="177" t="n">
        <v>45587</v>
      </c>
      <c r="C1396" s="177" t="n">
        <v>45593</v>
      </c>
      <c r="D1396" t="inlineStr">
        <is>
          <t>BW20241022</t>
        </is>
      </c>
      <c r="E1396" t="n">
        <v>2024</v>
      </c>
      <c r="F1396" t="inlineStr">
        <is>
          <t>Październik</t>
        </is>
      </c>
      <c r="G1396" t="inlineStr">
        <is>
          <t>Sob</t>
        </is>
      </c>
      <c r="H1396">
        <f>'Floor Hours Engine'!$E$5</f>
        <v/>
      </c>
      <c r="I1396" t="inlineStr">
        <is>
          <t>W4</t>
        </is>
      </c>
      <c r="J1396" t="inlineStr">
        <is>
          <t>2024_Październik_W4</t>
        </is>
      </c>
    </row>
    <row r="1397">
      <c r="A1397" s="177" t="n">
        <v>45592</v>
      </c>
      <c r="B1397" s="177" t="n">
        <v>45587</v>
      </c>
      <c r="C1397" s="177" t="n">
        <v>45593</v>
      </c>
      <c r="D1397" t="inlineStr">
        <is>
          <t>BW20241022</t>
        </is>
      </c>
      <c r="E1397" t="n">
        <v>2024</v>
      </c>
      <c r="F1397" t="inlineStr">
        <is>
          <t>Październik</t>
        </is>
      </c>
      <c r="G1397" t="inlineStr">
        <is>
          <t>Nd</t>
        </is>
      </c>
      <c r="H1397">
        <f>'Floor Hours Engine'!$E$6</f>
        <v/>
      </c>
      <c r="I1397" t="inlineStr">
        <is>
          <t>W4</t>
        </is>
      </c>
      <c r="J1397" t="inlineStr">
        <is>
          <t>2024_Październik_W4</t>
        </is>
      </c>
    </row>
    <row r="1398">
      <c r="A1398" s="177" t="n">
        <v>45593</v>
      </c>
      <c r="B1398" s="177" t="n">
        <v>45587</v>
      </c>
      <c r="C1398" s="177" t="n">
        <v>45593</v>
      </c>
      <c r="D1398" t="inlineStr">
        <is>
          <t>BW20241022</t>
        </is>
      </c>
      <c r="E1398" t="n">
        <v>2024</v>
      </c>
      <c r="F1398" t="inlineStr">
        <is>
          <t>Październik</t>
        </is>
      </c>
      <c r="G1398" t="inlineStr">
        <is>
          <t>Pn</t>
        </is>
      </c>
      <c r="H1398">
        <f>'Floor Hours Engine'!$E$4</f>
        <v/>
      </c>
      <c r="I1398" t="inlineStr">
        <is>
          <t>W4</t>
        </is>
      </c>
      <c r="J1398" t="inlineStr">
        <is>
          <t>2024_Październik_W4</t>
        </is>
      </c>
    </row>
    <row r="1399">
      <c r="A1399" s="177" t="n">
        <v>45594</v>
      </c>
      <c r="B1399" s="177" t="n">
        <v>45594</v>
      </c>
      <c r="C1399" s="177" t="n">
        <v>45600</v>
      </c>
      <c r="D1399" t="inlineStr">
        <is>
          <t>BW20241029</t>
        </is>
      </c>
      <c r="E1399" t="n">
        <v>2024</v>
      </c>
      <c r="F1399" t="inlineStr">
        <is>
          <t>Październik</t>
        </is>
      </c>
      <c r="G1399" t="inlineStr">
        <is>
          <t>Wt</t>
        </is>
      </c>
      <c r="H1399">
        <f>'Floor Hours Engine'!$E$4</f>
        <v/>
      </c>
      <c r="I1399" t="inlineStr">
        <is>
          <t>W5</t>
        </is>
      </c>
      <c r="J1399" t="inlineStr">
        <is>
          <t>2024_Październik_W5</t>
        </is>
      </c>
    </row>
    <row r="1400">
      <c r="A1400" s="177" t="n">
        <v>45595</v>
      </c>
      <c r="B1400" s="177" t="n">
        <v>45594</v>
      </c>
      <c r="C1400" s="177" t="n">
        <v>45600</v>
      </c>
      <c r="D1400" t="inlineStr">
        <is>
          <t>BW20241029</t>
        </is>
      </c>
      <c r="E1400" t="n">
        <v>2024</v>
      </c>
      <c r="F1400" t="inlineStr">
        <is>
          <t>Październik</t>
        </is>
      </c>
      <c r="G1400" t="inlineStr">
        <is>
          <t>Śr</t>
        </is>
      </c>
      <c r="H1400">
        <f>'Floor Hours Engine'!$E$4</f>
        <v/>
      </c>
      <c r="I1400" t="inlineStr">
        <is>
          <t>W5</t>
        </is>
      </c>
      <c r="J1400" t="inlineStr">
        <is>
          <t>2024_Październik_W5</t>
        </is>
      </c>
    </row>
    <row r="1401">
      <c r="A1401" s="177" t="n">
        <v>45596</v>
      </c>
      <c r="B1401" s="177" t="n">
        <v>45594</v>
      </c>
      <c r="C1401" s="177" t="n">
        <v>45600</v>
      </c>
      <c r="D1401" t="inlineStr">
        <is>
          <t>BW20241029</t>
        </is>
      </c>
      <c r="E1401" t="n">
        <v>2024</v>
      </c>
      <c r="F1401" t="inlineStr">
        <is>
          <t>Październik</t>
        </is>
      </c>
      <c r="G1401" t="inlineStr">
        <is>
          <t>Czw</t>
        </is>
      </c>
      <c r="H1401">
        <f>'Floor Hours Engine'!$E$4</f>
        <v/>
      </c>
      <c r="I1401" t="inlineStr">
        <is>
          <t>W5</t>
        </is>
      </c>
      <c r="J1401" t="inlineStr">
        <is>
          <t>2024_Październik_W5</t>
        </is>
      </c>
    </row>
    <row r="1402">
      <c r="A1402" s="177" t="n">
        <v>45597</v>
      </c>
      <c r="B1402" s="177" t="n">
        <v>45594</v>
      </c>
      <c r="C1402" s="177" t="n">
        <v>45600</v>
      </c>
      <c r="D1402" t="inlineStr">
        <is>
          <t>BW20241029</t>
        </is>
      </c>
      <c r="E1402" t="n">
        <v>2024</v>
      </c>
      <c r="F1402" t="inlineStr">
        <is>
          <t>Listopad</t>
        </is>
      </c>
      <c r="G1402" t="inlineStr">
        <is>
          <t>Pt</t>
        </is>
      </c>
      <c r="H1402">
        <f>'Floor Hours Engine'!$E$5</f>
        <v/>
      </c>
      <c r="I1402" t="inlineStr">
        <is>
          <t>W1</t>
        </is>
      </c>
      <c r="J1402" t="inlineStr">
        <is>
          <t>2024_Listopad_W1</t>
        </is>
      </c>
    </row>
    <row r="1403">
      <c r="A1403" s="177" t="n">
        <v>45598</v>
      </c>
      <c r="B1403" s="177" t="n">
        <v>45594</v>
      </c>
      <c r="C1403" s="177" t="n">
        <v>45600</v>
      </c>
      <c r="D1403" t="inlineStr">
        <is>
          <t>BW20241029</t>
        </is>
      </c>
      <c r="E1403" t="n">
        <v>2024</v>
      </c>
      <c r="F1403" t="inlineStr">
        <is>
          <t>Listopad</t>
        </is>
      </c>
      <c r="G1403" t="inlineStr">
        <is>
          <t>Sob</t>
        </is>
      </c>
      <c r="H1403">
        <f>'Floor Hours Engine'!$E$5</f>
        <v/>
      </c>
      <c r="I1403" t="inlineStr">
        <is>
          <t>W1</t>
        </is>
      </c>
      <c r="J1403" t="inlineStr">
        <is>
          <t>2024_Listopad_W1</t>
        </is>
      </c>
    </row>
    <row r="1404">
      <c r="A1404" s="177" t="n">
        <v>45599</v>
      </c>
      <c r="B1404" s="177" t="n">
        <v>45594</v>
      </c>
      <c r="C1404" s="177" t="n">
        <v>45600</v>
      </c>
      <c r="D1404" t="inlineStr">
        <is>
          <t>BW20241029</t>
        </is>
      </c>
      <c r="E1404" t="n">
        <v>2024</v>
      </c>
      <c r="F1404" t="inlineStr">
        <is>
          <t>Listopad</t>
        </is>
      </c>
      <c r="G1404" t="inlineStr">
        <is>
          <t>Nd</t>
        </is>
      </c>
      <c r="H1404">
        <f>'Floor Hours Engine'!$E$6</f>
        <v/>
      </c>
      <c r="I1404" t="inlineStr">
        <is>
          <t>W1</t>
        </is>
      </c>
      <c r="J1404" t="inlineStr">
        <is>
          <t>2024_Listopad_W1</t>
        </is>
      </c>
    </row>
    <row r="1405">
      <c r="A1405" s="177" t="n">
        <v>45600</v>
      </c>
      <c r="B1405" s="177" t="n">
        <v>45594</v>
      </c>
      <c r="C1405" s="177" t="n">
        <v>45600</v>
      </c>
      <c r="D1405" t="inlineStr">
        <is>
          <t>BW20241029</t>
        </is>
      </c>
      <c r="E1405" t="n">
        <v>2024</v>
      </c>
      <c r="F1405" t="inlineStr">
        <is>
          <t>Listopad</t>
        </is>
      </c>
      <c r="G1405" t="inlineStr">
        <is>
          <t>Pn</t>
        </is>
      </c>
      <c r="H1405">
        <f>'Floor Hours Engine'!$E$4</f>
        <v/>
      </c>
      <c r="I1405" t="inlineStr">
        <is>
          <t>W1</t>
        </is>
      </c>
      <c r="J1405" t="inlineStr">
        <is>
          <t>2024_Listopad_W1</t>
        </is>
      </c>
    </row>
    <row r="1406">
      <c r="A1406" s="177" t="n">
        <v>45601</v>
      </c>
      <c r="B1406" s="177" t="n">
        <v>45601</v>
      </c>
      <c r="C1406" s="177" t="n">
        <v>45607</v>
      </c>
      <c r="D1406" t="inlineStr">
        <is>
          <t>BW20241105</t>
        </is>
      </c>
      <c r="E1406" t="n">
        <v>2024</v>
      </c>
      <c r="F1406" t="inlineStr">
        <is>
          <t>Listopad</t>
        </is>
      </c>
      <c r="G1406" t="inlineStr">
        <is>
          <t>Wt</t>
        </is>
      </c>
      <c r="H1406">
        <f>'Floor Hours Engine'!$E$4</f>
        <v/>
      </c>
      <c r="I1406" t="inlineStr">
        <is>
          <t>W2</t>
        </is>
      </c>
      <c r="J1406" t="inlineStr">
        <is>
          <t>2024_Listopad_W2</t>
        </is>
      </c>
    </row>
    <row r="1407">
      <c r="A1407" s="177" t="n">
        <v>45602</v>
      </c>
      <c r="B1407" s="177" t="n">
        <v>45601</v>
      </c>
      <c r="C1407" s="177" t="n">
        <v>45607</v>
      </c>
      <c r="D1407" t="inlineStr">
        <is>
          <t>BW20241105</t>
        </is>
      </c>
      <c r="E1407" t="n">
        <v>2024</v>
      </c>
      <c r="F1407" t="inlineStr">
        <is>
          <t>Listopad</t>
        </is>
      </c>
      <c r="G1407" t="inlineStr">
        <is>
          <t>Śr</t>
        </is>
      </c>
      <c r="H1407">
        <f>'Floor Hours Engine'!$E$4</f>
        <v/>
      </c>
      <c r="I1407" t="inlineStr">
        <is>
          <t>W2</t>
        </is>
      </c>
      <c r="J1407" t="inlineStr">
        <is>
          <t>2024_Listopad_W2</t>
        </is>
      </c>
    </row>
    <row r="1408">
      <c r="A1408" s="177" t="n">
        <v>45603</v>
      </c>
      <c r="B1408" s="177" t="n">
        <v>45601</v>
      </c>
      <c r="C1408" s="177" t="n">
        <v>45607</v>
      </c>
      <c r="D1408" t="inlineStr">
        <is>
          <t>BW20241105</t>
        </is>
      </c>
      <c r="E1408" t="n">
        <v>2024</v>
      </c>
      <c r="F1408" t="inlineStr">
        <is>
          <t>Listopad</t>
        </is>
      </c>
      <c r="G1408" t="inlineStr">
        <is>
          <t>Czw</t>
        </is>
      </c>
      <c r="H1408">
        <f>'Floor Hours Engine'!$E$4</f>
        <v/>
      </c>
      <c r="I1408" t="inlineStr">
        <is>
          <t>W2</t>
        </is>
      </c>
      <c r="J1408" t="inlineStr">
        <is>
          <t>2024_Listopad_W2</t>
        </is>
      </c>
    </row>
    <row r="1409">
      <c r="A1409" s="177" t="n">
        <v>45604</v>
      </c>
      <c r="B1409" s="177" t="n">
        <v>45601</v>
      </c>
      <c r="C1409" s="177" t="n">
        <v>45607</v>
      </c>
      <c r="D1409" t="inlineStr">
        <is>
          <t>BW20241105</t>
        </is>
      </c>
      <c r="E1409" t="n">
        <v>2024</v>
      </c>
      <c r="F1409" t="inlineStr">
        <is>
          <t>Listopad</t>
        </is>
      </c>
      <c r="G1409" t="inlineStr">
        <is>
          <t>Pt</t>
        </is>
      </c>
      <c r="H1409">
        <f>'Floor Hours Engine'!$E$5</f>
        <v/>
      </c>
      <c r="I1409" t="inlineStr">
        <is>
          <t>W2</t>
        </is>
      </c>
      <c r="J1409" t="inlineStr">
        <is>
          <t>2024_Listopad_W2</t>
        </is>
      </c>
    </row>
    <row r="1410">
      <c r="A1410" s="177" t="n">
        <v>45605</v>
      </c>
      <c r="B1410" s="177" t="n">
        <v>45601</v>
      </c>
      <c r="C1410" s="177" t="n">
        <v>45607</v>
      </c>
      <c r="D1410" t="inlineStr">
        <is>
          <t>BW20241105</t>
        </is>
      </c>
      <c r="E1410" t="n">
        <v>2024</v>
      </c>
      <c r="F1410" t="inlineStr">
        <is>
          <t>Listopad</t>
        </is>
      </c>
      <c r="G1410" t="inlineStr">
        <is>
          <t>Sob</t>
        </is>
      </c>
      <c r="H1410">
        <f>'Floor Hours Engine'!$E$5</f>
        <v/>
      </c>
      <c r="I1410" t="inlineStr">
        <is>
          <t>W2</t>
        </is>
      </c>
      <c r="J1410" t="inlineStr">
        <is>
          <t>2024_Listopad_W2</t>
        </is>
      </c>
    </row>
    <row r="1411">
      <c r="A1411" s="177" t="n">
        <v>45606</v>
      </c>
      <c r="B1411" s="177" t="n">
        <v>45601</v>
      </c>
      <c r="C1411" s="177" t="n">
        <v>45607</v>
      </c>
      <c r="D1411" t="inlineStr">
        <is>
          <t>BW20241105</t>
        </is>
      </c>
      <c r="E1411" t="n">
        <v>2024</v>
      </c>
      <c r="F1411" t="inlineStr">
        <is>
          <t>Listopad</t>
        </is>
      </c>
      <c r="G1411" t="inlineStr">
        <is>
          <t>Nd</t>
        </is>
      </c>
      <c r="H1411">
        <f>'Floor Hours Engine'!$E$6</f>
        <v/>
      </c>
      <c r="I1411" t="inlineStr">
        <is>
          <t>W2</t>
        </is>
      </c>
      <c r="J1411" t="inlineStr">
        <is>
          <t>2024_Listopad_W2</t>
        </is>
      </c>
    </row>
    <row r="1412">
      <c r="A1412" s="177" t="n">
        <v>45607</v>
      </c>
      <c r="B1412" s="177" t="n">
        <v>45601</v>
      </c>
      <c r="C1412" s="177" t="n">
        <v>45607</v>
      </c>
      <c r="D1412" t="inlineStr">
        <is>
          <t>BW20241105</t>
        </is>
      </c>
      <c r="E1412" t="n">
        <v>2024</v>
      </c>
      <c r="F1412" t="inlineStr">
        <is>
          <t>Listopad</t>
        </is>
      </c>
      <c r="G1412" t="inlineStr">
        <is>
          <t>Pn</t>
        </is>
      </c>
      <c r="H1412">
        <f>'Floor Hours Engine'!$E$4</f>
        <v/>
      </c>
      <c r="I1412" t="inlineStr">
        <is>
          <t>W2</t>
        </is>
      </c>
      <c r="J1412" t="inlineStr">
        <is>
          <t>2024_Listopad_W2</t>
        </is>
      </c>
    </row>
    <row r="1413">
      <c r="A1413" s="177" t="n">
        <v>45608</v>
      </c>
      <c r="B1413" s="177" t="n">
        <v>45608</v>
      </c>
      <c r="C1413" s="177" t="n">
        <v>45614</v>
      </c>
      <c r="D1413" t="inlineStr">
        <is>
          <t>BW20241112</t>
        </is>
      </c>
      <c r="E1413" t="n">
        <v>2024</v>
      </c>
      <c r="F1413" t="inlineStr">
        <is>
          <t>Listopad</t>
        </is>
      </c>
      <c r="G1413" t="inlineStr">
        <is>
          <t>Wt</t>
        </is>
      </c>
      <c r="H1413">
        <f>'Floor Hours Engine'!$E$4</f>
        <v/>
      </c>
      <c r="I1413" t="inlineStr">
        <is>
          <t>W3</t>
        </is>
      </c>
      <c r="J1413" t="inlineStr">
        <is>
          <t>2024_Listopad_W3</t>
        </is>
      </c>
    </row>
    <row r="1414">
      <c r="A1414" s="177" t="n">
        <v>45609</v>
      </c>
      <c r="B1414" s="177" t="n">
        <v>45608</v>
      </c>
      <c r="C1414" s="177" t="n">
        <v>45614</v>
      </c>
      <c r="D1414" t="inlineStr">
        <is>
          <t>BW20241112</t>
        </is>
      </c>
      <c r="E1414" t="n">
        <v>2024</v>
      </c>
      <c r="F1414" t="inlineStr">
        <is>
          <t>Listopad</t>
        </is>
      </c>
      <c r="G1414" t="inlineStr">
        <is>
          <t>Śr</t>
        </is>
      </c>
      <c r="H1414">
        <f>'Floor Hours Engine'!$E$4</f>
        <v/>
      </c>
      <c r="I1414" t="inlineStr">
        <is>
          <t>W3</t>
        </is>
      </c>
      <c r="J1414" t="inlineStr">
        <is>
          <t>2024_Listopad_W3</t>
        </is>
      </c>
    </row>
    <row r="1415">
      <c r="A1415" s="177" t="n">
        <v>45610</v>
      </c>
      <c r="B1415" s="177" t="n">
        <v>45608</v>
      </c>
      <c r="C1415" s="177" t="n">
        <v>45614</v>
      </c>
      <c r="D1415" t="inlineStr">
        <is>
          <t>BW20241112</t>
        </is>
      </c>
      <c r="E1415" t="n">
        <v>2024</v>
      </c>
      <c r="F1415" t="inlineStr">
        <is>
          <t>Listopad</t>
        </is>
      </c>
      <c r="G1415" t="inlineStr">
        <is>
          <t>Czw</t>
        </is>
      </c>
      <c r="H1415">
        <f>'Floor Hours Engine'!$E$4</f>
        <v/>
      </c>
      <c r="I1415" t="inlineStr">
        <is>
          <t>W3</t>
        </is>
      </c>
      <c r="J1415" t="inlineStr">
        <is>
          <t>2024_Listopad_W3</t>
        </is>
      </c>
    </row>
    <row r="1416">
      <c r="A1416" s="177" t="n">
        <v>45611</v>
      </c>
      <c r="B1416" s="177" t="n">
        <v>45608</v>
      </c>
      <c r="C1416" s="177" t="n">
        <v>45614</v>
      </c>
      <c r="D1416" t="inlineStr">
        <is>
          <t>BW20241112</t>
        </is>
      </c>
      <c r="E1416" t="n">
        <v>2024</v>
      </c>
      <c r="F1416" t="inlineStr">
        <is>
          <t>Listopad</t>
        </is>
      </c>
      <c r="G1416" t="inlineStr">
        <is>
          <t>Pt</t>
        </is>
      </c>
      <c r="H1416">
        <f>'Floor Hours Engine'!$E$5</f>
        <v/>
      </c>
      <c r="I1416" t="inlineStr">
        <is>
          <t>W3</t>
        </is>
      </c>
      <c r="J1416" t="inlineStr">
        <is>
          <t>2024_Listopad_W3</t>
        </is>
      </c>
    </row>
    <row r="1417">
      <c r="A1417" s="177" t="n">
        <v>45612</v>
      </c>
      <c r="B1417" s="177" t="n">
        <v>45608</v>
      </c>
      <c r="C1417" s="177" t="n">
        <v>45614</v>
      </c>
      <c r="D1417" t="inlineStr">
        <is>
          <t>BW20241112</t>
        </is>
      </c>
      <c r="E1417" t="n">
        <v>2024</v>
      </c>
      <c r="F1417" t="inlineStr">
        <is>
          <t>Listopad</t>
        </is>
      </c>
      <c r="G1417" t="inlineStr">
        <is>
          <t>Sob</t>
        </is>
      </c>
      <c r="H1417">
        <f>'Floor Hours Engine'!$E$5</f>
        <v/>
      </c>
      <c r="I1417" t="inlineStr">
        <is>
          <t>W3</t>
        </is>
      </c>
      <c r="J1417" t="inlineStr">
        <is>
          <t>2024_Listopad_W3</t>
        </is>
      </c>
    </row>
    <row r="1418">
      <c r="A1418" s="177" t="n">
        <v>45613</v>
      </c>
      <c r="B1418" s="177" t="n">
        <v>45608</v>
      </c>
      <c r="C1418" s="177" t="n">
        <v>45614</v>
      </c>
      <c r="D1418" t="inlineStr">
        <is>
          <t>BW20241112</t>
        </is>
      </c>
      <c r="E1418" t="n">
        <v>2024</v>
      </c>
      <c r="F1418" t="inlineStr">
        <is>
          <t>Listopad</t>
        </is>
      </c>
      <c r="G1418" t="inlineStr">
        <is>
          <t>Nd</t>
        </is>
      </c>
      <c r="H1418">
        <f>'Floor Hours Engine'!$E$6</f>
        <v/>
      </c>
      <c r="I1418" t="inlineStr">
        <is>
          <t>W3</t>
        </is>
      </c>
      <c r="J1418" t="inlineStr">
        <is>
          <t>2024_Listopad_W3</t>
        </is>
      </c>
    </row>
    <row r="1419">
      <c r="A1419" s="177" t="n">
        <v>45614</v>
      </c>
      <c r="B1419" s="177" t="n">
        <v>45608</v>
      </c>
      <c r="C1419" s="177" t="n">
        <v>45614</v>
      </c>
      <c r="D1419" t="inlineStr">
        <is>
          <t>BW20241112</t>
        </is>
      </c>
      <c r="E1419" t="n">
        <v>2024</v>
      </c>
      <c r="F1419" t="inlineStr">
        <is>
          <t>Listopad</t>
        </is>
      </c>
      <c r="G1419" t="inlineStr">
        <is>
          <t>Pn</t>
        </is>
      </c>
      <c r="H1419">
        <f>'Floor Hours Engine'!$E$4</f>
        <v/>
      </c>
      <c r="I1419" t="inlineStr">
        <is>
          <t>W3</t>
        </is>
      </c>
      <c r="J1419" t="inlineStr">
        <is>
          <t>2024_Listopad_W3</t>
        </is>
      </c>
    </row>
    <row r="1420">
      <c r="A1420" s="177" t="n">
        <v>45615</v>
      </c>
      <c r="B1420" s="177" t="n">
        <v>45615</v>
      </c>
      <c r="C1420" s="177" t="n">
        <v>45621</v>
      </c>
      <c r="D1420" t="inlineStr">
        <is>
          <t>BW20241119</t>
        </is>
      </c>
      <c r="E1420" t="n">
        <v>2024</v>
      </c>
      <c r="F1420" t="inlineStr">
        <is>
          <t>Listopad</t>
        </is>
      </c>
      <c r="G1420" t="inlineStr">
        <is>
          <t>Wt</t>
        </is>
      </c>
      <c r="H1420">
        <f>'Floor Hours Engine'!$E$4</f>
        <v/>
      </c>
      <c r="I1420" t="inlineStr">
        <is>
          <t>W4</t>
        </is>
      </c>
      <c r="J1420" t="inlineStr">
        <is>
          <t>2024_Listopad_W4</t>
        </is>
      </c>
    </row>
    <row r="1421">
      <c r="A1421" s="177" t="n">
        <v>45616</v>
      </c>
      <c r="B1421" s="177" t="n">
        <v>45615</v>
      </c>
      <c r="C1421" s="177" t="n">
        <v>45621</v>
      </c>
      <c r="D1421" t="inlineStr">
        <is>
          <t>BW20241119</t>
        </is>
      </c>
      <c r="E1421" t="n">
        <v>2024</v>
      </c>
      <c r="F1421" t="inlineStr">
        <is>
          <t>Listopad</t>
        </is>
      </c>
      <c r="G1421" t="inlineStr">
        <is>
          <t>Śr</t>
        </is>
      </c>
      <c r="H1421">
        <f>'Floor Hours Engine'!$E$4</f>
        <v/>
      </c>
      <c r="I1421" t="inlineStr">
        <is>
          <t>W4</t>
        </is>
      </c>
      <c r="J1421" t="inlineStr">
        <is>
          <t>2024_Listopad_W4</t>
        </is>
      </c>
    </row>
    <row r="1422">
      <c r="A1422" s="177" t="n">
        <v>45617</v>
      </c>
      <c r="B1422" s="177" t="n">
        <v>45615</v>
      </c>
      <c r="C1422" s="177" t="n">
        <v>45621</v>
      </c>
      <c r="D1422" t="inlineStr">
        <is>
          <t>BW20241119</t>
        </is>
      </c>
      <c r="E1422" t="n">
        <v>2024</v>
      </c>
      <c r="F1422" t="inlineStr">
        <is>
          <t>Listopad</t>
        </is>
      </c>
      <c r="G1422" t="inlineStr">
        <is>
          <t>Czw</t>
        </is>
      </c>
      <c r="H1422">
        <f>'Floor Hours Engine'!$E$4</f>
        <v/>
      </c>
      <c r="I1422" t="inlineStr">
        <is>
          <t>W4</t>
        </is>
      </c>
      <c r="J1422" t="inlineStr">
        <is>
          <t>2024_Listopad_W4</t>
        </is>
      </c>
    </row>
    <row r="1423">
      <c r="A1423" s="177" t="n">
        <v>45618</v>
      </c>
      <c r="B1423" s="177" t="n">
        <v>45615</v>
      </c>
      <c r="C1423" s="177" t="n">
        <v>45621</v>
      </c>
      <c r="D1423" t="inlineStr">
        <is>
          <t>BW20241119</t>
        </is>
      </c>
      <c r="E1423" t="n">
        <v>2024</v>
      </c>
      <c r="F1423" t="inlineStr">
        <is>
          <t>Listopad</t>
        </is>
      </c>
      <c r="G1423" t="inlineStr">
        <is>
          <t>Pt</t>
        </is>
      </c>
      <c r="H1423">
        <f>'Floor Hours Engine'!$E$5</f>
        <v/>
      </c>
      <c r="I1423" t="inlineStr">
        <is>
          <t>W4</t>
        </is>
      </c>
      <c r="J1423" t="inlineStr">
        <is>
          <t>2024_Listopad_W4</t>
        </is>
      </c>
    </row>
    <row r="1424">
      <c r="A1424" s="177" t="n">
        <v>45619</v>
      </c>
      <c r="B1424" s="177" t="n">
        <v>45615</v>
      </c>
      <c r="C1424" s="177" t="n">
        <v>45621</v>
      </c>
      <c r="D1424" t="inlineStr">
        <is>
          <t>BW20241119</t>
        </is>
      </c>
      <c r="E1424" t="n">
        <v>2024</v>
      </c>
      <c r="F1424" t="inlineStr">
        <is>
          <t>Listopad</t>
        </is>
      </c>
      <c r="G1424" t="inlineStr">
        <is>
          <t>Sob</t>
        </is>
      </c>
      <c r="H1424">
        <f>'Floor Hours Engine'!$E$5</f>
        <v/>
      </c>
      <c r="I1424" t="inlineStr">
        <is>
          <t>W4</t>
        </is>
      </c>
      <c r="J1424" t="inlineStr">
        <is>
          <t>2024_Listopad_W4</t>
        </is>
      </c>
    </row>
    <row r="1425">
      <c r="A1425" s="177" t="n">
        <v>45620</v>
      </c>
      <c r="B1425" s="177" t="n">
        <v>45615</v>
      </c>
      <c r="C1425" s="177" t="n">
        <v>45621</v>
      </c>
      <c r="D1425" t="inlineStr">
        <is>
          <t>BW20241119</t>
        </is>
      </c>
      <c r="E1425" t="n">
        <v>2024</v>
      </c>
      <c r="F1425" t="inlineStr">
        <is>
          <t>Listopad</t>
        </is>
      </c>
      <c r="G1425" t="inlineStr">
        <is>
          <t>Nd</t>
        </is>
      </c>
      <c r="H1425">
        <f>'Floor Hours Engine'!$E$6</f>
        <v/>
      </c>
      <c r="I1425" t="inlineStr">
        <is>
          <t>W4</t>
        </is>
      </c>
      <c r="J1425" t="inlineStr">
        <is>
          <t>2024_Listopad_W4</t>
        </is>
      </c>
    </row>
    <row r="1426">
      <c r="A1426" s="177" t="n">
        <v>45621</v>
      </c>
      <c r="B1426" s="177" t="n">
        <v>45615</v>
      </c>
      <c r="C1426" s="177" t="n">
        <v>45621</v>
      </c>
      <c r="D1426" t="inlineStr">
        <is>
          <t>BW20241119</t>
        </is>
      </c>
      <c r="E1426" t="n">
        <v>2024</v>
      </c>
      <c r="F1426" t="inlineStr">
        <is>
          <t>Listopad</t>
        </is>
      </c>
      <c r="G1426" t="inlineStr">
        <is>
          <t>Pn</t>
        </is>
      </c>
      <c r="H1426">
        <f>'Floor Hours Engine'!$E$4</f>
        <v/>
      </c>
      <c r="I1426" t="inlineStr">
        <is>
          <t>W4</t>
        </is>
      </c>
      <c r="J1426" t="inlineStr">
        <is>
          <t>2024_Listopad_W4</t>
        </is>
      </c>
    </row>
    <row r="1427">
      <c r="A1427" s="177" t="n">
        <v>45622</v>
      </c>
      <c r="B1427" s="177" t="n">
        <v>45622</v>
      </c>
      <c r="C1427" s="177" t="n">
        <v>45628</v>
      </c>
      <c r="D1427" t="inlineStr">
        <is>
          <t>BW20241126</t>
        </is>
      </c>
      <c r="E1427" t="n">
        <v>2024</v>
      </c>
      <c r="F1427" t="inlineStr">
        <is>
          <t>Listopad</t>
        </is>
      </c>
      <c r="G1427" t="inlineStr">
        <is>
          <t>Wt</t>
        </is>
      </c>
      <c r="H1427">
        <f>'Floor Hours Engine'!$E$4</f>
        <v/>
      </c>
      <c r="I1427" t="inlineStr">
        <is>
          <t>W5</t>
        </is>
      </c>
      <c r="J1427" t="inlineStr">
        <is>
          <t>2024_Listopad_W5</t>
        </is>
      </c>
    </row>
    <row r="1428">
      <c r="A1428" s="177" t="n">
        <v>45623</v>
      </c>
      <c r="B1428" s="177" t="n">
        <v>45622</v>
      </c>
      <c r="C1428" s="177" t="n">
        <v>45628</v>
      </c>
      <c r="D1428" t="inlineStr">
        <is>
          <t>BW20241126</t>
        </is>
      </c>
      <c r="E1428" t="n">
        <v>2024</v>
      </c>
      <c r="F1428" t="inlineStr">
        <is>
          <t>Listopad</t>
        </is>
      </c>
      <c r="G1428" t="inlineStr">
        <is>
          <t>Śr</t>
        </is>
      </c>
      <c r="H1428">
        <f>'Floor Hours Engine'!$E$4</f>
        <v/>
      </c>
      <c r="I1428" t="inlineStr">
        <is>
          <t>W5</t>
        </is>
      </c>
      <c r="J1428" t="inlineStr">
        <is>
          <t>2024_Listopad_W5</t>
        </is>
      </c>
    </row>
    <row r="1429">
      <c r="A1429" s="177" t="n">
        <v>45624</v>
      </c>
      <c r="B1429" s="177" t="n">
        <v>45622</v>
      </c>
      <c r="C1429" s="177" t="n">
        <v>45628</v>
      </c>
      <c r="D1429" t="inlineStr">
        <is>
          <t>BW20241126</t>
        </is>
      </c>
      <c r="E1429" t="n">
        <v>2024</v>
      </c>
      <c r="F1429" t="inlineStr">
        <is>
          <t>Listopad</t>
        </is>
      </c>
      <c r="G1429" t="inlineStr">
        <is>
          <t>Czw</t>
        </is>
      </c>
      <c r="H1429">
        <f>'Floor Hours Engine'!$E$4</f>
        <v/>
      </c>
      <c r="I1429" t="inlineStr">
        <is>
          <t>W5</t>
        </is>
      </c>
      <c r="J1429" t="inlineStr">
        <is>
          <t>2024_Listopad_W5</t>
        </is>
      </c>
    </row>
    <row r="1430">
      <c r="A1430" s="177" t="n">
        <v>45625</v>
      </c>
      <c r="B1430" s="177" t="n">
        <v>45622</v>
      </c>
      <c r="C1430" s="177" t="n">
        <v>45628</v>
      </c>
      <c r="D1430" t="inlineStr">
        <is>
          <t>BW20241126</t>
        </is>
      </c>
      <c r="E1430" t="n">
        <v>2024</v>
      </c>
      <c r="F1430" t="inlineStr">
        <is>
          <t>Listopad</t>
        </is>
      </c>
      <c r="G1430" t="inlineStr">
        <is>
          <t>Pt</t>
        </is>
      </c>
      <c r="H1430">
        <f>'Floor Hours Engine'!$E$5</f>
        <v/>
      </c>
      <c r="I1430" t="inlineStr">
        <is>
          <t>W5</t>
        </is>
      </c>
      <c r="J1430" t="inlineStr">
        <is>
          <t>2024_Listopad_W5</t>
        </is>
      </c>
    </row>
    <row r="1431">
      <c r="A1431" s="177" t="n">
        <v>45626</v>
      </c>
      <c r="B1431" s="177" t="n">
        <v>45622</v>
      </c>
      <c r="C1431" s="177" t="n">
        <v>45628</v>
      </c>
      <c r="D1431" t="inlineStr">
        <is>
          <t>BW20241126</t>
        </is>
      </c>
      <c r="E1431" t="n">
        <v>2024</v>
      </c>
      <c r="F1431" t="inlineStr">
        <is>
          <t>Listopad</t>
        </is>
      </c>
      <c r="G1431" t="inlineStr">
        <is>
          <t>Sob</t>
        </is>
      </c>
      <c r="H1431">
        <f>'Floor Hours Engine'!$E$5</f>
        <v/>
      </c>
      <c r="I1431" t="inlineStr">
        <is>
          <t>W5</t>
        </is>
      </c>
      <c r="J1431" t="inlineStr">
        <is>
          <t>2024_Listopad_W5</t>
        </is>
      </c>
    </row>
    <row r="1432">
      <c r="A1432" s="177" t="n">
        <v>45627</v>
      </c>
      <c r="B1432" s="177" t="n">
        <v>45622</v>
      </c>
      <c r="C1432" s="177" t="n">
        <v>45628</v>
      </c>
      <c r="D1432" t="inlineStr">
        <is>
          <t>BW20241126</t>
        </is>
      </c>
      <c r="E1432" t="n">
        <v>2024</v>
      </c>
      <c r="F1432" t="inlineStr">
        <is>
          <t>Grudzień</t>
        </is>
      </c>
      <c r="G1432" t="inlineStr">
        <is>
          <t>Nd</t>
        </is>
      </c>
      <c r="H1432">
        <f>'Floor Hours Engine'!$E$6</f>
        <v/>
      </c>
      <c r="I1432" t="inlineStr">
        <is>
          <t>W1</t>
        </is>
      </c>
      <c r="J1432" t="inlineStr">
        <is>
          <t>2024_Grudzień_W1</t>
        </is>
      </c>
    </row>
    <row r="1433">
      <c r="A1433" s="177" t="n">
        <v>45628</v>
      </c>
      <c r="B1433" s="177" t="n">
        <v>45622</v>
      </c>
      <c r="C1433" s="177" t="n">
        <v>45628</v>
      </c>
      <c r="D1433" t="inlineStr">
        <is>
          <t>BW20241126</t>
        </is>
      </c>
      <c r="E1433" t="n">
        <v>2024</v>
      </c>
      <c r="F1433" t="inlineStr">
        <is>
          <t>Grudzień</t>
        </is>
      </c>
      <c r="G1433" t="inlineStr">
        <is>
          <t>Pn</t>
        </is>
      </c>
      <c r="H1433">
        <f>'Floor Hours Engine'!$E$4</f>
        <v/>
      </c>
      <c r="I1433" t="inlineStr">
        <is>
          <t>W1</t>
        </is>
      </c>
      <c r="J1433" t="inlineStr">
        <is>
          <t>2024_Grudzień_W1</t>
        </is>
      </c>
    </row>
    <row r="1434">
      <c r="A1434" s="177" t="n">
        <v>45629</v>
      </c>
      <c r="B1434" s="177" t="n">
        <v>45629</v>
      </c>
      <c r="C1434" s="177" t="n">
        <v>45635</v>
      </c>
      <c r="D1434" t="inlineStr">
        <is>
          <t>BW20241203</t>
        </is>
      </c>
      <c r="E1434" t="n">
        <v>2024</v>
      </c>
      <c r="F1434" t="inlineStr">
        <is>
          <t>Grudzień</t>
        </is>
      </c>
      <c r="G1434" t="inlineStr">
        <is>
          <t>Wt</t>
        </is>
      </c>
      <c r="H1434">
        <f>'Floor Hours Engine'!$E$4</f>
        <v/>
      </c>
      <c r="I1434" t="inlineStr">
        <is>
          <t>W2</t>
        </is>
      </c>
      <c r="J1434" t="inlineStr">
        <is>
          <t>2024_Grudzień_W2</t>
        </is>
      </c>
    </row>
    <row r="1435">
      <c r="A1435" s="177" t="n">
        <v>45630</v>
      </c>
      <c r="B1435" s="177" t="n">
        <v>45629</v>
      </c>
      <c r="C1435" s="177" t="n">
        <v>45635</v>
      </c>
      <c r="D1435" t="inlineStr">
        <is>
          <t>BW20241203</t>
        </is>
      </c>
      <c r="E1435" t="n">
        <v>2024</v>
      </c>
      <c r="F1435" t="inlineStr">
        <is>
          <t>Grudzień</t>
        </is>
      </c>
      <c r="G1435" t="inlineStr">
        <is>
          <t>Śr</t>
        </is>
      </c>
      <c r="H1435">
        <f>'Floor Hours Engine'!$E$4</f>
        <v/>
      </c>
      <c r="I1435" t="inlineStr">
        <is>
          <t>W2</t>
        </is>
      </c>
      <c r="J1435" t="inlineStr">
        <is>
          <t>2024_Grudzień_W2</t>
        </is>
      </c>
    </row>
    <row r="1436">
      <c r="A1436" s="177" t="n">
        <v>45631</v>
      </c>
      <c r="B1436" s="177" t="n">
        <v>45629</v>
      </c>
      <c r="C1436" s="177" t="n">
        <v>45635</v>
      </c>
      <c r="D1436" t="inlineStr">
        <is>
          <t>BW20241203</t>
        </is>
      </c>
      <c r="E1436" t="n">
        <v>2024</v>
      </c>
      <c r="F1436" t="inlineStr">
        <is>
          <t>Grudzień</t>
        </is>
      </c>
      <c r="G1436" t="inlineStr">
        <is>
          <t>Czw</t>
        </is>
      </c>
      <c r="H1436">
        <f>'Floor Hours Engine'!$E$4</f>
        <v/>
      </c>
      <c r="I1436" t="inlineStr">
        <is>
          <t>W2</t>
        </is>
      </c>
      <c r="J1436" t="inlineStr">
        <is>
          <t>2024_Grudzień_W2</t>
        </is>
      </c>
    </row>
    <row r="1437">
      <c r="A1437" s="177" t="n">
        <v>45632</v>
      </c>
      <c r="B1437" s="177" t="n">
        <v>45629</v>
      </c>
      <c r="C1437" s="177" t="n">
        <v>45635</v>
      </c>
      <c r="D1437" t="inlineStr">
        <is>
          <t>BW20241203</t>
        </is>
      </c>
      <c r="E1437" t="n">
        <v>2024</v>
      </c>
      <c r="F1437" t="inlineStr">
        <is>
          <t>Grudzień</t>
        </is>
      </c>
      <c r="G1437" t="inlineStr">
        <is>
          <t>Pt</t>
        </is>
      </c>
      <c r="H1437">
        <f>'Floor Hours Engine'!$E$5</f>
        <v/>
      </c>
      <c r="I1437" t="inlineStr">
        <is>
          <t>W2</t>
        </is>
      </c>
      <c r="J1437" t="inlineStr">
        <is>
          <t>2024_Grudzień_W2</t>
        </is>
      </c>
    </row>
    <row r="1438">
      <c r="A1438" s="177" t="n">
        <v>45633</v>
      </c>
      <c r="B1438" s="177" t="n">
        <v>45629</v>
      </c>
      <c r="C1438" s="177" t="n">
        <v>45635</v>
      </c>
      <c r="D1438" t="inlineStr">
        <is>
          <t>BW20241203</t>
        </is>
      </c>
      <c r="E1438" t="n">
        <v>2024</v>
      </c>
      <c r="F1438" t="inlineStr">
        <is>
          <t>Grudzień</t>
        </is>
      </c>
      <c r="G1438" t="inlineStr">
        <is>
          <t>Sob</t>
        </is>
      </c>
      <c r="H1438">
        <f>'Floor Hours Engine'!$E$5</f>
        <v/>
      </c>
      <c r="I1438" t="inlineStr">
        <is>
          <t>W2</t>
        </is>
      </c>
      <c r="J1438" t="inlineStr">
        <is>
          <t>2024_Grudzień_W2</t>
        </is>
      </c>
    </row>
    <row r="1439">
      <c r="A1439" s="177" t="n">
        <v>45634</v>
      </c>
      <c r="B1439" s="177" t="n">
        <v>45629</v>
      </c>
      <c r="C1439" s="177" t="n">
        <v>45635</v>
      </c>
      <c r="D1439" t="inlineStr">
        <is>
          <t>BW20241203</t>
        </is>
      </c>
      <c r="E1439" t="n">
        <v>2024</v>
      </c>
      <c r="F1439" t="inlineStr">
        <is>
          <t>Grudzień</t>
        </is>
      </c>
      <c r="G1439" t="inlineStr">
        <is>
          <t>Nd</t>
        </is>
      </c>
      <c r="H1439">
        <f>'Floor Hours Engine'!$E$6</f>
        <v/>
      </c>
      <c r="I1439" t="inlineStr">
        <is>
          <t>W2</t>
        </is>
      </c>
      <c r="J1439" t="inlineStr">
        <is>
          <t>2024_Grudzień_W2</t>
        </is>
      </c>
    </row>
    <row r="1440">
      <c r="A1440" s="177" t="n">
        <v>45635</v>
      </c>
      <c r="B1440" s="177" t="n">
        <v>45629</v>
      </c>
      <c r="C1440" s="177" t="n">
        <v>45635</v>
      </c>
      <c r="D1440" t="inlineStr">
        <is>
          <t>BW20241203</t>
        </is>
      </c>
      <c r="E1440" t="n">
        <v>2024</v>
      </c>
      <c r="F1440" t="inlineStr">
        <is>
          <t>Grudzień</t>
        </is>
      </c>
      <c r="G1440" t="inlineStr">
        <is>
          <t>Pn</t>
        </is>
      </c>
      <c r="H1440">
        <f>'Floor Hours Engine'!$E$4</f>
        <v/>
      </c>
      <c r="I1440" t="inlineStr">
        <is>
          <t>W2</t>
        </is>
      </c>
      <c r="J1440" t="inlineStr">
        <is>
          <t>2024_Grudzień_W2</t>
        </is>
      </c>
    </row>
    <row r="1441">
      <c r="A1441" s="177" t="n">
        <v>45636</v>
      </c>
      <c r="B1441" s="177" t="n">
        <v>45636</v>
      </c>
      <c r="C1441" s="177" t="n">
        <v>45642</v>
      </c>
      <c r="D1441" t="inlineStr">
        <is>
          <t>BW20241210</t>
        </is>
      </c>
      <c r="E1441" t="n">
        <v>2024</v>
      </c>
      <c r="F1441" t="inlineStr">
        <is>
          <t>Grudzień</t>
        </is>
      </c>
      <c r="G1441" t="inlineStr">
        <is>
          <t>Wt</t>
        </is>
      </c>
      <c r="H1441">
        <f>'Floor Hours Engine'!$E$4</f>
        <v/>
      </c>
      <c r="I1441" t="inlineStr">
        <is>
          <t>W3</t>
        </is>
      </c>
      <c r="J1441" t="inlineStr">
        <is>
          <t>2024_Grudzień_W3</t>
        </is>
      </c>
    </row>
    <row r="1442">
      <c r="A1442" s="177" t="n">
        <v>45637</v>
      </c>
      <c r="B1442" s="177" t="n">
        <v>45636</v>
      </c>
      <c r="C1442" s="177" t="n">
        <v>45642</v>
      </c>
      <c r="D1442" t="inlineStr">
        <is>
          <t>BW20241210</t>
        </is>
      </c>
      <c r="E1442" t="n">
        <v>2024</v>
      </c>
      <c r="F1442" t="inlineStr">
        <is>
          <t>Grudzień</t>
        </is>
      </c>
      <c r="G1442" t="inlineStr">
        <is>
          <t>Śr</t>
        </is>
      </c>
      <c r="H1442">
        <f>'Floor Hours Engine'!$E$4</f>
        <v/>
      </c>
      <c r="I1442" t="inlineStr">
        <is>
          <t>W3</t>
        </is>
      </c>
      <c r="J1442" t="inlineStr">
        <is>
          <t>2024_Grudzień_W3</t>
        </is>
      </c>
    </row>
    <row r="1443">
      <c r="A1443" s="177" t="n">
        <v>45638</v>
      </c>
      <c r="B1443" s="177" t="n">
        <v>45636</v>
      </c>
      <c r="C1443" s="177" t="n">
        <v>45642</v>
      </c>
      <c r="D1443" t="inlineStr">
        <is>
          <t>BW20241210</t>
        </is>
      </c>
      <c r="E1443" t="n">
        <v>2024</v>
      </c>
      <c r="F1443" t="inlineStr">
        <is>
          <t>Grudzień</t>
        </is>
      </c>
      <c r="G1443" t="inlineStr">
        <is>
          <t>Czw</t>
        </is>
      </c>
      <c r="H1443">
        <f>'Floor Hours Engine'!$E$4</f>
        <v/>
      </c>
      <c r="I1443" t="inlineStr">
        <is>
          <t>W3</t>
        </is>
      </c>
      <c r="J1443" t="inlineStr">
        <is>
          <t>2024_Grudzień_W3</t>
        </is>
      </c>
    </row>
    <row r="1444">
      <c r="A1444" s="177" t="n">
        <v>45639</v>
      </c>
      <c r="B1444" s="177" t="n">
        <v>45636</v>
      </c>
      <c r="C1444" s="177" t="n">
        <v>45642</v>
      </c>
      <c r="D1444" t="inlineStr">
        <is>
          <t>BW20241210</t>
        </is>
      </c>
      <c r="E1444" t="n">
        <v>2024</v>
      </c>
      <c r="F1444" t="inlineStr">
        <is>
          <t>Grudzień</t>
        </is>
      </c>
      <c r="G1444" t="inlineStr">
        <is>
          <t>Pt</t>
        </is>
      </c>
      <c r="H1444">
        <f>'Floor Hours Engine'!$E$5</f>
        <v/>
      </c>
      <c r="I1444" t="inlineStr">
        <is>
          <t>W3</t>
        </is>
      </c>
      <c r="J1444" t="inlineStr">
        <is>
          <t>2024_Grudzień_W3</t>
        </is>
      </c>
    </row>
    <row r="1445">
      <c r="A1445" s="177" t="n">
        <v>45640</v>
      </c>
      <c r="B1445" s="177" t="n">
        <v>45636</v>
      </c>
      <c r="C1445" s="177" t="n">
        <v>45642</v>
      </c>
      <c r="D1445" t="inlineStr">
        <is>
          <t>BW20241210</t>
        </is>
      </c>
      <c r="E1445" t="n">
        <v>2024</v>
      </c>
      <c r="F1445" t="inlineStr">
        <is>
          <t>Grudzień</t>
        </is>
      </c>
      <c r="G1445" t="inlineStr">
        <is>
          <t>Sob</t>
        </is>
      </c>
      <c r="H1445">
        <f>'Floor Hours Engine'!$E$5</f>
        <v/>
      </c>
      <c r="I1445" t="inlineStr">
        <is>
          <t>W3</t>
        </is>
      </c>
      <c r="J1445" t="inlineStr">
        <is>
          <t>2024_Grudzień_W3</t>
        </is>
      </c>
    </row>
    <row r="1446">
      <c r="A1446" s="177" t="n">
        <v>45641</v>
      </c>
      <c r="B1446" s="177" t="n">
        <v>45636</v>
      </c>
      <c r="C1446" s="177" t="n">
        <v>45642</v>
      </c>
      <c r="D1446" t="inlineStr">
        <is>
          <t>BW20241210</t>
        </is>
      </c>
      <c r="E1446" t="n">
        <v>2024</v>
      </c>
      <c r="F1446" t="inlineStr">
        <is>
          <t>Grudzień</t>
        </is>
      </c>
      <c r="G1446" t="inlineStr">
        <is>
          <t>Nd</t>
        </is>
      </c>
      <c r="H1446">
        <f>'Floor Hours Engine'!$E$6</f>
        <v/>
      </c>
      <c r="I1446" t="inlineStr">
        <is>
          <t>W3</t>
        </is>
      </c>
      <c r="J1446" t="inlineStr">
        <is>
          <t>2024_Grudzień_W3</t>
        </is>
      </c>
    </row>
    <row r="1447">
      <c r="A1447" s="177" t="n">
        <v>45642</v>
      </c>
      <c r="B1447" s="177" t="n">
        <v>45636</v>
      </c>
      <c r="C1447" s="177" t="n">
        <v>45642</v>
      </c>
      <c r="D1447" t="inlineStr">
        <is>
          <t>BW20241210</t>
        </is>
      </c>
      <c r="E1447" t="n">
        <v>2024</v>
      </c>
      <c r="F1447" t="inlineStr">
        <is>
          <t>Grudzień</t>
        </is>
      </c>
      <c r="G1447" t="inlineStr">
        <is>
          <t>Pn</t>
        </is>
      </c>
      <c r="H1447">
        <f>'Floor Hours Engine'!$E$4</f>
        <v/>
      </c>
      <c r="I1447" t="inlineStr">
        <is>
          <t>W3</t>
        </is>
      </c>
      <c r="J1447" t="inlineStr">
        <is>
          <t>2024_Grudzień_W3</t>
        </is>
      </c>
    </row>
    <row r="1448">
      <c r="A1448" s="177" t="n">
        <v>45643</v>
      </c>
      <c r="B1448" s="177" t="n">
        <v>45643</v>
      </c>
      <c r="C1448" s="177" t="n">
        <v>45649</v>
      </c>
      <c r="D1448" t="inlineStr">
        <is>
          <t>BW20241217</t>
        </is>
      </c>
      <c r="E1448" t="n">
        <v>2024</v>
      </c>
      <c r="F1448" t="inlineStr">
        <is>
          <t>Grudzień</t>
        </is>
      </c>
      <c r="G1448" t="inlineStr">
        <is>
          <t>Wt</t>
        </is>
      </c>
      <c r="H1448">
        <f>'Floor Hours Engine'!$E$4</f>
        <v/>
      </c>
      <c r="I1448" t="inlineStr">
        <is>
          <t>W4</t>
        </is>
      </c>
      <c r="J1448" t="inlineStr">
        <is>
          <t>2024_Grudzień_W4</t>
        </is>
      </c>
    </row>
    <row r="1449">
      <c r="A1449" s="177" t="n">
        <v>45644</v>
      </c>
      <c r="B1449" s="177" t="n">
        <v>45643</v>
      </c>
      <c r="C1449" s="177" t="n">
        <v>45649</v>
      </c>
      <c r="D1449" t="inlineStr">
        <is>
          <t>BW20241217</t>
        </is>
      </c>
      <c r="E1449" t="n">
        <v>2024</v>
      </c>
      <c r="F1449" t="inlineStr">
        <is>
          <t>Grudzień</t>
        </is>
      </c>
      <c r="G1449" t="inlineStr">
        <is>
          <t>Śr</t>
        </is>
      </c>
      <c r="H1449">
        <f>'Floor Hours Engine'!$E$4</f>
        <v/>
      </c>
      <c r="I1449" t="inlineStr">
        <is>
          <t>W4</t>
        </is>
      </c>
      <c r="J1449" t="inlineStr">
        <is>
          <t>2024_Grudzień_W4</t>
        </is>
      </c>
    </row>
    <row r="1450">
      <c r="A1450" s="177" t="n">
        <v>45645</v>
      </c>
      <c r="B1450" s="177" t="n">
        <v>45643</v>
      </c>
      <c r="C1450" s="177" t="n">
        <v>45649</v>
      </c>
      <c r="D1450" t="inlineStr">
        <is>
          <t>BW20241217</t>
        </is>
      </c>
      <c r="E1450" t="n">
        <v>2024</v>
      </c>
      <c r="F1450" t="inlineStr">
        <is>
          <t>Grudzień</t>
        </is>
      </c>
      <c r="G1450" t="inlineStr">
        <is>
          <t>Czw</t>
        </is>
      </c>
      <c r="H1450">
        <f>'Floor Hours Engine'!$E$4</f>
        <v/>
      </c>
      <c r="I1450" t="inlineStr">
        <is>
          <t>W4</t>
        </is>
      </c>
      <c r="J1450" t="inlineStr">
        <is>
          <t>2024_Grudzień_W4</t>
        </is>
      </c>
    </row>
    <row r="1451">
      <c r="A1451" s="177" t="n">
        <v>45646</v>
      </c>
      <c r="B1451" s="177" t="n">
        <v>45643</v>
      </c>
      <c r="C1451" s="177" t="n">
        <v>45649</v>
      </c>
      <c r="D1451" t="inlineStr">
        <is>
          <t>BW20241217</t>
        </is>
      </c>
      <c r="E1451" t="n">
        <v>2024</v>
      </c>
      <c r="F1451" t="inlineStr">
        <is>
          <t>Grudzień</t>
        </is>
      </c>
      <c r="G1451" t="inlineStr">
        <is>
          <t>Pt</t>
        </is>
      </c>
      <c r="H1451">
        <f>'Floor Hours Engine'!$E$5</f>
        <v/>
      </c>
      <c r="I1451" t="inlineStr">
        <is>
          <t>W4</t>
        </is>
      </c>
      <c r="J1451" t="inlineStr">
        <is>
          <t>2024_Grudzień_W4</t>
        </is>
      </c>
    </row>
    <row r="1452">
      <c r="A1452" s="177" t="n">
        <v>45647</v>
      </c>
      <c r="B1452" s="177" t="n">
        <v>45643</v>
      </c>
      <c r="C1452" s="177" t="n">
        <v>45649</v>
      </c>
      <c r="D1452" t="inlineStr">
        <is>
          <t>BW20241217</t>
        </is>
      </c>
      <c r="E1452" t="n">
        <v>2024</v>
      </c>
      <c r="F1452" t="inlineStr">
        <is>
          <t>Grudzień</t>
        </is>
      </c>
      <c r="G1452" t="inlineStr">
        <is>
          <t>Sob</t>
        </is>
      </c>
      <c r="H1452">
        <f>'Floor Hours Engine'!$E$5</f>
        <v/>
      </c>
      <c r="I1452" t="inlineStr">
        <is>
          <t>W4</t>
        </is>
      </c>
      <c r="J1452" t="inlineStr">
        <is>
          <t>2024_Grudzień_W4</t>
        </is>
      </c>
    </row>
    <row r="1453">
      <c r="A1453" s="177" t="n">
        <v>45648</v>
      </c>
      <c r="B1453" s="177" t="n">
        <v>45643</v>
      </c>
      <c r="C1453" s="177" t="n">
        <v>45649</v>
      </c>
      <c r="D1453" t="inlineStr">
        <is>
          <t>BW20241217</t>
        </is>
      </c>
      <c r="E1453" t="n">
        <v>2024</v>
      </c>
      <c r="F1453" t="inlineStr">
        <is>
          <t>Grudzień</t>
        </is>
      </c>
      <c r="G1453" t="inlineStr">
        <is>
          <t>Nd</t>
        </is>
      </c>
      <c r="H1453">
        <f>'Floor Hours Engine'!$E$6</f>
        <v/>
      </c>
      <c r="I1453" t="inlineStr">
        <is>
          <t>W4</t>
        </is>
      </c>
      <c r="J1453" t="inlineStr">
        <is>
          <t>2024_Grudzień_W4</t>
        </is>
      </c>
    </row>
    <row r="1454">
      <c r="A1454" s="177" t="n">
        <v>45649</v>
      </c>
      <c r="B1454" s="177" t="n">
        <v>45643</v>
      </c>
      <c r="C1454" s="177" t="n">
        <v>45649</v>
      </c>
      <c r="D1454" t="inlineStr">
        <is>
          <t>BW20241217</t>
        </is>
      </c>
      <c r="E1454" t="n">
        <v>2024</v>
      </c>
      <c r="F1454" t="inlineStr">
        <is>
          <t>Grudzień</t>
        </is>
      </c>
      <c r="G1454" t="inlineStr">
        <is>
          <t>Pn</t>
        </is>
      </c>
      <c r="H1454">
        <f>'Floor Hours Engine'!$E$4</f>
        <v/>
      </c>
      <c r="I1454" t="inlineStr">
        <is>
          <t>W4</t>
        </is>
      </c>
      <c r="J1454" t="inlineStr">
        <is>
          <t>2024_Grudzień_W4</t>
        </is>
      </c>
    </row>
    <row r="1455">
      <c r="A1455" s="177" t="n">
        <v>45650</v>
      </c>
      <c r="B1455" s="177" t="n">
        <v>45650</v>
      </c>
      <c r="C1455" s="177" t="n">
        <v>45656</v>
      </c>
      <c r="D1455" t="inlineStr">
        <is>
          <t>BW20241224</t>
        </is>
      </c>
      <c r="E1455" t="n">
        <v>2024</v>
      </c>
      <c r="F1455" t="inlineStr">
        <is>
          <t>Grudzień</t>
        </is>
      </c>
      <c r="G1455" t="inlineStr">
        <is>
          <t>Wt</t>
        </is>
      </c>
      <c r="H1455">
        <f>'Floor Hours Engine'!$E$4</f>
        <v/>
      </c>
      <c r="I1455" t="inlineStr">
        <is>
          <t>W5</t>
        </is>
      </c>
      <c r="J1455" t="inlineStr">
        <is>
          <t>2024_Grudzień_W5</t>
        </is>
      </c>
    </row>
    <row r="1456">
      <c r="A1456" s="177" t="n">
        <v>45651</v>
      </c>
      <c r="B1456" s="177" t="n">
        <v>45650</v>
      </c>
      <c r="C1456" s="177" t="n">
        <v>45656</v>
      </c>
      <c r="D1456" t="inlineStr">
        <is>
          <t>BW20241224</t>
        </is>
      </c>
      <c r="E1456" t="n">
        <v>2024</v>
      </c>
      <c r="F1456" t="inlineStr">
        <is>
          <t>Grudzień</t>
        </is>
      </c>
      <c r="G1456" t="inlineStr">
        <is>
          <t>Śr</t>
        </is>
      </c>
      <c r="H1456">
        <f>'Floor Hours Engine'!$E$4</f>
        <v/>
      </c>
      <c r="I1456" t="inlineStr">
        <is>
          <t>W5</t>
        </is>
      </c>
      <c r="J1456" t="inlineStr">
        <is>
          <t>2024_Grudzień_W5</t>
        </is>
      </c>
    </row>
    <row r="1457">
      <c r="A1457" s="177" t="n">
        <v>45652</v>
      </c>
      <c r="B1457" s="177" t="n">
        <v>45650</v>
      </c>
      <c r="C1457" s="177" t="n">
        <v>45656</v>
      </c>
      <c r="D1457" t="inlineStr">
        <is>
          <t>BW20241224</t>
        </is>
      </c>
      <c r="E1457" t="n">
        <v>2024</v>
      </c>
      <c r="F1457" t="inlineStr">
        <is>
          <t>Grudzień</t>
        </is>
      </c>
      <c r="G1457" t="inlineStr">
        <is>
          <t>Czw</t>
        </is>
      </c>
      <c r="H1457">
        <f>'Floor Hours Engine'!$E$4</f>
        <v/>
      </c>
      <c r="I1457" t="inlineStr">
        <is>
          <t>W5</t>
        </is>
      </c>
      <c r="J1457" t="inlineStr">
        <is>
          <t>2024_Grudzień_W5</t>
        </is>
      </c>
    </row>
    <row r="1458">
      <c r="A1458" s="177" t="n">
        <v>45653</v>
      </c>
      <c r="B1458" s="177" t="n">
        <v>45650</v>
      </c>
      <c r="C1458" s="177" t="n">
        <v>45656</v>
      </c>
      <c r="D1458" t="inlineStr">
        <is>
          <t>BW20241224</t>
        </is>
      </c>
      <c r="E1458" t="n">
        <v>2024</v>
      </c>
      <c r="F1458" t="inlineStr">
        <is>
          <t>Grudzień</t>
        </is>
      </c>
      <c r="G1458" t="inlineStr">
        <is>
          <t>Pt</t>
        </is>
      </c>
      <c r="H1458">
        <f>'Floor Hours Engine'!$E$5</f>
        <v/>
      </c>
      <c r="I1458" t="inlineStr">
        <is>
          <t>W5</t>
        </is>
      </c>
      <c r="J1458" t="inlineStr">
        <is>
          <t>2024_Grudzień_W5</t>
        </is>
      </c>
    </row>
    <row r="1459">
      <c r="A1459" s="177" t="n">
        <v>45654</v>
      </c>
      <c r="B1459" s="177" t="n">
        <v>45650</v>
      </c>
      <c r="C1459" s="177" t="n">
        <v>45656</v>
      </c>
      <c r="D1459" t="inlineStr">
        <is>
          <t>BW20241224</t>
        </is>
      </c>
      <c r="E1459" t="n">
        <v>2024</v>
      </c>
      <c r="F1459" t="inlineStr">
        <is>
          <t>Grudzień</t>
        </is>
      </c>
      <c r="G1459" t="inlineStr">
        <is>
          <t>Sob</t>
        </is>
      </c>
      <c r="H1459">
        <f>'Floor Hours Engine'!$E$5</f>
        <v/>
      </c>
      <c r="I1459" t="inlineStr">
        <is>
          <t>W5</t>
        </is>
      </c>
      <c r="J1459" t="inlineStr">
        <is>
          <t>2024_Grudzień_W5</t>
        </is>
      </c>
    </row>
    <row r="1460">
      <c r="A1460" s="177" t="n">
        <v>45655</v>
      </c>
      <c r="B1460" s="177" t="n">
        <v>45650</v>
      </c>
      <c r="C1460" s="177" t="n">
        <v>45656</v>
      </c>
      <c r="D1460" t="inlineStr">
        <is>
          <t>BW20241224</t>
        </is>
      </c>
      <c r="E1460" t="n">
        <v>2024</v>
      </c>
      <c r="F1460" t="inlineStr">
        <is>
          <t>Grudzień</t>
        </is>
      </c>
      <c r="G1460" t="inlineStr">
        <is>
          <t>Nd</t>
        </is>
      </c>
      <c r="H1460">
        <f>'Floor Hours Engine'!$E$6</f>
        <v/>
      </c>
      <c r="I1460" t="inlineStr">
        <is>
          <t>W5</t>
        </is>
      </c>
      <c r="J1460" t="inlineStr">
        <is>
          <t>2024_Grudzień_W5</t>
        </is>
      </c>
    </row>
    <row r="1461">
      <c r="A1461" s="177" t="n">
        <v>45656</v>
      </c>
      <c r="B1461" s="177" t="n">
        <v>45650</v>
      </c>
      <c r="C1461" s="177" t="n">
        <v>45656</v>
      </c>
      <c r="D1461" t="inlineStr">
        <is>
          <t>BW20241224</t>
        </is>
      </c>
      <c r="E1461" t="n">
        <v>2024</v>
      </c>
      <c r="F1461" t="inlineStr">
        <is>
          <t>Grudzień</t>
        </is>
      </c>
      <c r="G1461" t="inlineStr">
        <is>
          <t>Pn</t>
        </is>
      </c>
      <c r="H1461">
        <f>'Floor Hours Engine'!$E$4</f>
        <v/>
      </c>
      <c r="I1461" t="inlineStr">
        <is>
          <t>W5</t>
        </is>
      </c>
      <c r="J1461" t="inlineStr">
        <is>
          <t>2024_Grudzień_W5</t>
        </is>
      </c>
    </row>
    <row r="1462">
      <c r="A1462" s="177" t="n">
        <v>45657</v>
      </c>
      <c r="B1462" s="177" t="n">
        <v>45657</v>
      </c>
      <c r="C1462" s="177" t="n">
        <v>45663</v>
      </c>
      <c r="D1462" t="inlineStr">
        <is>
          <t>BW20241231</t>
        </is>
      </c>
      <c r="E1462" t="n">
        <v>2024</v>
      </c>
      <c r="F1462" t="inlineStr">
        <is>
          <t>Grudzień</t>
        </is>
      </c>
      <c r="G1462" t="inlineStr">
        <is>
          <t>Wt</t>
        </is>
      </c>
      <c r="H1462">
        <f>'Floor Hours Engine'!$E$4</f>
        <v/>
      </c>
      <c r="I1462" t="inlineStr">
        <is>
          <t>W6</t>
        </is>
      </c>
      <c r="J1462" t="inlineStr">
        <is>
          <t>2024_Grudzień_W6</t>
        </is>
      </c>
    </row>
    <row r="1463">
      <c r="A1463" s="177" t="n">
        <v>45658</v>
      </c>
      <c r="B1463" s="177" t="n">
        <v>45657</v>
      </c>
      <c r="C1463" s="177" t="n">
        <v>45663</v>
      </c>
      <c r="D1463" t="inlineStr">
        <is>
          <t>BW20241231</t>
        </is>
      </c>
      <c r="E1463" t="n">
        <v>2025</v>
      </c>
      <c r="F1463" t="inlineStr">
        <is>
          <t>Styczeń</t>
        </is>
      </c>
      <c r="G1463" t="inlineStr">
        <is>
          <t>Śr</t>
        </is>
      </c>
      <c r="H1463">
        <f>'Floor Hours Engine'!$E$4</f>
        <v/>
      </c>
      <c r="I1463" t="inlineStr">
        <is>
          <t>W1</t>
        </is>
      </c>
      <c r="J1463" t="inlineStr">
        <is>
          <t>2025_Styczeń_W1</t>
        </is>
      </c>
    </row>
    <row r="1464">
      <c r="A1464" s="177" t="n">
        <v>45659</v>
      </c>
      <c r="B1464" s="177" t="n">
        <v>45657</v>
      </c>
      <c r="C1464" s="177" t="n">
        <v>45663</v>
      </c>
      <c r="D1464" t="inlineStr">
        <is>
          <t>BW20241231</t>
        </is>
      </c>
      <c r="E1464" t="n">
        <v>2025</v>
      </c>
      <c r="F1464" t="inlineStr">
        <is>
          <t>Styczeń</t>
        </is>
      </c>
      <c r="G1464" t="inlineStr">
        <is>
          <t>Czw</t>
        </is>
      </c>
      <c r="H1464">
        <f>'Floor Hours Engine'!$E$4</f>
        <v/>
      </c>
      <c r="I1464" t="inlineStr">
        <is>
          <t>W1</t>
        </is>
      </c>
      <c r="J1464" t="inlineStr">
        <is>
          <t>2025_Styczeń_W1</t>
        </is>
      </c>
    </row>
    <row r="1465">
      <c r="A1465" s="177" t="n">
        <v>45660</v>
      </c>
      <c r="B1465" s="177" t="n">
        <v>45657</v>
      </c>
      <c r="C1465" s="177" t="n">
        <v>45663</v>
      </c>
      <c r="D1465" t="inlineStr">
        <is>
          <t>BW20241231</t>
        </is>
      </c>
      <c r="E1465" t="n">
        <v>2025</v>
      </c>
      <c r="F1465" t="inlineStr">
        <is>
          <t>Styczeń</t>
        </is>
      </c>
      <c r="G1465" t="inlineStr">
        <is>
          <t>Pt</t>
        </is>
      </c>
      <c r="H1465">
        <f>'Floor Hours Engine'!$E$5</f>
        <v/>
      </c>
      <c r="I1465" t="inlineStr">
        <is>
          <t>W1</t>
        </is>
      </c>
      <c r="J1465" t="inlineStr">
        <is>
          <t>2025_Styczeń_W1</t>
        </is>
      </c>
    </row>
    <row r="1466">
      <c r="A1466" s="177" t="n">
        <v>45661</v>
      </c>
      <c r="B1466" s="177" t="n">
        <v>45657</v>
      </c>
      <c r="C1466" s="177" t="n">
        <v>45663</v>
      </c>
      <c r="D1466" t="inlineStr">
        <is>
          <t>BW20241231</t>
        </is>
      </c>
      <c r="E1466" t="n">
        <v>2025</v>
      </c>
      <c r="F1466" t="inlineStr">
        <is>
          <t>Styczeń</t>
        </is>
      </c>
      <c r="G1466" t="inlineStr">
        <is>
          <t>Sob</t>
        </is>
      </c>
      <c r="H1466">
        <f>'Floor Hours Engine'!$E$5</f>
        <v/>
      </c>
      <c r="I1466" t="inlineStr">
        <is>
          <t>W1</t>
        </is>
      </c>
      <c r="J1466" t="inlineStr">
        <is>
          <t>2025_Styczeń_W1</t>
        </is>
      </c>
    </row>
    <row r="1467">
      <c r="A1467" s="177" t="n">
        <v>45662</v>
      </c>
      <c r="B1467" s="177" t="n">
        <v>45657</v>
      </c>
      <c r="C1467" s="177" t="n">
        <v>45663</v>
      </c>
      <c r="D1467" t="inlineStr">
        <is>
          <t>BW20241231</t>
        </is>
      </c>
      <c r="E1467" t="n">
        <v>2025</v>
      </c>
      <c r="F1467" t="inlineStr">
        <is>
          <t>Styczeń</t>
        </is>
      </c>
      <c r="G1467" t="inlineStr">
        <is>
          <t>Nd</t>
        </is>
      </c>
      <c r="H1467">
        <f>'Floor Hours Engine'!$E$6</f>
        <v/>
      </c>
      <c r="I1467" t="inlineStr">
        <is>
          <t>W1</t>
        </is>
      </c>
      <c r="J1467" t="inlineStr">
        <is>
          <t>2025_Styczeń_W1</t>
        </is>
      </c>
    </row>
    <row r="1468">
      <c r="A1468" s="177" t="n">
        <v>45663</v>
      </c>
      <c r="B1468" s="177" t="n">
        <v>45657</v>
      </c>
      <c r="C1468" s="177" t="n">
        <v>45663</v>
      </c>
      <c r="D1468" t="inlineStr">
        <is>
          <t>BW20241231</t>
        </is>
      </c>
      <c r="E1468" t="n">
        <v>2025</v>
      </c>
      <c r="F1468" t="inlineStr">
        <is>
          <t>Styczeń</t>
        </is>
      </c>
      <c r="G1468" t="inlineStr">
        <is>
          <t>Pn</t>
        </is>
      </c>
      <c r="H1468">
        <f>'Floor Hours Engine'!$E$4</f>
        <v/>
      </c>
      <c r="I1468" t="inlineStr">
        <is>
          <t>W1</t>
        </is>
      </c>
      <c r="J1468" t="inlineStr">
        <is>
          <t>2025_Styczeń_W1</t>
        </is>
      </c>
    </row>
    <row r="1469">
      <c r="A1469" s="177" t="n">
        <v>45664</v>
      </c>
      <c r="B1469" s="177" t="n">
        <v>45664</v>
      </c>
      <c r="C1469" s="177" t="n">
        <v>45670</v>
      </c>
      <c r="D1469" t="inlineStr">
        <is>
          <t>BW20250107</t>
        </is>
      </c>
      <c r="E1469" t="n">
        <v>2025</v>
      </c>
      <c r="F1469" t="inlineStr">
        <is>
          <t>Styczeń</t>
        </is>
      </c>
      <c r="G1469" t="inlineStr">
        <is>
          <t>Wt</t>
        </is>
      </c>
      <c r="H1469">
        <f>'Floor Hours Engine'!$E$4</f>
        <v/>
      </c>
      <c r="I1469" t="inlineStr">
        <is>
          <t>W2</t>
        </is>
      </c>
      <c r="J1469" t="inlineStr">
        <is>
          <t>2025_Styczeń_W2</t>
        </is>
      </c>
    </row>
    <row r="1470">
      <c r="A1470" s="177" t="n">
        <v>45665</v>
      </c>
      <c r="B1470" s="177" t="n">
        <v>45664</v>
      </c>
      <c r="C1470" s="177" t="n">
        <v>45670</v>
      </c>
      <c r="D1470" t="inlineStr">
        <is>
          <t>BW20250107</t>
        </is>
      </c>
      <c r="E1470" t="n">
        <v>2025</v>
      </c>
      <c r="F1470" t="inlineStr">
        <is>
          <t>Styczeń</t>
        </is>
      </c>
      <c r="G1470" t="inlineStr">
        <is>
          <t>Śr</t>
        </is>
      </c>
      <c r="H1470">
        <f>'Floor Hours Engine'!$E$4</f>
        <v/>
      </c>
      <c r="I1470" t="inlineStr">
        <is>
          <t>W2</t>
        </is>
      </c>
      <c r="J1470" t="inlineStr">
        <is>
          <t>2025_Styczeń_W2</t>
        </is>
      </c>
    </row>
    <row r="1471">
      <c r="A1471" s="177" t="n">
        <v>45666</v>
      </c>
      <c r="B1471" s="177" t="n">
        <v>45664</v>
      </c>
      <c r="C1471" s="177" t="n">
        <v>45670</v>
      </c>
      <c r="D1471" t="inlineStr">
        <is>
          <t>BW20250107</t>
        </is>
      </c>
      <c r="E1471" t="n">
        <v>2025</v>
      </c>
      <c r="F1471" t="inlineStr">
        <is>
          <t>Styczeń</t>
        </is>
      </c>
      <c r="G1471" t="inlineStr">
        <is>
          <t>Czw</t>
        </is>
      </c>
      <c r="H1471">
        <f>'Floor Hours Engine'!$E$4</f>
        <v/>
      </c>
      <c r="I1471" t="inlineStr">
        <is>
          <t>W2</t>
        </is>
      </c>
      <c r="J1471" t="inlineStr">
        <is>
          <t>2025_Styczeń_W2</t>
        </is>
      </c>
    </row>
    <row r="1472">
      <c r="A1472" s="177" t="n">
        <v>45667</v>
      </c>
      <c r="B1472" s="177" t="n">
        <v>45664</v>
      </c>
      <c r="C1472" s="177" t="n">
        <v>45670</v>
      </c>
      <c r="D1472" t="inlineStr">
        <is>
          <t>BW20250107</t>
        </is>
      </c>
      <c r="E1472" t="n">
        <v>2025</v>
      </c>
      <c r="F1472" t="inlineStr">
        <is>
          <t>Styczeń</t>
        </is>
      </c>
      <c r="G1472" t="inlineStr">
        <is>
          <t>Pt</t>
        </is>
      </c>
      <c r="H1472">
        <f>'Floor Hours Engine'!$E$5</f>
        <v/>
      </c>
      <c r="I1472" t="inlineStr">
        <is>
          <t>W2</t>
        </is>
      </c>
      <c r="J1472" t="inlineStr">
        <is>
          <t>2025_Styczeń_W2</t>
        </is>
      </c>
    </row>
    <row r="1473">
      <c r="A1473" s="177" t="n">
        <v>45668</v>
      </c>
      <c r="B1473" s="177" t="n">
        <v>45664</v>
      </c>
      <c r="C1473" s="177" t="n">
        <v>45670</v>
      </c>
      <c r="D1473" t="inlineStr">
        <is>
          <t>BW20250107</t>
        </is>
      </c>
      <c r="E1473" t="n">
        <v>2025</v>
      </c>
      <c r="F1473" t="inlineStr">
        <is>
          <t>Styczeń</t>
        </is>
      </c>
      <c r="G1473" t="inlineStr">
        <is>
          <t>Sob</t>
        </is>
      </c>
      <c r="H1473">
        <f>'Floor Hours Engine'!$E$5</f>
        <v/>
      </c>
      <c r="I1473" t="inlineStr">
        <is>
          <t>W2</t>
        </is>
      </c>
      <c r="J1473" t="inlineStr">
        <is>
          <t>2025_Styczeń_W2</t>
        </is>
      </c>
    </row>
    <row r="1474">
      <c r="A1474" s="177" t="n">
        <v>45669</v>
      </c>
      <c r="B1474" s="177" t="n">
        <v>45664</v>
      </c>
      <c r="C1474" s="177" t="n">
        <v>45670</v>
      </c>
      <c r="D1474" t="inlineStr">
        <is>
          <t>BW20250107</t>
        </is>
      </c>
      <c r="E1474" t="n">
        <v>2025</v>
      </c>
      <c r="F1474" t="inlineStr">
        <is>
          <t>Styczeń</t>
        </is>
      </c>
      <c r="G1474" t="inlineStr">
        <is>
          <t>Nd</t>
        </is>
      </c>
      <c r="H1474">
        <f>'Floor Hours Engine'!$E$6</f>
        <v/>
      </c>
      <c r="I1474" t="inlineStr">
        <is>
          <t>W2</t>
        </is>
      </c>
      <c r="J1474" t="inlineStr">
        <is>
          <t>2025_Styczeń_W2</t>
        </is>
      </c>
    </row>
    <row r="1475">
      <c r="A1475" s="177" t="n">
        <v>45670</v>
      </c>
      <c r="B1475" s="177" t="n">
        <v>45664</v>
      </c>
      <c r="C1475" s="177" t="n">
        <v>45670</v>
      </c>
      <c r="D1475" t="inlineStr">
        <is>
          <t>BW20250107</t>
        </is>
      </c>
      <c r="E1475" t="n">
        <v>2025</v>
      </c>
      <c r="F1475" t="inlineStr">
        <is>
          <t>Styczeń</t>
        </is>
      </c>
      <c r="G1475" t="inlineStr">
        <is>
          <t>Pn</t>
        </is>
      </c>
      <c r="H1475">
        <f>'Floor Hours Engine'!$E$4</f>
        <v/>
      </c>
      <c r="I1475" t="inlineStr">
        <is>
          <t>W2</t>
        </is>
      </c>
      <c r="J1475" t="inlineStr">
        <is>
          <t>2025_Styczeń_W2</t>
        </is>
      </c>
    </row>
    <row r="1476">
      <c r="A1476" s="177" t="n">
        <v>45671</v>
      </c>
      <c r="B1476" s="177" t="n">
        <v>45671</v>
      </c>
      <c r="C1476" s="177" t="n">
        <v>45677</v>
      </c>
      <c r="D1476" t="inlineStr">
        <is>
          <t>BW20250114</t>
        </is>
      </c>
      <c r="E1476" t="n">
        <v>2025</v>
      </c>
      <c r="F1476" t="inlineStr">
        <is>
          <t>Styczeń</t>
        </is>
      </c>
      <c r="G1476" t="inlineStr">
        <is>
          <t>Wt</t>
        </is>
      </c>
      <c r="H1476">
        <f>'Floor Hours Engine'!$E$4</f>
        <v/>
      </c>
      <c r="I1476" t="inlineStr">
        <is>
          <t>W3</t>
        </is>
      </c>
      <c r="J1476" t="inlineStr">
        <is>
          <t>2025_Styczeń_W3</t>
        </is>
      </c>
    </row>
    <row r="1477">
      <c r="A1477" s="177" t="n">
        <v>45672</v>
      </c>
      <c r="B1477" s="177" t="n">
        <v>45671</v>
      </c>
      <c r="C1477" s="177" t="n">
        <v>45677</v>
      </c>
      <c r="D1477" t="inlineStr">
        <is>
          <t>BW20250114</t>
        </is>
      </c>
      <c r="E1477" t="n">
        <v>2025</v>
      </c>
      <c r="F1477" t="inlineStr">
        <is>
          <t>Styczeń</t>
        </is>
      </c>
      <c r="G1477" t="inlineStr">
        <is>
          <t>Śr</t>
        </is>
      </c>
      <c r="H1477">
        <f>'Floor Hours Engine'!$E$4</f>
        <v/>
      </c>
      <c r="I1477" t="inlineStr">
        <is>
          <t>W3</t>
        </is>
      </c>
      <c r="J1477" t="inlineStr">
        <is>
          <t>2025_Styczeń_W3</t>
        </is>
      </c>
    </row>
    <row r="1478">
      <c r="A1478" s="177" t="n">
        <v>45673</v>
      </c>
      <c r="B1478" s="177" t="n">
        <v>45671</v>
      </c>
      <c r="C1478" s="177" t="n">
        <v>45677</v>
      </c>
      <c r="D1478" t="inlineStr">
        <is>
          <t>BW20250114</t>
        </is>
      </c>
      <c r="E1478" t="n">
        <v>2025</v>
      </c>
      <c r="F1478" t="inlineStr">
        <is>
          <t>Styczeń</t>
        </is>
      </c>
      <c r="G1478" t="inlineStr">
        <is>
          <t>Czw</t>
        </is>
      </c>
      <c r="H1478">
        <f>'Floor Hours Engine'!$E$4</f>
        <v/>
      </c>
      <c r="I1478" t="inlineStr">
        <is>
          <t>W3</t>
        </is>
      </c>
      <c r="J1478" t="inlineStr">
        <is>
          <t>2025_Styczeń_W3</t>
        </is>
      </c>
    </row>
    <row r="1479">
      <c r="A1479" s="177" t="n">
        <v>45674</v>
      </c>
      <c r="B1479" s="177" t="n">
        <v>45671</v>
      </c>
      <c r="C1479" s="177" t="n">
        <v>45677</v>
      </c>
      <c r="D1479" t="inlineStr">
        <is>
          <t>BW20250114</t>
        </is>
      </c>
      <c r="E1479" t="n">
        <v>2025</v>
      </c>
      <c r="F1479" t="inlineStr">
        <is>
          <t>Styczeń</t>
        </is>
      </c>
      <c r="G1479" t="inlineStr">
        <is>
          <t>Pt</t>
        </is>
      </c>
      <c r="H1479">
        <f>'Floor Hours Engine'!$E$5</f>
        <v/>
      </c>
      <c r="I1479" t="inlineStr">
        <is>
          <t>W3</t>
        </is>
      </c>
      <c r="J1479" t="inlineStr">
        <is>
          <t>2025_Styczeń_W3</t>
        </is>
      </c>
    </row>
    <row r="1480">
      <c r="A1480" s="177" t="n">
        <v>45675</v>
      </c>
      <c r="B1480" s="177" t="n">
        <v>45671</v>
      </c>
      <c r="C1480" s="177" t="n">
        <v>45677</v>
      </c>
      <c r="D1480" t="inlineStr">
        <is>
          <t>BW20250114</t>
        </is>
      </c>
      <c r="E1480" t="n">
        <v>2025</v>
      </c>
      <c r="F1480" t="inlineStr">
        <is>
          <t>Styczeń</t>
        </is>
      </c>
      <c r="G1480" t="inlineStr">
        <is>
          <t>Sob</t>
        </is>
      </c>
      <c r="H1480">
        <f>'Floor Hours Engine'!$E$5</f>
        <v/>
      </c>
      <c r="I1480" t="inlineStr">
        <is>
          <t>W3</t>
        </is>
      </c>
      <c r="J1480" t="inlineStr">
        <is>
          <t>2025_Styczeń_W3</t>
        </is>
      </c>
    </row>
    <row r="1481">
      <c r="A1481" s="177" t="n">
        <v>45676</v>
      </c>
      <c r="B1481" s="177" t="n">
        <v>45671</v>
      </c>
      <c r="C1481" s="177" t="n">
        <v>45677</v>
      </c>
      <c r="D1481" t="inlineStr">
        <is>
          <t>BW20250114</t>
        </is>
      </c>
      <c r="E1481" t="n">
        <v>2025</v>
      </c>
      <c r="F1481" t="inlineStr">
        <is>
          <t>Styczeń</t>
        </is>
      </c>
      <c r="G1481" t="inlineStr">
        <is>
          <t>Nd</t>
        </is>
      </c>
      <c r="H1481">
        <f>'Floor Hours Engine'!$E$6</f>
        <v/>
      </c>
      <c r="I1481" t="inlineStr">
        <is>
          <t>W3</t>
        </is>
      </c>
      <c r="J1481" t="inlineStr">
        <is>
          <t>2025_Styczeń_W3</t>
        </is>
      </c>
    </row>
    <row r="1482">
      <c r="A1482" s="177" t="n">
        <v>45677</v>
      </c>
      <c r="B1482" s="177" t="n">
        <v>45671</v>
      </c>
      <c r="C1482" s="177" t="n">
        <v>45677</v>
      </c>
      <c r="D1482" t="inlineStr">
        <is>
          <t>BW20250114</t>
        </is>
      </c>
      <c r="E1482" t="n">
        <v>2025</v>
      </c>
      <c r="F1482" t="inlineStr">
        <is>
          <t>Styczeń</t>
        </is>
      </c>
      <c r="G1482" t="inlineStr">
        <is>
          <t>Pn</t>
        </is>
      </c>
      <c r="H1482">
        <f>'Floor Hours Engine'!$E$4</f>
        <v/>
      </c>
      <c r="I1482" t="inlineStr">
        <is>
          <t>W3</t>
        </is>
      </c>
      <c r="J1482" t="inlineStr">
        <is>
          <t>2025_Styczeń_W3</t>
        </is>
      </c>
    </row>
    <row r="1483">
      <c r="A1483" s="177" t="n">
        <v>45678</v>
      </c>
      <c r="B1483" s="177" t="n">
        <v>45678</v>
      </c>
      <c r="C1483" s="177" t="n">
        <v>45684</v>
      </c>
      <c r="D1483" t="inlineStr">
        <is>
          <t>BW20250121</t>
        </is>
      </c>
      <c r="E1483" t="n">
        <v>2025</v>
      </c>
      <c r="F1483" t="inlineStr">
        <is>
          <t>Styczeń</t>
        </is>
      </c>
      <c r="G1483" t="inlineStr">
        <is>
          <t>Wt</t>
        </is>
      </c>
      <c r="H1483">
        <f>'Floor Hours Engine'!$E$4</f>
        <v/>
      </c>
      <c r="I1483" t="inlineStr">
        <is>
          <t>W4</t>
        </is>
      </c>
      <c r="J1483" t="inlineStr">
        <is>
          <t>2025_Styczeń_W4</t>
        </is>
      </c>
    </row>
    <row r="1484">
      <c r="A1484" s="177" t="n">
        <v>45679</v>
      </c>
      <c r="B1484" s="177" t="n">
        <v>45678</v>
      </c>
      <c r="C1484" s="177" t="n">
        <v>45684</v>
      </c>
      <c r="D1484" t="inlineStr">
        <is>
          <t>BW20250121</t>
        </is>
      </c>
      <c r="E1484" t="n">
        <v>2025</v>
      </c>
      <c r="F1484" t="inlineStr">
        <is>
          <t>Styczeń</t>
        </is>
      </c>
      <c r="G1484" t="inlineStr">
        <is>
          <t>Śr</t>
        </is>
      </c>
      <c r="H1484">
        <f>'Floor Hours Engine'!$E$4</f>
        <v/>
      </c>
      <c r="I1484" t="inlineStr">
        <is>
          <t>W4</t>
        </is>
      </c>
      <c r="J1484" t="inlineStr">
        <is>
          <t>2025_Styczeń_W4</t>
        </is>
      </c>
    </row>
    <row r="1485">
      <c r="A1485" s="177" t="n">
        <v>45680</v>
      </c>
      <c r="B1485" s="177" t="n">
        <v>45678</v>
      </c>
      <c r="C1485" s="177" t="n">
        <v>45684</v>
      </c>
      <c r="D1485" t="inlineStr">
        <is>
          <t>BW20250121</t>
        </is>
      </c>
      <c r="E1485" t="n">
        <v>2025</v>
      </c>
      <c r="F1485" t="inlineStr">
        <is>
          <t>Styczeń</t>
        </is>
      </c>
      <c r="G1485" t="inlineStr">
        <is>
          <t>Czw</t>
        </is>
      </c>
      <c r="H1485">
        <f>'Floor Hours Engine'!$E$4</f>
        <v/>
      </c>
      <c r="I1485" t="inlineStr">
        <is>
          <t>W4</t>
        </is>
      </c>
      <c r="J1485" t="inlineStr">
        <is>
          <t>2025_Styczeń_W4</t>
        </is>
      </c>
    </row>
    <row r="1486">
      <c r="A1486" s="177" t="n">
        <v>45681</v>
      </c>
      <c r="B1486" s="177" t="n">
        <v>45678</v>
      </c>
      <c r="C1486" s="177" t="n">
        <v>45684</v>
      </c>
      <c r="D1486" t="inlineStr">
        <is>
          <t>BW20250121</t>
        </is>
      </c>
      <c r="E1486" t="n">
        <v>2025</v>
      </c>
      <c r="F1486" t="inlineStr">
        <is>
          <t>Styczeń</t>
        </is>
      </c>
      <c r="G1486" t="inlineStr">
        <is>
          <t>Pt</t>
        </is>
      </c>
      <c r="H1486">
        <f>'Floor Hours Engine'!$E$5</f>
        <v/>
      </c>
      <c r="I1486" t="inlineStr">
        <is>
          <t>W4</t>
        </is>
      </c>
      <c r="J1486" t="inlineStr">
        <is>
          <t>2025_Styczeń_W4</t>
        </is>
      </c>
    </row>
    <row r="1487">
      <c r="A1487" s="177" t="n">
        <v>45682</v>
      </c>
      <c r="B1487" s="177" t="n">
        <v>45678</v>
      </c>
      <c r="C1487" s="177" t="n">
        <v>45684</v>
      </c>
      <c r="D1487" t="inlineStr">
        <is>
          <t>BW20250121</t>
        </is>
      </c>
      <c r="E1487" t="n">
        <v>2025</v>
      </c>
      <c r="F1487" t="inlineStr">
        <is>
          <t>Styczeń</t>
        </is>
      </c>
      <c r="G1487" t="inlineStr">
        <is>
          <t>Sob</t>
        </is>
      </c>
      <c r="H1487">
        <f>'Floor Hours Engine'!$E$5</f>
        <v/>
      </c>
      <c r="I1487" t="inlineStr">
        <is>
          <t>W4</t>
        </is>
      </c>
      <c r="J1487" t="inlineStr">
        <is>
          <t>2025_Styczeń_W4</t>
        </is>
      </c>
    </row>
    <row r="1488">
      <c r="A1488" s="177" t="n">
        <v>45683</v>
      </c>
      <c r="B1488" s="177" t="n">
        <v>45678</v>
      </c>
      <c r="C1488" s="177" t="n">
        <v>45684</v>
      </c>
      <c r="D1488" t="inlineStr">
        <is>
          <t>BW20250121</t>
        </is>
      </c>
      <c r="E1488" t="n">
        <v>2025</v>
      </c>
      <c r="F1488" t="inlineStr">
        <is>
          <t>Styczeń</t>
        </is>
      </c>
      <c r="G1488" t="inlineStr">
        <is>
          <t>Nd</t>
        </is>
      </c>
      <c r="H1488">
        <f>'Floor Hours Engine'!$E$6</f>
        <v/>
      </c>
      <c r="I1488" t="inlineStr">
        <is>
          <t>W4</t>
        </is>
      </c>
      <c r="J1488" t="inlineStr">
        <is>
          <t>2025_Styczeń_W4</t>
        </is>
      </c>
    </row>
    <row r="1489">
      <c r="A1489" s="177" t="n">
        <v>45684</v>
      </c>
      <c r="B1489" s="177" t="n">
        <v>45678</v>
      </c>
      <c r="C1489" s="177" t="n">
        <v>45684</v>
      </c>
      <c r="D1489" t="inlineStr">
        <is>
          <t>BW20250121</t>
        </is>
      </c>
      <c r="E1489" t="n">
        <v>2025</v>
      </c>
      <c r="F1489" t="inlineStr">
        <is>
          <t>Styczeń</t>
        </is>
      </c>
      <c r="G1489" t="inlineStr">
        <is>
          <t>Pn</t>
        </is>
      </c>
      <c r="H1489">
        <f>'Floor Hours Engine'!$E$4</f>
        <v/>
      </c>
      <c r="I1489" t="inlineStr">
        <is>
          <t>W4</t>
        </is>
      </c>
      <c r="J1489" t="inlineStr">
        <is>
          <t>2025_Styczeń_W4</t>
        </is>
      </c>
    </row>
    <row r="1490">
      <c r="A1490" s="177" t="n">
        <v>45685</v>
      </c>
      <c r="B1490" s="177" t="n">
        <v>45685</v>
      </c>
      <c r="C1490" s="177" t="n">
        <v>45691</v>
      </c>
      <c r="D1490" t="inlineStr">
        <is>
          <t>BW20250128</t>
        </is>
      </c>
      <c r="E1490" t="n">
        <v>2025</v>
      </c>
      <c r="F1490" t="inlineStr">
        <is>
          <t>Styczeń</t>
        </is>
      </c>
      <c r="G1490" t="inlineStr">
        <is>
          <t>Wt</t>
        </is>
      </c>
      <c r="H1490">
        <f>'Floor Hours Engine'!$E$4</f>
        <v/>
      </c>
      <c r="I1490" t="inlineStr">
        <is>
          <t>W5</t>
        </is>
      </c>
      <c r="J1490" t="inlineStr">
        <is>
          <t>2025_Styczeń_W5</t>
        </is>
      </c>
    </row>
    <row r="1491">
      <c r="A1491" s="177" t="n">
        <v>45686</v>
      </c>
      <c r="B1491" s="177" t="n">
        <v>45685</v>
      </c>
      <c r="C1491" s="177" t="n">
        <v>45691</v>
      </c>
      <c r="D1491" t="inlineStr">
        <is>
          <t>BW20250128</t>
        </is>
      </c>
      <c r="E1491" t="n">
        <v>2025</v>
      </c>
      <c r="F1491" t="inlineStr">
        <is>
          <t>Styczeń</t>
        </is>
      </c>
      <c r="G1491" t="inlineStr">
        <is>
          <t>Śr</t>
        </is>
      </c>
      <c r="H1491">
        <f>'Floor Hours Engine'!$E$4</f>
        <v/>
      </c>
      <c r="I1491" t="inlineStr">
        <is>
          <t>W5</t>
        </is>
      </c>
      <c r="J1491" t="inlineStr">
        <is>
          <t>2025_Styczeń_W5</t>
        </is>
      </c>
    </row>
    <row r="1492">
      <c r="A1492" s="177" t="n">
        <v>45687</v>
      </c>
      <c r="B1492" s="177" t="n">
        <v>45685</v>
      </c>
      <c r="C1492" s="177" t="n">
        <v>45691</v>
      </c>
      <c r="D1492" t="inlineStr">
        <is>
          <t>BW20250128</t>
        </is>
      </c>
      <c r="E1492" t="n">
        <v>2025</v>
      </c>
      <c r="F1492" t="inlineStr">
        <is>
          <t>Styczeń</t>
        </is>
      </c>
      <c r="G1492" t="inlineStr">
        <is>
          <t>Czw</t>
        </is>
      </c>
      <c r="H1492">
        <f>'Floor Hours Engine'!$E$4</f>
        <v/>
      </c>
      <c r="I1492" t="inlineStr">
        <is>
          <t>W5</t>
        </is>
      </c>
      <c r="J1492" t="inlineStr">
        <is>
          <t>2025_Styczeń_W5</t>
        </is>
      </c>
    </row>
    <row r="1493">
      <c r="A1493" s="177" t="n">
        <v>45688</v>
      </c>
      <c r="B1493" s="177" t="n">
        <v>45685</v>
      </c>
      <c r="C1493" s="177" t="n">
        <v>45691</v>
      </c>
      <c r="D1493" t="inlineStr">
        <is>
          <t>BW20250128</t>
        </is>
      </c>
      <c r="E1493" t="n">
        <v>2025</v>
      </c>
      <c r="F1493" t="inlineStr">
        <is>
          <t>Styczeń</t>
        </is>
      </c>
      <c r="G1493" t="inlineStr">
        <is>
          <t>Pt</t>
        </is>
      </c>
      <c r="H1493">
        <f>'Floor Hours Engine'!$E$5</f>
        <v/>
      </c>
      <c r="I1493" t="inlineStr">
        <is>
          <t>W5</t>
        </is>
      </c>
      <c r="J1493" t="inlineStr">
        <is>
          <t>2025_Styczeń_W5</t>
        </is>
      </c>
    </row>
    <row r="1494">
      <c r="A1494" s="177" t="n">
        <v>45689</v>
      </c>
      <c r="B1494" s="177" t="n">
        <v>45685</v>
      </c>
      <c r="C1494" s="177" t="n">
        <v>45691</v>
      </c>
      <c r="D1494" t="inlineStr">
        <is>
          <t>BW20250128</t>
        </is>
      </c>
      <c r="E1494" t="n">
        <v>2025</v>
      </c>
      <c r="F1494" t="inlineStr">
        <is>
          <t>Luty</t>
        </is>
      </c>
      <c r="G1494" t="inlineStr">
        <is>
          <t>Sob</t>
        </is>
      </c>
      <c r="H1494">
        <f>'Floor Hours Engine'!$E$5</f>
        <v/>
      </c>
      <c r="I1494" t="inlineStr">
        <is>
          <t>W1</t>
        </is>
      </c>
      <c r="J1494" t="inlineStr">
        <is>
          <t>2025_Luty_W1</t>
        </is>
      </c>
    </row>
    <row r="1495">
      <c r="A1495" s="177" t="n">
        <v>45690</v>
      </c>
      <c r="B1495" s="177" t="n">
        <v>45685</v>
      </c>
      <c r="C1495" s="177" t="n">
        <v>45691</v>
      </c>
      <c r="D1495" t="inlineStr">
        <is>
          <t>BW20250128</t>
        </is>
      </c>
      <c r="E1495" t="n">
        <v>2025</v>
      </c>
      <c r="F1495" t="inlineStr">
        <is>
          <t>Luty</t>
        </is>
      </c>
      <c r="G1495" t="inlineStr">
        <is>
          <t>Nd</t>
        </is>
      </c>
      <c r="H1495">
        <f>'Floor Hours Engine'!$E$6</f>
        <v/>
      </c>
      <c r="I1495" t="inlineStr">
        <is>
          <t>W1</t>
        </is>
      </c>
      <c r="J1495" t="inlineStr">
        <is>
          <t>2025_Luty_W1</t>
        </is>
      </c>
    </row>
    <row r="1496">
      <c r="A1496" s="177" t="n">
        <v>45691</v>
      </c>
      <c r="B1496" s="177" t="n">
        <v>45685</v>
      </c>
      <c r="C1496" s="177" t="n">
        <v>45691</v>
      </c>
      <c r="D1496" t="inlineStr">
        <is>
          <t>BW20250128</t>
        </is>
      </c>
      <c r="E1496" t="n">
        <v>2025</v>
      </c>
      <c r="F1496" t="inlineStr">
        <is>
          <t>Luty</t>
        </is>
      </c>
      <c r="G1496" t="inlineStr">
        <is>
          <t>Pn</t>
        </is>
      </c>
      <c r="H1496">
        <f>'Floor Hours Engine'!$E$4</f>
        <v/>
      </c>
      <c r="I1496" t="inlineStr">
        <is>
          <t>W1</t>
        </is>
      </c>
      <c r="J1496" t="inlineStr">
        <is>
          <t>2025_Luty_W1</t>
        </is>
      </c>
    </row>
    <row r="1497">
      <c r="A1497" s="177" t="n">
        <v>45692</v>
      </c>
      <c r="B1497" s="177" t="n">
        <v>45692</v>
      </c>
      <c r="C1497" s="177" t="n">
        <v>45698</v>
      </c>
      <c r="D1497" t="inlineStr">
        <is>
          <t>BW20250204</t>
        </is>
      </c>
      <c r="E1497" t="n">
        <v>2025</v>
      </c>
      <c r="F1497" t="inlineStr">
        <is>
          <t>Luty</t>
        </is>
      </c>
      <c r="G1497" t="inlineStr">
        <is>
          <t>Wt</t>
        </is>
      </c>
      <c r="H1497">
        <f>'Floor Hours Engine'!$E$4</f>
        <v/>
      </c>
      <c r="I1497" t="inlineStr">
        <is>
          <t>W2</t>
        </is>
      </c>
      <c r="J1497" t="inlineStr">
        <is>
          <t>2025_Luty_W2</t>
        </is>
      </c>
    </row>
    <row r="1498">
      <c r="A1498" s="177" t="n">
        <v>45693</v>
      </c>
      <c r="B1498" s="177" t="n">
        <v>45692</v>
      </c>
      <c r="C1498" s="177" t="n">
        <v>45698</v>
      </c>
      <c r="D1498" t="inlineStr">
        <is>
          <t>BW20250204</t>
        </is>
      </c>
      <c r="E1498" t="n">
        <v>2025</v>
      </c>
      <c r="F1498" t="inlineStr">
        <is>
          <t>Luty</t>
        </is>
      </c>
      <c r="G1498" t="inlineStr">
        <is>
          <t>Śr</t>
        </is>
      </c>
      <c r="H1498">
        <f>'Floor Hours Engine'!$E$4</f>
        <v/>
      </c>
      <c r="I1498" t="inlineStr">
        <is>
          <t>W2</t>
        </is>
      </c>
      <c r="J1498" t="inlineStr">
        <is>
          <t>2025_Luty_W2</t>
        </is>
      </c>
    </row>
    <row r="1499">
      <c r="A1499" s="177" t="n">
        <v>45694</v>
      </c>
      <c r="B1499" s="177" t="n">
        <v>45692</v>
      </c>
      <c r="C1499" s="177" t="n">
        <v>45698</v>
      </c>
      <c r="D1499" t="inlineStr">
        <is>
          <t>BW20250204</t>
        </is>
      </c>
      <c r="E1499" t="n">
        <v>2025</v>
      </c>
      <c r="F1499" t="inlineStr">
        <is>
          <t>Luty</t>
        </is>
      </c>
      <c r="G1499" t="inlineStr">
        <is>
          <t>Czw</t>
        </is>
      </c>
      <c r="H1499">
        <f>'Floor Hours Engine'!$E$4</f>
        <v/>
      </c>
      <c r="I1499" t="inlineStr">
        <is>
          <t>W2</t>
        </is>
      </c>
      <c r="J1499" t="inlineStr">
        <is>
          <t>2025_Luty_W2</t>
        </is>
      </c>
    </row>
    <row r="1500">
      <c r="A1500" s="177" t="n">
        <v>45695</v>
      </c>
      <c r="B1500" s="177" t="n">
        <v>45692</v>
      </c>
      <c r="C1500" s="177" t="n">
        <v>45698</v>
      </c>
      <c r="D1500" t="inlineStr">
        <is>
          <t>BW20250204</t>
        </is>
      </c>
      <c r="E1500" t="n">
        <v>2025</v>
      </c>
      <c r="F1500" t="inlineStr">
        <is>
          <t>Luty</t>
        </is>
      </c>
      <c r="G1500" t="inlineStr">
        <is>
          <t>Pt</t>
        </is>
      </c>
      <c r="H1500">
        <f>'Floor Hours Engine'!$E$5</f>
        <v/>
      </c>
      <c r="I1500" t="inlineStr">
        <is>
          <t>W2</t>
        </is>
      </c>
      <c r="J1500" t="inlineStr">
        <is>
          <t>2025_Luty_W2</t>
        </is>
      </c>
    </row>
    <row r="1501">
      <c r="A1501" s="177" t="n">
        <v>45696</v>
      </c>
      <c r="B1501" s="177" t="n">
        <v>45692</v>
      </c>
      <c r="C1501" s="177" t="n">
        <v>45698</v>
      </c>
      <c r="D1501" t="inlineStr">
        <is>
          <t>BW20250204</t>
        </is>
      </c>
      <c r="E1501" t="n">
        <v>2025</v>
      </c>
      <c r="F1501" t="inlineStr">
        <is>
          <t>Luty</t>
        </is>
      </c>
      <c r="G1501" t="inlineStr">
        <is>
          <t>Sob</t>
        </is>
      </c>
      <c r="H1501">
        <f>'Floor Hours Engine'!$E$5</f>
        <v/>
      </c>
      <c r="I1501" t="inlineStr">
        <is>
          <t>W2</t>
        </is>
      </c>
      <c r="J1501" t="inlineStr">
        <is>
          <t>2025_Luty_W2</t>
        </is>
      </c>
    </row>
    <row r="1502">
      <c r="A1502" s="177" t="n">
        <v>45697</v>
      </c>
      <c r="B1502" s="177" t="n">
        <v>45692</v>
      </c>
      <c r="C1502" s="177" t="n">
        <v>45698</v>
      </c>
      <c r="D1502" t="inlineStr">
        <is>
          <t>BW20250204</t>
        </is>
      </c>
      <c r="E1502" t="n">
        <v>2025</v>
      </c>
      <c r="F1502" t="inlineStr">
        <is>
          <t>Luty</t>
        </is>
      </c>
      <c r="G1502" t="inlineStr">
        <is>
          <t>Nd</t>
        </is>
      </c>
      <c r="H1502">
        <f>'Floor Hours Engine'!$E$6</f>
        <v/>
      </c>
      <c r="I1502" t="inlineStr">
        <is>
          <t>W2</t>
        </is>
      </c>
      <c r="J1502" t="inlineStr">
        <is>
          <t>2025_Luty_W2</t>
        </is>
      </c>
    </row>
    <row r="1503">
      <c r="A1503" s="177" t="n">
        <v>45698</v>
      </c>
      <c r="B1503" s="177" t="n">
        <v>45692</v>
      </c>
      <c r="C1503" s="177" t="n">
        <v>45698</v>
      </c>
      <c r="D1503" t="inlineStr">
        <is>
          <t>BW20250204</t>
        </is>
      </c>
      <c r="E1503" t="n">
        <v>2025</v>
      </c>
      <c r="F1503" t="inlineStr">
        <is>
          <t>Luty</t>
        </is>
      </c>
      <c r="G1503" t="inlineStr">
        <is>
          <t>Pn</t>
        </is>
      </c>
      <c r="H1503">
        <f>'Floor Hours Engine'!$E$4</f>
        <v/>
      </c>
      <c r="I1503" t="inlineStr">
        <is>
          <t>W2</t>
        </is>
      </c>
      <c r="J1503" t="inlineStr">
        <is>
          <t>2025_Luty_W2</t>
        </is>
      </c>
    </row>
    <row r="1504">
      <c r="A1504" s="177" t="n">
        <v>45699</v>
      </c>
      <c r="B1504" s="177" t="n">
        <v>45699</v>
      </c>
      <c r="C1504" s="177" t="n">
        <v>45705</v>
      </c>
      <c r="D1504" t="inlineStr">
        <is>
          <t>BW20250211</t>
        </is>
      </c>
      <c r="E1504" t="n">
        <v>2025</v>
      </c>
      <c r="F1504" t="inlineStr">
        <is>
          <t>Luty</t>
        </is>
      </c>
      <c r="G1504" t="inlineStr">
        <is>
          <t>Wt</t>
        </is>
      </c>
      <c r="H1504">
        <f>'Floor Hours Engine'!$E$4</f>
        <v/>
      </c>
      <c r="I1504" t="inlineStr">
        <is>
          <t>W3</t>
        </is>
      </c>
      <c r="J1504" t="inlineStr">
        <is>
          <t>2025_Luty_W3</t>
        </is>
      </c>
    </row>
    <row r="1505">
      <c r="A1505" s="177" t="n">
        <v>45700</v>
      </c>
      <c r="B1505" s="177" t="n">
        <v>45699</v>
      </c>
      <c r="C1505" s="177" t="n">
        <v>45705</v>
      </c>
      <c r="D1505" t="inlineStr">
        <is>
          <t>BW20250211</t>
        </is>
      </c>
      <c r="E1505" t="n">
        <v>2025</v>
      </c>
      <c r="F1505" t="inlineStr">
        <is>
          <t>Luty</t>
        </is>
      </c>
      <c r="G1505" t="inlineStr">
        <is>
          <t>Śr</t>
        </is>
      </c>
      <c r="H1505">
        <f>'Floor Hours Engine'!$E$4</f>
        <v/>
      </c>
      <c r="I1505" t="inlineStr">
        <is>
          <t>W3</t>
        </is>
      </c>
      <c r="J1505" t="inlineStr">
        <is>
          <t>2025_Luty_W3</t>
        </is>
      </c>
    </row>
    <row r="1506">
      <c r="A1506" s="177" t="n">
        <v>45701</v>
      </c>
      <c r="B1506" s="177" t="n">
        <v>45699</v>
      </c>
      <c r="C1506" s="177" t="n">
        <v>45705</v>
      </c>
      <c r="D1506" t="inlineStr">
        <is>
          <t>BW20250211</t>
        </is>
      </c>
      <c r="E1506" t="n">
        <v>2025</v>
      </c>
      <c r="F1506" t="inlineStr">
        <is>
          <t>Luty</t>
        </is>
      </c>
      <c r="G1506" t="inlineStr">
        <is>
          <t>Czw</t>
        </is>
      </c>
      <c r="H1506">
        <f>'Floor Hours Engine'!$E$4</f>
        <v/>
      </c>
      <c r="I1506" t="inlineStr">
        <is>
          <t>W3</t>
        </is>
      </c>
      <c r="J1506" t="inlineStr">
        <is>
          <t>2025_Luty_W3</t>
        </is>
      </c>
    </row>
    <row r="1507">
      <c r="A1507" s="177" t="n">
        <v>45702</v>
      </c>
      <c r="B1507" s="177" t="n">
        <v>45699</v>
      </c>
      <c r="C1507" s="177" t="n">
        <v>45705</v>
      </c>
      <c r="D1507" t="inlineStr">
        <is>
          <t>BW20250211</t>
        </is>
      </c>
      <c r="E1507" t="n">
        <v>2025</v>
      </c>
      <c r="F1507" t="inlineStr">
        <is>
          <t>Luty</t>
        </is>
      </c>
      <c r="G1507" t="inlineStr">
        <is>
          <t>Pt</t>
        </is>
      </c>
      <c r="H1507">
        <f>'Floor Hours Engine'!$E$5</f>
        <v/>
      </c>
      <c r="I1507" t="inlineStr">
        <is>
          <t>W3</t>
        </is>
      </c>
      <c r="J1507" t="inlineStr">
        <is>
          <t>2025_Luty_W3</t>
        </is>
      </c>
    </row>
    <row r="1508">
      <c r="A1508" s="177" t="n">
        <v>45703</v>
      </c>
      <c r="B1508" s="177" t="n">
        <v>45699</v>
      </c>
      <c r="C1508" s="177" t="n">
        <v>45705</v>
      </c>
      <c r="D1508" t="inlineStr">
        <is>
          <t>BW20250211</t>
        </is>
      </c>
      <c r="E1508" t="n">
        <v>2025</v>
      </c>
      <c r="F1508" t="inlineStr">
        <is>
          <t>Luty</t>
        </is>
      </c>
      <c r="G1508" t="inlineStr">
        <is>
          <t>Sob</t>
        </is>
      </c>
      <c r="H1508">
        <f>'Floor Hours Engine'!$E$5</f>
        <v/>
      </c>
      <c r="I1508" t="inlineStr">
        <is>
          <t>W3</t>
        </is>
      </c>
      <c r="J1508" t="inlineStr">
        <is>
          <t>2025_Luty_W3</t>
        </is>
      </c>
    </row>
    <row r="1509">
      <c r="A1509" s="177" t="n">
        <v>45704</v>
      </c>
      <c r="B1509" s="177" t="n">
        <v>45699</v>
      </c>
      <c r="C1509" s="177" t="n">
        <v>45705</v>
      </c>
      <c r="D1509" t="inlineStr">
        <is>
          <t>BW20250211</t>
        </is>
      </c>
      <c r="E1509" t="n">
        <v>2025</v>
      </c>
      <c r="F1509" t="inlineStr">
        <is>
          <t>Luty</t>
        </is>
      </c>
      <c r="G1509" t="inlineStr">
        <is>
          <t>Nd</t>
        </is>
      </c>
      <c r="H1509">
        <f>'Floor Hours Engine'!$E$6</f>
        <v/>
      </c>
      <c r="I1509" t="inlineStr">
        <is>
          <t>W3</t>
        </is>
      </c>
      <c r="J1509" t="inlineStr">
        <is>
          <t>2025_Luty_W3</t>
        </is>
      </c>
    </row>
    <row r="1510">
      <c r="A1510" s="177" t="n">
        <v>45705</v>
      </c>
      <c r="B1510" s="177" t="n">
        <v>45699</v>
      </c>
      <c r="C1510" s="177" t="n">
        <v>45705</v>
      </c>
      <c r="D1510" t="inlineStr">
        <is>
          <t>BW20250211</t>
        </is>
      </c>
      <c r="E1510" t="n">
        <v>2025</v>
      </c>
      <c r="F1510" t="inlineStr">
        <is>
          <t>Luty</t>
        </is>
      </c>
      <c r="G1510" t="inlineStr">
        <is>
          <t>Pn</t>
        </is>
      </c>
      <c r="H1510">
        <f>'Floor Hours Engine'!$E$4</f>
        <v/>
      </c>
      <c r="I1510" t="inlineStr">
        <is>
          <t>W3</t>
        </is>
      </c>
      <c r="J1510" t="inlineStr">
        <is>
          <t>2025_Luty_W3</t>
        </is>
      </c>
    </row>
    <row r="1511">
      <c r="A1511" s="177" t="n">
        <v>45706</v>
      </c>
      <c r="B1511" s="177" t="n">
        <v>45706</v>
      </c>
      <c r="C1511" s="177" t="n">
        <v>45712</v>
      </c>
      <c r="D1511" t="inlineStr">
        <is>
          <t>BW20250218</t>
        </is>
      </c>
      <c r="E1511" t="n">
        <v>2025</v>
      </c>
      <c r="F1511" t="inlineStr">
        <is>
          <t>Luty</t>
        </is>
      </c>
      <c r="G1511" t="inlineStr">
        <is>
          <t>Wt</t>
        </is>
      </c>
      <c r="H1511">
        <f>'Floor Hours Engine'!$E$4</f>
        <v/>
      </c>
      <c r="I1511" t="inlineStr">
        <is>
          <t>W4</t>
        </is>
      </c>
      <c r="J1511" t="inlineStr">
        <is>
          <t>2025_Luty_W4</t>
        </is>
      </c>
    </row>
    <row r="1512">
      <c r="A1512" s="177" t="n">
        <v>45707</v>
      </c>
      <c r="B1512" s="177" t="n">
        <v>45706</v>
      </c>
      <c r="C1512" s="177" t="n">
        <v>45712</v>
      </c>
      <c r="D1512" t="inlineStr">
        <is>
          <t>BW20250218</t>
        </is>
      </c>
      <c r="E1512" t="n">
        <v>2025</v>
      </c>
      <c r="F1512" t="inlineStr">
        <is>
          <t>Luty</t>
        </is>
      </c>
      <c r="G1512" t="inlineStr">
        <is>
          <t>Śr</t>
        </is>
      </c>
      <c r="H1512">
        <f>'Floor Hours Engine'!$E$4</f>
        <v/>
      </c>
      <c r="I1512" t="inlineStr">
        <is>
          <t>W4</t>
        </is>
      </c>
      <c r="J1512" t="inlineStr">
        <is>
          <t>2025_Luty_W4</t>
        </is>
      </c>
    </row>
    <row r="1513">
      <c r="A1513" s="177" t="n">
        <v>45708</v>
      </c>
      <c r="B1513" s="177" t="n">
        <v>45706</v>
      </c>
      <c r="C1513" s="177" t="n">
        <v>45712</v>
      </c>
      <c r="D1513" t="inlineStr">
        <is>
          <t>BW20250218</t>
        </is>
      </c>
      <c r="E1513" t="n">
        <v>2025</v>
      </c>
      <c r="F1513" t="inlineStr">
        <is>
          <t>Luty</t>
        </is>
      </c>
      <c r="G1513" t="inlineStr">
        <is>
          <t>Czw</t>
        </is>
      </c>
      <c r="H1513">
        <f>'Floor Hours Engine'!$E$4</f>
        <v/>
      </c>
      <c r="I1513" t="inlineStr">
        <is>
          <t>W4</t>
        </is>
      </c>
      <c r="J1513" t="inlineStr">
        <is>
          <t>2025_Luty_W4</t>
        </is>
      </c>
    </row>
    <row r="1514">
      <c r="A1514" s="177" t="n">
        <v>45709</v>
      </c>
      <c r="B1514" s="177" t="n">
        <v>45706</v>
      </c>
      <c r="C1514" s="177" t="n">
        <v>45712</v>
      </c>
      <c r="D1514" t="inlineStr">
        <is>
          <t>BW20250218</t>
        </is>
      </c>
      <c r="E1514" t="n">
        <v>2025</v>
      </c>
      <c r="F1514" t="inlineStr">
        <is>
          <t>Luty</t>
        </is>
      </c>
      <c r="G1514" t="inlineStr">
        <is>
          <t>Pt</t>
        </is>
      </c>
      <c r="H1514">
        <f>'Floor Hours Engine'!$E$5</f>
        <v/>
      </c>
      <c r="I1514" t="inlineStr">
        <is>
          <t>W4</t>
        </is>
      </c>
      <c r="J1514" t="inlineStr">
        <is>
          <t>2025_Luty_W4</t>
        </is>
      </c>
    </row>
    <row r="1515">
      <c r="A1515" s="177" t="n">
        <v>45710</v>
      </c>
      <c r="B1515" s="177" t="n">
        <v>45706</v>
      </c>
      <c r="C1515" s="177" t="n">
        <v>45712</v>
      </c>
      <c r="D1515" t="inlineStr">
        <is>
          <t>BW20250218</t>
        </is>
      </c>
      <c r="E1515" t="n">
        <v>2025</v>
      </c>
      <c r="F1515" t="inlineStr">
        <is>
          <t>Luty</t>
        </is>
      </c>
      <c r="G1515" t="inlineStr">
        <is>
          <t>Sob</t>
        </is>
      </c>
      <c r="H1515">
        <f>'Floor Hours Engine'!$E$5</f>
        <v/>
      </c>
      <c r="I1515" t="inlineStr">
        <is>
          <t>W4</t>
        </is>
      </c>
      <c r="J1515" t="inlineStr">
        <is>
          <t>2025_Luty_W4</t>
        </is>
      </c>
    </row>
    <row r="1516">
      <c r="A1516" s="177" t="n">
        <v>45711</v>
      </c>
      <c r="B1516" s="177" t="n">
        <v>45706</v>
      </c>
      <c r="C1516" s="177" t="n">
        <v>45712</v>
      </c>
      <c r="D1516" t="inlineStr">
        <is>
          <t>BW20250218</t>
        </is>
      </c>
      <c r="E1516" t="n">
        <v>2025</v>
      </c>
      <c r="F1516" t="inlineStr">
        <is>
          <t>Luty</t>
        </is>
      </c>
      <c r="G1516" t="inlineStr">
        <is>
          <t>Nd</t>
        </is>
      </c>
      <c r="H1516">
        <f>'Floor Hours Engine'!$E$6</f>
        <v/>
      </c>
      <c r="I1516" t="inlineStr">
        <is>
          <t>W4</t>
        </is>
      </c>
      <c r="J1516" t="inlineStr">
        <is>
          <t>2025_Luty_W4</t>
        </is>
      </c>
    </row>
    <row r="1517">
      <c r="A1517" s="177" t="n">
        <v>45712</v>
      </c>
      <c r="B1517" s="177" t="n">
        <v>45706</v>
      </c>
      <c r="C1517" s="177" t="n">
        <v>45712</v>
      </c>
      <c r="D1517" t="inlineStr">
        <is>
          <t>BW20250218</t>
        </is>
      </c>
      <c r="E1517" t="n">
        <v>2025</v>
      </c>
      <c r="F1517" t="inlineStr">
        <is>
          <t>Luty</t>
        </is>
      </c>
      <c r="G1517" t="inlineStr">
        <is>
          <t>Pn</t>
        </is>
      </c>
      <c r="H1517">
        <f>'Floor Hours Engine'!$E$4</f>
        <v/>
      </c>
      <c r="I1517" t="inlineStr">
        <is>
          <t>W4</t>
        </is>
      </c>
      <c r="J1517" t="inlineStr">
        <is>
          <t>2025_Luty_W4</t>
        </is>
      </c>
    </row>
    <row r="1518">
      <c r="A1518" s="177" t="n">
        <v>45713</v>
      </c>
      <c r="B1518" s="177" t="n">
        <v>45713</v>
      </c>
      <c r="C1518" s="177" t="n">
        <v>45719</v>
      </c>
      <c r="D1518" t="inlineStr">
        <is>
          <t>BW20250225</t>
        </is>
      </c>
      <c r="E1518" t="n">
        <v>2025</v>
      </c>
      <c r="F1518" t="inlineStr">
        <is>
          <t>Luty</t>
        </is>
      </c>
      <c r="G1518" t="inlineStr">
        <is>
          <t>Wt</t>
        </is>
      </c>
      <c r="H1518">
        <f>'Floor Hours Engine'!$E$4</f>
        <v/>
      </c>
      <c r="I1518" t="inlineStr">
        <is>
          <t>W5</t>
        </is>
      </c>
      <c r="J1518" t="inlineStr">
        <is>
          <t>2025_Luty_W5</t>
        </is>
      </c>
    </row>
    <row r="1519">
      <c r="A1519" s="177" t="n">
        <v>45714</v>
      </c>
      <c r="B1519" s="177" t="n">
        <v>45713</v>
      </c>
      <c r="C1519" s="177" t="n">
        <v>45719</v>
      </c>
      <c r="D1519" t="inlineStr">
        <is>
          <t>BW20250225</t>
        </is>
      </c>
      <c r="E1519" t="n">
        <v>2025</v>
      </c>
      <c r="F1519" t="inlineStr">
        <is>
          <t>Luty</t>
        </is>
      </c>
      <c r="G1519" t="inlineStr">
        <is>
          <t>Śr</t>
        </is>
      </c>
      <c r="H1519">
        <f>'Floor Hours Engine'!$E$4</f>
        <v/>
      </c>
      <c r="I1519" t="inlineStr">
        <is>
          <t>W5</t>
        </is>
      </c>
      <c r="J1519" t="inlineStr">
        <is>
          <t>2025_Luty_W5</t>
        </is>
      </c>
    </row>
    <row r="1520">
      <c r="A1520" s="177" t="n">
        <v>45715</v>
      </c>
      <c r="B1520" s="177" t="n">
        <v>45713</v>
      </c>
      <c r="C1520" s="177" t="n">
        <v>45719</v>
      </c>
      <c r="D1520" t="inlineStr">
        <is>
          <t>BW20250225</t>
        </is>
      </c>
      <c r="E1520" t="n">
        <v>2025</v>
      </c>
      <c r="F1520" t="inlineStr">
        <is>
          <t>Luty</t>
        </is>
      </c>
      <c r="G1520" t="inlineStr">
        <is>
          <t>Czw</t>
        </is>
      </c>
      <c r="H1520">
        <f>'Floor Hours Engine'!$E$4</f>
        <v/>
      </c>
      <c r="I1520" t="inlineStr">
        <is>
          <t>W5</t>
        </is>
      </c>
      <c r="J1520" t="inlineStr">
        <is>
          <t>2025_Luty_W5</t>
        </is>
      </c>
    </row>
    <row r="1521">
      <c r="A1521" s="177" t="n">
        <v>45716</v>
      </c>
      <c r="B1521" s="177" t="n">
        <v>45713</v>
      </c>
      <c r="C1521" s="177" t="n">
        <v>45719</v>
      </c>
      <c r="D1521" t="inlineStr">
        <is>
          <t>BW20250225</t>
        </is>
      </c>
      <c r="E1521" t="n">
        <v>2025</v>
      </c>
      <c r="F1521" t="inlineStr">
        <is>
          <t>Luty</t>
        </is>
      </c>
      <c r="G1521" t="inlineStr">
        <is>
          <t>Pt</t>
        </is>
      </c>
      <c r="H1521">
        <f>'Floor Hours Engine'!$E$5</f>
        <v/>
      </c>
      <c r="I1521" t="inlineStr">
        <is>
          <t>W5</t>
        </is>
      </c>
      <c r="J1521" t="inlineStr">
        <is>
          <t>2025_Luty_W5</t>
        </is>
      </c>
    </row>
    <row r="1522">
      <c r="A1522" s="177" t="n">
        <v>45717</v>
      </c>
      <c r="B1522" s="177" t="n">
        <v>45713</v>
      </c>
      <c r="C1522" s="177" t="n">
        <v>45719</v>
      </c>
      <c r="D1522" t="inlineStr">
        <is>
          <t>BW20250225</t>
        </is>
      </c>
      <c r="E1522" t="n">
        <v>2025</v>
      </c>
      <c r="F1522" t="inlineStr">
        <is>
          <t>Marzec</t>
        </is>
      </c>
      <c r="G1522" t="inlineStr">
        <is>
          <t>Sob</t>
        </is>
      </c>
      <c r="H1522">
        <f>'Floor Hours Engine'!$E$5</f>
        <v/>
      </c>
      <c r="I1522" t="inlineStr">
        <is>
          <t>W1</t>
        </is>
      </c>
      <c r="J1522" t="inlineStr">
        <is>
          <t>2025_Marzec_W1</t>
        </is>
      </c>
    </row>
    <row r="1523">
      <c r="A1523" s="177" t="n">
        <v>45718</v>
      </c>
      <c r="B1523" s="177" t="n">
        <v>45713</v>
      </c>
      <c r="C1523" s="177" t="n">
        <v>45719</v>
      </c>
      <c r="D1523" t="inlineStr">
        <is>
          <t>BW20250225</t>
        </is>
      </c>
      <c r="E1523" t="n">
        <v>2025</v>
      </c>
      <c r="F1523" t="inlineStr">
        <is>
          <t>Marzec</t>
        </is>
      </c>
      <c r="G1523" t="inlineStr">
        <is>
          <t>Nd</t>
        </is>
      </c>
      <c r="H1523">
        <f>'Floor Hours Engine'!$E$6</f>
        <v/>
      </c>
      <c r="I1523" t="inlineStr">
        <is>
          <t>W1</t>
        </is>
      </c>
      <c r="J1523" t="inlineStr">
        <is>
          <t>2025_Marzec_W1</t>
        </is>
      </c>
    </row>
    <row r="1524">
      <c r="A1524" s="177" t="n">
        <v>45719</v>
      </c>
      <c r="B1524" s="177" t="n">
        <v>45713</v>
      </c>
      <c r="C1524" s="177" t="n">
        <v>45719</v>
      </c>
      <c r="D1524" t="inlineStr">
        <is>
          <t>BW20250225</t>
        </is>
      </c>
      <c r="E1524" t="n">
        <v>2025</v>
      </c>
      <c r="F1524" t="inlineStr">
        <is>
          <t>Marzec</t>
        </is>
      </c>
      <c r="G1524" t="inlineStr">
        <is>
          <t>Pn</t>
        </is>
      </c>
      <c r="H1524">
        <f>'Floor Hours Engine'!$E$4</f>
        <v/>
      </c>
      <c r="I1524" t="inlineStr">
        <is>
          <t>W1</t>
        </is>
      </c>
      <c r="J1524" t="inlineStr">
        <is>
          <t>2025_Marzec_W1</t>
        </is>
      </c>
    </row>
    <row r="1525">
      <c r="A1525" s="177" t="n">
        <v>45720</v>
      </c>
      <c r="B1525" s="177" t="n">
        <v>45720</v>
      </c>
      <c r="C1525" s="177" t="n">
        <v>45726</v>
      </c>
      <c r="D1525" t="inlineStr">
        <is>
          <t>BW20250304</t>
        </is>
      </c>
      <c r="E1525" t="n">
        <v>2025</v>
      </c>
      <c r="F1525" t="inlineStr">
        <is>
          <t>Marzec</t>
        </is>
      </c>
      <c r="G1525" t="inlineStr">
        <is>
          <t>Wt</t>
        </is>
      </c>
      <c r="H1525">
        <f>'Floor Hours Engine'!$E$4</f>
        <v/>
      </c>
      <c r="I1525" t="inlineStr">
        <is>
          <t>W2</t>
        </is>
      </c>
      <c r="J1525" t="inlineStr">
        <is>
          <t>2025_Marzec_W2</t>
        </is>
      </c>
    </row>
    <row r="1526">
      <c r="A1526" s="177" t="n">
        <v>45721</v>
      </c>
      <c r="B1526" s="177" t="n">
        <v>45720</v>
      </c>
      <c r="C1526" s="177" t="n">
        <v>45726</v>
      </c>
      <c r="D1526" t="inlineStr">
        <is>
          <t>BW20250304</t>
        </is>
      </c>
      <c r="E1526" t="n">
        <v>2025</v>
      </c>
      <c r="F1526" t="inlineStr">
        <is>
          <t>Marzec</t>
        </is>
      </c>
      <c r="G1526" t="inlineStr">
        <is>
          <t>Śr</t>
        </is>
      </c>
      <c r="H1526">
        <f>'Floor Hours Engine'!$E$4</f>
        <v/>
      </c>
      <c r="I1526" t="inlineStr">
        <is>
          <t>W2</t>
        </is>
      </c>
      <c r="J1526" t="inlineStr">
        <is>
          <t>2025_Marzec_W2</t>
        </is>
      </c>
    </row>
    <row r="1527">
      <c r="A1527" s="177" t="n">
        <v>45722</v>
      </c>
      <c r="B1527" s="177" t="n">
        <v>45720</v>
      </c>
      <c r="C1527" s="177" t="n">
        <v>45726</v>
      </c>
      <c r="D1527" t="inlineStr">
        <is>
          <t>BW20250304</t>
        </is>
      </c>
      <c r="E1527" t="n">
        <v>2025</v>
      </c>
      <c r="F1527" t="inlineStr">
        <is>
          <t>Marzec</t>
        </is>
      </c>
      <c r="G1527" t="inlineStr">
        <is>
          <t>Czw</t>
        </is>
      </c>
      <c r="H1527">
        <f>'Floor Hours Engine'!$E$4</f>
        <v/>
      </c>
      <c r="I1527" t="inlineStr">
        <is>
          <t>W2</t>
        </is>
      </c>
      <c r="J1527" t="inlineStr">
        <is>
          <t>2025_Marzec_W2</t>
        </is>
      </c>
    </row>
    <row r="1528">
      <c r="A1528" s="177" t="n">
        <v>45723</v>
      </c>
      <c r="B1528" s="177" t="n">
        <v>45720</v>
      </c>
      <c r="C1528" s="177" t="n">
        <v>45726</v>
      </c>
      <c r="D1528" t="inlineStr">
        <is>
          <t>BW20250304</t>
        </is>
      </c>
      <c r="E1528" t="n">
        <v>2025</v>
      </c>
      <c r="F1528" t="inlineStr">
        <is>
          <t>Marzec</t>
        </is>
      </c>
      <c r="G1528" t="inlineStr">
        <is>
          <t>Pt</t>
        </is>
      </c>
      <c r="H1528">
        <f>'Floor Hours Engine'!$E$5</f>
        <v/>
      </c>
      <c r="I1528" t="inlineStr">
        <is>
          <t>W2</t>
        </is>
      </c>
      <c r="J1528" t="inlineStr">
        <is>
          <t>2025_Marzec_W2</t>
        </is>
      </c>
    </row>
    <row r="1529">
      <c r="A1529" s="177" t="n">
        <v>45724</v>
      </c>
      <c r="B1529" s="177" t="n">
        <v>45720</v>
      </c>
      <c r="C1529" s="177" t="n">
        <v>45726</v>
      </c>
      <c r="D1529" t="inlineStr">
        <is>
          <t>BW20250304</t>
        </is>
      </c>
      <c r="E1529" t="n">
        <v>2025</v>
      </c>
      <c r="F1529" t="inlineStr">
        <is>
          <t>Marzec</t>
        </is>
      </c>
      <c r="G1529" t="inlineStr">
        <is>
          <t>Sob</t>
        </is>
      </c>
      <c r="H1529">
        <f>'Floor Hours Engine'!$E$5</f>
        <v/>
      </c>
      <c r="I1529" t="inlineStr">
        <is>
          <t>W2</t>
        </is>
      </c>
      <c r="J1529" t="inlineStr">
        <is>
          <t>2025_Marzec_W2</t>
        </is>
      </c>
    </row>
    <row r="1530">
      <c r="A1530" s="177" t="n">
        <v>45725</v>
      </c>
      <c r="B1530" s="177" t="n">
        <v>45720</v>
      </c>
      <c r="C1530" s="177" t="n">
        <v>45726</v>
      </c>
      <c r="D1530" t="inlineStr">
        <is>
          <t>BW20250304</t>
        </is>
      </c>
      <c r="E1530" t="n">
        <v>2025</v>
      </c>
      <c r="F1530" t="inlineStr">
        <is>
          <t>Marzec</t>
        </is>
      </c>
      <c r="G1530" t="inlineStr">
        <is>
          <t>Nd</t>
        </is>
      </c>
      <c r="H1530">
        <f>'Floor Hours Engine'!$E$6</f>
        <v/>
      </c>
      <c r="I1530" t="inlineStr">
        <is>
          <t>W2</t>
        </is>
      </c>
      <c r="J1530" t="inlineStr">
        <is>
          <t>2025_Marzec_W2</t>
        </is>
      </c>
    </row>
    <row r="1531">
      <c r="A1531" s="177" t="n">
        <v>45726</v>
      </c>
      <c r="B1531" s="177" t="n">
        <v>45720</v>
      </c>
      <c r="C1531" s="177" t="n">
        <v>45726</v>
      </c>
      <c r="D1531" t="inlineStr">
        <is>
          <t>BW20250304</t>
        </is>
      </c>
      <c r="E1531" t="n">
        <v>2025</v>
      </c>
      <c r="F1531" t="inlineStr">
        <is>
          <t>Marzec</t>
        </is>
      </c>
      <c r="G1531" t="inlineStr">
        <is>
          <t>Pn</t>
        </is>
      </c>
      <c r="H1531">
        <f>'Floor Hours Engine'!$E$4</f>
        <v/>
      </c>
      <c r="I1531" t="inlineStr">
        <is>
          <t>W2</t>
        </is>
      </c>
      <c r="J1531" t="inlineStr">
        <is>
          <t>2025_Marzec_W2</t>
        </is>
      </c>
    </row>
    <row r="1532">
      <c r="A1532" s="177" t="n">
        <v>45727</v>
      </c>
      <c r="B1532" s="177" t="n">
        <v>45727</v>
      </c>
      <c r="C1532" s="177" t="n">
        <v>45733</v>
      </c>
      <c r="D1532" t="inlineStr">
        <is>
          <t>BW20250311</t>
        </is>
      </c>
      <c r="E1532" t="n">
        <v>2025</v>
      </c>
      <c r="F1532" t="inlineStr">
        <is>
          <t>Marzec</t>
        </is>
      </c>
      <c r="G1532" t="inlineStr">
        <is>
          <t>Wt</t>
        </is>
      </c>
      <c r="H1532">
        <f>'Floor Hours Engine'!$E$4</f>
        <v/>
      </c>
      <c r="I1532" t="inlineStr">
        <is>
          <t>W3</t>
        </is>
      </c>
      <c r="J1532" t="inlineStr">
        <is>
          <t>2025_Marzec_W3</t>
        </is>
      </c>
    </row>
    <row r="1533">
      <c r="A1533" s="177" t="n">
        <v>45728</v>
      </c>
      <c r="B1533" s="177" t="n">
        <v>45727</v>
      </c>
      <c r="C1533" s="177" t="n">
        <v>45733</v>
      </c>
      <c r="D1533" t="inlineStr">
        <is>
          <t>BW20250311</t>
        </is>
      </c>
      <c r="E1533" t="n">
        <v>2025</v>
      </c>
      <c r="F1533" t="inlineStr">
        <is>
          <t>Marzec</t>
        </is>
      </c>
      <c r="G1533" t="inlineStr">
        <is>
          <t>Śr</t>
        </is>
      </c>
      <c r="H1533">
        <f>'Floor Hours Engine'!$E$4</f>
        <v/>
      </c>
      <c r="I1533" t="inlineStr">
        <is>
          <t>W3</t>
        </is>
      </c>
      <c r="J1533" t="inlineStr">
        <is>
          <t>2025_Marzec_W3</t>
        </is>
      </c>
    </row>
    <row r="1534">
      <c r="A1534" s="177" t="n">
        <v>45729</v>
      </c>
      <c r="B1534" s="177" t="n">
        <v>45727</v>
      </c>
      <c r="C1534" s="177" t="n">
        <v>45733</v>
      </c>
      <c r="D1534" t="inlineStr">
        <is>
          <t>BW20250311</t>
        </is>
      </c>
      <c r="E1534" t="n">
        <v>2025</v>
      </c>
      <c r="F1534" t="inlineStr">
        <is>
          <t>Marzec</t>
        </is>
      </c>
      <c r="G1534" t="inlineStr">
        <is>
          <t>Czw</t>
        </is>
      </c>
      <c r="H1534">
        <f>'Floor Hours Engine'!$E$4</f>
        <v/>
      </c>
      <c r="I1534" t="inlineStr">
        <is>
          <t>W3</t>
        </is>
      </c>
      <c r="J1534" t="inlineStr">
        <is>
          <t>2025_Marzec_W3</t>
        </is>
      </c>
    </row>
    <row r="1535">
      <c r="A1535" s="177" t="n">
        <v>45730</v>
      </c>
      <c r="B1535" s="177" t="n">
        <v>45727</v>
      </c>
      <c r="C1535" s="177" t="n">
        <v>45733</v>
      </c>
      <c r="D1535" t="inlineStr">
        <is>
          <t>BW20250311</t>
        </is>
      </c>
      <c r="E1535" t="n">
        <v>2025</v>
      </c>
      <c r="F1535" t="inlineStr">
        <is>
          <t>Marzec</t>
        </is>
      </c>
      <c r="G1535" t="inlineStr">
        <is>
          <t>Pt</t>
        </is>
      </c>
      <c r="H1535">
        <f>'Floor Hours Engine'!$E$5</f>
        <v/>
      </c>
      <c r="I1535" t="inlineStr">
        <is>
          <t>W3</t>
        </is>
      </c>
      <c r="J1535" t="inlineStr">
        <is>
          <t>2025_Marzec_W3</t>
        </is>
      </c>
    </row>
    <row r="1536">
      <c r="A1536" s="177" t="n">
        <v>45731</v>
      </c>
      <c r="B1536" s="177" t="n">
        <v>45727</v>
      </c>
      <c r="C1536" s="177" t="n">
        <v>45733</v>
      </c>
      <c r="D1536" t="inlineStr">
        <is>
          <t>BW20250311</t>
        </is>
      </c>
      <c r="E1536" t="n">
        <v>2025</v>
      </c>
      <c r="F1536" t="inlineStr">
        <is>
          <t>Marzec</t>
        </is>
      </c>
      <c r="G1536" t="inlineStr">
        <is>
          <t>Sob</t>
        </is>
      </c>
      <c r="H1536">
        <f>'Floor Hours Engine'!$E$5</f>
        <v/>
      </c>
      <c r="I1536" t="inlineStr">
        <is>
          <t>W3</t>
        </is>
      </c>
      <c r="J1536" t="inlineStr">
        <is>
          <t>2025_Marzec_W3</t>
        </is>
      </c>
    </row>
    <row r="1537">
      <c r="A1537" s="177" t="n">
        <v>45732</v>
      </c>
      <c r="B1537" s="177" t="n">
        <v>45727</v>
      </c>
      <c r="C1537" s="177" t="n">
        <v>45733</v>
      </c>
      <c r="D1537" t="inlineStr">
        <is>
          <t>BW20250311</t>
        </is>
      </c>
      <c r="E1537" t="n">
        <v>2025</v>
      </c>
      <c r="F1537" t="inlineStr">
        <is>
          <t>Marzec</t>
        </is>
      </c>
      <c r="G1537" t="inlineStr">
        <is>
          <t>Nd</t>
        </is>
      </c>
      <c r="H1537">
        <f>'Floor Hours Engine'!$E$6</f>
        <v/>
      </c>
      <c r="I1537" t="inlineStr">
        <is>
          <t>W3</t>
        </is>
      </c>
      <c r="J1537" t="inlineStr">
        <is>
          <t>2025_Marzec_W3</t>
        </is>
      </c>
    </row>
    <row r="1538">
      <c r="A1538" s="177" t="n">
        <v>45733</v>
      </c>
      <c r="B1538" s="177" t="n">
        <v>45727</v>
      </c>
      <c r="C1538" s="177" t="n">
        <v>45733</v>
      </c>
      <c r="D1538" t="inlineStr">
        <is>
          <t>BW20250311</t>
        </is>
      </c>
      <c r="E1538" t="n">
        <v>2025</v>
      </c>
      <c r="F1538" t="inlineStr">
        <is>
          <t>Marzec</t>
        </is>
      </c>
      <c r="G1538" t="inlineStr">
        <is>
          <t>Pn</t>
        </is>
      </c>
      <c r="H1538">
        <f>'Floor Hours Engine'!$E$4</f>
        <v/>
      </c>
      <c r="I1538" t="inlineStr">
        <is>
          <t>W3</t>
        </is>
      </c>
      <c r="J1538" t="inlineStr">
        <is>
          <t>2025_Marzec_W3</t>
        </is>
      </c>
    </row>
    <row r="1539">
      <c r="A1539" s="177" t="n">
        <v>45734</v>
      </c>
      <c r="B1539" s="177" t="n">
        <v>45734</v>
      </c>
      <c r="C1539" s="177" t="n">
        <v>45740</v>
      </c>
      <c r="D1539" t="inlineStr">
        <is>
          <t>BW20250318</t>
        </is>
      </c>
      <c r="E1539" t="n">
        <v>2025</v>
      </c>
      <c r="F1539" t="inlineStr">
        <is>
          <t>Marzec</t>
        </is>
      </c>
      <c r="G1539" t="inlineStr">
        <is>
          <t>Wt</t>
        </is>
      </c>
      <c r="H1539">
        <f>'Floor Hours Engine'!$E$4</f>
        <v/>
      </c>
      <c r="I1539" t="inlineStr">
        <is>
          <t>W4</t>
        </is>
      </c>
      <c r="J1539" t="inlineStr">
        <is>
          <t>2025_Marzec_W4</t>
        </is>
      </c>
    </row>
    <row r="1540">
      <c r="A1540" s="177" t="n">
        <v>45735</v>
      </c>
      <c r="B1540" s="177" t="n">
        <v>45734</v>
      </c>
      <c r="C1540" s="177" t="n">
        <v>45740</v>
      </c>
      <c r="D1540" t="inlineStr">
        <is>
          <t>BW20250318</t>
        </is>
      </c>
      <c r="E1540" t="n">
        <v>2025</v>
      </c>
      <c r="F1540" t="inlineStr">
        <is>
          <t>Marzec</t>
        </is>
      </c>
      <c r="G1540" t="inlineStr">
        <is>
          <t>Śr</t>
        </is>
      </c>
      <c r="H1540">
        <f>'Floor Hours Engine'!$E$4</f>
        <v/>
      </c>
      <c r="I1540" t="inlineStr">
        <is>
          <t>W4</t>
        </is>
      </c>
      <c r="J1540" t="inlineStr">
        <is>
          <t>2025_Marzec_W4</t>
        </is>
      </c>
    </row>
    <row r="1541">
      <c r="A1541" s="177" t="n">
        <v>45736</v>
      </c>
      <c r="B1541" s="177" t="n">
        <v>45734</v>
      </c>
      <c r="C1541" s="177" t="n">
        <v>45740</v>
      </c>
      <c r="D1541" t="inlineStr">
        <is>
          <t>BW20250318</t>
        </is>
      </c>
      <c r="E1541" t="n">
        <v>2025</v>
      </c>
      <c r="F1541" t="inlineStr">
        <is>
          <t>Marzec</t>
        </is>
      </c>
      <c r="G1541" t="inlineStr">
        <is>
          <t>Czw</t>
        </is>
      </c>
      <c r="H1541">
        <f>'Floor Hours Engine'!$E$4</f>
        <v/>
      </c>
      <c r="I1541" t="inlineStr">
        <is>
          <t>W4</t>
        </is>
      </c>
      <c r="J1541" t="inlineStr">
        <is>
          <t>2025_Marzec_W4</t>
        </is>
      </c>
    </row>
    <row r="1542">
      <c r="A1542" s="177" t="n">
        <v>45737</v>
      </c>
      <c r="B1542" s="177" t="n">
        <v>45734</v>
      </c>
      <c r="C1542" s="177" t="n">
        <v>45740</v>
      </c>
      <c r="D1542" t="inlineStr">
        <is>
          <t>BW20250318</t>
        </is>
      </c>
      <c r="E1542" t="n">
        <v>2025</v>
      </c>
      <c r="F1542" t="inlineStr">
        <is>
          <t>Marzec</t>
        </is>
      </c>
      <c r="G1542" t="inlineStr">
        <is>
          <t>Pt</t>
        </is>
      </c>
      <c r="H1542">
        <f>'Floor Hours Engine'!$E$5</f>
        <v/>
      </c>
      <c r="I1542" t="inlineStr">
        <is>
          <t>W4</t>
        </is>
      </c>
      <c r="J1542" t="inlineStr">
        <is>
          <t>2025_Marzec_W4</t>
        </is>
      </c>
    </row>
    <row r="1543">
      <c r="A1543" s="177" t="n">
        <v>45738</v>
      </c>
      <c r="B1543" s="177" t="n">
        <v>45734</v>
      </c>
      <c r="C1543" s="177" t="n">
        <v>45740</v>
      </c>
      <c r="D1543" t="inlineStr">
        <is>
          <t>BW20250318</t>
        </is>
      </c>
      <c r="E1543" t="n">
        <v>2025</v>
      </c>
      <c r="F1543" t="inlineStr">
        <is>
          <t>Marzec</t>
        </is>
      </c>
      <c r="G1543" t="inlineStr">
        <is>
          <t>Sob</t>
        </is>
      </c>
      <c r="H1543">
        <f>'Floor Hours Engine'!$E$5</f>
        <v/>
      </c>
      <c r="I1543" t="inlineStr">
        <is>
          <t>W4</t>
        </is>
      </c>
      <c r="J1543" t="inlineStr">
        <is>
          <t>2025_Marzec_W4</t>
        </is>
      </c>
    </row>
    <row r="1544">
      <c r="A1544" s="177" t="n">
        <v>45739</v>
      </c>
      <c r="B1544" s="177" t="n">
        <v>45734</v>
      </c>
      <c r="C1544" s="177" t="n">
        <v>45740</v>
      </c>
      <c r="D1544" t="inlineStr">
        <is>
          <t>BW20250318</t>
        </is>
      </c>
      <c r="E1544" t="n">
        <v>2025</v>
      </c>
      <c r="F1544" t="inlineStr">
        <is>
          <t>Marzec</t>
        </is>
      </c>
      <c r="G1544" t="inlineStr">
        <is>
          <t>Nd</t>
        </is>
      </c>
      <c r="H1544">
        <f>'Floor Hours Engine'!$E$6</f>
        <v/>
      </c>
      <c r="I1544" t="inlineStr">
        <is>
          <t>W4</t>
        </is>
      </c>
      <c r="J1544" t="inlineStr">
        <is>
          <t>2025_Marzec_W4</t>
        </is>
      </c>
    </row>
    <row r="1545">
      <c r="A1545" s="177" t="n">
        <v>45740</v>
      </c>
      <c r="B1545" s="177" t="n">
        <v>45734</v>
      </c>
      <c r="C1545" s="177" t="n">
        <v>45740</v>
      </c>
      <c r="D1545" t="inlineStr">
        <is>
          <t>BW20250318</t>
        </is>
      </c>
      <c r="E1545" t="n">
        <v>2025</v>
      </c>
      <c r="F1545" t="inlineStr">
        <is>
          <t>Marzec</t>
        </is>
      </c>
      <c r="G1545" t="inlineStr">
        <is>
          <t>Pn</t>
        </is>
      </c>
      <c r="H1545">
        <f>'Floor Hours Engine'!$E$4</f>
        <v/>
      </c>
      <c r="I1545" t="inlineStr">
        <is>
          <t>W4</t>
        </is>
      </c>
      <c r="J1545" t="inlineStr">
        <is>
          <t>2025_Marzec_W4</t>
        </is>
      </c>
    </row>
    <row r="1546">
      <c r="A1546" s="177" t="n">
        <v>45741</v>
      </c>
      <c r="B1546" s="177" t="n">
        <v>45741</v>
      </c>
      <c r="C1546" s="177" t="n">
        <v>45747</v>
      </c>
      <c r="D1546" t="inlineStr">
        <is>
          <t>BW20250325</t>
        </is>
      </c>
      <c r="E1546" t="n">
        <v>2025</v>
      </c>
      <c r="F1546" t="inlineStr">
        <is>
          <t>Marzec</t>
        </is>
      </c>
      <c r="G1546" t="inlineStr">
        <is>
          <t>Wt</t>
        </is>
      </c>
      <c r="H1546">
        <f>'Floor Hours Engine'!$E$4</f>
        <v/>
      </c>
      <c r="I1546" t="inlineStr">
        <is>
          <t>W5</t>
        </is>
      </c>
      <c r="J1546" t="inlineStr">
        <is>
          <t>2025_Marzec_W5</t>
        </is>
      </c>
    </row>
    <row r="1547">
      <c r="A1547" s="177" t="n">
        <v>45742</v>
      </c>
      <c r="B1547" s="177" t="n">
        <v>45741</v>
      </c>
      <c r="C1547" s="177" t="n">
        <v>45747</v>
      </c>
      <c r="D1547" t="inlineStr">
        <is>
          <t>BW20250325</t>
        </is>
      </c>
      <c r="E1547" t="n">
        <v>2025</v>
      </c>
      <c r="F1547" t="inlineStr">
        <is>
          <t>Marzec</t>
        </is>
      </c>
      <c r="G1547" t="inlineStr">
        <is>
          <t>Śr</t>
        </is>
      </c>
      <c r="H1547">
        <f>'Floor Hours Engine'!$E$4</f>
        <v/>
      </c>
      <c r="I1547" t="inlineStr">
        <is>
          <t>W5</t>
        </is>
      </c>
      <c r="J1547" t="inlineStr">
        <is>
          <t>2025_Marzec_W5</t>
        </is>
      </c>
    </row>
    <row r="1548">
      <c r="A1548" s="177" t="n">
        <v>45743</v>
      </c>
      <c r="B1548" s="177" t="n">
        <v>45741</v>
      </c>
      <c r="C1548" s="177" t="n">
        <v>45747</v>
      </c>
      <c r="D1548" t="inlineStr">
        <is>
          <t>BW20250325</t>
        </is>
      </c>
      <c r="E1548" t="n">
        <v>2025</v>
      </c>
      <c r="F1548" t="inlineStr">
        <is>
          <t>Marzec</t>
        </is>
      </c>
      <c r="G1548" t="inlineStr">
        <is>
          <t>Czw</t>
        </is>
      </c>
      <c r="H1548">
        <f>'Floor Hours Engine'!$E$4</f>
        <v/>
      </c>
      <c r="I1548" t="inlineStr">
        <is>
          <t>W5</t>
        </is>
      </c>
      <c r="J1548" t="inlineStr">
        <is>
          <t>2025_Marzec_W5</t>
        </is>
      </c>
    </row>
    <row r="1549">
      <c r="A1549" s="177" t="n">
        <v>45744</v>
      </c>
      <c r="B1549" s="177" t="n">
        <v>45741</v>
      </c>
      <c r="C1549" s="177" t="n">
        <v>45747</v>
      </c>
      <c r="D1549" t="inlineStr">
        <is>
          <t>BW20250325</t>
        </is>
      </c>
      <c r="E1549" t="n">
        <v>2025</v>
      </c>
      <c r="F1549" t="inlineStr">
        <is>
          <t>Marzec</t>
        </is>
      </c>
      <c r="G1549" t="inlineStr">
        <is>
          <t>Pt</t>
        </is>
      </c>
      <c r="H1549">
        <f>'Floor Hours Engine'!$E$5</f>
        <v/>
      </c>
      <c r="I1549" t="inlineStr">
        <is>
          <t>W5</t>
        </is>
      </c>
      <c r="J1549" t="inlineStr">
        <is>
          <t>2025_Marzec_W5</t>
        </is>
      </c>
    </row>
    <row r="1550">
      <c r="A1550" s="177" t="n">
        <v>45745</v>
      </c>
      <c r="B1550" s="177" t="n">
        <v>45741</v>
      </c>
      <c r="C1550" s="177" t="n">
        <v>45747</v>
      </c>
      <c r="D1550" t="inlineStr">
        <is>
          <t>BW20250325</t>
        </is>
      </c>
      <c r="E1550" t="n">
        <v>2025</v>
      </c>
      <c r="F1550" t="inlineStr">
        <is>
          <t>Marzec</t>
        </is>
      </c>
      <c r="G1550" t="inlineStr">
        <is>
          <t>Sob</t>
        </is>
      </c>
      <c r="H1550">
        <f>'Floor Hours Engine'!$E$5</f>
        <v/>
      </c>
      <c r="I1550" t="inlineStr">
        <is>
          <t>W5</t>
        </is>
      </c>
      <c r="J1550" t="inlineStr">
        <is>
          <t>2025_Marzec_W5</t>
        </is>
      </c>
    </row>
    <row r="1551">
      <c r="A1551" s="177" t="n">
        <v>45746</v>
      </c>
      <c r="B1551" s="177" t="n">
        <v>45741</v>
      </c>
      <c r="C1551" s="177" t="n">
        <v>45747</v>
      </c>
      <c r="D1551" t="inlineStr">
        <is>
          <t>BW20250325</t>
        </is>
      </c>
      <c r="E1551" t="n">
        <v>2025</v>
      </c>
      <c r="F1551" t="inlineStr">
        <is>
          <t>Marzec</t>
        </is>
      </c>
      <c r="G1551" t="inlineStr">
        <is>
          <t>Nd</t>
        </is>
      </c>
      <c r="H1551">
        <f>'Floor Hours Engine'!$E$6</f>
        <v/>
      </c>
      <c r="I1551" t="inlineStr">
        <is>
          <t>W5</t>
        </is>
      </c>
      <c r="J1551" t="inlineStr">
        <is>
          <t>2025_Marzec_W5</t>
        </is>
      </c>
    </row>
    <row r="1552">
      <c r="A1552" s="177" t="n">
        <v>45747</v>
      </c>
      <c r="B1552" s="177" t="n">
        <v>45741</v>
      </c>
      <c r="C1552" s="177" t="n">
        <v>45747</v>
      </c>
      <c r="D1552" t="inlineStr">
        <is>
          <t>BW20250325</t>
        </is>
      </c>
      <c r="E1552" t="n">
        <v>2025</v>
      </c>
      <c r="F1552" t="inlineStr">
        <is>
          <t>Marzec</t>
        </is>
      </c>
      <c r="G1552" t="inlineStr">
        <is>
          <t>Pn</t>
        </is>
      </c>
      <c r="H1552">
        <f>'Floor Hours Engine'!$E$4</f>
        <v/>
      </c>
      <c r="I1552" t="inlineStr">
        <is>
          <t>W5</t>
        </is>
      </c>
      <c r="J1552" t="inlineStr">
        <is>
          <t>2025_Marzec_W5</t>
        </is>
      </c>
    </row>
    <row r="1553">
      <c r="A1553" s="177" t="n">
        <v>45748</v>
      </c>
      <c r="B1553" s="177" t="n">
        <v>45748</v>
      </c>
      <c r="C1553" s="177" t="n">
        <v>45754</v>
      </c>
      <c r="D1553" t="inlineStr">
        <is>
          <t>BW20250401</t>
        </is>
      </c>
      <c r="E1553" t="n">
        <v>2025</v>
      </c>
      <c r="F1553" t="inlineStr">
        <is>
          <t>Kwiecień</t>
        </is>
      </c>
      <c r="G1553" t="inlineStr">
        <is>
          <t>Wt</t>
        </is>
      </c>
      <c r="H1553">
        <f>'Floor Hours Engine'!$E$4</f>
        <v/>
      </c>
      <c r="I1553" t="inlineStr">
        <is>
          <t>W1</t>
        </is>
      </c>
      <c r="J1553" t="inlineStr">
        <is>
          <t>2025_Kwiecień_W1</t>
        </is>
      </c>
    </row>
    <row r="1554">
      <c r="A1554" s="177" t="n">
        <v>45749</v>
      </c>
      <c r="B1554" s="177" t="n">
        <v>45748</v>
      </c>
      <c r="C1554" s="177" t="n">
        <v>45754</v>
      </c>
      <c r="D1554" t="inlineStr">
        <is>
          <t>BW20250401</t>
        </is>
      </c>
      <c r="E1554" t="n">
        <v>2025</v>
      </c>
      <c r="F1554" t="inlineStr">
        <is>
          <t>Kwiecień</t>
        </is>
      </c>
      <c r="G1554" t="inlineStr">
        <is>
          <t>Śr</t>
        </is>
      </c>
      <c r="H1554">
        <f>'Floor Hours Engine'!$E$4</f>
        <v/>
      </c>
      <c r="I1554" t="inlineStr">
        <is>
          <t>W1</t>
        </is>
      </c>
      <c r="J1554" t="inlineStr">
        <is>
          <t>2025_Kwiecień_W1</t>
        </is>
      </c>
    </row>
    <row r="1555">
      <c r="A1555" s="177" t="n">
        <v>45750</v>
      </c>
      <c r="B1555" s="177" t="n">
        <v>45748</v>
      </c>
      <c r="C1555" s="177" t="n">
        <v>45754</v>
      </c>
      <c r="D1555" t="inlineStr">
        <is>
          <t>BW20250401</t>
        </is>
      </c>
      <c r="E1555" t="n">
        <v>2025</v>
      </c>
      <c r="F1555" t="inlineStr">
        <is>
          <t>Kwiecień</t>
        </is>
      </c>
      <c r="G1555" t="inlineStr">
        <is>
          <t>Czw</t>
        </is>
      </c>
      <c r="H1555">
        <f>'Floor Hours Engine'!$E$4</f>
        <v/>
      </c>
      <c r="I1555" t="inlineStr">
        <is>
          <t>W1</t>
        </is>
      </c>
      <c r="J1555" t="inlineStr">
        <is>
          <t>2025_Kwiecień_W1</t>
        </is>
      </c>
    </row>
    <row r="1556">
      <c r="A1556" s="177" t="n">
        <v>45751</v>
      </c>
      <c r="B1556" s="177" t="n">
        <v>45748</v>
      </c>
      <c r="C1556" s="177" t="n">
        <v>45754</v>
      </c>
      <c r="D1556" t="inlineStr">
        <is>
          <t>BW20250401</t>
        </is>
      </c>
      <c r="E1556" t="n">
        <v>2025</v>
      </c>
      <c r="F1556" t="inlineStr">
        <is>
          <t>Kwiecień</t>
        </is>
      </c>
      <c r="G1556" t="inlineStr">
        <is>
          <t>Pt</t>
        </is>
      </c>
      <c r="H1556">
        <f>'Floor Hours Engine'!$E$5</f>
        <v/>
      </c>
      <c r="I1556" t="inlineStr">
        <is>
          <t>W1</t>
        </is>
      </c>
      <c r="J1556" t="inlineStr">
        <is>
          <t>2025_Kwiecień_W1</t>
        </is>
      </c>
    </row>
    <row r="1557">
      <c r="A1557" s="177" t="n">
        <v>45752</v>
      </c>
      <c r="B1557" s="177" t="n">
        <v>45748</v>
      </c>
      <c r="C1557" s="177" t="n">
        <v>45754</v>
      </c>
      <c r="D1557" t="inlineStr">
        <is>
          <t>BW20250401</t>
        </is>
      </c>
      <c r="E1557" t="n">
        <v>2025</v>
      </c>
      <c r="F1557" t="inlineStr">
        <is>
          <t>Kwiecień</t>
        </is>
      </c>
      <c r="G1557" t="inlineStr">
        <is>
          <t>Sob</t>
        </is>
      </c>
      <c r="H1557">
        <f>'Floor Hours Engine'!$E$5</f>
        <v/>
      </c>
      <c r="I1557" t="inlineStr">
        <is>
          <t>W1</t>
        </is>
      </c>
      <c r="J1557" t="inlineStr">
        <is>
          <t>2025_Kwiecień_W1</t>
        </is>
      </c>
    </row>
    <row r="1558">
      <c r="A1558" s="177" t="n">
        <v>45753</v>
      </c>
      <c r="B1558" s="177" t="n">
        <v>45748</v>
      </c>
      <c r="C1558" s="177" t="n">
        <v>45754</v>
      </c>
      <c r="D1558" t="inlineStr">
        <is>
          <t>BW20250401</t>
        </is>
      </c>
      <c r="E1558" t="n">
        <v>2025</v>
      </c>
      <c r="F1558" t="inlineStr">
        <is>
          <t>Kwiecień</t>
        </is>
      </c>
      <c r="G1558" t="inlineStr">
        <is>
          <t>Nd</t>
        </is>
      </c>
      <c r="H1558">
        <f>'Floor Hours Engine'!$E$6</f>
        <v/>
      </c>
      <c r="I1558" t="inlineStr">
        <is>
          <t>W1</t>
        </is>
      </c>
      <c r="J1558" t="inlineStr">
        <is>
          <t>2025_Kwiecień_W1</t>
        </is>
      </c>
    </row>
    <row r="1559">
      <c r="A1559" s="177" t="n">
        <v>45754</v>
      </c>
      <c r="B1559" s="177" t="n">
        <v>45748</v>
      </c>
      <c r="C1559" s="177" t="n">
        <v>45754</v>
      </c>
      <c r="D1559" t="inlineStr">
        <is>
          <t>BW20250401</t>
        </is>
      </c>
      <c r="E1559" t="n">
        <v>2025</v>
      </c>
      <c r="F1559" t="inlineStr">
        <is>
          <t>Kwiecień</t>
        </is>
      </c>
      <c r="G1559" t="inlineStr">
        <is>
          <t>Pn</t>
        </is>
      </c>
      <c r="H1559">
        <f>'Floor Hours Engine'!$E$4</f>
        <v/>
      </c>
      <c r="I1559" t="inlineStr">
        <is>
          <t>W1</t>
        </is>
      </c>
      <c r="J1559" t="inlineStr">
        <is>
          <t>2025_Kwiecień_W1</t>
        </is>
      </c>
    </row>
    <row r="1560">
      <c r="A1560" s="177" t="n">
        <v>45755</v>
      </c>
      <c r="B1560" s="177" t="n">
        <v>45755</v>
      </c>
      <c r="C1560" s="177" t="n">
        <v>45761</v>
      </c>
      <c r="D1560" t="inlineStr">
        <is>
          <t>BW20250408</t>
        </is>
      </c>
      <c r="E1560" t="n">
        <v>2025</v>
      </c>
      <c r="F1560" t="inlineStr">
        <is>
          <t>Kwiecień</t>
        </is>
      </c>
      <c r="G1560" t="inlineStr">
        <is>
          <t>Wt</t>
        </is>
      </c>
      <c r="H1560">
        <f>'Floor Hours Engine'!$E$4</f>
        <v/>
      </c>
      <c r="I1560" t="inlineStr">
        <is>
          <t>W2</t>
        </is>
      </c>
      <c r="J1560" t="inlineStr">
        <is>
          <t>2025_Kwiecień_W2</t>
        </is>
      </c>
    </row>
    <row r="1561">
      <c r="A1561" s="177" t="n">
        <v>45756</v>
      </c>
      <c r="B1561" s="177" t="n">
        <v>45755</v>
      </c>
      <c r="C1561" s="177" t="n">
        <v>45761</v>
      </c>
      <c r="D1561" t="inlineStr">
        <is>
          <t>BW20250408</t>
        </is>
      </c>
      <c r="E1561" t="n">
        <v>2025</v>
      </c>
      <c r="F1561" t="inlineStr">
        <is>
          <t>Kwiecień</t>
        </is>
      </c>
      <c r="G1561" t="inlineStr">
        <is>
          <t>Śr</t>
        </is>
      </c>
      <c r="H1561">
        <f>'Floor Hours Engine'!$E$4</f>
        <v/>
      </c>
      <c r="I1561" t="inlineStr">
        <is>
          <t>W2</t>
        </is>
      </c>
      <c r="J1561" t="inlineStr">
        <is>
          <t>2025_Kwiecień_W2</t>
        </is>
      </c>
    </row>
    <row r="1562">
      <c r="A1562" s="177" t="n">
        <v>45757</v>
      </c>
      <c r="B1562" s="177" t="n">
        <v>45755</v>
      </c>
      <c r="C1562" s="177" t="n">
        <v>45761</v>
      </c>
      <c r="D1562" t="inlineStr">
        <is>
          <t>BW20250408</t>
        </is>
      </c>
      <c r="E1562" t="n">
        <v>2025</v>
      </c>
      <c r="F1562" t="inlineStr">
        <is>
          <t>Kwiecień</t>
        </is>
      </c>
      <c r="G1562" t="inlineStr">
        <is>
          <t>Czw</t>
        </is>
      </c>
      <c r="H1562">
        <f>'Floor Hours Engine'!$E$4</f>
        <v/>
      </c>
      <c r="I1562" t="inlineStr">
        <is>
          <t>W2</t>
        </is>
      </c>
      <c r="J1562" t="inlineStr">
        <is>
          <t>2025_Kwiecień_W2</t>
        </is>
      </c>
    </row>
    <row r="1563">
      <c r="A1563" s="177" t="n">
        <v>45758</v>
      </c>
      <c r="B1563" s="177" t="n">
        <v>45755</v>
      </c>
      <c r="C1563" s="177" t="n">
        <v>45761</v>
      </c>
      <c r="D1563" t="inlineStr">
        <is>
          <t>BW20250408</t>
        </is>
      </c>
      <c r="E1563" t="n">
        <v>2025</v>
      </c>
      <c r="F1563" t="inlineStr">
        <is>
          <t>Kwiecień</t>
        </is>
      </c>
      <c r="G1563" t="inlineStr">
        <is>
          <t>Pt</t>
        </is>
      </c>
      <c r="H1563">
        <f>'Floor Hours Engine'!$E$5</f>
        <v/>
      </c>
      <c r="I1563" t="inlineStr">
        <is>
          <t>W2</t>
        </is>
      </c>
      <c r="J1563" t="inlineStr">
        <is>
          <t>2025_Kwiecień_W2</t>
        </is>
      </c>
    </row>
    <row r="1564">
      <c r="A1564" s="177" t="n">
        <v>45759</v>
      </c>
      <c r="B1564" s="177" t="n">
        <v>45755</v>
      </c>
      <c r="C1564" s="177" t="n">
        <v>45761</v>
      </c>
      <c r="D1564" t="inlineStr">
        <is>
          <t>BW20250408</t>
        </is>
      </c>
      <c r="E1564" t="n">
        <v>2025</v>
      </c>
      <c r="F1564" t="inlineStr">
        <is>
          <t>Kwiecień</t>
        </is>
      </c>
      <c r="G1564" t="inlineStr">
        <is>
          <t>Sob</t>
        </is>
      </c>
      <c r="H1564">
        <f>'Floor Hours Engine'!$E$5</f>
        <v/>
      </c>
      <c r="I1564" t="inlineStr">
        <is>
          <t>W2</t>
        </is>
      </c>
      <c r="J1564" t="inlineStr">
        <is>
          <t>2025_Kwiecień_W2</t>
        </is>
      </c>
    </row>
    <row r="1565">
      <c r="A1565" s="177" t="n">
        <v>45760</v>
      </c>
      <c r="B1565" s="177" t="n">
        <v>45755</v>
      </c>
      <c r="C1565" s="177" t="n">
        <v>45761</v>
      </c>
      <c r="D1565" t="inlineStr">
        <is>
          <t>BW20250408</t>
        </is>
      </c>
      <c r="E1565" t="n">
        <v>2025</v>
      </c>
      <c r="F1565" t="inlineStr">
        <is>
          <t>Kwiecień</t>
        </is>
      </c>
      <c r="G1565" t="inlineStr">
        <is>
          <t>Nd</t>
        </is>
      </c>
      <c r="H1565">
        <f>'Floor Hours Engine'!$E$6</f>
        <v/>
      </c>
      <c r="I1565" t="inlineStr">
        <is>
          <t>W2</t>
        </is>
      </c>
      <c r="J1565" t="inlineStr">
        <is>
          <t>2025_Kwiecień_W2</t>
        </is>
      </c>
    </row>
    <row r="1566">
      <c r="A1566" s="177" t="n">
        <v>45761</v>
      </c>
      <c r="B1566" s="177" t="n">
        <v>45755</v>
      </c>
      <c r="C1566" s="177" t="n">
        <v>45761</v>
      </c>
      <c r="D1566" t="inlineStr">
        <is>
          <t>BW20250408</t>
        </is>
      </c>
      <c r="E1566" t="n">
        <v>2025</v>
      </c>
      <c r="F1566" t="inlineStr">
        <is>
          <t>Kwiecień</t>
        </is>
      </c>
      <c r="G1566" t="inlineStr">
        <is>
          <t>Pn</t>
        </is>
      </c>
      <c r="H1566">
        <f>'Floor Hours Engine'!$E$4</f>
        <v/>
      </c>
      <c r="I1566" t="inlineStr">
        <is>
          <t>W2</t>
        </is>
      </c>
      <c r="J1566" t="inlineStr">
        <is>
          <t>2025_Kwiecień_W2</t>
        </is>
      </c>
    </row>
    <row r="1567">
      <c r="A1567" s="177" t="n">
        <v>45762</v>
      </c>
      <c r="B1567" s="177" t="n">
        <v>45762</v>
      </c>
      <c r="C1567" s="177" t="n">
        <v>45768</v>
      </c>
      <c r="D1567" t="inlineStr">
        <is>
          <t>BW20250415</t>
        </is>
      </c>
      <c r="E1567" t="n">
        <v>2025</v>
      </c>
      <c r="F1567" t="inlineStr">
        <is>
          <t>Kwiecień</t>
        </is>
      </c>
      <c r="G1567" t="inlineStr">
        <is>
          <t>Wt</t>
        </is>
      </c>
      <c r="H1567">
        <f>'Floor Hours Engine'!$E$4</f>
        <v/>
      </c>
      <c r="I1567" t="inlineStr">
        <is>
          <t>W3</t>
        </is>
      </c>
      <c r="J1567" t="inlineStr">
        <is>
          <t>2025_Kwiecień_W3</t>
        </is>
      </c>
    </row>
    <row r="1568">
      <c r="A1568" s="177" t="n">
        <v>45763</v>
      </c>
      <c r="B1568" s="177" t="n">
        <v>45762</v>
      </c>
      <c r="C1568" s="177" t="n">
        <v>45768</v>
      </c>
      <c r="D1568" t="inlineStr">
        <is>
          <t>BW20250415</t>
        </is>
      </c>
      <c r="E1568" t="n">
        <v>2025</v>
      </c>
      <c r="F1568" t="inlineStr">
        <is>
          <t>Kwiecień</t>
        </is>
      </c>
      <c r="G1568" t="inlineStr">
        <is>
          <t>Śr</t>
        </is>
      </c>
      <c r="H1568">
        <f>'Floor Hours Engine'!$E$4</f>
        <v/>
      </c>
      <c r="I1568" t="inlineStr">
        <is>
          <t>W3</t>
        </is>
      </c>
      <c r="J1568" t="inlineStr">
        <is>
          <t>2025_Kwiecień_W3</t>
        </is>
      </c>
    </row>
    <row r="1569">
      <c r="A1569" s="177" t="n">
        <v>45764</v>
      </c>
      <c r="B1569" s="177" t="n">
        <v>45762</v>
      </c>
      <c r="C1569" s="177" t="n">
        <v>45768</v>
      </c>
      <c r="D1569" t="inlineStr">
        <is>
          <t>BW20250415</t>
        </is>
      </c>
      <c r="E1569" t="n">
        <v>2025</v>
      </c>
      <c r="F1569" t="inlineStr">
        <is>
          <t>Kwiecień</t>
        </is>
      </c>
      <c r="G1569" t="inlineStr">
        <is>
          <t>Czw</t>
        </is>
      </c>
      <c r="H1569">
        <f>'Floor Hours Engine'!$E$4</f>
        <v/>
      </c>
      <c r="I1569" t="inlineStr">
        <is>
          <t>W3</t>
        </is>
      </c>
      <c r="J1569" t="inlineStr">
        <is>
          <t>2025_Kwiecień_W3</t>
        </is>
      </c>
    </row>
    <row r="1570">
      <c r="A1570" s="177" t="n">
        <v>45765</v>
      </c>
      <c r="B1570" s="177" t="n">
        <v>45762</v>
      </c>
      <c r="C1570" s="177" t="n">
        <v>45768</v>
      </c>
      <c r="D1570" t="inlineStr">
        <is>
          <t>BW20250415</t>
        </is>
      </c>
      <c r="E1570" t="n">
        <v>2025</v>
      </c>
      <c r="F1570" t="inlineStr">
        <is>
          <t>Kwiecień</t>
        </is>
      </c>
      <c r="G1570" t="inlineStr">
        <is>
          <t>Pt</t>
        </is>
      </c>
      <c r="H1570">
        <f>'Floor Hours Engine'!$E$5</f>
        <v/>
      </c>
      <c r="I1570" t="inlineStr">
        <is>
          <t>W3</t>
        </is>
      </c>
      <c r="J1570" t="inlineStr">
        <is>
          <t>2025_Kwiecień_W3</t>
        </is>
      </c>
    </row>
    <row r="1571">
      <c r="A1571" s="177" t="n">
        <v>45766</v>
      </c>
      <c r="B1571" s="177" t="n">
        <v>45762</v>
      </c>
      <c r="C1571" s="177" t="n">
        <v>45768</v>
      </c>
      <c r="D1571" t="inlineStr">
        <is>
          <t>BW20250415</t>
        </is>
      </c>
      <c r="E1571" t="n">
        <v>2025</v>
      </c>
      <c r="F1571" t="inlineStr">
        <is>
          <t>Kwiecień</t>
        </is>
      </c>
      <c r="G1571" t="inlineStr">
        <is>
          <t>Sob</t>
        </is>
      </c>
      <c r="H1571">
        <f>'Floor Hours Engine'!$E$5</f>
        <v/>
      </c>
      <c r="I1571" t="inlineStr">
        <is>
          <t>W3</t>
        </is>
      </c>
      <c r="J1571" t="inlineStr">
        <is>
          <t>2025_Kwiecień_W3</t>
        </is>
      </c>
    </row>
    <row r="1572">
      <c r="A1572" s="177" t="n">
        <v>45767</v>
      </c>
      <c r="B1572" s="177" t="n">
        <v>45762</v>
      </c>
      <c r="C1572" s="177" t="n">
        <v>45768</v>
      </c>
      <c r="D1572" t="inlineStr">
        <is>
          <t>BW20250415</t>
        </is>
      </c>
      <c r="E1572" t="n">
        <v>2025</v>
      </c>
      <c r="F1572" t="inlineStr">
        <is>
          <t>Kwiecień</t>
        </is>
      </c>
      <c r="G1572" t="inlineStr">
        <is>
          <t>Nd</t>
        </is>
      </c>
      <c r="H1572">
        <f>'Floor Hours Engine'!$E$6</f>
        <v/>
      </c>
      <c r="I1572" t="inlineStr">
        <is>
          <t>W3</t>
        </is>
      </c>
      <c r="J1572" t="inlineStr">
        <is>
          <t>2025_Kwiecień_W3</t>
        </is>
      </c>
    </row>
    <row r="1573">
      <c r="A1573" s="177" t="n">
        <v>45768</v>
      </c>
      <c r="B1573" s="177" t="n">
        <v>45762</v>
      </c>
      <c r="C1573" s="177" t="n">
        <v>45768</v>
      </c>
      <c r="D1573" t="inlineStr">
        <is>
          <t>BW20250415</t>
        </is>
      </c>
      <c r="E1573" t="n">
        <v>2025</v>
      </c>
      <c r="F1573" t="inlineStr">
        <is>
          <t>Kwiecień</t>
        </is>
      </c>
      <c r="G1573" t="inlineStr">
        <is>
          <t>Pn</t>
        </is>
      </c>
      <c r="H1573">
        <f>'Floor Hours Engine'!$E$4</f>
        <v/>
      </c>
      <c r="I1573" t="inlineStr">
        <is>
          <t>W3</t>
        </is>
      </c>
      <c r="J1573" t="inlineStr">
        <is>
          <t>2025_Kwiecień_W3</t>
        </is>
      </c>
    </row>
    <row r="1574">
      <c r="A1574" s="177" t="n">
        <v>45769</v>
      </c>
      <c r="B1574" s="177" t="n">
        <v>45769</v>
      </c>
      <c r="C1574" s="177" t="n">
        <v>45775</v>
      </c>
      <c r="D1574" t="inlineStr">
        <is>
          <t>BW20250422</t>
        </is>
      </c>
      <c r="E1574" t="n">
        <v>2025</v>
      </c>
      <c r="F1574" t="inlineStr">
        <is>
          <t>Kwiecień</t>
        </is>
      </c>
      <c r="G1574" t="inlineStr">
        <is>
          <t>Wt</t>
        </is>
      </c>
      <c r="H1574">
        <f>'Floor Hours Engine'!$E$4</f>
        <v/>
      </c>
      <c r="I1574" t="inlineStr">
        <is>
          <t>W4</t>
        </is>
      </c>
      <c r="J1574" t="inlineStr">
        <is>
          <t>2025_Kwiecień_W4</t>
        </is>
      </c>
    </row>
    <row r="1575">
      <c r="A1575" s="177" t="n">
        <v>45770</v>
      </c>
      <c r="B1575" s="177" t="n">
        <v>45769</v>
      </c>
      <c r="C1575" s="177" t="n">
        <v>45775</v>
      </c>
      <c r="D1575" t="inlineStr">
        <is>
          <t>BW20250422</t>
        </is>
      </c>
      <c r="E1575" t="n">
        <v>2025</v>
      </c>
      <c r="F1575" t="inlineStr">
        <is>
          <t>Kwiecień</t>
        </is>
      </c>
      <c r="G1575" t="inlineStr">
        <is>
          <t>Śr</t>
        </is>
      </c>
      <c r="H1575">
        <f>'Floor Hours Engine'!$E$4</f>
        <v/>
      </c>
      <c r="I1575" t="inlineStr">
        <is>
          <t>W4</t>
        </is>
      </c>
      <c r="J1575" t="inlineStr">
        <is>
          <t>2025_Kwiecień_W4</t>
        </is>
      </c>
    </row>
    <row r="1576">
      <c r="A1576" s="177" t="n">
        <v>45771</v>
      </c>
      <c r="B1576" s="177" t="n">
        <v>45769</v>
      </c>
      <c r="C1576" s="177" t="n">
        <v>45775</v>
      </c>
      <c r="D1576" t="inlineStr">
        <is>
          <t>BW20250422</t>
        </is>
      </c>
      <c r="E1576" t="n">
        <v>2025</v>
      </c>
      <c r="F1576" t="inlineStr">
        <is>
          <t>Kwiecień</t>
        </is>
      </c>
      <c r="G1576" t="inlineStr">
        <is>
          <t>Czw</t>
        </is>
      </c>
      <c r="H1576">
        <f>'Floor Hours Engine'!$E$4</f>
        <v/>
      </c>
      <c r="I1576" t="inlineStr">
        <is>
          <t>W4</t>
        </is>
      </c>
      <c r="J1576" t="inlineStr">
        <is>
          <t>2025_Kwiecień_W4</t>
        </is>
      </c>
    </row>
    <row r="1577">
      <c r="A1577" s="177" t="n">
        <v>45772</v>
      </c>
      <c r="B1577" s="177" t="n">
        <v>45769</v>
      </c>
      <c r="C1577" s="177" t="n">
        <v>45775</v>
      </c>
      <c r="D1577" t="inlineStr">
        <is>
          <t>BW20250422</t>
        </is>
      </c>
      <c r="E1577" t="n">
        <v>2025</v>
      </c>
      <c r="F1577" t="inlineStr">
        <is>
          <t>Kwiecień</t>
        </is>
      </c>
      <c r="G1577" t="inlineStr">
        <is>
          <t>Pt</t>
        </is>
      </c>
      <c r="H1577">
        <f>'Floor Hours Engine'!$E$5</f>
        <v/>
      </c>
      <c r="I1577" t="inlineStr">
        <is>
          <t>W4</t>
        </is>
      </c>
      <c r="J1577" t="inlineStr">
        <is>
          <t>2025_Kwiecień_W4</t>
        </is>
      </c>
    </row>
    <row r="1578">
      <c r="A1578" s="177" t="n">
        <v>45773</v>
      </c>
      <c r="B1578" s="177" t="n">
        <v>45769</v>
      </c>
      <c r="C1578" s="177" t="n">
        <v>45775</v>
      </c>
      <c r="D1578" t="inlineStr">
        <is>
          <t>BW20250422</t>
        </is>
      </c>
      <c r="E1578" t="n">
        <v>2025</v>
      </c>
      <c r="F1578" t="inlineStr">
        <is>
          <t>Kwiecień</t>
        </is>
      </c>
      <c r="G1578" t="inlineStr">
        <is>
          <t>Sob</t>
        </is>
      </c>
      <c r="H1578">
        <f>'Floor Hours Engine'!$E$5</f>
        <v/>
      </c>
      <c r="I1578" t="inlineStr">
        <is>
          <t>W4</t>
        </is>
      </c>
      <c r="J1578" t="inlineStr">
        <is>
          <t>2025_Kwiecień_W4</t>
        </is>
      </c>
    </row>
    <row r="1579">
      <c r="A1579" s="177" t="n">
        <v>45774</v>
      </c>
      <c r="B1579" s="177" t="n">
        <v>45769</v>
      </c>
      <c r="C1579" s="177" t="n">
        <v>45775</v>
      </c>
      <c r="D1579" t="inlineStr">
        <is>
          <t>BW20250422</t>
        </is>
      </c>
      <c r="E1579" t="n">
        <v>2025</v>
      </c>
      <c r="F1579" t="inlineStr">
        <is>
          <t>Kwiecień</t>
        </is>
      </c>
      <c r="G1579" t="inlineStr">
        <is>
          <t>Nd</t>
        </is>
      </c>
      <c r="H1579">
        <f>'Floor Hours Engine'!$E$6</f>
        <v/>
      </c>
      <c r="I1579" t="inlineStr">
        <is>
          <t>W4</t>
        </is>
      </c>
      <c r="J1579" t="inlineStr">
        <is>
          <t>2025_Kwiecień_W4</t>
        </is>
      </c>
    </row>
    <row r="1580">
      <c r="A1580" s="177" t="n">
        <v>45775</v>
      </c>
      <c r="B1580" s="177" t="n">
        <v>45769</v>
      </c>
      <c r="C1580" s="177" t="n">
        <v>45775</v>
      </c>
      <c r="D1580" t="inlineStr">
        <is>
          <t>BW20250422</t>
        </is>
      </c>
      <c r="E1580" t="n">
        <v>2025</v>
      </c>
      <c r="F1580" t="inlineStr">
        <is>
          <t>Kwiecień</t>
        </is>
      </c>
      <c r="G1580" t="inlineStr">
        <is>
          <t>Pn</t>
        </is>
      </c>
      <c r="H1580">
        <f>'Floor Hours Engine'!$E$4</f>
        <v/>
      </c>
      <c r="I1580" t="inlineStr">
        <is>
          <t>W4</t>
        </is>
      </c>
      <c r="J1580" t="inlineStr">
        <is>
          <t>2025_Kwiecień_W4</t>
        </is>
      </c>
    </row>
    <row r="1581">
      <c r="A1581" s="177" t="n">
        <v>45776</v>
      </c>
      <c r="B1581" s="177" t="n">
        <v>45776</v>
      </c>
      <c r="C1581" s="177" t="n">
        <v>45782</v>
      </c>
      <c r="D1581" t="inlineStr">
        <is>
          <t>BW20250429</t>
        </is>
      </c>
      <c r="E1581" t="n">
        <v>2025</v>
      </c>
      <c r="F1581" t="inlineStr">
        <is>
          <t>Kwiecień</t>
        </is>
      </c>
      <c r="G1581" t="inlineStr">
        <is>
          <t>Wt</t>
        </is>
      </c>
      <c r="H1581">
        <f>'Floor Hours Engine'!$E$4</f>
        <v/>
      </c>
      <c r="I1581" t="inlineStr">
        <is>
          <t>W5</t>
        </is>
      </c>
      <c r="J1581" t="inlineStr">
        <is>
          <t>2025_Kwiecień_W5</t>
        </is>
      </c>
    </row>
    <row r="1582">
      <c r="A1582" s="177" t="n">
        <v>45777</v>
      </c>
      <c r="B1582" s="177" t="n">
        <v>45776</v>
      </c>
      <c r="C1582" s="177" t="n">
        <v>45782</v>
      </c>
      <c r="D1582" t="inlineStr">
        <is>
          <t>BW20250429</t>
        </is>
      </c>
      <c r="E1582" t="n">
        <v>2025</v>
      </c>
      <c r="F1582" t="inlineStr">
        <is>
          <t>Kwiecień</t>
        </is>
      </c>
      <c r="G1582" t="inlineStr">
        <is>
          <t>Śr</t>
        </is>
      </c>
      <c r="H1582">
        <f>'Floor Hours Engine'!$E$4</f>
        <v/>
      </c>
      <c r="I1582" t="inlineStr">
        <is>
          <t>W5</t>
        </is>
      </c>
      <c r="J1582" t="inlineStr">
        <is>
          <t>2025_Kwiecień_W5</t>
        </is>
      </c>
    </row>
    <row r="1583">
      <c r="A1583" s="177" t="n">
        <v>45778</v>
      </c>
      <c r="B1583" s="177" t="n">
        <v>45776</v>
      </c>
      <c r="C1583" s="177" t="n">
        <v>45782</v>
      </c>
      <c r="D1583" t="inlineStr">
        <is>
          <t>BW20250429</t>
        </is>
      </c>
      <c r="E1583" t="n">
        <v>2025</v>
      </c>
      <c r="F1583" t="inlineStr">
        <is>
          <t>Maj</t>
        </is>
      </c>
      <c r="G1583" t="inlineStr">
        <is>
          <t>Czw</t>
        </is>
      </c>
      <c r="H1583">
        <f>'Floor Hours Engine'!$E$4</f>
        <v/>
      </c>
      <c r="I1583" t="inlineStr">
        <is>
          <t>W1</t>
        </is>
      </c>
      <c r="J1583" t="inlineStr">
        <is>
          <t>2025_Maj_W1</t>
        </is>
      </c>
    </row>
    <row r="1584">
      <c r="A1584" s="177" t="n">
        <v>45779</v>
      </c>
      <c r="B1584" s="177" t="n">
        <v>45776</v>
      </c>
      <c r="C1584" s="177" t="n">
        <v>45782</v>
      </c>
      <c r="D1584" t="inlineStr">
        <is>
          <t>BW20250429</t>
        </is>
      </c>
      <c r="E1584" t="n">
        <v>2025</v>
      </c>
      <c r="F1584" t="inlineStr">
        <is>
          <t>Maj</t>
        </is>
      </c>
      <c r="G1584" t="inlineStr">
        <is>
          <t>Pt</t>
        </is>
      </c>
      <c r="H1584">
        <f>'Floor Hours Engine'!$E$5</f>
        <v/>
      </c>
      <c r="I1584" t="inlineStr">
        <is>
          <t>W1</t>
        </is>
      </c>
      <c r="J1584" t="inlineStr">
        <is>
          <t>2025_Maj_W1</t>
        </is>
      </c>
    </row>
    <row r="1585">
      <c r="A1585" s="177" t="n">
        <v>45780</v>
      </c>
      <c r="B1585" s="177" t="n">
        <v>45776</v>
      </c>
      <c r="C1585" s="177" t="n">
        <v>45782</v>
      </c>
      <c r="D1585" t="inlineStr">
        <is>
          <t>BW20250429</t>
        </is>
      </c>
      <c r="E1585" t="n">
        <v>2025</v>
      </c>
      <c r="F1585" t="inlineStr">
        <is>
          <t>Maj</t>
        </is>
      </c>
      <c r="G1585" t="inlineStr">
        <is>
          <t>Sob</t>
        </is>
      </c>
      <c r="H1585">
        <f>'Floor Hours Engine'!$E$5</f>
        <v/>
      </c>
      <c r="I1585" t="inlineStr">
        <is>
          <t>W1</t>
        </is>
      </c>
      <c r="J1585" t="inlineStr">
        <is>
          <t>2025_Maj_W1</t>
        </is>
      </c>
    </row>
    <row r="1586">
      <c r="A1586" s="177" t="n">
        <v>45781</v>
      </c>
      <c r="B1586" s="177" t="n">
        <v>45776</v>
      </c>
      <c r="C1586" s="177" t="n">
        <v>45782</v>
      </c>
      <c r="D1586" t="inlineStr">
        <is>
          <t>BW20250429</t>
        </is>
      </c>
      <c r="E1586" t="n">
        <v>2025</v>
      </c>
      <c r="F1586" t="inlineStr">
        <is>
          <t>Maj</t>
        </is>
      </c>
      <c r="G1586" t="inlineStr">
        <is>
          <t>Nd</t>
        </is>
      </c>
      <c r="H1586">
        <f>'Floor Hours Engine'!$E$6</f>
        <v/>
      </c>
      <c r="I1586" t="inlineStr">
        <is>
          <t>W1</t>
        </is>
      </c>
      <c r="J1586" t="inlineStr">
        <is>
          <t>2025_Maj_W1</t>
        </is>
      </c>
    </row>
    <row r="1587">
      <c r="A1587" s="177" t="n">
        <v>45782</v>
      </c>
      <c r="B1587" s="177" t="n">
        <v>45776</v>
      </c>
      <c r="C1587" s="177" t="n">
        <v>45782</v>
      </c>
      <c r="D1587" t="inlineStr">
        <is>
          <t>BW20250429</t>
        </is>
      </c>
      <c r="E1587" t="n">
        <v>2025</v>
      </c>
      <c r="F1587" t="inlineStr">
        <is>
          <t>Maj</t>
        </is>
      </c>
      <c r="G1587" t="inlineStr">
        <is>
          <t>Pn</t>
        </is>
      </c>
      <c r="H1587">
        <f>'Floor Hours Engine'!$E$4</f>
        <v/>
      </c>
      <c r="I1587" t="inlineStr">
        <is>
          <t>W1</t>
        </is>
      </c>
      <c r="J1587" t="inlineStr">
        <is>
          <t>2025_Maj_W1</t>
        </is>
      </c>
    </row>
    <row r="1588">
      <c r="A1588" s="177" t="n">
        <v>45783</v>
      </c>
      <c r="B1588" s="177" t="n">
        <v>45783</v>
      </c>
      <c r="C1588" s="177" t="n">
        <v>45789</v>
      </c>
      <c r="D1588" t="inlineStr">
        <is>
          <t>BW20250506</t>
        </is>
      </c>
      <c r="E1588" t="n">
        <v>2025</v>
      </c>
      <c r="F1588" t="inlineStr">
        <is>
          <t>Maj</t>
        </is>
      </c>
      <c r="G1588" t="inlineStr">
        <is>
          <t>Wt</t>
        </is>
      </c>
      <c r="H1588">
        <f>'Floor Hours Engine'!$E$4</f>
        <v/>
      </c>
      <c r="I1588" t="inlineStr">
        <is>
          <t>W2</t>
        </is>
      </c>
      <c r="J1588" t="inlineStr">
        <is>
          <t>2025_Maj_W2</t>
        </is>
      </c>
    </row>
    <row r="1589">
      <c r="A1589" s="177" t="n">
        <v>45784</v>
      </c>
      <c r="B1589" s="177" t="n">
        <v>45783</v>
      </c>
      <c r="C1589" s="177" t="n">
        <v>45789</v>
      </c>
      <c r="D1589" t="inlineStr">
        <is>
          <t>BW20250506</t>
        </is>
      </c>
      <c r="E1589" t="n">
        <v>2025</v>
      </c>
      <c r="F1589" t="inlineStr">
        <is>
          <t>Maj</t>
        </is>
      </c>
      <c r="G1589" t="inlineStr">
        <is>
          <t>Śr</t>
        </is>
      </c>
      <c r="H1589">
        <f>'Floor Hours Engine'!$E$4</f>
        <v/>
      </c>
      <c r="I1589" t="inlineStr">
        <is>
          <t>W2</t>
        </is>
      </c>
      <c r="J1589" t="inlineStr">
        <is>
          <t>2025_Maj_W2</t>
        </is>
      </c>
    </row>
    <row r="1590">
      <c r="A1590" s="177" t="n">
        <v>45785</v>
      </c>
      <c r="B1590" s="177" t="n">
        <v>45783</v>
      </c>
      <c r="C1590" s="177" t="n">
        <v>45789</v>
      </c>
      <c r="D1590" t="inlineStr">
        <is>
          <t>BW20250506</t>
        </is>
      </c>
      <c r="E1590" t="n">
        <v>2025</v>
      </c>
      <c r="F1590" t="inlineStr">
        <is>
          <t>Maj</t>
        </is>
      </c>
      <c r="G1590" t="inlineStr">
        <is>
          <t>Czw</t>
        </is>
      </c>
      <c r="H1590">
        <f>'Floor Hours Engine'!$E$4</f>
        <v/>
      </c>
      <c r="I1590" t="inlineStr">
        <is>
          <t>W2</t>
        </is>
      </c>
      <c r="J1590" t="inlineStr">
        <is>
          <t>2025_Maj_W2</t>
        </is>
      </c>
    </row>
    <row r="1591">
      <c r="A1591" s="177" t="n">
        <v>45786</v>
      </c>
      <c r="B1591" s="177" t="n">
        <v>45783</v>
      </c>
      <c r="C1591" s="177" t="n">
        <v>45789</v>
      </c>
      <c r="D1591" t="inlineStr">
        <is>
          <t>BW20250506</t>
        </is>
      </c>
      <c r="E1591" t="n">
        <v>2025</v>
      </c>
      <c r="F1591" t="inlineStr">
        <is>
          <t>Maj</t>
        </is>
      </c>
      <c r="G1591" t="inlineStr">
        <is>
          <t>Pt</t>
        </is>
      </c>
      <c r="H1591">
        <f>'Floor Hours Engine'!$E$5</f>
        <v/>
      </c>
      <c r="I1591" t="inlineStr">
        <is>
          <t>W2</t>
        </is>
      </c>
      <c r="J1591" t="inlineStr">
        <is>
          <t>2025_Maj_W2</t>
        </is>
      </c>
    </row>
    <row r="1592">
      <c r="A1592" s="177" t="n">
        <v>45787</v>
      </c>
      <c r="B1592" s="177" t="n">
        <v>45783</v>
      </c>
      <c r="C1592" s="177" t="n">
        <v>45789</v>
      </c>
      <c r="D1592" t="inlineStr">
        <is>
          <t>BW20250506</t>
        </is>
      </c>
      <c r="E1592" t="n">
        <v>2025</v>
      </c>
      <c r="F1592" t="inlineStr">
        <is>
          <t>Maj</t>
        </is>
      </c>
      <c r="G1592" t="inlineStr">
        <is>
          <t>Sob</t>
        </is>
      </c>
      <c r="H1592">
        <f>'Floor Hours Engine'!$E$5</f>
        <v/>
      </c>
      <c r="I1592" t="inlineStr">
        <is>
          <t>W2</t>
        </is>
      </c>
      <c r="J1592" t="inlineStr">
        <is>
          <t>2025_Maj_W2</t>
        </is>
      </c>
    </row>
    <row r="1593">
      <c r="A1593" s="177" t="n">
        <v>45788</v>
      </c>
      <c r="B1593" s="177" t="n">
        <v>45783</v>
      </c>
      <c r="C1593" s="177" t="n">
        <v>45789</v>
      </c>
      <c r="D1593" t="inlineStr">
        <is>
          <t>BW20250506</t>
        </is>
      </c>
      <c r="E1593" t="n">
        <v>2025</v>
      </c>
      <c r="F1593" t="inlineStr">
        <is>
          <t>Maj</t>
        </is>
      </c>
      <c r="G1593" t="inlineStr">
        <is>
          <t>Nd</t>
        </is>
      </c>
      <c r="H1593">
        <f>'Floor Hours Engine'!$E$6</f>
        <v/>
      </c>
      <c r="I1593" t="inlineStr">
        <is>
          <t>W2</t>
        </is>
      </c>
      <c r="J1593" t="inlineStr">
        <is>
          <t>2025_Maj_W2</t>
        </is>
      </c>
    </row>
    <row r="1594">
      <c r="A1594" s="177" t="n">
        <v>45789</v>
      </c>
      <c r="B1594" s="177" t="n">
        <v>45783</v>
      </c>
      <c r="C1594" s="177" t="n">
        <v>45789</v>
      </c>
      <c r="D1594" t="inlineStr">
        <is>
          <t>BW20250506</t>
        </is>
      </c>
      <c r="E1594" t="n">
        <v>2025</v>
      </c>
      <c r="F1594" t="inlineStr">
        <is>
          <t>Maj</t>
        </is>
      </c>
      <c r="G1594" t="inlineStr">
        <is>
          <t>Pn</t>
        </is>
      </c>
      <c r="H1594">
        <f>'Floor Hours Engine'!$E$4</f>
        <v/>
      </c>
      <c r="I1594" t="inlineStr">
        <is>
          <t>W2</t>
        </is>
      </c>
      <c r="J1594" t="inlineStr">
        <is>
          <t>2025_Maj_W2</t>
        </is>
      </c>
    </row>
    <row r="1595">
      <c r="A1595" s="177" t="n">
        <v>45790</v>
      </c>
      <c r="B1595" s="177" t="n">
        <v>45790</v>
      </c>
      <c r="C1595" s="177" t="n">
        <v>45796</v>
      </c>
      <c r="D1595" t="inlineStr">
        <is>
          <t>BW20250513</t>
        </is>
      </c>
      <c r="E1595" t="n">
        <v>2025</v>
      </c>
      <c r="F1595" t="inlineStr">
        <is>
          <t>Maj</t>
        </is>
      </c>
      <c r="G1595" t="inlineStr">
        <is>
          <t>Wt</t>
        </is>
      </c>
      <c r="H1595">
        <f>'Floor Hours Engine'!$E$4</f>
        <v/>
      </c>
      <c r="I1595" t="inlineStr">
        <is>
          <t>W3</t>
        </is>
      </c>
      <c r="J1595" t="inlineStr">
        <is>
          <t>2025_Maj_W3</t>
        </is>
      </c>
    </row>
    <row r="1596">
      <c r="A1596" s="177" t="n">
        <v>45791</v>
      </c>
      <c r="B1596" s="177" t="n">
        <v>45790</v>
      </c>
      <c r="C1596" s="177" t="n">
        <v>45796</v>
      </c>
      <c r="D1596" t="inlineStr">
        <is>
          <t>BW20250513</t>
        </is>
      </c>
      <c r="E1596" t="n">
        <v>2025</v>
      </c>
      <c r="F1596" t="inlineStr">
        <is>
          <t>Maj</t>
        </is>
      </c>
      <c r="G1596" t="inlineStr">
        <is>
          <t>Śr</t>
        </is>
      </c>
      <c r="H1596">
        <f>'Floor Hours Engine'!$E$4</f>
        <v/>
      </c>
      <c r="I1596" t="inlineStr">
        <is>
          <t>W3</t>
        </is>
      </c>
      <c r="J1596" t="inlineStr">
        <is>
          <t>2025_Maj_W3</t>
        </is>
      </c>
    </row>
    <row r="1597">
      <c r="A1597" s="177" t="n">
        <v>45792</v>
      </c>
      <c r="B1597" s="177" t="n">
        <v>45790</v>
      </c>
      <c r="C1597" s="177" t="n">
        <v>45796</v>
      </c>
      <c r="D1597" t="inlineStr">
        <is>
          <t>BW20250513</t>
        </is>
      </c>
      <c r="E1597" t="n">
        <v>2025</v>
      </c>
      <c r="F1597" t="inlineStr">
        <is>
          <t>Maj</t>
        </is>
      </c>
      <c r="G1597" t="inlineStr">
        <is>
          <t>Czw</t>
        </is>
      </c>
      <c r="H1597">
        <f>'Floor Hours Engine'!$E$4</f>
        <v/>
      </c>
      <c r="I1597" t="inlineStr">
        <is>
          <t>W3</t>
        </is>
      </c>
      <c r="J1597" t="inlineStr">
        <is>
          <t>2025_Maj_W3</t>
        </is>
      </c>
    </row>
    <row r="1598">
      <c r="A1598" s="177" t="n">
        <v>45793</v>
      </c>
      <c r="B1598" s="177" t="n">
        <v>45790</v>
      </c>
      <c r="C1598" s="177" t="n">
        <v>45796</v>
      </c>
      <c r="D1598" t="inlineStr">
        <is>
          <t>BW20250513</t>
        </is>
      </c>
      <c r="E1598" t="n">
        <v>2025</v>
      </c>
      <c r="F1598" t="inlineStr">
        <is>
          <t>Maj</t>
        </is>
      </c>
      <c r="G1598" t="inlineStr">
        <is>
          <t>Pt</t>
        </is>
      </c>
      <c r="H1598">
        <f>'Floor Hours Engine'!$E$5</f>
        <v/>
      </c>
      <c r="I1598" t="inlineStr">
        <is>
          <t>W3</t>
        </is>
      </c>
      <c r="J1598" t="inlineStr">
        <is>
          <t>2025_Maj_W3</t>
        </is>
      </c>
    </row>
    <row r="1599">
      <c r="A1599" s="177" t="n">
        <v>45794</v>
      </c>
      <c r="B1599" s="177" t="n">
        <v>45790</v>
      </c>
      <c r="C1599" s="177" t="n">
        <v>45796</v>
      </c>
      <c r="D1599" t="inlineStr">
        <is>
          <t>BW20250513</t>
        </is>
      </c>
      <c r="E1599" t="n">
        <v>2025</v>
      </c>
      <c r="F1599" t="inlineStr">
        <is>
          <t>Maj</t>
        </is>
      </c>
      <c r="G1599" t="inlineStr">
        <is>
          <t>Sob</t>
        </is>
      </c>
      <c r="H1599">
        <f>'Floor Hours Engine'!$E$5</f>
        <v/>
      </c>
      <c r="I1599" t="inlineStr">
        <is>
          <t>W3</t>
        </is>
      </c>
      <c r="J1599" t="inlineStr">
        <is>
          <t>2025_Maj_W3</t>
        </is>
      </c>
    </row>
    <row r="1600">
      <c r="A1600" s="177" t="n">
        <v>45795</v>
      </c>
      <c r="B1600" s="177" t="n">
        <v>45790</v>
      </c>
      <c r="C1600" s="177" t="n">
        <v>45796</v>
      </c>
      <c r="D1600" t="inlineStr">
        <is>
          <t>BW20250513</t>
        </is>
      </c>
      <c r="E1600" t="n">
        <v>2025</v>
      </c>
      <c r="F1600" t="inlineStr">
        <is>
          <t>Maj</t>
        </is>
      </c>
      <c r="G1600" t="inlineStr">
        <is>
          <t>Nd</t>
        </is>
      </c>
      <c r="H1600">
        <f>'Floor Hours Engine'!$E$6</f>
        <v/>
      </c>
      <c r="I1600" t="inlineStr">
        <is>
          <t>W3</t>
        </is>
      </c>
      <c r="J1600" t="inlineStr">
        <is>
          <t>2025_Maj_W3</t>
        </is>
      </c>
    </row>
    <row r="1601">
      <c r="A1601" s="177" t="n">
        <v>45796</v>
      </c>
      <c r="B1601" s="177" t="n">
        <v>45790</v>
      </c>
      <c r="C1601" s="177" t="n">
        <v>45796</v>
      </c>
      <c r="D1601" t="inlineStr">
        <is>
          <t>BW20250513</t>
        </is>
      </c>
      <c r="E1601" t="n">
        <v>2025</v>
      </c>
      <c r="F1601" t="inlineStr">
        <is>
          <t>Maj</t>
        </is>
      </c>
      <c r="G1601" t="inlineStr">
        <is>
          <t>Pn</t>
        </is>
      </c>
      <c r="H1601">
        <f>'Floor Hours Engine'!$E$4</f>
        <v/>
      </c>
      <c r="I1601" t="inlineStr">
        <is>
          <t>W3</t>
        </is>
      </c>
      <c r="J1601" t="inlineStr">
        <is>
          <t>2025_Maj_W3</t>
        </is>
      </c>
    </row>
    <row r="1602">
      <c r="A1602" s="177" t="n">
        <v>45797</v>
      </c>
      <c r="B1602" s="177" t="n">
        <v>45797</v>
      </c>
      <c r="C1602" s="177" t="n">
        <v>45803</v>
      </c>
      <c r="D1602" t="inlineStr">
        <is>
          <t>BW20250520</t>
        </is>
      </c>
      <c r="E1602" t="n">
        <v>2025</v>
      </c>
      <c r="F1602" t="inlineStr">
        <is>
          <t>Maj</t>
        </is>
      </c>
      <c r="G1602" t="inlineStr">
        <is>
          <t>Wt</t>
        </is>
      </c>
      <c r="H1602">
        <f>'Floor Hours Engine'!$E$4</f>
        <v/>
      </c>
      <c r="I1602" t="inlineStr">
        <is>
          <t>W4</t>
        </is>
      </c>
      <c r="J1602" t="inlineStr">
        <is>
          <t>2025_Maj_W4</t>
        </is>
      </c>
    </row>
    <row r="1603">
      <c r="A1603" s="177" t="n">
        <v>45798</v>
      </c>
      <c r="B1603" s="177" t="n">
        <v>45797</v>
      </c>
      <c r="C1603" s="177" t="n">
        <v>45803</v>
      </c>
      <c r="D1603" t="inlineStr">
        <is>
          <t>BW20250520</t>
        </is>
      </c>
      <c r="E1603" t="n">
        <v>2025</v>
      </c>
      <c r="F1603" t="inlineStr">
        <is>
          <t>Maj</t>
        </is>
      </c>
      <c r="G1603" t="inlineStr">
        <is>
          <t>Śr</t>
        </is>
      </c>
      <c r="H1603">
        <f>'Floor Hours Engine'!$E$4</f>
        <v/>
      </c>
      <c r="I1603" t="inlineStr">
        <is>
          <t>W4</t>
        </is>
      </c>
      <c r="J1603" t="inlineStr">
        <is>
          <t>2025_Maj_W4</t>
        </is>
      </c>
    </row>
    <row r="1604">
      <c r="A1604" s="177" t="n">
        <v>45799</v>
      </c>
      <c r="B1604" s="177" t="n">
        <v>45797</v>
      </c>
      <c r="C1604" s="177" t="n">
        <v>45803</v>
      </c>
      <c r="D1604" t="inlineStr">
        <is>
          <t>BW20250520</t>
        </is>
      </c>
      <c r="E1604" t="n">
        <v>2025</v>
      </c>
      <c r="F1604" t="inlineStr">
        <is>
          <t>Maj</t>
        </is>
      </c>
      <c r="G1604" t="inlineStr">
        <is>
          <t>Czw</t>
        </is>
      </c>
      <c r="H1604">
        <f>'Floor Hours Engine'!$E$4</f>
        <v/>
      </c>
      <c r="I1604" t="inlineStr">
        <is>
          <t>W4</t>
        </is>
      </c>
      <c r="J1604" t="inlineStr">
        <is>
          <t>2025_Maj_W4</t>
        </is>
      </c>
    </row>
    <row r="1605">
      <c r="A1605" s="177" t="n">
        <v>45800</v>
      </c>
      <c r="B1605" s="177" t="n">
        <v>45797</v>
      </c>
      <c r="C1605" s="177" t="n">
        <v>45803</v>
      </c>
      <c r="D1605" t="inlineStr">
        <is>
          <t>BW20250520</t>
        </is>
      </c>
      <c r="E1605" t="n">
        <v>2025</v>
      </c>
      <c r="F1605" t="inlineStr">
        <is>
          <t>Maj</t>
        </is>
      </c>
      <c r="G1605" t="inlineStr">
        <is>
          <t>Pt</t>
        </is>
      </c>
      <c r="H1605">
        <f>'Floor Hours Engine'!$E$5</f>
        <v/>
      </c>
      <c r="I1605" t="inlineStr">
        <is>
          <t>W4</t>
        </is>
      </c>
      <c r="J1605" t="inlineStr">
        <is>
          <t>2025_Maj_W4</t>
        </is>
      </c>
    </row>
    <row r="1606">
      <c r="A1606" s="177" t="n">
        <v>45801</v>
      </c>
      <c r="B1606" s="177" t="n">
        <v>45797</v>
      </c>
      <c r="C1606" s="177" t="n">
        <v>45803</v>
      </c>
      <c r="D1606" t="inlineStr">
        <is>
          <t>BW20250520</t>
        </is>
      </c>
      <c r="E1606" t="n">
        <v>2025</v>
      </c>
      <c r="F1606" t="inlineStr">
        <is>
          <t>Maj</t>
        </is>
      </c>
      <c r="G1606" t="inlineStr">
        <is>
          <t>Sob</t>
        </is>
      </c>
      <c r="H1606">
        <f>'Floor Hours Engine'!$E$5</f>
        <v/>
      </c>
      <c r="I1606" t="inlineStr">
        <is>
          <t>W4</t>
        </is>
      </c>
      <c r="J1606" t="inlineStr">
        <is>
          <t>2025_Maj_W4</t>
        </is>
      </c>
    </row>
    <row r="1607">
      <c r="A1607" s="177" t="n">
        <v>45802</v>
      </c>
      <c r="B1607" s="177" t="n">
        <v>45797</v>
      </c>
      <c r="C1607" s="177" t="n">
        <v>45803</v>
      </c>
      <c r="D1607" t="inlineStr">
        <is>
          <t>BW20250520</t>
        </is>
      </c>
      <c r="E1607" t="n">
        <v>2025</v>
      </c>
      <c r="F1607" t="inlineStr">
        <is>
          <t>Maj</t>
        </is>
      </c>
      <c r="G1607" t="inlineStr">
        <is>
          <t>Nd</t>
        </is>
      </c>
      <c r="H1607">
        <f>'Floor Hours Engine'!$E$6</f>
        <v/>
      </c>
      <c r="I1607" t="inlineStr">
        <is>
          <t>W4</t>
        </is>
      </c>
      <c r="J1607" t="inlineStr">
        <is>
          <t>2025_Maj_W4</t>
        </is>
      </c>
    </row>
    <row r="1608">
      <c r="A1608" s="177" t="n">
        <v>45803</v>
      </c>
      <c r="B1608" s="177" t="n">
        <v>45797</v>
      </c>
      <c r="C1608" s="177" t="n">
        <v>45803</v>
      </c>
      <c r="D1608" t="inlineStr">
        <is>
          <t>BW20250520</t>
        </is>
      </c>
      <c r="E1608" t="n">
        <v>2025</v>
      </c>
      <c r="F1608" t="inlineStr">
        <is>
          <t>Maj</t>
        </is>
      </c>
      <c r="G1608" t="inlineStr">
        <is>
          <t>Pn</t>
        </is>
      </c>
      <c r="H1608">
        <f>'Floor Hours Engine'!$E$4</f>
        <v/>
      </c>
      <c r="I1608" t="inlineStr">
        <is>
          <t>W4</t>
        </is>
      </c>
      <c r="J1608" t="inlineStr">
        <is>
          <t>2025_Maj_W4</t>
        </is>
      </c>
    </row>
    <row r="1609">
      <c r="A1609" s="177" t="n">
        <v>45804</v>
      </c>
      <c r="B1609" s="177" t="n">
        <v>45804</v>
      </c>
      <c r="C1609" s="177" t="n">
        <v>45810</v>
      </c>
      <c r="D1609" t="inlineStr">
        <is>
          <t>BW20250527</t>
        </is>
      </c>
      <c r="E1609" t="n">
        <v>2025</v>
      </c>
      <c r="F1609" t="inlineStr">
        <is>
          <t>Maj</t>
        </is>
      </c>
      <c r="G1609" t="inlineStr">
        <is>
          <t>Wt</t>
        </is>
      </c>
      <c r="H1609">
        <f>'Floor Hours Engine'!$E$4</f>
        <v/>
      </c>
      <c r="I1609" t="inlineStr">
        <is>
          <t>W5</t>
        </is>
      </c>
      <c r="J1609" t="inlineStr">
        <is>
          <t>2025_Maj_W5</t>
        </is>
      </c>
    </row>
    <row r="1610">
      <c r="A1610" s="177" t="n">
        <v>45805</v>
      </c>
      <c r="B1610" s="177" t="n">
        <v>45804</v>
      </c>
      <c r="C1610" s="177" t="n">
        <v>45810</v>
      </c>
      <c r="D1610" t="inlineStr">
        <is>
          <t>BW20250527</t>
        </is>
      </c>
      <c r="E1610" t="n">
        <v>2025</v>
      </c>
      <c r="F1610" t="inlineStr">
        <is>
          <t>Maj</t>
        </is>
      </c>
      <c r="G1610" t="inlineStr">
        <is>
          <t>Śr</t>
        </is>
      </c>
      <c r="H1610">
        <f>'Floor Hours Engine'!$E$4</f>
        <v/>
      </c>
      <c r="I1610" t="inlineStr">
        <is>
          <t>W5</t>
        </is>
      </c>
      <c r="J1610" t="inlineStr">
        <is>
          <t>2025_Maj_W5</t>
        </is>
      </c>
    </row>
    <row r="1611">
      <c r="A1611" s="177" t="n">
        <v>45806</v>
      </c>
      <c r="B1611" s="177" t="n">
        <v>45804</v>
      </c>
      <c r="C1611" s="177" t="n">
        <v>45810</v>
      </c>
      <c r="D1611" t="inlineStr">
        <is>
          <t>BW20250527</t>
        </is>
      </c>
      <c r="E1611" t="n">
        <v>2025</v>
      </c>
      <c r="F1611" t="inlineStr">
        <is>
          <t>Maj</t>
        </is>
      </c>
      <c r="G1611" t="inlineStr">
        <is>
          <t>Czw</t>
        </is>
      </c>
      <c r="H1611">
        <f>'Floor Hours Engine'!$E$4</f>
        <v/>
      </c>
      <c r="I1611" t="inlineStr">
        <is>
          <t>W5</t>
        </is>
      </c>
      <c r="J1611" t="inlineStr">
        <is>
          <t>2025_Maj_W5</t>
        </is>
      </c>
    </row>
    <row r="1612">
      <c r="A1612" s="177" t="n">
        <v>45807</v>
      </c>
      <c r="B1612" s="177" t="n">
        <v>45804</v>
      </c>
      <c r="C1612" s="177" t="n">
        <v>45810</v>
      </c>
      <c r="D1612" t="inlineStr">
        <is>
          <t>BW20250527</t>
        </is>
      </c>
      <c r="E1612" t="n">
        <v>2025</v>
      </c>
      <c r="F1612" t="inlineStr">
        <is>
          <t>Maj</t>
        </is>
      </c>
      <c r="G1612" t="inlineStr">
        <is>
          <t>Pt</t>
        </is>
      </c>
      <c r="H1612">
        <f>'Floor Hours Engine'!$E$5</f>
        <v/>
      </c>
      <c r="I1612" t="inlineStr">
        <is>
          <t>W5</t>
        </is>
      </c>
      <c r="J1612" t="inlineStr">
        <is>
          <t>2025_Maj_W5</t>
        </is>
      </c>
    </row>
    <row r="1613">
      <c r="A1613" s="177" t="n">
        <v>45808</v>
      </c>
      <c r="B1613" s="177" t="n">
        <v>45804</v>
      </c>
      <c r="C1613" s="177" t="n">
        <v>45810</v>
      </c>
      <c r="D1613" t="inlineStr">
        <is>
          <t>BW20250527</t>
        </is>
      </c>
      <c r="E1613" t="n">
        <v>2025</v>
      </c>
      <c r="F1613" t="inlineStr">
        <is>
          <t>Maj</t>
        </is>
      </c>
      <c r="G1613" t="inlineStr">
        <is>
          <t>Sob</t>
        </is>
      </c>
      <c r="H1613">
        <f>'Floor Hours Engine'!$E$5</f>
        <v/>
      </c>
      <c r="I1613" t="inlineStr">
        <is>
          <t>W5</t>
        </is>
      </c>
      <c r="J1613" t="inlineStr">
        <is>
          <t>2025_Maj_W5</t>
        </is>
      </c>
    </row>
    <row r="1614">
      <c r="A1614" s="177" t="n">
        <v>45809</v>
      </c>
      <c r="B1614" s="177" t="n">
        <v>45804</v>
      </c>
      <c r="C1614" s="177" t="n">
        <v>45810</v>
      </c>
      <c r="D1614" t="inlineStr">
        <is>
          <t>BW20250527</t>
        </is>
      </c>
      <c r="E1614" t="n">
        <v>2025</v>
      </c>
      <c r="F1614" t="inlineStr">
        <is>
          <t>Czerwiec</t>
        </is>
      </c>
      <c r="G1614" t="inlineStr">
        <is>
          <t>Nd</t>
        </is>
      </c>
      <c r="H1614">
        <f>'Floor Hours Engine'!$E$6</f>
        <v/>
      </c>
      <c r="I1614" t="inlineStr">
        <is>
          <t>W1</t>
        </is>
      </c>
      <c r="J1614" t="inlineStr">
        <is>
          <t>2025_Czerwiec_W1</t>
        </is>
      </c>
    </row>
    <row r="1615">
      <c r="A1615" s="177" t="n">
        <v>45810</v>
      </c>
      <c r="B1615" s="177" t="n">
        <v>45804</v>
      </c>
      <c r="C1615" s="177" t="n">
        <v>45810</v>
      </c>
      <c r="D1615" t="inlineStr">
        <is>
          <t>BW20250527</t>
        </is>
      </c>
      <c r="E1615" t="n">
        <v>2025</v>
      </c>
      <c r="F1615" t="inlineStr">
        <is>
          <t>Czerwiec</t>
        </is>
      </c>
      <c r="G1615" t="inlineStr">
        <is>
          <t>Pn</t>
        </is>
      </c>
      <c r="H1615">
        <f>'Floor Hours Engine'!$E$4</f>
        <v/>
      </c>
      <c r="I1615" t="inlineStr">
        <is>
          <t>W1</t>
        </is>
      </c>
      <c r="J1615" t="inlineStr">
        <is>
          <t>2025_Czerwiec_W1</t>
        </is>
      </c>
    </row>
    <row r="1616">
      <c r="A1616" s="177" t="n">
        <v>45811</v>
      </c>
      <c r="B1616" s="177" t="n">
        <v>45811</v>
      </c>
      <c r="C1616" s="177" t="n">
        <v>45817</v>
      </c>
      <c r="D1616" t="inlineStr">
        <is>
          <t>BW20250603</t>
        </is>
      </c>
      <c r="E1616" t="n">
        <v>2025</v>
      </c>
      <c r="F1616" t="inlineStr">
        <is>
          <t>Czerwiec</t>
        </is>
      </c>
      <c r="G1616" t="inlineStr">
        <is>
          <t>Wt</t>
        </is>
      </c>
      <c r="H1616">
        <f>'Floor Hours Engine'!$E$4</f>
        <v/>
      </c>
      <c r="I1616" t="inlineStr">
        <is>
          <t>W2</t>
        </is>
      </c>
      <c r="J1616" t="inlineStr">
        <is>
          <t>2025_Czerwiec_W2</t>
        </is>
      </c>
    </row>
    <row r="1617">
      <c r="A1617" s="177" t="n">
        <v>45812</v>
      </c>
      <c r="B1617" s="177" t="n">
        <v>45811</v>
      </c>
      <c r="C1617" s="177" t="n">
        <v>45817</v>
      </c>
      <c r="D1617" t="inlineStr">
        <is>
          <t>BW20250603</t>
        </is>
      </c>
      <c r="E1617" t="n">
        <v>2025</v>
      </c>
      <c r="F1617" t="inlineStr">
        <is>
          <t>Czerwiec</t>
        </is>
      </c>
      <c r="G1617" t="inlineStr">
        <is>
          <t>Śr</t>
        </is>
      </c>
      <c r="H1617">
        <f>'Floor Hours Engine'!$E$4</f>
        <v/>
      </c>
      <c r="I1617" t="inlineStr">
        <is>
          <t>W2</t>
        </is>
      </c>
      <c r="J1617" t="inlineStr">
        <is>
          <t>2025_Czerwiec_W2</t>
        </is>
      </c>
    </row>
    <row r="1618">
      <c r="A1618" s="177" t="n">
        <v>45813</v>
      </c>
      <c r="B1618" s="177" t="n">
        <v>45811</v>
      </c>
      <c r="C1618" s="177" t="n">
        <v>45817</v>
      </c>
      <c r="D1618" t="inlineStr">
        <is>
          <t>BW20250603</t>
        </is>
      </c>
      <c r="E1618" t="n">
        <v>2025</v>
      </c>
      <c r="F1618" t="inlineStr">
        <is>
          <t>Czerwiec</t>
        </is>
      </c>
      <c r="G1618" t="inlineStr">
        <is>
          <t>Czw</t>
        </is>
      </c>
      <c r="H1618">
        <f>'Floor Hours Engine'!$E$4</f>
        <v/>
      </c>
      <c r="I1618" t="inlineStr">
        <is>
          <t>W2</t>
        </is>
      </c>
      <c r="J1618" t="inlineStr">
        <is>
          <t>2025_Czerwiec_W2</t>
        </is>
      </c>
    </row>
    <row r="1619">
      <c r="A1619" s="177" t="n">
        <v>45814</v>
      </c>
      <c r="B1619" s="177" t="n">
        <v>45811</v>
      </c>
      <c r="C1619" s="177" t="n">
        <v>45817</v>
      </c>
      <c r="D1619" t="inlineStr">
        <is>
          <t>BW20250603</t>
        </is>
      </c>
      <c r="E1619" t="n">
        <v>2025</v>
      </c>
      <c r="F1619" t="inlineStr">
        <is>
          <t>Czerwiec</t>
        </is>
      </c>
      <c r="G1619" t="inlineStr">
        <is>
          <t>Pt</t>
        </is>
      </c>
      <c r="H1619">
        <f>'Floor Hours Engine'!$E$5</f>
        <v/>
      </c>
      <c r="I1619" t="inlineStr">
        <is>
          <t>W2</t>
        </is>
      </c>
      <c r="J1619" t="inlineStr">
        <is>
          <t>2025_Czerwiec_W2</t>
        </is>
      </c>
    </row>
    <row r="1620">
      <c r="A1620" s="177" t="n">
        <v>45815</v>
      </c>
      <c r="B1620" s="177" t="n">
        <v>45811</v>
      </c>
      <c r="C1620" s="177" t="n">
        <v>45817</v>
      </c>
      <c r="D1620" t="inlineStr">
        <is>
          <t>BW20250603</t>
        </is>
      </c>
      <c r="E1620" t="n">
        <v>2025</v>
      </c>
      <c r="F1620" t="inlineStr">
        <is>
          <t>Czerwiec</t>
        </is>
      </c>
      <c r="G1620" t="inlineStr">
        <is>
          <t>Sob</t>
        </is>
      </c>
      <c r="H1620">
        <f>'Floor Hours Engine'!$E$5</f>
        <v/>
      </c>
      <c r="I1620" t="inlineStr">
        <is>
          <t>W2</t>
        </is>
      </c>
      <c r="J1620" t="inlineStr">
        <is>
          <t>2025_Czerwiec_W2</t>
        </is>
      </c>
    </row>
    <row r="1621">
      <c r="A1621" s="177" t="n">
        <v>45816</v>
      </c>
      <c r="B1621" s="177" t="n">
        <v>45811</v>
      </c>
      <c r="C1621" s="177" t="n">
        <v>45817</v>
      </c>
      <c r="D1621" t="inlineStr">
        <is>
          <t>BW20250603</t>
        </is>
      </c>
      <c r="E1621" t="n">
        <v>2025</v>
      </c>
      <c r="F1621" t="inlineStr">
        <is>
          <t>Czerwiec</t>
        </is>
      </c>
      <c r="G1621" t="inlineStr">
        <is>
          <t>Nd</t>
        </is>
      </c>
      <c r="H1621">
        <f>'Floor Hours Engine'!$E$6</f>
        <v/>
      </c>
      <c r="I1621" t="inlineStr">
        <is>
          <t>W2</t>
        </is>
      </c>
      <c r="J1621" t="inlineStr">
        <is>
          <t>2025_Czerwiec_W2</t>
        </is>
      </c>
    </row>
    <row r="1622">
      <c r="A1622" s="177" t="n">
        <v>45817</v>
      </c>
      <c r="B1622" s="177" t="n">
        <v>45811</v>
      </c>
      <c r="C1622" s="177" t="n">
        <v>45817</v>
      </c>
      <c r="D1622" t="inlineStr">
        <is>
          <t>BW20250603</t>
        </is>
      </c>
      <c r="E1622" t="n">
        <v>2025</v>
      </c>
      <c r="F1622" t="inlineStr">
        <is>
          <t>Czerwiec</t>
        </is>
      </c>
      <c r="G1622" t="inlineStr">
        <is>
          <t>Pn</t>
        </is>
      </c>
      <c r="H1622">
        <f>'Floor Hours Engine'!$E$4</f>
        <v/>
      </c>
      <c r="I1622" t="inlineStr">
        <is>
          <t>W2</t>
        </is>
      </c>
      <c r="J1622" t="inlineStr">
        <is>
          <t>2025_Czerwiec_W2</t>
        </is>
      </c>
    </row>
    <row r="1623">
      <c r="A1623" s="177" t="n">
        <v>45818</v>
      </c>
      <c r="B1623" s="177" t="n">
        <v>45818</v>
      </c>
      <c r="C1623" s="177" t="n">
        <v>45824</v>
      </c>
      <c r="D1623" t="inlineStr">
        <is>
          <t>BW20250610</t>
        </is>
      </c>
      <c r="E1623" t="n">
        <v>2025</v>
      </c>
      <c r="F1623" t="inlineStr">
        <is>
          <t>Czerwiec</t>
        </is>
      </c>
      <c r="G1623" t="inlineStr">
        <is>
          <t>Wt</t>
        </is>
      </c>
      <c r="H1623">
        <f>'Floor Hours Engine'!$E$4</f>
        <v/>
      </c>
      <c r="I1623" t="inlineStr">
        <is>
          <t>W3</t>
        </is>
      </c>
      <c r="J1623" t="inlineStr">
        <is>
          <t>2025_Czerwiec_W3</t>
        </is>
      </c>
    </row>
    <row r="1624">
      <c r="A1624" s="177" t="n">
        <v>45819</v>
      </c>
      <c r="B1624" s="177" t="n">
        <v>45818</v>
      </c>
      <c r="C1624" s="177" t="n">
        <v>45824</v>
      </c>
      <c r="D1624" t="inlineStr">
        <is>
          <t>BW20250610</t>
        </is>
      </c>
      <c r="E1624" t="n">
        <v>2025</v>
      </c>
      <c r="F1624" t="inlineStr">
        <is>
          <t>Czerwiec</t>
        </is>
      </c>
      <c r="G1624" t="inlineStr">
        <is>
          <t>Śr</t>
        </is>
      </c>
      <c r="H1624">
        <f>'Floor Hours Engine'!$E$4</f>
        <v/>
      </c>
      <c r="I1624" t="inlineStr">
        <is>
          <t>W3</t>
        </is>
      </c>
      <c r="J1624" t="inlineStr">
        <is>
          <t>2025_Czerwiec_W3</t>
        </is>
      </c>
    </row>
    <row r="1625">
      <c r="A1625" s="177" t="n">
        <v>45820</v>
      </c>
      <c r="B1625" s="177" t="n">
        <v>45818</v>
      </c>
      <c r="C1625" s="177" t="n">
        <v>45824</v>
      </c>
      <c r="D1625" t="inlineStr">
        <is>
          <t>BW20250610</t>
        </is>
      </c>
      <c r="E1625" t="n">
        <v>2025</v>
      </c>
      <c r="F1625" t="inlineStr">
        <is>
          <t>Czerwiec</t>
        </is>
      </c>
      <c r="G1625" t="inlineStr">
        <is>
          <t>Czw</t>
        </is>
      </c>
      <c r="H1625">
        <f>'Floor Hours Engine'!$E$4</f>
        <v/>
      </c>
      <c r="I1625" t="inlineStr">
        <is>
          <t>W3</t>
        </is>
      </c>
      <c r="J1625" t="inlineStr">
        <is>
          <t>2025_Czerwiec_W3</t>
        </is>
      </c>
    </row>
    <row r="1626">
      <c r="A1626" s="177" t="n">
        <v>45821</v>
      </c>
      <c r="B1626" s="177" t="n">
        <v>45818</v>
      </c>
      <c r="C1626" s="177" t="n">
        <v>45824</v>
      </c>
      <c r="D1626" t="inlineStr">
        <is>
          <t>BW20250610</t>
        </is>
      </c>
      <c r="E1626" t="n">
        <v>2025</v>
      </c>
      <c r="F1626" t="inlineStr">
        <is>
          <t>Czerwiec</t>
        </is>
      </c>
      <c r="G1626" t="inlineStr">
        <is>
          <t>Pt</t>
        </is>
      </c>
      <c r="H1626">
        <f>'Floor Hours Engine'!$E$5</f>
        <v/>
      </c>
      <c r="I1626" t="inlineStr">
        <is>
          <t>W3</t>
        </is>
      </c>
      <c r="J1626" t="inlineStr">
        <is>
          <t>2025_Czerwiec_W3</t>
        </is>
      </c>
    </row>
    <row r="1627">
      <c r="A1627" s="177" t="n">
        <v>45822</v>
      </c>
      <c r="B1627" s="177" t="n">
        <v>45818</v>
      </c>
      <c r="C1627" s="177" t="n">
        <v>45824</v>
      </c>
      <c r="D1627" t="inlineStr">
        <is>
          <t>BW20250610</t>
        </is>
      </c>
      <c r="E1627" t="n">
        <v>2025</v>
      </c>
      <c r="F1627" t="inlineStr">
        <is>
          <t>Czerwiec</t>
        </is>
      </c>
      <c r="G1627" t="inlineStr">
        <is>
          <t>Sob</t>
        </is>
      </c>
      <c r="H1627">
        <f>'Floor Hours Engine'!$E$5</f>
        <v/>
      </c>
      <c r="I1627" t="inlineStr">
        <is>
          <t>W3</t>
        </is>
      </c>
      <c r="J1627" t="inlineStr">
        <is>
          <t>2025_Czerwiec_W3</t>
        </is>
      </c>
    </row>
    <row r="1628">
      <c r="A1628" s="177" t="n">
        <v>45823</v>
      </c>
      <c r="B1628" s="177" t="n">
        <v>45818</v>
      </c>
      <c r="C1628" s="177" t="n">
        <v>45824</v>
      </c>
      <c r="D1628" t="inlineStr">
        <is>
          <t>BW20250610</t>
        </is>
      </c>
      <c r="E1628" t="n">
        <v>2025</v>
      </c>
      <c r="F1628" t="inlineStr">
        <is>
          <t>Czerwiec</t>
        </is>
      </c>
      <c r="G1628" t="inlineStr">
        <is>
          <t>Nd</t>
        </is>
      </c>
      <c r="H1628">
        <f>'Floor Hours Engine'!$E$6</f>
        <v/>
      </c>
      <c r="I1628" t="inlineStr">
        <is>
          <t>W3</t>
        </is>
      </c>
      <c r="J1628" t="inlineStr">
        <is>
          <t>2025_Czerwiec_W3</t>
        </is>
      </c>
    </row>
    <row r="1629">
      <c r="A1629" s="177" t="n">
        <v>45824</v>
      </c>
      <c r="B1629" s="177" t="n">
        <v>45818</v>
      </c>
      <c r="C1629" s="177" t="n">
        <v>45824</v>
      </c>
      <c r="D1629" t="inlineStr">
        <is>
          <t>BW20250610</t>
        </is>
      </c>
      <c r="E1629" t="n">
        <v>2025</v>
      </c>
      <c r="F1629" t="inlineStr">
        <is>
          <t>Czerwiec</t>
        </is>
      </c>
      <c r="G1629" t="inlineStr">
        <is>
          <t>Pn</t>
        </is>
      </c>
      <c r="H1629">
        <f>'Floor Hours Engine'!$E$4</f>
        <v/>
      </c>
      <c r="I1629" t="inlineStr">
        <is>
          <t>W3</t>
        </is>
      </c>
      <c r="J1629" t="inlineStr">
        <is>
          <t>2025_Czerwiec_W3</t>
        </is>
      </c>
    </row>
    <row r="1630">
      <c r="A1630" s="177" t="n">
        <v>45825</v>
      </c>
      <c r="B1630" s="177" t="n">
        <v>45825</v>
      </c>
      <c r="C1630" s="177" t="n">
        <v>45831</v>
      </c>
      <c r="D1630" t="inlineStr">
        <is>
          <t>BW20250617</t>
        </is>
      </c>
      <c r="E1630" t="n">
        <v>2025</v>
      </c>
      <c r="F1630" t="inlineStr">
        <is>
          <t>Czerwiec</t>
        </is>
      </c>
      <c r="G1630" t="inlineStr">
        <is>
          <t>Wt</t>
        </is>
      </c>
      <c r="H1630">
        <f>'Floor Hours Engine'!$E$4</f>
        <v/>
      </c>
      <c r="I1630" t="inlineStr">
        <is>
          <t>W4</t>
        </is>
      </c>
      <c r="J1630" t="inlineStr">
        <is>
          <t>2025_Czerwiec_W4</t>
        </is>
      </c>
    </row>
    <row r="1631">
      <c r="A1631" s="177" t="n">
        <v>45826</v>
      </c>
      <c r="B1631" s="177" t="n">
        <v>45825</v>
      </c>
      <c r="C1631" s="177" t="n">
        <v>45831</v>
      </c>
      <c r="D1631" t="inlineStr">
        <is>
          <t>BW20250617</t>
        </is>
      </c>
      <c r="E1631" t="n">
        <v>2025</v>
      </c>
      <c r="F1631" t="inlineStr">
        <is>
          <t>Czerwiec</t>
        </is>
      </c>
      <c r="G1631" t="inlineStr">
        <is>
          <t>Śr</t>
        </is>
      </c>
      <c r="H1631">
        <f>'Floor Hours Engine'!$E$4</f>
        <v/>
      </c>
      <c r="I1631" t="inlineStr">
        <is>
          <t>W4</t>
        </is>
      </c>
      <c r="J1631" t="inlineStr">
        <is>
          <t>2025_Czerwiec_W4</t>
        </is>
      </c>
    </row>
    <row r="1632">
      <c r="A1632" s="177" t="n">
        <v>45827</v>
      </c>
      <c r="B1632" s="177" t="n">
        <v>45825</v>
      </c>
      <c r="C1632" s="177" t="n">
        <v>45831</v>
      </c>
      <c r="D1632" t="inlineStr">
        <is>
          <t>BW20250617</t>
        </is>
      </c>
      <c r="E1632" t="n">
        <v>2025</v>
      </c>
      <c r="F1632" t="inlineStr">
        <is>
          <t>Czerwiec</t>
        </is>
      </c>
      <c r="G1632" t="inlineStr">
        <is>
          <t>Czw</t>
        </is>
      </c>
      <c r="H1632">
        <f>'Floor Hours Engine'!$E$4</f>
        <v/>
      </c>
      <c r="I1632" t="inlineStr">
        <is>
          <t>W4</t>
        </is>
      </c>
      <c r="J1632" t="inlineStr">
        <is>
          <t>2025_Czerwiec_W4</t>
        </is>
      </c>
    </row>
    <row r="1633">
      <c r="A1633" s="177" t="n">
        <v>45828</v>
      </c>
      <c r="B1633" s="177" t="n">
        <v>45825</v>
      </c>
      <c r="C1633" s="177" t="n">
        <v>45831</v>
      </c>
      <c r="D1633" t="inlineStr">
        <is>
          <t>BW20250617</t>
        </is>
      </c>
      <c r="E1633" t="n">
        <v>2025</v>
      </c>
      <c r="F1633" t="inlineStr">
        <is>
          <t>Czerwiec</t>
        </is>
      </c>
      <c r="G1633" t="inlineStr">
        <is>
          <t>Pt</t>
        </is>
      </c>
      <c r="H1633">
        <f>'Floor Hours Engine'!$E$5</f>
        <v/>
      </c>
      <c r="I1633" t="inlineStr">
        <is>
          <t>W4</t>
        </is>
      </c>
      <c r="J1633" t="inlineStr">
        <is>
          <t>2025_Czerwiec_W4</t>
        </is>
      </c>
    </row>
    <row r="1634">
      <c r="A1634" s="177" t="n">
        <v>45829</v>
      </c>
      <c r="B1634" s="177" t="n">
        <v>45825</v>
      </c>
      <c r="C1634" s="177" t="n">
        <v>45831</v>
      </c>
      <c r="D1634" t="inlineStr">
        <is>
          <t>BW20250617</t>
        </is>
      </c>
      <c r="E1634" t="n">
        <v>2025</v>
      </c>
      <c r="F1634" t="inlineStr">
        <is>
          <t>Czerwiec</t>
        </is>
      </c>
      <c r="G1634" t="inlineStr">
        <is>
          <t>Sob</t>
        </is>
      </c>
      <c r="H1634">
        <f>'Floor Hours Engine'!$E$5</f>
        <v/>
      </c>
      <c r="I1634" t="inlineStr">
        <is>
          <t>W4</t>
        </is>
      </c>
      <c r="J1634" t="inlineStr">
        <is>
          <t>2025_Czerwiec_W4</t>
        </is>
      </c>
    </row>
    <row r="1635">
      <c r="A1635" s="177" t="n">
        <v>45830</v>
      </c>
      <c r="B1635" s="177" t="n">
        <v>45825</v>
      </c>
      <c r="C1635" s="177" t="n">
        <v>45831</v>
      </c>
      <c r="D1635" t="inlineStr">
        <is>
          <t>BW20250617</t>
        </is>
      </c>
      <c r="E1635" t="n">
        <v>2025</v>
      </c>
      <c r="F1635" t="inlineStr">
        <is>
          <t>Czerwiec</t>
        </is>
      </c>
      <c r="G1635" t="inlineStr">
        <is>
          <t>Nd</t>
        </is>
      </c>
      <c r="H1635">
        <f>'Floor Hours Engine'!$E$6</f>
        <v/>
      </c>
      <c r="I1635" t="inlineStr">
        <is>
          <t>W4</t>
        </is>
      </c>
      <c r="J1635" t="inlineStr">
        <is>
          <t>2025_Czerwiec_W4</t>
        </is>
      </c>
    </row>
    <row r="1636">
      <c r="A1636" s="177" t="n">
        <v>45831</v>
      </c>
      <c r="B1636" s="177" t="n">
        <v>45825</v>
      </c>
      <c r="C1636" s="177" t="n">
        <v>45831</v>
      </c>
      <c r="D1636" t="inlineStr">
        <is>
          <t>BW20250617</t>
        </is>
      </c>
      <c r="E1636" t="n">
        <v>2025</v>
      </c>
      <c r="F1636" t="inlineStr">
        <is>
          <t>Czerwiec</t>
        </is>
      </c>
      <c r="G1636" t="inlineStr">
        <is>
          <t>Pn</t>
        </is>
      </c>
      <c r="H1636">
        <f>'Floor Hours Engine'!$E$4</f>
        <v/>
      </c>
      <c r="I1636" t="inlineStr">
        <is>
          <t>W4</t>
        </is>
      </c>
      <c r="J1636" t="inlineStr">
        <is>
          <t>2025_Czerwiec_W4</t>
        </is>
      </c>
    </row>
    <row r="1637">
      <c r="A1637" s="177" t="n">
        <v>45832</v>
      </c>
      <c r="B1637" s="177" t="n">
        <v>45832</v>
      </c>
      <c r="C1637" s="177" t="n">
        <v>45838</v>
      </c>
      <c r="D1637" t="inlineStr">
        <is>
          <t>BW20250624</t>
        </is>
      </c>
      <c r="E1637" t="n">
        <v>2025</v>
      </c>
      <c r="F1637" t="inlineStr">
        <is>
          <t>Czerwiec</t>
        </is>
      </c>
      <c r="G1637" t="inlineStr">
        <is>
          <t>Wt</t>
        </is>
      </c>
      <c r="H1637">
        <f>'Floor Hours Engine'!$E$4</f>
        <v/>
      </c>
      <c r="I1637" t="inlineStr">
        <is>
          <t>W5</t>
        </is>
      </c>
      <c r="J1637" t="inlineStr">
        <is>
          <t>2025_Czerwiec_W5</t>
        </is>
      </c>
    </row>
    <row r="1638">
      <c r="A1638" s="177" t="n">
        <v>45833</v>
      </c>
      <c r="B1638" s="177" t="n">
        <v>45832</v>
      </c>
      <c r="C1638" s="177" t="n">
        <v>45838</v>
      </c>
      <c r="D1638" t="inlineStr">
        <is>
          <t>BW20250624</t>
        </is>
      </c>
      <c r="E1638" t="n">
        <v>2025</v>
      </c>
      <c r="F1638" t="inlineStr">
        <is>
          <t>Czerwiec</t>
        </is>
      </c>
      <c r="G1638" t="inlineStr">
        <is>
          <t>Śr</t>
        </is>
      </c>
      <c r="H1638">
        <f>'Floor Hours Engine'!$E$4</f>
        <v/>
      </c>
      <c r="I1638" t="inlineStr">
        <is>
          <t>W5</t>
        </is>
      </c>
      <c r="J1638" t="inlineStr">
        <is>
          <t>2025_Czerwiec_W5</t>
        </is>
      </c>
    </row>
    <row r="1639">
      <c r="A1639" s="177" t="n">
        <v>45834</v>
      </c>
      <c r="B1639" s="177" t="n">
        <v>45832</v>
      </c>
      <c r="C1639" s="177" t="n">
        <v>45838</v>
      </c>
      <c r="D1639" t="inlineStr">
        <is>
          <t>BW20250624</t>
        </is>
      </c>
      <c r="E1639" t="n">
        <v>2025</v>
      </c>
      <c r="F1639" t="inlineStr">
        <is>
          <t>Czerwiec</t>
        </is>
      </c>
      <c r="G1639" t="inlineStr">
        <is>
          <t>Czw</t>
        </is>
      </c>
      <c r="H1639">
        <f>'Floor Hours Engine'!$E$4</f>
        <v/>
      </c>
      <c r="I1639" t="inlineStr">
        <is>
          <t>W5</t>
        </is>
      </c>
      <c r="J1639" t="inlineStr">
        <is>
          <t>2025_Czerwiec_W5</t>
        </is>
      </c>
    </row>
    <row r="1640">
      <c r="A1640" s="177" t="n">
        <v>45835</v>
      </c>
      <c r="B1640" s="177" t="n">
        <v>45832</v>
      </c>
      <c r="C1640" s="177" t="n">
        <v>45838</v>
      </c>
      <c r="D1640" t="inlineStr">
        <is>
          <t>BW20250624</t>
        </is>
      </c>
      <c r="E1640" t="n">
        <v>2025</v>
      </c>
      <c r="F1640" t="inlineStr">
        <is>
          <t>Czerwiec</t>
        </is>
      </c>
      <c r="G1640" t="inlineStr">
        <is>
          <t>Pt</t>
        </is>
      </c>
      <c r="H1640">
        <f>'Floor Hours Engine'!$E$5</f>
        <v/>
      </c>
      <c r="I1640" t="inlineStr">
        <is>
          <t>W5</t>
        </is>
      </c>
      <c r="J1640" t="inlineStr">
        <is>
          <t>2025_Czerwiec_W5</t>
        </is>
      </c>
    </row>
    <row r="1641">
      <c r="A1641" s="177" t="n">
        <v>45836</v>
      </c>
      <c r="B1641" s="177" t="n">
        <v>45832</v>
      </c>
      <c r="C1641" s="177" t="n">
        <v>45838</v>
      </c>
      <c r="D1641" t="inlineStr">
        <is>
          <t>BW20250624</t>
        </is>
      </c>
      <c r="E1641" t="n">
        <v>2025</v>
      </c>
      <c r="F1641" t="inlineStr">
        <is>
          <t>Czerwiec</t>
        </is>
      </c>
      <c r="G1641" t="inlineStr">
        <is>
          <t>Sob</t>
        </is>
      </c>
      <c r="H1641">
        <f>'Floor Hours Engine'!$E$5</f>
        <v/>
      </c>
      <c r="I1641" t="inlineStr">
        <is>
          <t>W5</t>
        </is>
      </c>
      <c r="J1641" t="inlineStr">
        <is>
          <t>2025_Czerwiec_W5</t>
        </is>
      </c>
    </row>
    <row r="1642">
      <c r="A1642" s="177" t="n">
        <v>45837</v>
      </c>
      <c r="B1642" s="177" t="n">
        <v>45832</v>
      </c>
      <c r="C1642" s="177" t="n">
        <v>45838</v>
      </c>
      <c r="D1642" t="inlineStr">
        <is>
          <t>BW20250624</t>
        </is>
      </c>
      <c r="E1642" t="n">
        <v>2025</v>
      </c>
      <c r="F1642" t="inlineStr">
        <is>
          <t>Czerwiec</t>
        </is>
      </c>
      <c r="G1642" t="inlineStr">
        <is>
          <t>Nd</t>
        </is>
      </c>
      <c r="H1642">
        <f>'Floor Hours Engine'!$E$6</f>
        <v/>
      </c>
      <c r="I1642" t="inlineStr">
        <is>
          <t>W5</t>
        </is>
      </c>
      <c r="J1642" t="inlineStr">
        <is>
          <t>2025_Czerwiec_W5</t>
        </is>
      </c>
    </row>
    <row r="1643">
      <c r="A1643" s="177" t="n">
        <v>45838</v>
      </c>
      <c r="B1643" s="177" t="n">
        <v>45832</v>
      </c>
      <c r="C1643" s="177" t="n">
        <v>45838</v>
      </c>
      <c r="D1643" t="inlineStr">
        <is>
          <t>BW20250624</t>
        </is>
      </c>
      <c r="E1643" t="n">
        <v>2025</v>
      </c>
      <c r="F1643" t="inlineStr">
        <is>
          <t>Czerwiec</t>
        </is>
      </c>
      <c r="G1643" t="inlineStr">
        <is>
          <t>Pn</t>
        </is>
      </c>
      <c r="H1643">
        <f>'Floor Hours Engine'!$E$4</f>
        <v/>
      </c>
      <c r="I1643" t="inlineStr">
        <is>
          <t>W5</t>
        </is>
      </c>
      <c r="J1643" t="inlineStr">
        <is>
          <t>2025_Czerwiec_W5</t>
        </is>
      </c>
    </row>
    <row r="1644">
      <c r="A1644" s="177" t="n">
        <v>45839</v>
      </c>
      <c r="B1644" s="177" t="n">
        <v>45839</v>
      </c>
      <c r="C1644" s="177" t="n">
        <v>45845</v>
      </c>
      <c r="D1644" t="inlineStr">
        <is>
          <t>BW20250701</t>
        </is>
      </c>
      <c r="E1644" t="n">
        <v>2025</v>
      </c>
      <c r="F1644" t="inlineStr">
        <is>
          <t>Lipiec</t>
        </is>
      </c>
      <c r="G1644" t="inlineStr">
        <is>
          <t>Wt</t>
        </is>
      </c>
      <c r="H1644">
        <f>'Floor Hours Engine'!$E$4</f>
        <v/>
      </c>
      <c r="I1644" t="inlineStr">
        <is>
          <t>W1</t>
        </is>
      </c>
      <c r="J1644" t="inlineStr">
        <is>
          <t>2025_Lipiec_W1</t>
        </is>
      </c>
    </row>
    <row r="1645">
      <c r="A1645" s="177" t="n">
        <v>45840</v>
      </c>
      <c r="B1645" s="177" t="n">
        <v>45839</v>
      </c>
      <c r="C1645" s="177" t="n">
        <v>45845</v>
      </c>
      <c r="D1645" t="inlineStr">
        <is>
          <t>BW20250701</t>
        </is>
      </c>
      <c r="E1645" t="n">
        <v>2025</v>
      </c>
      <c r="F1645" t="inlineStr">
        <is>
          <t>Lipiec</t>
        </is>
      </c>
      <c r="G1645" t="inlineStr">
        <is>
          <t>Śr</t>
        </is>
      </c>
      <c r="H1645">
        <f>'Floor Hours Engine'!$E$4</f>
        <v/>
      </c>
      <c r="I1645" t="inlineStr">
        <is>
          <t>W1</t>
        </is>
      </c>
      <c r="J1645" t="inlineStr">
        <is>
          <t>2025_Lipiec_W1</t>
        </is>
      </c>
    </row>
    <row r="1646">
      <c r="A1646" s="177" t="n">
        <v>45841</v>
      </c>
      <c r="B1646" s="177" t="n">
        <v>45839</v>
      </c>
      <c r="C1646" s="177" t="n">
        <v>45845</v>
      </c>
      <c r="D1646" t="inlineStr">
        <is>
          <t>BW20250701</t>
        </is>
      </c>
      <c r="E1646" t="n">
        <v>2025</v>
      </c>
      <c r="F1646" t="inlineStr">
        <is>
          <t>Lipiec</t>
        </is>
      </c>
      <c r="G1646" t="inlineStr">
        <is>
          <t>Czw</t>
        </is>
      </c>
      <c r="H1646">
        <f>'Floor Hours Engine'!$E$4</f>
        <v/>
      </c>
      <c r="I1646" t="inlineStr">
        <is>
          <t>W1</t>
        </is>
      </c>
      <c r="J1646" t="inlineStr">
        <is>
          <t>2025_Lipiec_W1</t>
        </is>
      </c>
    </row>
    <row r="1647">
      <c r="A1647" s="177" t="n">
        <v>45842</v>
      </c>
      <c r="B1647" s="177" t="n">
        <v>45839</v>
      </c>
      <c r="C1647" s="177" t="n">
        <v>45845</v>
      </c>
      <c r="D1647" t="inlineStr">
        <is>
          <t>BW20250701</t>
        </is>
      </c>
      <c r="E1647" t="n">
        <v>2025</v>
      </c>
      <c r="F1647" t="inlineStr">
        <is>
          <t>Lipiec</t>
        </is>
      </c>
      <c r="G1647" t="inlineStr">
        <is>
          <t>Pt</t>
        </is>
      </c>
      <c r="H1647">
        <f>'Floor Hours Engine'!$E$5</f>
        <v/>
      </c>
      <c r="I1647" t="inlineStr">
        <is>
          <t>W1</t>
        </is>
      </c>
      <c r="J1647" t="inlineStr">
        <is>
          <t>2025_Lipiec_W1</t>
        </is>
      </c>
    </row>
    <row r="1648">
      <c r="A1648" s="177" t="n">
        <v>45843</v>
      </c>
      <c r="B1648" s="177" t="n">
        <v>45839</v>
      </c>
      <c r="C1648" s="177" t="n">
        <v>45845</v>
      </c>
      <c r="D1648" t="inlineStr">
        <is>
          <t>BW20250701</t>
        </is>
      </c>
      <c r="E1648" t="n">
        <v>2025</v>
      </c>
      <c r="F1648" t="inlineStr">
        <is>
          <t>Lipiec</t>
        </is>
      </c>
      <c r="G1648" t="inlineStr">
        <is>
          <t>Sob</t>
        </is>
      </c>
      <c r="H1648">
        <f>'Floor Hours Engine'!$E$5</f>
        <v/>
      </c>
      <c r="I1648" t="inlineStr">
        <is>
          <t>W1</t>
        </is>
      </c>
      <c r="J1648" t="inlineStr">
        <is>
          <t>2025_Lipiec_W1</t>
        </is>
      </c>
    </row>
    <row r="1649">
      <c r="A1649" s="177" t="n">
        <v>45844</v>
      </c>
      <c r="B1649" s="177" t="n">
        <v>45839</v>
      </c>
      <c r="C1649" s="177" t="n">
        <v>45845</v>
      </c>
      <c r="D1649" t="inlineStr">
        <is>
          <t>BW20250701</t>
        </is>
      </c>
      <c r="E1649" t="n">
        <v>2025</v>
      </c>
      <c r="F1649" t="inlineStr">
        <is>
          <t>Lipiec</t>
        </is>
      </c>
      <c r="G1649" t="inlineStr">
        <is>
          <t>Nd</t>
        </is>
      </c>
      <c r="H1649">
        <f>'Floor Hours Engine'!$E$6</f>
        <v/>
      </c>
      <c r="I1649" t="inlineStr">
        <is>
          <t>W1</t>
        </is>
      </c>
      <c r="J1649" t="inlineStr">
        <is>
          <t>2025_Lipiec_W1</t>
        </is>
      </c>
    </row>
    <row r="1650">
      <c r="A1650" s="177" t="n">
        <v>45845</v>
      </c>
      <c r="B1650" s="177" t="n">
        <v>45839</v>
      </c>
      <c r="C1650" s="177" t="n">
        <v>45845</v>
      </c>
      <c r="D1650" t="inlineStr">
        <is>
          <t>BW20250701</t>
        </is>
      </c>
      <c r="E1650" t="n">
        <v>2025</v>
      </c>
      <c r="F1650" t="inlineStr">
        <is>
          <t>Lipiec</t>
        </is>
      </c>
      <c r="G1650" t="inlineStr">
        <is>
          <t>Pn</t>
        </is>
      </c>
      <c r="H1650">
        <f>'Floor Hours Engine'!$E$4</f>
        <v/>
      </c>
      <c r="I1650" t="inlineStr">
        <is>
          <t>W1</t>
        </is>
      </c>
      <c r="J1650" t="inlineStr">
        <is>
          <t>2025_Lipiec_W1</t>
        </is>
      </c>
    </row>
    <row r="1651">
      <c r="A1651" s="177" t="n">
        <v>45846</v>
      </c>
      <c r="B1651" s="177" t="n">
        <v>45846</v>
      </c>
      <c r="C1651" s="177" t="n">
        <v>45852</v>
      </c>
      <c r="D1651" t="inlineStr">
        <is>
          <t>BW20250708</t>
        </is>
      </c>
      <c r="E1651" t="n">
        <v>2025</v>
      </c>
      <c r="F1651" t="inlineStr">
        <is>
          <t>Lipiec</t>
        </is>
      </c>
      <c r="G1651" t="inlineStr">
        <is>
          <t>Wt</t>
        </is>
      </c>
      <c r="H1651">
        <f>'Floor Hours Engine'!$E$4</f>
        <v/>
      </c>
      <c r="I1651" t="inlineStr">
        <is>
          <t>W2</t>
        </is>
      </c>
      <c r="J1651" t="inlineStr">
        <is>
          <t>2025_Lipiec_W2</t>
        </is>
      </c>
    </row>
    <row r="1652">
      <c r="A1652" s="177" t="n">
        <v>45847</v>
      </c>
      <c r="B1652" s="177" t="n">
        <v>45846</v>
      </c>
      <c r="C1652" s="177" t="n">
        <v>45852</v>
      </c>
      <c r="D1652" t="inlineStr">
        <is>
          <t>BW20250708</t>
        </is>
      </c>
      <c r="E1652" t="n">
        <v>2025</v>
      </c>
      <c r="F1652" t="inlineStr">
        <is>
          <t>Lipiec</t>
        </is>
      </c>
      <c r="G1652" t="inlineStr">
        <is>
          <t>Śr</t>
        </is>
      </c>
      <c r="H1652">
        <f>'Floor Hours Engine'!$E$4</f>
        <v/>
      </c>
      <c r="I1652" t="inlineStr">
        <is>
          <t>W2</t>
        </is>
      </c>
      <c r="J1652" t="inlineStr">
        <is>
          <t>2025_Lipiec_W2</t>
        </is>
      </c>
    </row>
    <row r="1653">
      <c r="A1653" s="177" t="n">
        <v>45848</v>
      </c>
      <c r="B1653" s="177" t="n">
        <v>45846</v>
      </c>
      <c r="C1653" s="177" t="n">
        <v>45852</v>
      </c>
      <c r="D1653" t="inlineStr">
        <is>
          <t>BW20250708</t>
        </is>
      </c>
      <c r="E1653" t="n">
        <v>2025</v>
      </c>
      <c r="F1653" t="inlineStr">
        <is>
          <t>Lipiec</t>
        </is>
      </c>
      <c r="G1653" t="inlineStr">
        <is>
          <t>Czw</t>
        </is>
      </c>
      <c r="H1653">
        <f>'Floor Hours Engine'!$E$4</f>
        <v/>
      </c>
      <c r="I1653" t="inlineStr">
        <is>
          <t>W2</t>
        </is>
      </c>
      <c r="J1653" t="inlineStr">
        <is>
          <t>2025_Lipiec_W2</t>
        </is>
      </c>
    </row>
    <row r="1654">
      <c r="A1654" s="177" t="n">
        <v>45849</v>
      </c>
      <c r="B1654" s="177" t="n">
        <v>45846</v>
      </c>
      <c r="C1654" s="177" t="n">
        <v>45852</v>
      </c>
      <c r="D1654" t="inlineStr">
        <is>
          <t>BW20250708</t>
        </is>
      </c>
      <c r="E1654" t="n">
        <v>2025</v>
      </c>
      <c r="F1654" t="inlineStr">
        <is>
          <t>Lipiec</t>
        </is>
      </c>
      <c r="G1654" t="inlineStr">
        <is>
          <t>Pt</t>
        </is>
      </c>
      <c r="H1654">
        <f>'Floor Hours Engine'!$E$5</f>
        <v/>
      </c>
      <c r="I1654" t="inlineStr">
        <is>
          <t>W2</t>
        </is>
      </c>
      <c r="J1654" t="inlineStr">
        <is>
          <t>2025_Lipiec_W2</t>
        </is>
      </c>
    </row>
    <row r="1655">
      <c r="A1655" s="177" t="n">
        <v>45850</v>
      </c>
      <c r="B1655" s="177" t="n">
        <v>45846</v>
      </c>
      <c r="C1655" s="177" t="n">
        <v>45852</v>
      </c>
      <c r="D1655" t="inlineStr">
        <is>
          <t>BW20250708</t>
        </is>
      </c>
      <c r="E1655" t="n">
        <v>2025</v>
      </c>
      <c r="F1655" t="inlineStr">
        <is>
          <t>Lipiec</t>
        </is>
      </c>
      <c r="G1655" t="inlineStr">
        <is>
          <t>Sob</t>
        </is>
      </c>
      <c r="H1655">
        <f>'Floor Hours Engine'!$E$5</f>
        <v/>
      </c>
      <c r="I1655" t="inlineStr">
        <is>
          <t>W2</t>
        </is>
      </c>
      <c r="J1655" t="inlineStr">
        <is>
          <t>2025_Lipiec_W2</t>
        </is>
      </c>
    </row>
    <row r="1656">
      <c r="A1656" s="177" t="n">
        <v>45851</v>
      </c>
      <c r="B1656" s="177" t="n">
        <v>45846</v>
      </c>
      <c r="C1656" s="177" t="n">
        <v>45852</v>
      </c>
      <c r="D1656" t="inlineStr">
        <is>
          <t>BW20250708</t>
        </is>
      </c>
      <c r="E1656" t="n">
        <v>2025</v>
      </c>
      <c r="F1656" t="inlineStr">
        <is>
          <t>Lipiec</t>
        </is>
      </c>
      <c r="G1656" t="inlineStr">
        <is>
          <t>Nd</t>
        </is>
      </c>
      <c r="H1656">
        <f>'Floor Hours Engine'!$E$6</f>
        <v/>
      </c>
      <c r="I1656" t="inlineStr">
        <is>
          <t>W2</t>
        </is>
      </c>
      <c r="J1656" t="inlineStr">
        <is>
          <t>2025_Lipiec_W2</t>
        </is>
      </c>
    </row>
    <row r="1657">
      <c r="A1657" s="177" t="n">
        <v>45852</v>
      </c>
      <c r="B1657" s="177" t="n">
        <v>45846</v>
      </c>
      <c r="C1657" s="177" t="n">
        <v>45852</v>
      </c>
      <c r="D1657" t="inlineStr">
        <is>
          <t>BW20250708</t>
        </is>
      </c>
      <c r="E1657" t="n">
        <v>2025</v>
      </c>
      <c r="F1657" t="inlineStr">
        <is>
          <t>Lipiec</t>
        </is>
      </c>
      <c r="G1657" t="inlineStr">
        <is>
          <t>Pn</t>
        </is>
      </c>
      <c r="H1657">
        <f>'Floor Hours Engine'!$E$4</f>
        <v/>
      </c>
      <c r="I1657" t="inlineStr">
        <is>
          <t>W2</t>
        </is>
      </c>
      <c r="J1657" t="inlineStr">
        <is>
          <t>2025_Lipiec_W2</t>
        </is>
      </c>
    </row>
    <row r="1658">
      <c r="A1658" s="177" t="n">
        <v>45853</v>
      </c>
      <c r="B1658" s="177" t="n">
        <v>45853</v>
      </c>
      <c r="C1658" s="177" t="n">
        <v>45859</v>
      </c>
      <c r="D1658" t="inlineStr">
        <is>
          <t>BW20250715</t>
        </is>
      </c>
      <c r="E1658" t="n">
        <v>2025</v>
      </c>
      <c r="F1658" t="inlineStr">
        <is>
          <t>Lipiec</t>
        </is>
      </c>
      <c r="G1658" t="inlineStr">
        <is>
          <t>Wt</t>
        </is>
      </c>
      <c r="H1658">
        <f>'Floor Hours Engine'!$E$4</f>
        <v/>
      </c>
      <c r="I1658" t="inlineStr">
        <is>
          <t>W3</t>
        </is>
      </c>
      <c r="J1658" t="inlineStr">
        <is>
          <t>2025_Lipiec_W3</t>
        </is>
      </c>
    </row>
    <row r="1659">
      <c r="A1659" s="177" t="n">
        <v>45854</v>
      </c>
      <c r="B1659" s="177" t="n">
        <v>45853</v>
      </c>
      <c r="C1659" s="177" t="n">
        <v>45859</v>
      </c>
      <c r="D1659" t="inlineStr">
        <is>
          <t>BW20250715</t>
        </is>
      </c>
      <c r="E1659" t="n">
        <v>2025</v>
      </c>
      <c r="F1659" t="inlineStr">
        <is>
          <t>Lipiec</t>
        </is>
      </c>
      <c r="G1659" t="inlineStr">
        <is>
          <t>Śr</t>
        </is>
      </c>
      <c r="H1659">
        <f>'Floor Hours Engine'!$E$4</f>
        <v/>
      </c>
      <c r="I1659" t="inlineStr">
        <is>
          <t>W3</t>
        </is>
      </c>
      <c r="J1659" t="inlineStr">
        <is>
          <t>2025_Lipiec_W3</t>
        </is>
      </c>
    </row>
    <row r="1660">
      <c r="A1660" s="177" t="n">
        <v>45855</v>
      </c>
      <c r="B1660" s="177" t="n">
        <v>45853</v>
      </c>
      <c r="C1660" s="177" t="n">
        <v>45859</v>
      </c>
      <c r="D1660" t="inlineStr">
        <is>
          <t>BW20250715</t>
        </is>
      </c>
      <c r="E1660" t="n">
        <v>2025</v>
      </c>
      <c r="F1660" t="inlineStr">
        <is>
          <t>Lipiec</t>
        </is>
      </c>
      <c r="G1660" t="inlineStr">
        <is>
          <t>Czw</t>
        </is>
      </c>
      <c r="H1660">
        <f>'Floor Hours Engine'!$E$4</f>
        <v/>
      </c>
      <c r="I1660" t="inlineStr">
        <is>
          <t>W3</t>
        </is>
      </c>
      <c r="J1660" t="inlineStr">
        <is>
          <t>2025_Lipiec_W3</t>
        </is>
      </c>
    </row>
    <row r="1661">
      <c r="A1661" s="177" t="n">
        <v>45856</v>
      </c>
      <c r="B1661" s="177" t="n">
        <v>45853</v>
      </c>
      <c r="C1661" s="177" t="n">
        <v>45859</v>
      </c>
      <c r="D1661" t="inlineStr">
        <is>
          <t>BW20250715</t>
        </is>
      </c>
      <c r="E1661" t="n">
        <v>2025</v>
      </c>
      <c r="F1661" t="inlineStr">
        <is>
          <t>Lipiec</t>
        </is>
      </c>
      <c r="G1661" t="inlineStr">
        <is>
          <t>Pt</t>
        </is>
      </c>
      <c r="H1661">
        <f>'Floor Hours Engine'!$E$5</f>
        <v/>
      </c>
      <c r="I1661" t="inlineStr">
        <is>
          <t>W3</t>
        </is>
      </c>
      <c r="J1661" t="inlineStr">
        <is>
          <t>2025_Lipiec_W3</t>
        </is>
      </c>
    </row>
    <row r="1662">
      <c r="A1662" s="177" t="n">
        <v>45857</v>
      </c>
      <c r="B1662" s="177" t="n">
        <v>45853</v>
      </c>
      <c r="C1662" s="177" t="n">
        <v>45859</v>
      </c>
      <c r="D1662" t="inlineStr">
        <is>
          <t>BW20250715</t>
        </is>
      </c>
      <c r="E1662" t="n">
        <v>2025</v>
      </c>
      <c r="F1662" t="inlineStr">
        <is>
          <t>Lipiec</t>
        </is>
      </c>
      <c r="G1662" t="inlineStr">
        <is>
          <t>Sob</t>
        </is>
      </c>
      <c r="H1662">
        <f>'Floor Hours Engine'!$E$5</f>
        <v/>
      </c>
      <c r="I1662" t="inlineStr">
        <is>
          <t>W3</t>
        </is>
      </c>
      <c r="J1662" t="inlineStr">
        <is>
          <t>2025_Lipiec_W3</t>
        </is>
      </c>
    </row>
    <row r="1663">
      <c r="A1663" s="177" t="n">
        <v>45858</v>
      </c>
      <c r="B1663" s="177" t="n">
        <v>45853</v>
      </c>
      <c r="C1663" s="177" t="n">
        <v>45859</v>
      </c>
      <c r="D1663" t="inlineStr">
        <is>
          <t>BW20250715</t>
        </is>
      </c>
      <c r="E1663" t="n">
        <v>2025</v>
      </c>
      <c r="F1663" t="inlineStr">
        <is>
          <t>Lipiec</t>
        </is>
      </c>
      <c r="G1663" t="inlineStr">
        <is>
          <t>Nd</t>
        </is>
      </c>
      <c r="H1663">
        <f>'Floor Hours Engine'!$E$6</f>
        <v/>
      </c>
      <c r="I1663" t="inlineStr">
        <is>
          <t>W3</t>
        </is>
      </c>
      <c r="J1663" t="inlineStr">
        <is>
          <t>2025_Lipiec_W3</t>
        </is>
      </c>
    </row>
    <row r="1664">
      <c r="A1664" s="177" t="n">
        <v>45859</v>
      </c>
      <c r="B1664" s="177" t="n">
        <v>45853</v>
      </c>
      <c r="C1664" s="177" t="n">
        <v>45859</v>
      </c>
      <c r="D1664" t="inlineStr">
        <is>
          <t>BW20250715</t>
        </is>
      </c>
      <c r="E1664" t="n">
        <v>2025</v>
      </c>
      <c r="F1664" t="inlineStr">
        <is>
          <t>Lipiec</t>
        </is>
      </c>
      <c r="G1664" t="inlineStr">
        <is>
          <t>Pn</t>
        </is>
      </c>
      <c r="H1664">
        <f>'Floor Hours Engine'!$E$4</f>
        <v/>
      </c>
      <c r="I1664" t="inlineStr">
        <is>
          <t>W3</t>
        </is>
      </c>
      <c r="J1664" t="inlineStr">
        <is>
          <t>2025_Lipiec_W3</t>
        </is>
      </c>
    </row>
    <row r="1665">
      <c r="A1665" s="177" t="n">
        <v>45860</v>
      </c>
      <c r="B1665" s="177" t="n">
        <v>45860</v>
      </c>
      <c r="C1665" s="177" t="n">
        <v>45866</v>
      </c>
      <c r="D1665" t="inlineStr">
        <is>
          <t>BW20250722</t>
        </is>
      </c>
      <c r="E1665" t="n">
        <v>2025</v>
      </c>
      <c r="F1665" t="inlineStr">
        <is>
          <t>Lipiec</t>
        </is>
      </c>
      <c r="G1665" t="inlineStr">
        <is>
          <t>Wt</t>
        </is>
      </c>
      <c r="H1665">
        <f>'Floor Hours Engine'!$E$4</f>
        <v/>
      </c>
      <c r="I1665" t="inlineStr">
        <is>
          <t>W4</t>
        </is>
      </c>
      <c r="J1665" t="inlineStr">
        <is>
          <t>2025_Lipiec_W4</t>
        </is>
      </c>
    </row>
    <row r="1666">
      <c r="A1666" s="177" t="n">
        <v>45861</v>
      </c>
      <c r="B1666" s="177" t="n">
        <v>45860</v>
      </c>
      <c r="C1666" s="177" t="n">
        <v>45866</v>
      </c>
      <c r="D1666" t="inlineStr">
        <is>
          <t>BW20250722</t>
        </is>
      </c>
      <c r="E1666" t="n">
        <v>2025</v>
      </c>
      <c r="F1666" t="inlineStr">
        <is>
          <t>Lipiec</t>
        </is>
      </c>
      <c r="G1666" t="inlineStr">
        <is>
          <t>Śr</t>
        </is>
      </c>
      <c r="H1666">
        <f>'Floor Hours Engine'!$E$4</f>
        <v/>
      </c>
      <c r="I1666" t="inlineStr">
        <is>
          <t>W4</t>
        </is>
      </c>
      <c r="J1666" t="inlineStr">
        <is>
          <t>2025_Lipiec_W4</t>
        </is>
      </c>
    </row>
    <row r="1667">
      <c r="A1667" s="177" t="n">
        <v>45862</v>
      </c>
      <c r="B1667" s="177" t="n">
        <v>45860</v>
      </c>
      <c r="C1667" s="177" t="n">
        <v>45866</v>
      </c>
      <c r="D1667" t="inlineStr">
        <is>
          <t>BW20250722</t>
        </is>
      </c>
      <c r="E1667" t="n">
        <v>2025</v>
      </c>
      <c r="F1667" t="inlineStr">
        <is>
          <t>Lipiec</t>
        </is>
      </c>
      <c r="G1667" t="inlineStr">
        <is>
          <t>Czw</t>
        </is>
      </c>
      <c r="H1667">
        <f>'Floor Hours Engine'!$E$4</f>
        <v/>
      </c>
      <c r="I1667" t="inlineStr">
        <is>
          <t>W4</t>
        </is>
      </c>
      <c r="J1667" t="inlineStr">
        <is>
          <t>2025_Lipiec_W4</t>
        </is>
      </c>
    </row>
    <row r="1668">
      <c r="A1668" s="177" t="n">
        <v>45863</v>
      </c>
      <c r="B1668" s="177" t="n">
        <v>45860</v>
      </c>
      <c r="C1668" s="177" t="n">
        <v>45866</v>
      </c>
      <c r="D1668" t="inlineStr">
        <is>
          <t>BW20250722</t>
        </is>
      </c>
      <c r="E1668" t="n">
        <v>2025</v>
      </c>
      <c r="F1668" t="inlineStr">
        <is>
          <t>Lipiec</t>
        </is>
      </c>
      <c r="G1668" t="inlineStr">
        <is>
          <t>Pt</t>
        </is>
      </c>
      <c r="H1668">
        <f>'Floor Hours Engine'!$E$5</f>
        <v/>
      </c>
      <c r="I1668" t="inlineStr">
        <is>
          <t>W4</t>
        </is>
      </c>
      <c r="J1668" t="inlineStr">
        <is>
          <t>2025_Lipiec_W4</t>
        </is>
      </c>
    </row>
    <row r="1669">
      <c r="A1669" s="177" t="n">
        <v>45864</v>
      </c>
      <c r="B1669" s="177" t="n">
        <v>45860</v>
      </c>
      <c r="C1669" s="177" t="n">
        <v>45866</v>
      </c>
      <c r="D1669" t="inlineStr">
        <is>
          <t>BW20250722</t>
        </is>
      </c>
      <c r="E1669" t="n">
        <v>2025</v>
      </c>
      <c r="F1669" t="inlineStr">
        <is>
          <t>Lipiec</t>
        </is>
      </c>
      <c r="G1669" t="inlineStr">
        <is>
          <t>Sob</t>
        </is>
      </c>
      <c r="H1669">
        <f>'Floor Hours Engine'!$E$5</f>
        <v/>
      </c>
      <c r="I1669" t="inlineStr">
        <is>
          <t>W4</t>
        </is>
      </c>
      <c r="J1669" t="inlineStr">
        <is>
          <t>2025_Lipiec_W4</t>
        </is>
      </c>
    </row>
    <row r="1670">
      <c r="A1670" s="177" t="n">
        <v>45865</v>
      </c>
      <c r="B1670" s="177" t="n">
        <v>45860</v>
      </c>
      <c r="C1670" s="177" t="n">
        <v>45866</v>
      </c>
      <c r="D1670" t="inlineStr">
        <is>
          <t>BW20250722</t>
        </is>
      </c>
      <c r="E1670" t="n">
        <v>2025</v>
      </c>
      <c r="F1670" t="inlineStr">
        <is>
          <t>Lipiec</t>
        </is>
      </c>
      <c r="G1670" t="inlineStr">
        <is>
          <t>Nd</t>
        </is>
      </c>
      <c r="H1670">
        <f>'Floor Hours Engine'!$E$6</f>
        <v/>
      </c>
      <c r="I1670" t="inlineStr">
        <is>
          <t>W4</t>
        </is>
      </c>
      <c r="J1670" t="inlineStr">
        <is>
          <t>2025_Lipiec_W4</t>
        </is>
      </c>
    </row>
    <row r="1671">
      <c r="A1671" s="177" t="n">
        <v>45866</v>
      </c>
      <c r="B1671" s="177" t="n">
        <v>45860</v>
      </c>
      <c r="C1671" s="177" t="n">
        <v>45866</v>
      </c>
      <c r="D1671" t="inlineStr">
        <is>
          <t>BW20250722</t>
        </is>
      </c>
      <c r="E1671" t="n">
        <v>2025</v>
      </c>
      <c r="F1671" t="inlineStr">
        <is>
          <t>Lipiec</t>
        </is>
      </c>
      <c r="G1671" t="inlineStr">
        <is>
          <t>Pn</t>
        </is>
      </c>
      <c r="H1671">
        <f>'Floor Hours Engine'!$E$4</f>
        <v/>
      </c>
      <c r="I1671" t="inlineStr">
        <is>
          <t>W4</t>
        </is>
      </c>
      <c r="J1671" t="inlineStr">
        <is>
          <t>2025_Lipiec_W4</t>
        </is>
      </c>
    </row>
    <row r="1672">
      <c r="A1672" s="177" t="n">
        <v>45867</v>
      </c>
      <c r="B1672" s="177" t="n">
        <v>45867</v>
      </c>
      <c r="C1672" s="177" t="n">
        <v>45873</v>
      </c>
      <c r="D1672" t="inlineStr">
        <is>
          <t>BW20250729</t>
        </is>
      </c>
      <c r="E1672" t="n">
        <v>2025</v>
      </c>
      <c r="F1672" t="inlineStr">
        <is>
          <t>Lipiec</t>
        </is>
      </c>
      <c r="G1672" t="inlineStr">
        <is>
          <t>Wt</t>
        </is>
      </c>
      <c r="H1672">
        <f>'Floor Hours Engine'!$E$4</f>
        <v/>
      </c>
      <c r="I1672" t="inlineStr">
        <is>
          <t>W5</t>
        </is>
      </c>
      <c r="J1672" t="inlineStr">
        <is>
          <t>2025_Lipiec_W5</t>
        </is>
      </c>
    </row>
    <row r="1673">
      <c r="A1673" s="177" t="n">
        <v>45868</v>
      </c>
      <c r="B1673" s="177" t="n">
        <v>45867</v>
      </c>
      <c r="C1673" s="177" t="n">
        <v>45873</v>
      </c>
      <c r="D1673" t="inlineStr">
        <is>
          <t>BW20250729</t>
        </is>
      </c>
      <c r="E1673" t="n">
        <v>2025</v>
      </c>
      <c r="F1673" t="inlineStr">
        <is>
          <t>Lipiec</t>
        </is>
      </c>
      <c r="G1673" t="inlineStr">
        <is>
          <t>Śr</t>
        </is>
      </c>
      <c r="H1673">
        <f>'Floor Hours Engine'!$E$4</f>
        <v/>
      </c>
      <c r="I1673" t="inlineStr">
        <is>
          <t>W5</t>
        </is>
      </c>
      <c r="J1673" t="inlineStr">
        <is>
          <t>2025_Lipiec_W5</t>
        </is>
      </c>
    </row>
    <row r="1674">
      <c r="A1674" s="177" t="n">
        <v>45869</v>
      </c>
      <c r="B1674" s="177" t="n">
        <v>45867</v>
      </c>
      <c r="C1674" s="177" t="n">
        <v>45873</v>
      </c>
      <c r="D1674" t="inlineStr">
        <is>
          <t>BW20250729</t>
        </is>
      </c>
      <c r="E1674" t="n">
        <v>2025</v>
      </c>
      <c r="F1674" t="inlineStr">
        <is>
          <t>Lipiec</t>
        </is>
      </c>
      <c r="G1674" t="inlineStr">
        <is>
          <t>Czw</t>
        </is>
      </c>
      <c r="H1674">
        <f>'Floor Hours Engine'!$E$4</f>
        <v/>
      </c>
      <c r="I1674" t="inlineStr">
        <is>
          <t>W5</t>
        </is>
      </c>
      <c r="J1674" t="inlineStr">
        <is>
          <t>2025_Lipiec_W5</t>
        </is>
      </c>
    </row>
    <row r="1675">
      <c r="A1675" s="177" t="n">
        <v>45870</v>
      </c>
      <c r="B1675" s="177" t="n">
        <v>45867</v>
      </c>
      <c r="C1675" s="177" t="n">
        <v>45873</v>
      </c>
      <c r="D1675" t="inlineStr">
        <is>
          <t>BW20250729</t>
        </is>
      </c>
      <c r="E1675" t="n">
        <v>2025</v>
      </c>
      <c r="F1675" t="inlineStr">
        <is>
          <t>Sierpień</t>
        </is>
      </c>
      <c r="G1675" t="inlineStr">
        <is>
          <t>Pt</t>
        </is>
      </c>
      <c r="H1675">
        <f>'Floor Hours Engine'!$E$5</f>
        <v/>
      </c>
      <c r="I1675" t="inlineStr">
        <is>
          <t>W1</t>
        </is>
      </c>
      <c r="J1675" t="inlineStr">
        <is>
          <t>2025_Sierpień_W1</t>
        </is>
      </c>
    </row>
    <row r="1676">
      <c r="A1676" s="177" t="n">
        <v>45871</v>
      </c>
      <c r="B1676" s="177" t="n">
        <v>45867</v>
      </c>
      <c r="C1676" s="177" t="n">
        <v>45873</v>
      </c>
      <c r="D1676" t="inlineStr">
        <is>
          <t>BW20250729</t>
        </is>
      </c>
      <c r="E1676" t="n">
        <v>2025</v>
      </c>
      <c r="F1676" t="inlineStr">
        <is>
          <t>Sierpień</t>
        </is>
      </c>
      <c r="G1676" t="inlineStr">
        <is>
          <t>Sob</t>
        </is>
      </c>
      <c r="H1676">
        <f>'Floor Hours Engine'!$E$5</f>
        <v/>
      </c>
      <c r="I1676" t="inlineStr">
        <is>
          <t>W1</t>
        </is>
      </c>
      <c r="J1676" t="inlineStr">
        <is>
          <t>2025_Sierpień_W1</t>
        </is>
      </c>
    </row>
    <row r="1677">
      <c r="A1677" s="177" t="n">
        <v>45872</v>
      </c>
      <c r="B1677" s="177" t="n">
        <v>45867</v>
      </c>
      <c r="C1677" s="177" t="n">
        <v>45873</v>
      </c>
      <c r="D1677" t="inlineStr">
        <is>
          <t>BW20250729</t>
        </is>
      </c>
      <c r="E1677" t="n">
        <v>2025</v>
      </c>
      <c r="F1677" t="inlineStr">
        <is>
          <t>Sierpień</t>
        </is>
      </c>
      <c r="G1677" t="inlineStr">
        <is>
          <t>Nd</t>
        </is>
      </c>
      <c r="H1677">
        <f>'Floor Hours Engine'!$E$6</f>
        <v/>
      </c>
      <c r="I1677" t="inlineStr">
        <is>
          <t>W1</t>
        </is>
      </c>
      <c r="J1677" t="inlineStr">
        <is>
          <t>2025_Sierpień_W1</t>
        </is>
      </c>
    </row>
    <row r="1678">
      <c r="A1678" s="177" t="n">
        <v>45873</v>
      </c>
      <c r="B1678" s="177" t="n">
        <v>45867</v>
      </c>
      <c r="C1678" s="177" t="n">
        <v>45873</v>
      </c>
      <c r="D1678" t="inlineStr">
        <is>
          <t>BW20250729</t>
        </is>
      </c>
      <c r="E1678" t="n">
        <v>2025</v>
      </c>
      <c r="F1678" t="inlineStr">
        <is>
          <t>Sierpień</t>
        </is>
      </c>
      <c r="G1678" t="inlineStr">
        <is>
          <t>Pn</t>
        </is>
      </c>
      <c r="H1678">
        <f>'Floor Hours Engine'!$E$4</f>
        <v/>
      </c>
      <c r="I1678" t="inlineStr">
        <is>
          <t>W1</t>
        </is>
      </c>
      <c r="J1678" t="inlineStr">
        <is>
          <t>2025_Sierpień_W1</t>
        </is>
      </c>
    </row>
    <row r="1679">
      <c r="A1679" s="177" t="n">
        <v>45874</v>
      </c>
      <c r="B1679" s="177" t="n">
        <v>45874</v>
      </c>
      <c r="C1679" s="177" t="n">
        <v>45880</v>
      </c>
      <c r="D1679" t="inlineStr">
        <is>
          <t>BW20250805</t>
        </is>
      </c>
      <c r="E1679" t="n">
        <v>2025</v>
      </c>
      <c r="F1679" t="inlineStr">
        <is>
          <t>Sierpień</t>
        </is>
      </c>
      <c r="G1679" t="inlineStr">
        <is>
          <t>Wt</t>
        </is>
      </c>
      <c r="H1679">
        <f>'Floor Hours Engine'!$E$4</f>
        <v/>
      </c>
      <c r="I1679" t="inlineStr">
        <is>
          <t>W2</t>
        </is>
      </c>
      <c r="J1679" t="inlineStr">
        <is>
          <t>2025_Sierpień_W2</t>
        </is>
      </c>
    </row>
    <row r="1680">
      <c r="A1680" s="177" t="n">
        <v>45875</v>
      </c>
      <c r="B1680" s="177" t="n">
        <v>45874</v>
      </c>
      <c r="C1680" s="177" t="n">
        <v>45880</v>
      </c>
      <c r="D1680" t="inlineStr">
        <is>
          <t>BW20250805</t>
        </is>
      </c>
      <c r="E1680" t="n">
        <v>2025</v>
      </c>
      <c r="F1680" t="inlineStr">
        <is>
          <t>Sierpień</t>
        </is>
      </c>
      <c r="G1680" t="inlineStr">
        <is>
          <t>Śr</t>
        </is>
      </c>
      <c r="H1680">
        <f>'Floor Hours Engine'!$E$4</f>
        <v/>
      </c>
      <c r="I1680" t="inlineStr">
        <is>
          <t>W2</t>
        </is>
      </c>
      <c r="J1680" t="inlineStr">
        <is>
          <t>2025_Sierpień_W2</t>
        </is>
      </c>
    </row>
    <row r="1681">
      <c r="A1681" s="177" t="n">
        <v>45876</v>
      </c>
      <c r="B1681" s="177" t="n">
        <v>45874</v>
      </c>
      <c r="C1681" s="177" t="n">
        <v>45880</v>
      </c>
      <c r="D1681" t="inlineStr">
        <is>
          <t>BW20250805</t>
        </is>
      </c>
      <c r="E1681" t="n">
        <v>2025</v>
      </c>
      <c r="F1681" t="inlineStr">
        <is>
          <t>Sierpień</t>
        </is>
      </c>
      <c r="G1681" t="inlineStr">
        <is>
          <t>Czw</t>
        </is>
      </c>
      <c r="H1681">
        <f>'Floor Hours Engine'!$E$4</f>
        <v/>
      </c>
      <c r="I1681" t="inlineStr">
        <is>
          <t>W2</t>
        </is>
      </c>
      <c r="J1681" t="inlineStr">
        <is>
          <t>2025_Sierpień_W2</t>
        </is>
      </c>
    </row>
    <row r="1682">
      <c r="A1682" s="177" t="n">
        <v>45877</v>
      </c>
      <c r="B1682" s="177" t="n">
        <v>45874</v>
      </c>
      <c r="C1682" s="177" t="n">
        <v>45880</v>
      </c>
      <c r="D1682" t="inlineStr">
        <is>
          <t>BW20250805</t>
        </is>
      </c>
      <c r="E1682" t="n">
        <v>2025</v>
      </c>
      <c r="F1682" t="inlineStr">
        <is>
          <t>Sierpień</t>
        </is>
      </c>
      <c r="G1682" t="inlineStr">
        <is>
          <t>Pt</t>
        </is>
      </c>
      <c r="H1682">
        <f>'Floor Hours Engine'!$E$5</f>
        <v/>
      </c>
      <c r="I1682" t="inlineStr">
        <is>
          <t>W2</t>
        </is>
      </c>
      <c r="J1682" t="inlineStr">
        <is>
          <t>2025_Sierpień_W2</t>
        </is>
      </c>
    </row>
    <row r="1683">
      <c r="A1683" s="177" t="n">
        <v>45878</v>
      </c>
      <c r="B1683" s="177" t="n">
        <v>45874</v>
      </c>
      <c r="C1683" s="177" t="n">
        <v>45880</v>
      </c>
      <c r="D1683" t="inlineStr">
        <is>
          <t>BW20250805</t>
        </is>
      </c>
      <c r="E1683" t="n">
        <v>2025</v>
      </c>
      <c r="F1683" t="inlineStr">
        <is>
          <t>Sierpień</t>
        </is>
      </c>
      <c r="G1683" t="inlineStr">
        <is>
          <t>Sob</t>
        </is>
      </c>
      <c r="H1683">
        <f>'Floor Hours Engine'!$E$5</f>
        <v/>
      </c>
      <c r="I1683" t="inlineStr">
        <is>
          <t>W2</t>
        </is>
      </c>
      <c r="J1683" t="inlineStr">
        <is>
          <t>2025_Sierpień_W2</t>
        </is>
      </c>
    </row>
    <row r="1684">
      <c r="A1684" s="177" t="n">
        <v>45879</v>
      </c>
      <c r="B1684" s="177" t="n">
        <v>45874</v>
      </c>
      <c r="C1684" s="177" t="n">
        <v>45880</v>
      </c>
      <c r="D1684" t="inlineStr">
        <is>
          <t>BW20250805</t>
        </is>
      </c>
      <c r="E1684" t="n">
        <v>2025</v>
      </c>
      <c r="F1684" t="inlineStr">
        <is>
          <t>Sierpień</t>
        </is>
      </c>
      <c r="G1684" t="inlineStr">
        <is>
          <t>Nd</t>
        </is>
      </c>
      <c r="H1684">
        <f>'Floor Hours Engine'!$E$6</f>
        <v/>
      </c>
      <c r="I1684" t="inlineStr">
        <is>
          <t>W2</t>
        </is>
      </c>
      <c r="J1684" t="inlineStr">
        <is>
          <t>2025_Sierpień_W2</t>
        </is>
      </c>
    </row>
    <row r="1685">
      <c r="A1685" s="177" t="n">
        <v>45880</v>
      </c>
      <c r="B1685" s="177" t="n">
        <v>45874</v>
      </c>
      <c r="C1685" s="177" t="n">
        <v>45880</v>
      </c>
      <c r="D1685" t="inlineStr">
        <is>
          <t>BW20250805</t>
        </is>
      </c>
      <c r="E1685" t="n">
        <v>2025</v>
      </c>
      <c r="F1685" t="inlineStr">
        <is>
          <t>Sierpień</t>
        </is>
      </c>
      <c r="G1685" t="inlineStr">
        <is>
          <t>Pn</t>
        </is>
      </c>
      <c r="H1685">
        <f>'Floor Hours Engine'!$E$4</f>
        <v/>
      </c>
      <c r="I1685" t="inlineStr">
        <is>
          <t>W2</t>
        </is>
      </c>
      <c r="J1685" t="inlineStr">
        <is>
          <t>2025_Sierpień_W2</t>
        </is>
      </c>
    </row>
    <row r="1686">
      <c r="A1686" s="177" t="n">
        <v>45881</v>
      </c>
      <c r="B1686" s="177" t="n">
        <v>45881</v>
      </c>
      <c r="C1686" s="177" t="n">
        <v>45887</v>
      </c>
      <c r="D1686" t="inlineStr">
        <is>
          <t>BW20250812</t>
        </is>
      </c>
      <c r="E1686" t="n">
        <v>2025</v>
      </c>
      <c r="F1686" t="inlineStr">
        <is>
          <t>Sierpień</t>
        </is>
      </c>
      <c r="G1686" t="inlineStr">
        <is>
          <t>Wt</t>
        </is>
      </c>
      <c r="H1686">
        <f>'Floor Hours Engine'!$E$4</f>
        <v/>
      </c>
      <c r="I1686" t="inlineStr">
        <is>
          <t>W3</t>
        </is>
      </c>
      <c r="J1686" t="inlineStr">
        <is>
          <t>2025_Sierpień_W3</t>
        </is>
      </c>
    </row>
    <row r="1687">
      <c r="A1687" s="177" t="n">
        <v>45882</v>
      </c>
      <c r="B1687" s="177" t="n">
        <v>45881</v>
      </c>
      <c r="C1687" s="177" t="n">
        <v>45887</v>
      </c>
      <c r="D1687" t="inlineStr">
        <is>
          <t>BW20250812</t>
        </is>
      </c>
      <c r="E1687" t="n">
        <v>2025</v>
      </c>
      <c r="F1687" t="inlineStr">
        <is>
          <t>Sierpień</t>
        </is>
      </c>
      <c r="G1687" t="inlineStr">
        <is>
          <t>Śr</t>
        </is>
      </c>
      <c r="H1687">
        <f>'Floor Hours Engine'!$E$4</f>
        <v/>
      </c>
      <c r="I1687" t="inlineStr">
        <is>
          <t>W3</t>
        </is>
      </c>
      <c r="J1687" t="inlineStr">
        <is>
          <t>2025_Sierpień_W3</t>
        </is>
      </c>
    </row>
    <row r="1688">
      <c r="A1688" s="177" t="n">
        <v>45883</v>
      </c>
      <c r="B1688" s="177" t="n">
        <v>45881</v>
      </c>
      <c r="C1688" s="177" t="n">
        <v>45887</v>
      </c>
      <c r="D1688" t="inlineStr">
        <is>
          <t>BW20250812</t>
        </is>
      </c>
      <c r="E1688" t="n">
        <v>2025</v>
      </c>
      <c r="F1688" t="inlineStr">
        <is>
          <t>Sierpień</t>
        </is>
      </c>
      <c r="G1688" t="inlineStr">
        <is>
          <t>Czw</t>
        </is>
      </c>
      <c r="H1688">
        <f>'Floor Hours Engine'!$E$4</f>
        <v/>
      </c>
      <c r="I1688" t="inlineStr">
        <is>
          <t>W3</t>
        </is>
      </c>
      <c r="J1688" t="inlineStr">
        <is>
          <t>2025_Sierpień_W3</t>
        </is>
      </c>
    </row>
    <row r="1689">
      <c r="A1689" s="177" t="n">
        <v>45884</v>
      </c>
      <c r="B1689" s="177" t="n">
        <v>45881</v>
      </c>
      <c r="C1689" s="177" t="n">
        <v>45887</v>
      </c>
      <c r="D1689" t="inlineStr">
        <is>
          <t>BW20250812</t>
        </is>
      </c>
      <c r="E1689" t="n">
        <v>2025</v>
      </c>
      <c r="F1689" t="inlineStr">
        <is>
          <t>Sierpień</t>
        </is>
      </c>
      <c r="G1689" t="inlineStr">
        <is>
          <t>Pt</t>
        </is>
      </c>
      <c r="H1689">
        <f>'Floor Hours Engine'!$E$5</f>
        <v/>
      </c>
      <c r="I1689" t="inlineStr">
        <is>
          <t>W3</t>
        </is>
      </c>
      <c r="J1689" t="inlineStr">
        <is>
          <t>2025_Sierpień_W3</t>
        </is>
      </c>
    </row>
    <row r="1690">
      <c r="A1690" s="177" t="n">
        <v>45885</v>
      </c>
      <c r="B1690" s="177" t="n">
        <v>45881</v>
      </c>
      <c r="C1690" s="177" t="n">
        <v>45887</v>
      </c>
      <c r="D1690" t="inlineStr">
        <is>
          <t>BW20250812</t>
        </is>
      </c>
      <c r="E1690" t="n">
        <v>2025</v>
      </c>
      <c r="F1690" t="inlineStr">
        <is>
          <t>Sierpień</t>
        </is>
      </c>
      <c r="G1690" t="inlineStr">
        <is>
          <t>Sob</t>
        </is>
      </c>
      <c r="H1690">
        <f>'Floor Hours Engine'!$E$5</f>
        <v/>
      </c>
      <c r="I1690" t="inlineStr">
        <is>
          <t>W3</t>
        </is>
      </c>
      <c r="J1690" t="inlineStr">
        <is>
          <t>2025_Sierpień_W3</t>
        </is>
      </c>
    </row>
    <row r="1691">
      <c r="A1691" s="177" t="n">
        <v>45886</v>
      </c>
      <c r="B1691" s="177" t="n">
        <v>45881</v>
      </c>
      <c r="C1691" s="177" t="n">
        <v>45887</v>
      </c>
      <c r="D1691" t="inlineStr">
        <is>
          <t>BW20250812</t>
        </is>
      </c>
      <c r="E1691" t="n">
        <v>2025</v>
      </c>
      <c r="F1691" t="inlineStr">
        <is>
          <t>Sierpień</t>
        </is>
      </c>
      <c r="G1691" t="inlineStr">
        <is>
          <t>Nd</t>
        </is>
      </c>
      <c r="H1691">
        <f>'Floor Hours Engine'!$E$6</f>
        <v/>
      </c>
      <c r="I1691" t="inlineStr">
        <is>
          <t>W3</t>
        </is>
      </c>
      <c r="J1691" t="inlineStr">
        <is>
          <t>2025_Sierpień_W3</t>
        </is>
      </c>
    </row>
    <row r="1692">
      <c r="A1692" s="177" t="n">
        <v>45887</v>
      </c>
      <c r="B1692" s="177" t="n">
        <v>45881</v>
      </c>
      <c r="C1692" s="177" t="n">
        <v>45887</v>
      </c>
      <c r="D1692" t="inlineStr">
        <is>
          <t>BW20250812</t>
        </is>
      </c>
      <c r="E1692" t="n">
        <v>2025</v>
      </c>
      <c r="F1692" t="inlineStr">
        <is>
          <t>Sierpień</t>
        </is>
      </c>
      <c r="G1692" t="inlineStr">
        <is>
          <t>Pn</t>
        </is>
      </c>
      <c r="H1692">
        <f>'Floor Hours Engine'!$E$4</f>
        <v/>
      </c>
      <c r="I1692" t="inlineStr">
        <is>
          <t>W3</t>
        </is>
      </c>
      <c r="J1692" t="inlineStr">
        <is>
          <t>2025_Sierpień_W3</t>
        </is>
      </c>
    </row>
    <row r="1693">
      <c r="A1693" s="177" t="n">
        <v>45888</v>
      </c>
      <c r="B1693" s="177" t="n">
        <v>45888</v>
      </c>
      <c r="C1693" s="177" t="n">
        <v>45894</v>
      </c>
      <c r="D1693" t="inlineStr">
        <is>
          <t>BW20250819</t>
        </is>
      </c>
      <c r="E1693" t="n">
        <v>2025</v>
      </c>
      <c r="F1693" t="inlineStr">
        <is>
          <t>Sierpień</t>
        </is>
      </c>
      <c r="G1693" t="inlineStr">
        <is>
          <t>Wt</t>
        </is>
      </c>
      <c r="H1693">
        <f>'Floor Hours Engine'!$E$4</f>
        <v/>
      </c>
      <c r="I1693" t="inlineStr">
        <is>
          <t>W4</t>
        </is>
      </c>
      <c r="J1693" t="inlineStr">
        <is>
          <t>2025_Sierpień_W4</t>
        </is>
      </c>
    </row>
    <row r="1694">
      <c r="A1694" s="177" t="n">
        <v>45889</v>
      </c>
      <c r="B1694" s="177" t="n">
        <v>45888</v>
      </c>
      <c r="C1694" s="177" t="n">
        <v>45894</v>
      </c>
      <c r="D1694" t="inlineStr">
        <is>
          <t>BW20250819</t>
        </is>
      </c>
      <c r="E1694" t="n">
        <v>2025</v>
      </c>
      <c r="F1694" t="inlineStr">
        <is>
          <t>Sierpień</t>
        </is>
      </c>
      <c r="G1694" t="inlineStr">
        <is>
          <t>Śr</t>
        </is>
      </c>
      <c r="H1694">
        <f>'Floor Hours Engine'!$E$4</f>
        <v/>
      </c>
      <c r="I1694" t="inlineStr">
        <is>
          <t>W4</t>
        </is>
      </c>
      <c r="J1694" t="inlineStr">
        <is>
          <t>2025_Sierpień_W4</t>
        </is>
      </c>
    </row>
    <row r="1695">
      <c r="A1695" s="177" t="n">
        <v>45890</v>
      </c>
      <c r="B1695" s="177" t="n">
        <v>45888</v>
      </c>
      <c r="C1695" s="177" t="n">
        <v>45894</v>
      </c>
      <c r="D1695" t="inlineStr">
        <is>
          <t>BW20250819</t>
        </is>
      </c>
      <c r="E1695" t="n">
        <v>2025</v>
      </c>
      <c r="F1695" t="inlineStr">
        <is>
          <t>Sierpień</t>
        </is>
      </c>
      <c r="G1695" t="inlineStr">
        <is>
          <t>Czw</t>
        </is>
      </c>
      <c r="H1695">
        <f>'Floor Hours Engine'!$E$4</f>
        <v/>
      </c>
      <c r="I1695" t="inlineStr">
        <is>
          <t>W4</t>
        </is>
      </c>
      <c r="J1695" t="inlineStr">
        <is>
          <t>2025_Sierpień_W4</t>
        </is>
      </c>
    </row>
    <row r="1696">
      <c r="A1696" s="177" t="n">
        <v>45891</v>
      </c>
      <c r="B1696" s="177" t="n">
        <v>45888</v>
      </c>
      <c r="C1696" s="177" t="n">
        <v>45894</v>
      </c>
      <c r="D1696" t="inlineStr">
        <is>
          <t>BW20250819</t>
        </is>
      </c>
      <c r="E1696" t="n">
        <v>2025</v>
      </c>
      <c r="F1696" t="inlineStr">
        <is>
          <t>Sierpień</t>
        </is>
      </c>
      <c r="G1696" t="inlineStr">
        <is>
          <t>Pt</t>
        </is>
      </c>
      <c r="H1696">
        <f>'Floor Hours Engine'!$E$5</f>
        <v/>
      </c>
      <c r="I1696" t="inlineStr">
        <is>
          <t>W4</t>
        </is>
      </c>
      <c r="J1696" t="inlineStr">
        <is>
          <t>2025_Sierpień_W4</t>
        </is>
      </c>
    </row>
    <row r="1697">
      <c r="A1697" s="177" t="n">
        <v>45892</v>
      </c>
      <c r="B1697" s="177" t="n">
        <v>45888</v>
      </c>
      <c r="C1697" s="177" t="n">
        <v>45894</v>
      </c>
      <c r="D1697" t="inlineStr">
        <is>
          <t>BW20250819</t>
        </is>
      </c>
      <c r="E1697" t="n">
        <v>2025</v>
      </c>
      <c r="F1697" t="inlineStr">
        <is>
          <t>Sierpień</t>
        </is>
      </c>
      <c r="G1697" t="inlineStr">
        <is>
          <t>Sob</t>
        </is>
      </c>
      <c r="H1697">
        <f>'Floor Hours Engine'!$E$5</f>
        <v/>
      </c>
      <c r="I1697" t="inlineStr">
        <is>
          <t>W4</t>
        </is>
      </c>
      <c r="J1697" t="inlineStr">
        <is>
          <t>2025_Sierpień_W4</t>
        </is>
      </c>
    </row>
    <row r="1698">
      <c r="A1698" s="177" t="n">
        <v>45893</v>
      </c>
      <c r="B1698" s="177" t="n">
        <v>45888</v>
      </c>
      <c r="C1698" s="177" t="n">
        <v>45894</v>
      </c>
      <c r="D1698" t="inlineStr">
        <is>
          <t>BW20250819</t>
        </is>
      </c>
      <c r="E1698" t="n">
        <v>2025</v>
      </c>
      <c r="F1698" t="inlineStr">
        <is>
          <t>Sierpień</t>
        </is>
      </c>
      <c r="G1698" t="inlineStr">
        <is>
          <t>Nd</t>
        </is>
      </c>
      <c r="H1698">
        <f>'Floor Hours Engine'!$E$6</f>
        <v/>
      </c>
      <c r="I1698" t="inlineStr">
        <is>
          <t>W4</t>
        </is>
      </c>
      <c r="J1698" t="inlineStr">
        <is>
          <t>2025_Sierpień_W4</t>
        </is>
      </c>
    </row>
    <row r="1699">
      <c r="A1699" s="177" t="n">
        <v>45894</v>
      </c>
      <c r="B1699" s="177" t="n">
        <v>45888</v>
      </c>
      <c r="C1699" s="177" t="n">
        <v>45894</v>
      </c>
      <c r="D1699" t="inlineStr">
        <is>
          <t>BW20250819</t>
        </is>
      </c>
      <c r="E1699" t="n">
        <v>2025</v>
      </c>
      <c r="F1699" t="inlineStr">
        <is>
          <t>Sierpień</t>
        </is>
      </c>
      <c r="G1699" t="inlineStr">
        <is>
          <t>Pn</t>
        </is>
      </c>
      <c r="H1699">
        <f>'Floor Hours Engine'!$E$4</f>
        <v/>
      </c>
      <c r="I1699" t="inlineStr">
        <is>
          <t>W4</t>
        </is>
      </c>
      <c r="J1699" t="inlineStr">
        <is>
          <t>2025_Sierpień_W4</t>
        </is>
      </c>
    </row>
    <row r="1700">
      <c r="A1700" s="177" t="n">
        <v>45895</v>
      </c>
      <c r="B1700" s="177" t="n">
        <v>45895</v>
      </c>
      <c r="C1700" s="177" t="n">
        <v>45901</v>
      </c>
      <c r="D1700" t="inlineStr">
        <is>
          <t>BW20250826</t>
        </is>
      </c>
      <c r="E1700" t="n">
        <v>2025</v>
      </c>
      <c r="F1700" t="inlineStr">
        <is>
          <t>Sierpień</t>
        </is>
      </c>
      <c r="G1700" t="inlineStr">
        <is>
          <t>Wt</t>
        </is>
      </c>
      <c r="H1700">
        <f>'Floor Hours Engine'!$E$4</f>
        <v/>
      </c>
      <c r="I1700" t="inlineStr">
        <is>
          <t>W5</t>
        </is>
      </c>
      <c r="J1700" t="inlineStr">
        <is>
          <t>2025_Sierpień_W5</t>
        </is>
      </c>
    </row>
    <row r="1701">
      <c r="A1701" s="177" t="n">
        <v>45896</v>
      </c>
      <c r="B1701" s="177" t="n">
        <v>45895</v>
      </c>
      <c r="C1701" s="177" t="n">
        <v>45901</v>
      </c>
      <c r="D1701" t="inlineStr">
        <is>
          <t>BW20250826</t>
        </is>
      </c>
      <c r="E1701" t="n">
        <v>2025</v>
      </c>
      <c r="F1701" t="inlineStr">
        <is>
          <t>Sierpień</t>
        </is>
      </c>
      <c r="G1701" t="inlineStr">
        <is>
          <t>Śr</t>
        </is>
      </c>
      <c r="H1701">
        <f>'Floor Hours Engine'!$E$4</f>
        <v/>
      </c>
      <c r="I1701" t="inlineStr">
        <is>
          <t>W5</t>
        </is>
      </c>
      <c r="J1701" t="inlineStr">
        <is>
          <t>2025_Sierpień_W5</t>
        </is>
      </c>
    </row>
    <row r="1702">
      <c r="A1702" s="177" t="n">
        <v>45897</v>
      </c>
      <c r="B1702" s="177" t="n">
        <v>45895</v>
      </c>
      <c r="C1702" s="177" t="n">
        <v>45901</v>
      </c>
      <c r="D1702" t="inlineStr">
        <is>
          <t>BW20250826</t>
        </is>
      </c>
      <c r="E1702" t="n">
        <v>2025</v>
      </c>
      <c r="F1702" t="inlineStr">
        <is>
          <t>Sierpień</t>
        </is>
      </c>
      <c r="G1702" t="inlineStr">
        <is>
          <t>Czw</t>
        </is>
      </c>
      <c r="H1702">
        <f>'Floor Hours Engine'!$E$4</f>
        <v/>
      </c>
      <c r="I1702" t="inlineStr">
        <is>
          <t>W5</t>
        </is>
      </c>
      <c r="J1702" t="inlineStr">
        <is>
          <t>2025_Sierpień_W5</t>
        </is>
      </c>
    </row>
    <row r="1703">
      <c r="A1703" s="177" t="n">
        <v>45898</v>
      </c>
      <c r="B1703" s="177" t="n">
        <v>45895</v>
      </c>
      <c r="C1703" s="177" t="n">
        <v>45901</v>
      </c>
      <c r="D1703" t="inlineStr">
        <is>
          <t>BW20250826</t>
        </is>
      </c>
      <c r="E1703" t="n">
        <v>2025</v>
      </c>
      <c r="F1703" t="inlineStr">
        <is>
          <t>Sierpień</t>
        </is>
      </c>
      <c r="G1703" t="inlineStr">
        <is>
          <t>Pt</t>
        </is>
      </c>
      <c r="H1703">
        <f>'Floor Hours Engine'!$E$5</f>
        <v/>
      </c>
      <c r="I1703" t="inlineStr">
        <is>
          <t>W5</t>
        </is>
      </c>
      <c r="J1703" t="inlineStr">
        <is>
          <t>2025_Sierpień_W5</t>
        </is>
      </c>
    </row>
    <row r="1704">
      <c r="A1704" s="177" t="n">
        <v>45899</v>
      </c>
      <c r="B1704" s="177" t="n">
        <v>45895</v>
      </c>
      <c r="C1704" s="177" t="n">
        <v>45901</v>
      </c>
      <c r="D1704" t="inlineStr">
        <is>
          <t>BW20250826</t>
        </is>
      </c>
      <c r="E1704" t="n">
        <v>2025</v>
      </c>
      <c r="F1704" t="inlineStr">
        <is>
          <t>Sierpień</t>
        </is>
      </c>
      <c r="G1704" t="inlineStr">
        <is>
          <t>Sob</t>
        </is>
      </c>
      <c r="H1704">
        <f>'Floor Hours Engine'!$E$5</f>
        <v/>
      </c>
      <c r="I1704" t="inlineStr">
        <is>
          <t>W5</t>
        </is>
      </c>
      <c r="J1704" t="inlineStr">
        <is>
          <t>2025_Sierpień_W5</t>
        </is>
      </c>
    </row>
    <row r="1705">
      <c r="A1705" s="177" t="n">
        <v>45900</v>
      </c>
      <c r="B1705" s="177" t="n">
        <v>45895</v>
      </c>
      <c r="C1705" s="177" t="n">
        <v>45901</v>
      </c>
      <c r="D1705" t="inlineStr">
        <is>
          <t>BW20250826</t>
        </is>
      </c>
      <c r="E1705" t="n">
        <v>2025</v>
      </c>
      <c r="F1705" t="inlineStr">
        <is>
          <t>Sierpień</t>
        </is>
      </c>
      <c r="G1705" t="inlineStr">
        <is>
          <t>Nd</t>
        </is>
      </c>
      <c r="H1705">
        <f>'Floor Hours Engine'!$E$6</f>
        <v/>
      </c>
      <c r="I1705" t="inlineStr">
        <is>
          <t>W5</t>
        </is>
      </c>
      <c r="J1705" t="inlineStr">
        <is>
          <t>2025_Sierpień_W5</t>
        </is>
      </c>
    </row>
    <row r="1706">
      <c r="A1706" s="177" t="n">
        <v>45901</v>
      </c>
      <c r="B1706" s="177" t="n">
        <v>45895</v>
      </c>
      <c r="C1706" s="177" t="n">
        <v>45901</v>
      </c>
      <c r="D1706" t="inlineStr">
        <is>
          <t>BW20250826</t>
        </is>
      </c>
      <c r="E1706" t="n">
        <v>2025</v>
      </c>
      <c r="F1706" t="inlineStr">
        <is>
          <t>Wrzesień</t>
        </is>
      </c>
      <c r="G1706" t="inlineStr">
        <is>
          <t>Pn</t>
        </is>
      </c>
      <c r="H1706">
        <f>'Floor Hours Engine'!$E$4</f>
        <v/>
      </c>
      <c r="I1706" t="inlineStr">
        <is>
          <t>W1</t>
        </is>
      </c>
      <c r="J1706" t="inlineStr">
        <is>
          <t>2025_Wrzesień_W1</t>
        </is>
      </c>
    </row>
    <row r="1707">
      <c r="A1707" s="177" t="n">
        <v>45902</v>
      </c>
      <c r="B1707" s="177" t="n">
        <v>45902</v>
      </c>
      <c r="C1707" s="177" t="n">
        <v>45908</v>
      </c>
      <c r="D1707" t="inlineStr">
        <is>
          <t>BW20250902</t>
        </is>
      </c>
      <c r="E1707" t="n">
        <v>2025</v>
      </c>
      <c r="F1707" t="inlineStr">
        <is>
          <t>Wrzesień</t>
        </is>
      </c>
      <c r="G1707" t="inlineStr">
        <is>
          <t>Wt</t>
        </is>
      </c>
      <c r="H1707">
        <f>'Floor Hours Engine'!$E$4</f>
        <v/>
      </c>
      <c r="I1707" t="inlineStr">
        <is>
          <t>W2</t>
        </is>
      </c>
      <c r="J1707" t="inlineStr">
        <is>
          <t>2025_Wrzesień_W2</t>
        </is>
      </c>
    </row>
    <row r="1708">
      <c r="A1708" s="177" t="n">
        <v>45903</v>
      </c>
      <c r="B1708" s="177" t="n">
        <v>45902</v>
      </c>
      <c r="C1708" s="177" t="n">
        <v>45908</v>
      </c>
      <c r="D1708" t="inlineStr">
        <is>
          <t>BW20250902</t>
        </is>
      </c>
      <c r="E1708" t="n">
        <v>2025</v>
      </c>
      <c r="F1708" t="inlineStr">
        <is>
          <t>Wrzesień</t>
        </is>
      </c>
      <c r="G1708" t="inlineStr">
        <is>
          <t>Śr</t>
        </is>
      </c>
      <c r="H1708">
        <f>'Floor Hours Engine'!$E$4</f>
        <v/>
      </c>
      <c r="I1708" t="inlineStr">
        <is>
          <t>W2</t>
        </is>
      </c>
      <c r="J1708" t="inlineStr">
        <is>
          <t>2025_Wrzesień_W2</t>
        </is>
      </c>
    </row>
    <row r="1709">
      <c r="A1709" s="177" t="n">
        <v>45904</v>
      </c>
      <c r="B1709" s="177" t="n">
        <v>45902</v>
      </c>
      <c r="C1709" s="177" t="n">
        <v>45908</v>
      </c>
      <c r="D1709" t="inlineStr">
        <is>
          <t>BW20250902</t>
        </is>
      </c>
      <c r="E1709" t="n">
        <v>2025</v>
      </c>
      <c r="F1709" t="inlineStr">
        <is>
          <t>Wrzesień</t>
        </is>
      </c>
      <c r="G1709" t="inlineStr">
        <is>
          <t>Czw</t>
        </is>
      </c>
      <c r="H1709">
        <f>'Floor Hours Engine'!$E$4</f>
        <v/>
      </c>
      <c r="I1709" t="inlineStr">
        <is>
          <t>W2</t>
        </is>
      </c>
      <c r="J1709" t="inlineStr">
        <is>
          <t>2025_Wrzesień_W2</t>
        </is>
      </c>
    </row>
    <row r="1710">
      <c r="A1710" s="177" t="n">
        <v>45905</v>
      </c>
      <c r="B1710" s="177" t="n">
        <v>45902</v>
      </c>
      <c r="C1710" s="177" t="n">
        <v>45908</v>
      </c>
      <c r="D1710" t="inlineStr">
        <is>
          <t>BW20250902</t>
        </is>
      </c>
      <c r="E1710" t="n">
        <v>2025</v>
      </c>
      <c r="F1710" t="inlineStr">
        <is>
          <t>Wrzesień</t>
        </is>
      </c>
      <c r="G1710" t="inlineStr">
        <is>
          <t>Pt</t>
        </is>
      </c>
      <c r="H1710">
        <f>'Floor Hours Engine'!$E$5</f>
        <v/>
      </c>
      <c r="I1710" t="inlineStr">
        <is>
          <t>W2</t>
        </is>
      </c>
      <c r="J1710" t="inlineStr">
        <is>
          <t>2025_Wrzesień_W2</t>
        </is>
      </c>
    </row>
    <row r="1711">
      <c r="A1711" s="177" t="n">
        <v>45906</v>
      </c>
      <c r="B1711" s="177" t="n">
        <v>45902</v>
      </c>
      <c r="C1711" s="177" t="n">
        <v>45908</v>
      </c>
      <c r="D1711" t="inlineStr">
        <is>
          <t>BW20250902</t>
        </is>
      </c>
      <c r="E1711" t="n">
        <v>2025</v>
      </c>
      <c r="F1711" t="inlineStr">
        <is>
          <t>Wrzesień</t>
        </is>
      </c>
      <c r="G1711" t="inlineStr">
        <is>
          <t>Sob</t>
        </is>
      </c>
      <c r="H1711">
        <f>'Floor Hours Engine'!$E$5</f>
        <v/>
      </c>
      <c r="I1711" t="inlineStr">
        <is>
          <t>W2</t>
        </is>
      </c>
      <c r="J1711" t="inlineStr">
        <is>
          <t>2025_Wrzesień_W2</t>
        </is>
      </c>
    </row>
    <row r="1712">
      <c r="A1712" s="177" t="n">
        <v>45907</v>
      </c>
      <c r="B1712" s="177" t="n">
        <v>45902</v>
      </c>
      <c r="C1712" s="177" t="n">
        <v>45908</v>
      </c>
      <c r="D1712" t="inlineStr">
        <is>
          <t>BW20250902</t>
        </is>
      </c>
      <c r="E1712" t="n">
        <v>2025</v>
      </c>
      <c r="F1712" t="inlineStr">
        <is>
          <t>Wrzesień</t>
        </is>
      </c>
      <c r="G1712" t="inlineStr">
        <is>
          <t>Nd</t>
        </is>
      </c>
      <c r="H1712">
        <f>'Floor Hours Engine'!$E$6</f>
        <v/>
      </c>
      <c r="I1712" t="inlineStr">
        <is>
          <t>W2</t>
        </is>
      </c>
      <c r="J1712" t="inlineStr">
        <is>
          <t>2025_Wrzesień_W2</t>
        </is>
      </c>
    </row>
    <row r="1713">
      <c r="A1713" s="177" t="n">
        <v>45908</v>
      </c>
      <c r="B1713" s="177" t="n">
        <v>45902</v>
      </c>
      <c r="C1713" s="177" t="n">
        <v>45908</v>
      </c>
      <c r="D1713" t="inlineStr">
        <is>
          <t>BW20250902</t>
        </is>
      </c>
      <c r="E1713" t="n">
        <v>2025</v>
      </c>
      <c r="F1713" t="inlineStr">
        <is>
          <t>Wrzesień</t>
        </is>
      </c>
      <c r="G1713" t="inlineStr">
        <is>
          <t>Pn</t>
        </is>
      </c>
      <c r="H1713">
        <f>'Floor Hours Engine'!$E$4</f>
        <v/>
      </c>
      <c r="I1713" t="inlineStr">
        <is>
          <t>W2</t>
        </is>
      </c>
      <c r="J1713" t="inlineStr">
        <is>
          <t>2025_Wrzesień_W2</t>
        </is>
      </c>
    </row>
    <row r="1714">
      <c r="A1714" s="177" t="n">
        <v>45909</v>
      </c>
      <c r="B1714" s="177" t="n">
        <v>45909</v>
      </c>
      <c r="C1714" s="177" t="n">
        <v>45915</v>
      </c>
      <c r="D1714" t="inlineStr">
        <is>
          <t>BW20250909</t>
        </is>
      </c>
      <c r="E1714" t="n">
        <v>2025</v>
      </c>
      <c r="F1714" t="inlineStr">
        <is>
          <t>Wrzesień</t>
        </is>
      </c>
      <c r="G1714" t="inlineStr">
        <is>
          <t>Wt</t>
        </is>
      </c>
      <c r="H1714">
        <f>'Floor Hours Engine'!$E$4</f>
        <v/>
      </c>
      <c r="I1714" t="inlineStr">
        <is>
          <t>W3</t>
        </is>
      </c>
      <c r="J1714" t="inlineStr">
        <is>
          <t>2025_Wrzesień_W3</t>
        </is>
      </c>
    </row>
    <row r="1715">
      <c r="A1715" s="177" t="n">
        <v>45910</v>
      </c>
      <c r="B1715" s="177" t="n">
        <v>45909</v>
      </c>
      <c r="C1715" s="177" t="n">
        <v>45915</v>
      </c>
      <c r="D1715" t="inlineStr">
        <is>
          <t>BW20250909</t>
        </is>
      </c>
      <c r="E1715" t="n">
        <v>2025</v>
      </c>
      <c r="F1715" t="inlineStr">
        <is>
          <t>Wrzesień</t>
        </is>
      </c>
      <c r="G1715" t="inlineStr">
        <is>
          <t>Śr</t>
        </is>
      </c>
      <c r="H1715">
        <f>'Floor Hours Engine'!$E$4</f>
        <v/>
      </c>
      <c r="I1715" t="inlineStr">
        <is>
          <t>W3</t>
        </is>
      </c>
      <c r="J1715" t="inlineStr">
        <is>
          <t>2025_Wrzesień_W3</t>
        </is>
      </c>
    </row>
    <row r="1716">
      <c r="A1716" s="177" t="n">
        <v>45911</v>
      </c>
      <c r="B1716" s="177" t="n">
        <v>45909</v>
      </c>
      <c r="C1716" s="177" t="n">
        <v>45915</v>
      </c>
      <c r="D1716" t="inlineStr">
        <is>
          <t>BW20250909</t>
        </is>
      </c>
      <c r="E1716" t="n">
        <v>2025</v>
      </c>
      <c r="F1716" t="inlineStr">
        <is>
          <t>Wrzesień</t>
        </is>
      </c>
      <c r="G1716" t="inlineStr">
        <is>
          <t>Czw</t>
        </is>
      </c>
      <c r="H1716">
        <f>'Floor Hours Engine'!$E$4</f>
        <v/>
      </c>
      <c r="I1716" t="inlineStr">
        <is>
          <t>W3</t>
        </is>
      </c>
      <c r="J1716" t="inlineStr">
        <is>
          <t>2025_Wrzesień_W3</t>
        </is>
      </c>
    </row>
    <row r="1717">
      <c r="A1717" s="177" t="n">
        <v>45912</v>
      </c>
      <c r="B1717" s="177" t="n">
        <v>45909</v>
      </c>
      <c r="C1717" s="177" t="n">
        <v>45915</v>
      </c>
      <c r="D1717" t="inlineStr">
        <is>
          <t>BW20250909</t>
        </is>
      </c>
      <c r="E1717" t="n">
        <v>2025</v>
      </c>
      <c r="F1717" t="inlineStr">
        <is>
          <t>Wrzesień</t>
        </is>
      </c>
      <c r="G1717" t="inlineStr">
        <is>
          <t>Pt</t>
        </is>
      </c>
      <c r="H1717">
        <f>'Floor Hours Engine'!$E$5</f>
        <v/>
      </c>
      <c r="I1717" t="inlineStr">
        <is>
          <t>W3</t>
        </is>
      </c>
      <c r="J1717" t="inlineStr">
        <is>
          <t>2025_Wrzesień_W3</t>
        </is>
      </c>
    </row>
    <row r="1718">
      <c r="A1718" s="177" t="n">
        <v>45913</v>
      </c>
      <c r="B1718" s="177" t="n">
        <v>45909</v>
      </c>
      <c r="C1718" s="177" t="n">
        <v>45915</v>
      </c>
      <c r="D1718" t="inlineStr">
        <is>
          <t>BW20250909</t>
        </is>
      </c>
      <c r="E1718" t="n">
        <v>2025</v>
      </c>
      <c r="F1718" t="inlineStr">
        <is>
          <t>Wrzesień</t>
        </is>
      </c>
      <c r="G1718" t="inlineStr">
        <is>
          <t>Sob</t>
        </is>
      </c>
      <c r="H1718">
        <f>'Floor Hours Engine'!$E$5</f>
        <v/>
      </c>
      <c r="I1718" t="inlineStr">
        <is>
          <t>W3</t>
        </is>
      </c>
      <c r="J1718" t="inlineStr">
        <is>
          <t>2025_Wrzesień_W3</t>
        </is>
      </c>
    </row>
    <row r="1719">
      <c r="A1719" s="177" t="n">
        <v>45914</v>
      </c>
      <c r="B1719" s="177" t="n">
        <v>45909</v>
      </c>
      <c r="C1719" s="177" t="n">
        <v>45915</v>
      </c>
      <c r="D1719" t="inlineStr">
        <is>
          <t>BW20250909</t>
        </is>
      </c>
      <c r="E1719" t="n">
        <v>2025</v>
      </c>
      <c r="F1719" t="inlineStr">
        <is>
          <t>Wrzesień</t>
        </is>
      </c>
      <c r="G1719" t="inlineStr">
        <is>
          <t>Nd</t>
        </is>
      </c>
      <c r="H1719">
        <f>'Floor Hours Engine'!$E$6</f>
        <v/>
      </c>
      <c r="I1719" t="inlineStr">
        <is>
          <t>W3</t>
        </is>
      </c>
      <c r="J1719" t="inlineStr">
        <is>
          <t>2025_Wrzesień_W3</t>
        </is>
      </c>
    </row>
    <row r="1720">
      <c r="A1720" s="177" t="n">
        <v>45915</v>
      </c>
      <c r="B1720" s="177" t="n">
        <v>45909</v>
      </c>
      <c r="C1720" s="177" t="n">
        <v>45915</v>
      </c>
      <c r="D1720" t="inlineStr">
        <is>
          <t>BW20250909</t>
        </is>
      </c>
      <c r="E1720" t="n">
        <v>2025</v>
      </c>
      <c r="F1720" t="inlineStr">
        <is>
          <t>Wrzesień</t>
        </is>
      </c>
      <c r="G1720" t="inlineStr">
        <is>
          <t>Pn</t>
        </is>
      </c>
      <c r="H1720">
        <f>'Floor Hours Engine'!$E$4</f>
        <v/>
      </c>
      <c r="I1720" t="inlineStr">
        <is>
          <t>W3</t>
        </is>
      </c>
      <c r="J1720" t="inlineStr">
        <is>
          <t>2025_Wrzesień_W3</t>
        </is>
      </c>
    </row>
    <row r="1721">
      <c r="A1721" s="177" t="n">
        <v>45916</v>
      </c>
      <c r="B1721" s="177" t="n">
        <v>45916</v>
      </c>
      <c r="C1721" s="177" t="n">
        <v>45922</v>
      </c>
      <c r="D1721" t="inlineStr">
        <is>
          <t>BW20250916</t>
        </is>
      </c>
      <c r="E1721" t="n">
        <v>2025</v>
      </c>
      <c r="F1721" t="inlineStr">
        <is>
          <t>Wrzesień</t>
        </is>
      </c>
      <c r="G1721" t="inlineStr">
        <is>
          <t>Wt</t>
        </is>
      </c>
      <c r="H1721">
        <f>'Floor Hours Engine'!$E$4</f>
        <v/>
      </c>
      <c r="I1721" t="inlineStr">
        <is>
          <t>W4</t>
        </is>
      </c>
      <c r="J1721" t="inlineStr">
        <is>
          <t>2025_Wrzesień_W4</t>
        </is>
      </c>
    </row>
    <row r="1722">
      <c r="A1722" s="177" t="n">
        <v>45917</v>
      </c>
      <c r="B1722" s="177" t="n">
        <v>45916</v>
      </c>
      <c r="C1722" s="177" t="n">
        <v>45922</v>
      </c>
      <c r="D1722" t="inlineStr">
        <is>
          <t>BW20250916</t>
        </is>
      </c>
      <c r="E1722" t="n">
        <v>2025</v>
      </c>
      <c r="F1722" t="inlineStr">
        <is>
          <t>Wrzesień</t>
        </is>
      </c>
      <c r="G1722" t="inlineStr">
        <is>
          <t>Śr</t>
        </is>
      </c>
      <c r="H1722">
        <f>'Floor Hours Engine'!$E$4</f>
        <v/>
      </c>
      <c r="I1722" t="inlineStr">
        <is>
          <t>W4</t>
        </is>
      </c>
      <c r="J1722" t="inlineStr">
        <is>
          <t>2025_Wrzesień_W4</t>
        </is>
      </c>
    </row>
    <row r="1723">
      <c r="A1723" s="177" t="n">
        <v>45918</v>
      </c>
      <c r="B1723" s="177" t="n">
        <v>45916</v>
      </c>
      <c r="C1723" s="177" t="n">
        <v>45922</v>
      </c>
      <c r="D1723" t="inlineStr">
        <is>
          <t>BW20250916</t>
        </is>
      </c>
      <c r="E1723" t="n">
        <v>2025</v>
      </c>
      <c r="F1723" t="inlineStr">
        <is>
          <t>Wrzesień</t>
        </is>
      </c>
      <c r="G1723" t="inlineStr">
        <is>
          <t>Czw</t>
        </is>
      </c>
      <c r="H1723">
        <f>'Floor Hours Engine'!$E$4</f>
        <v/>
      </c>
      <c r="I1723" t="inlineStr">
        <is>
          <t>W4</t>
        </is>
      </c>
      <c r="J1723" t="inlineStr">
        <is>
          <t>2025_Wrzesień_W4</t>
        </is>
      </c>
    </row>
    <row r="1724">
      <c r="A1724" s="177" t="n">
        <v>45919</v>
      </c>
      <c r="B1724" s="177" t="n">
        <v>45916</v>
      </c>
      <c r="C1724" s="177" t="n">
        <v>45922</v>
      </c>
      <c r="D1724" t="inlineStr">
        <is>
          <t>BW20250916</t>
        </is>
      </c>
      <c r="E1724" t="n">
        <v>2025</v>
      </c>
      <c r="F1724" t="inlineStr">
        <is>
          <t>Wrzesień</t>
        </is>
      </c>
      <c r="G1724" t="inlineStr">
        <is>
          <t>Pt</t>
        </is>
      </c>
      <c r="H1724">
        <f>'Floor Hours Engine'!$E$5</f>
        <v/>
      </c>
      <c r="I1724" t="inlineStr">
        <is>
          <t>W4</t>
        </is>
      </c>
      <c r="J1724" t="inlineStr">
        <is>
          <t>2025_Wrzesień_W4</t>
        </is>
      </c>
    </row>
    <row r="1725">
      <c r="A1725" s="177" t="n">
        <v>45920</v>
      </c>
      <c r="B1725" s="177" t="n">
        <v>45916</v>
      </c>
      <c r="C1725" s="177" t="n">
        <v>45922</v>
      </c>
      <c r="D1725" t="inlineStr">
        <is>
          <t>BW20250916</t>
        </is>
      </c>
      <c r="E1725" t="n">
        <v>2025</v>
      </c>
      <c r="F1725" t="inlineStr">
        <is>
          <t>Wrzesień</t>
        </is>
      </c>
      <c r="G1725" t="inlineStr">
        <is>
          <t>Sob</t>
        </is>
      </c>
      <c r="H1725">
        <f>'Floor Hours Engine'!$E$5</f>
        <v/>
      </c>
      <c r="I1725" t="inlineStr">
        <is>
          <t>W4</t>
        </is>
      </c>
      <c r="J1725" t="inlineStr">
        <is>
          <t>2025_Wrzesień_W4</t>
        </is>
      </c>
    </row>
    <row r="1726">
      <c r="A1726" s="177" t="n">
        <v>45921</v>
      </c>
      <c r="B1726" s="177" t="n">
        <v>45916</v>
      </c>
      <c r="C1726" s="177" t="n">
        <v>45922</v>
      </c>
      <c r="D1726" t="inlineStr">
        <is>
          <t>BW20250916</t>
        </is>
      </c>
      <c r="E1726" t="n">
        <v>2025</v>
      </c>
      <c r="F1726" t="inlineStr">
        <is>
          <t>Wrzesień</t>
        </is>
      </c>
      <c r="G1726" t="inlineStr">
        <is>
          <t>Nd</t>
        </is>
      </c>
      <c r="H1726">
        <f>'Floor Hours Engine'!$E$6</f>
        <v/>
      </c>
      <c r="I1726" t="inlineStr">
        <is>
          <t>W4</t>
        </is>
      </c>
      <c r="J1726" t="inlineStr">
        <is>
          <t>2025_Wrzesień_W4</t>
        </is>
      </c>
    </row>
    <row r="1727">
      <c r="A1727" s="177" t="n">
        <v>45922</v>
      </c>
      <c r="B1727" s="177" t="n">
        <v>45916</v>
      </c>
      <c r="C1727" s="177" t="n">
        <v>45922</v>
      </c>
      <c r="D1727" t="inlineStr">
        <is>
          <t>BW20250916</t>
        </is>
      </c>
      <c r="E1727" t="n">
        <v>2025</v>
      </c>
      <c r="F1727" t="inlineStr">
        <is>
          <t>Wrzesień</t>
        </is>
      </c>
      <c r="G1727" t="inlineStr">
        <is>
          <t>Pn</t>
        </is>
      </c>
      <c r="H1727">
        <f>'Floor Hours Engine'!$E$4</f>
        <v/>
      </c>
      <c r="I1727" t="inlineStr">
        <is>
          <t>W4</t>
        </is>
      </c>
      <c r="J1727" t="inlineStr">
        <is>
          <t>2025_Wrzesień_W4</t>
        </is>
      </c>
    </row>
    <row r="1728">
      <c r="A1728" s="177" t="n">
        <v>45923</v>
      </c>
      <c r="B1728" s="177" t="n">
        <v>45923</v>
      </c>
      <c r="C1728" s="177" t="n">
        <v>45929</v>
      </c>
      <c r="D1728" t="inlineStr">
        <is>
          <t>BW20250923</t>
        </is>
      </c>
      <c r="E1728" t="n">
        <v>2025</v>
      </c>
      <c r="F1728" t="inlineStr">
        <is>
          <t>Wrzesień</t>
        </is>
      </c>
      <c r="G1728" t="inlineStr">
        <is>
          <t>Wt</t>
        </is>
      </c>
      <c r="H1728">
        <f>'Floor Hours Engine'!$E$4</f>
        <v/>
      </c>
      <c r="I1728" t="inlineStr">
        <is>
          <t>W5</t>
        </is>
      </c>
      <c r="J1728" t="inlineStr">
        <is>
          <t>2025_Wrzesień_W5</t>
        </is>
      </c>
    </row>
    <row r="1729">
      <c r="A1729" s="177" t="n">
        <v>45924</v>
      </c>
      <c r="B1729" s="177" t="n">
        <v>45923</v>
      </c>
      <c r="C1729" s="177" t="n">
        <v>45929</v>
      </c>
      <c r="D1729" t="inlineStr">
        <is>
          <t>BW20250923</t>
        </is>
      </c>
      <c r="E1729" t="n">
        <v>2025</v>
      </c>
      <c r="F1729" t="inlineStr">
        <is>
          <t>Wrzesień</t>
        </is>
      </c>
      <c r="G1729" t="inlineStr">
        <is>
          <t>Śr</t>
        </is>
      </c>
      <c r="H1729">
        <f>'Floor Hours Engine'!$E$4</f>
        <v/>
      </c>
      <c r="I1729" t="inlineStr">
        <is>
          <t>W5</t>
        </is>
      </c>
      <c r="J1729" t="inlineStr">
        <is>
          <t>2025_Wrzesień_W5</t>
        </is>
      </c>
    </row>
    <row r="1730">
      <c r="A1730" s="177" t="n">
        <v>45925</v>
      </c>
      <c r="B1730" s="177" t="n">
        <v>45923</v>
      </c>
      <c r="C1730" s="177" t="n">
        <v>45929</v>
      </c>
      <c r="D1730" t="inlineStr">
        <is>
          <t>BW20250923</t>
        </is>
      </c>
      <c r="E1730" t="n">
        <v>2025</v>
      </c>
      <c r="F1730" t="inlineStr">
        <is>
          <t>Wrzesień</t>
        </is>
      </c>
      <c r="G1730" t="inlineStr">
        <is>
          <t>Czw</t>
        </is>
      </c>
      <c r="H1730">
        <f>'Floor Hours Engine'!$E$4</f>
        <v/>
      </c>
      <c r="I1730" t="inlineStr">
        <is>
          <t>W5</t>
        </is>
      </c>
      <c r="J1730" t="inlineStr">
        <is>
          <t>2025_Wrzesień_W5</t>
        </is>
      </c>
    </row>
    <row r="1731">
      <c r="A1731" s="177" t="n">
        <v>45926</v>
      </c>
      <c r="B1731" s="177" t="n">
        <v>45923</v>
      </c>
      <c r="C1731" s="177" t="n">
        <v>45929</v>
      </c>
      <c r="D1731" t="inlineStr">
        <is>
          <t>BW20250923</t>
        </is>
      </c>
      <c r="E1731" t="n">
        <v>2025</v>
      </c>
      <c r="F1731" t="inlineStr">
        <is>
          <t>Wrzesień</t>
        </is>
      </c>
      <c r="G1731" t="inlineStr">
        <is>
          <t>Pt</t>
        </is>
      </c>
      <c r="H1731">
        <f>'Floor Hours Engine'!$E$5</f>
        <v/>
      </c>
      <c r="I1731" t="inlineStr">
        <is>
          <t>W5</t>
        </is>
      </c>
      <c r="J1731" t="inlineStr">
        <is>
          <t>2025_Wrzesień_W5</t>
        </is>
      </c>
    </row>
    <row r="1732">
      <c r="A1732" s="177" t="n">
        <v>45927</v>
      </c>
      <c r="B1732" s="177" t="n">
        <v>45923</v>
      </c>
      <c r="C1732" s="177" t="n">
        <v>45929</v>
      </c>
      <c r="D1732" t="inlineStr">
        <is>
          <t>BW20250923</t>
        </is>
      </c>
      <c r="E1732" t="n">
        <v>2025</v>
      </c>
      <c r="F1732" t="inlineStr">
        <is>
          <t>Wrzesień</t>
        </is>
      </c>
      <c r="G1732" t="inlineStr">
        <is>
          <t>Sob</t>
        </is>
      </c>
      <c r="H1732">
        <f>'Floor Hours Engine'!$E$5</f>
        <v/>
      </c>
      <c r="I1732" t="inlineStr">
        <is>
          <t>W5</t>
        </is>
      </c>
      <c r="J1732" t="inlineStr">
        <is>
          <t>2025_Wrzesień_W5</t>
        </is>
      </c>
    </row>
    <row r="1733">
      <c r="A1733" s="177" t="n">
        <v>45928</v>
      </c>
      <c r="B1733" s="177" t="n">
        <v>45923</v>
      </c>
      <c r="C1733" s="177" t="n">
        <v>45929</v>
      </c>
      <c r="D1733" t="inlineStr">
        <is>
          <t>BW20250923</t>
        </is>
      </c>
      <c r="E1733" t="n">
        <v>2025</v>
      </c>
      <c r="F1733" t="inlineStr">
        <is>
          <t>Wrzesień</t>
        </is>
      </c>
      <c r="G1733" t="inlineStr">
        <is>
          <t>Nd</t>
        </is>
      </c>
      <c r="H1733">
        <f>'Floor Hours Engine'!$E$6</f>
        <v/>
      </c>
      <c r="I1733" t="inlineStr">
        <is>
          <t>W5</t>
        </is>
      </c>
      <c r="J1733" t="inlineStr">
        <is>
          <t>2025_Wrzesień_W5</t>
        </is>
      </c>
    </row>
    <row r="1734">
      <c r="A1734" s="177" t="n">
        <v>45929</v>
      </c>
      <c r="B1734" s="177" t="n">
        <v>45923</v>
      </c>
      <c r="C1734" s="177" t="n">
        <v>45929</v>
      </c>
      <c r="D1734" t="inlineStr">
        <is>
          <t>BW20250923</t>
        </is>
      </c>
      <c r="E1734" t="n">
        <v>2025</v>
      </c>
      <c r="F1734" t="inlineStr">
        <is>
          <t>Wrzesień</t>
        </is>
      </c>
      <c r="G1734" t="inlineStr">
        <is>
          <t>Pn</t>
        </is>
      </c>
      <c r="H1734">
        <f>'Floor Hours Engine'!$E$4</f>
        <v/>
      </c>
      <c r="I1734" t="inlineStr">
        <is>
          <t>W5</t>
        </is>
      </c>
      <c r="J1734" t="inlineStr">
        <is>
          <t>2025_Wrzesień_W5</t>
        </is>
      </c>
    </row>
    <row r="1735">
      <c r="A1735" s="177" t="n">
        <v>45930</v>
      </c>
      <c r="B1735" s="177" t="n">
        <v>45930</v>
      </c>
      <c r="C1735" s="177" t="n">
        <v>45936</v>
      </c>
      <c r="D1735" t="inlineStr">
        <is>
          <t>BW20250930</t>
        </is>
      </c>
      <c r="E1735" t="n">
        <v>2025</v>
      </c>
      <c r="F1735" t="inlineStr">
        <is>
          <t>Wrzesień</t>
        </is>
      </c>
      <c r="G1735" t="inlineStr">
        <is>
          <t>Wt</t>
        </is>
      </c>
      <c r="H1735">
        <f>'Floor Hours Engine'!$E$4</f>
        <v/>
      </c>
      <c r="I1735" t="inlineStr">
        <is>
          <t>W6</t>
        </is>
      </c>
      <c r="J1735" t="inlineStr">
        <is>
          <t>2025_Wrzesień_W6</t>
        </is>
      </c>
    </row>
    <row r="1736">
      <c r="A1736" s="177" t="n">
        <v>45931</v>
      </c>
      <c r="B1736" s="177" t="n">
        <v>45930</v>
      </c>
      <c r="C1736" s="177" t="n">
        <v>45936</v>
      </c>
      <c r="D1736" t="inlineStr">
        <is>
          <t>BW20250930</t>
        </is>
      </c>
      <c r="E1736" t="n">
        <v>2025</v>
      </c>
      <c r="F1736" t="inlineStr">
        <is>
          <t>Październik</t>
        </is>
      </c>
      <c r="G1736" t="inlineStr">
        <is>
          <t>Śr</t>
        </is>
      </c>
      <c r="H1736">
        <f>'Floor Hours Engine'!$E$4</f>
        <v/>
      </c>
      <c r="I1736" t="inlineStr">
        <is>
          <t>W1</t>
        </is>
      </c>
      <c r="J1736" t="inlineStr">
        <is>
          <t>2025_Październik_W1</t>
        </is>
      </c>
    </row>
    <row r="1737">
      <c r="A1737" s="177" t="n">
        <v>45932</v>
      </c>
      <c r="B1737" s="177" t="n">
        <v>45930</v>
      </c>
      <c r="C1737" s="177" t="n">
        <v>45936</v>
      </c>
      <c r="D1737" t="inlineStr">
        <is>
          <t>BW20250930</t>
        </is>
      </c>
      <c r="E1737" t="n">
        <v>2025</v>
      </c>
      <c r="F1737" t="inlineStr">
        <is>
          <t>Październik</t>
        </is>
      </c>
      <c r="G1737" t="inlineStr">
        <is>
          <t>Czw</t>
        </is>
      </c>
      <c r="H1737">
        <f>'Floor Hours Engine'!$E$4</f>
        <v/>
      </c>
      <c r="I1737" t="inlineStr">
        <is>
          <t>W1</t>
        </is>
      </c>
      <c r="J1737" t="inlineStr">
        <is>
          <t>2025_Październik_W1</t>
        </is>
      </c>
    </row>
    <row r="1738">
      <c r="A1738" s="177" t="n">
        <v>45933</v>
      </c>
      <c r="B1738" s="177" t="n">
        <v>45930</v>
      </c>
      <c r="C1738" s="177" t="n">
        <v>45936</v>
      </c>
      <c r="D1738" t="inlineStr">
        <is>
          <t>BW20250930</t>
        </is>
      </c>
      <c r="E1738" t="n">
        <v>2025</v>
      </c>
      <c r="F1738" t="inlineStr">
        <is>
          <t>Październik</t>
        </is>
      </c>
      <c r="G1738" t="inlineStr">
        <is>
          <t>Pt</t>
        </is>
      </c>
      <c r="H1738">
        <f>'Floor Hours Engine'!$E$5</f>
        <v/>
      </c>
      <c r="I1738" t="inlineStr">
        <is>
          <t>W1</t>
        </is>
      </c>
      <c r="J1738" t="inlineStr">
        <is>
          <t>2025_Październik_W1</t>
        </is>
      </c>
    </row>
    <row r="1739">
      <c r="A1739" s="177" t="n">
        <v>45934</v>
      </c>
      <c r="B1739" s="177" t="n">
        <v>45930</v>
      </c>
      <c r="C1739" s="177" t="n">
        <v>45936</v>
      </c>
      <c r="D1739" t="inlineStr">
        <is>
          <t>BW20250930</t>
        </is>
      </c>
      <c r="E1739" t="n">
        <v>2025</v>
      </c>
      <c r="F1739" t="inlineStr">
        <is>
          <t>Październik</t>
        </is>
      </c>
      <c r="G1739" t="inlineStr">
        <is>
          <t>Sob</t>
        </is>
      </c>
      <c r="H1739">
        <f>'Floor Hours Engine'!$E$5</f>
        <v/>
      </c>
      <c r="I1739" t="inlineStr">
        <is>
          <t>W1</t>
        </is>
      </c>
      <c r="J1739" t="inlineStr">
        <is>
          <t>2025_Październik_W1</t>
        </is>
      </c>
    </row>
    <row r="1740">
      <c r="A1740" s="177" t="n">
        <v>45935</v>
      </c>
      <c r="B1740" s="177" t="n">
        <v>45930</v>
      </c>
      <c r="C1740" s="177" t="n">
        <v>45936</v>
      </c>
      <c r="D1740" t="inlineStr">
        <is>
          <t>BW20250930</t>
        </is>
      </c>
      <c r="E1740" t="n">
        <v>2025</v>
      </c>
      <c r="F1740" t="inlineStr">
        <is>
          <t>Październik</t>
        </is>
      </c>
      <c r="G1740" t="inlineStr">
        <is>
          <t>Nd</t>
        </is>
      </c>
      <c r="H1740">
        <f>'Floor Hours Engine'!$E$6</f>
        <v/>
      </c>
      <c r="I1740" t="inlineStr">
        <is>
          <t>W1</t>
        </is>
      </c>
      <c r="J1740" t="inlineStr">
        <is>
          <t>2025_Październik_W1</t>
        </is>
      </c>
    </row>
    <row r="1741">
      <c r="A1741" s="177" t="n">
        <v>45936</v>
      </c>
      <c r="B1741" s="177" t="n">
        <v>45930</v>
      </c>
      <c r="C1741" s="177" t="n">
        <v>45936</v>
      </c>
      <c r="D1741" t="inlineStr">
        <is>
          <t>BW20250930</t>
        </is>
      </c>
      <c r="E1741" t="n">
        <v>2025</v>
      </c>
      <c r="F1741" t="inlineStr">
        <is>
          <t>Październik</t>
        </is>
      </c>
      <c r="G1741" t="inlineStr">
        <is>
          <t>Pn</t>
        </is>
      </c>
      <c r="H1741">
        <f>'Floor Hours Engine'!$E$4</f>
        <v/>
      </c>
      <c r="I1741" t="inlineStr">
        <is>
          <t>W1</t>
        </is>
      </c>
      <c r="J1741" t="inlineStr">
        <is>
          <t>2025_Październik_W1</t>
        </is>
      </c>
    </row>
    <row r="1742">
      <c r="A1742" s="177" t="n">
        <v>45937</v>
      </c>
      <c r="B1742" s="177" t="n">
        <v>45937</v>
      </c>
      <c r="C1742" s="177" t="n">
        <v>45943</v>
      </c>
      <c r="D1742" t="inlineStr">
        <is>
          <t>BW20251007</t>
        </is>
      </c>
      <c r="E1742" t="n">
        <v>2025</v>
      </c>
      <c r="F1742" t="inlineStr">
        <is>
          <t>Październik</t>
        </is>
      </c>
      <c r="G1742" t="inlineStr">
        <is>
          <t>Wt</t>
        </is>
      </c>
      <c r="H1742">
        <f>'Floor Hours Engine'!$E$4</f>
        <v/>
      </c>
      <c r="I1742" t="inlineStr">
        <is>
          <t>W2</t>
        </is>
      </c>
      <c r="J1742" t="inlineStr">
        <is>
          <t>2025_Październik_W2</t>
        </is>
      </c>
    </row>
    <row r="1743">
      <c r="A1743" s="177" t="n">
        <v>45938</v>
      </c>
      <c r="B1743" s="177" t="n">
        <v>45937</v>
      </c>
      <c r="C1743" s="177" t="n">
        <v>45943</v>
      </c>
      <c r="D1743" t="inlineStr">
        <is>
          <t>BW20251007</t>
        </is>
      </c>
      <c r="E1743" t="n">
        <v>2025</v>
      </c>
      <c r="F1743" t="inlineStr">
        <is>
          <t>Październik</t>
        </is>
      </c>
      <c r="G1743" t="inlineStr">
        <is>
          <t>Śr</t>
        </is>
      </c>
      <c r="H1743">
        <f>'Floor Hours Engine'!$E$4</f>
        <v/>
      </c>
      <c r="I1743" t="inlineStr">
        <is>
          <t>W2</t>
        </is>
      </c>
      <c r="J1743" t="inlineStr">
        <is>
          <t>2025_Październik_W2</t>
        </is>
      </c>
    </row>
    <row r="1744">
      <c r="A1744" s="177" t="n">
        <v>45939</v>
      </c>
      <c r="B1744" s="177" t="n">
        <v>45937</v>
      </c>
      <c r="C1744" s="177" t="n">
        <v>45943</v>
      </c>
      <c r="D1744" t="inlineStr">
        <is>
          <t>BW20251007</t>
        </is>
      </c>
      <c r="E1744" t="n">
        <v>2025</v>
      </c>
      <c r="F1744" t="inlineStr">
        <is>
          <t>Październik</t>
        </is>
      </c>
      <c r="G1744" t="inlineStr">
        <is>
          <t>Czw</t>
        </is>
      </c>
      <c r="H1744">
        <f>'Floor Hours Engine'!$E$4</f>
        <v/>
      </c>
      <c r="I1744" t="inlineStr">
        <is>
          <t>W2</t>
        </is>
      </c>
      <c r="J1744" t="inlineStr">
        <is>
          <t>2025_Październik_W2</t>
        </is>
      </c>
    </row>
    <row r="1745">
      <c r="A1745" s="177" t="n">
        <v>45940</v>
      </c>
      <c r="B1745" s="177" t="n">
        <v>45937</v>
      </c>
      <c r="C1745" s="177" t="n">
        <v>45943</v>
      </c>
      <c r="D1745" t="inlineStr">
        <is>
          <t>BW20251007</t>
        </is>
      </c>
      <c r="E1745" t="n">
        <v>2025</v>
      </c>
      <c r="F1745" t="inlineStr">
        <is>
          <t>Październik</t>
        </is>
      </c>
      <c r="G1745" t="inlineStr">
        <is>
          <t>Pt</t>
        </is>
      </c>
      <c r="H1745">
        <f>'Floor Hours Engine'!$E$5</f>
        <v/>
      </c>
      <c r="I1745" t="inlineStr">
        <is>
          <t>W2</t>
        </is>
      </c>
      <c r="J1745" t="inlineStr">
        <is>
          <t>2025_Październik_W2</t>
        </is>
      </c>
    </row>
    <row r="1746">
      <c r="A1746" s="177" t="n">
        <v>45941</v>
      </c>
      <c r="B1746" s="177" t="n">
        <v>45937</v>
      </c>
      <c r="C1746" s="177" t="n">
        <v>45943</v>
      </c>
      <c r="D1746" t="inlineStr">
        <is>
          <t>BW20251007</t>
        </is>
      </c>
      <c r="E1746" t="n">
        <v>2025</v>
      </c>
      <c r="F1746" t="inlineStr">
        <is>
          <t>Październik</t>
        </is>
      </c>
      <c r="G1746" t="inlineStr">
        <is>
          <t>Sob</t>
        </is>
      </c>
      <c r="H1746">
        <f>'Floor Hours Engine'!$E$5</f>
        <v/>
      </c>
      <c r="I1746" t="inlineStr">
        <is>
          <t>W2</t>
        </is>
      </c>
      <c r="J1746" t="inlineStr">
        <is>
          <t>2025_Październik_W2</t>
        </is>
      </c>
    </row>
    <row r="1747">
      <c r="A1747" s="177" t="n">
        <v>45942</v>
      </c>
      <c r="B1747" s="177" t="n">
        <v>45937</v>
      </c>
      <c r="C1747" s="177" t="n">
        <v>45943</v>
      </c>
      <c r="D1747" t="inlineStr">
        <is>
          <t>BW20251007</t>
        </is>
      </c>
      <c r="E1747" t="n">
        <v>2025</v>
      </c>
      <c r="F1747" t="inlineStr">
        <is>
          <t>Październik</t>
        </is>
      </c>
      <c r="G1747" t="inlineStr">
        <is>
          <t>Nd</t>
        </is>
      </c>
      <c r="H1747">
        <f>'Floor Hours Engine'!$E$6</f>
        <v/>
      </c>
      <c r="I1747" t="inlineStr">
        <is>
          <t>W2</t>
        </is>
      </c>
      <c r="J1747" t="inlineStr">
        <is>
          <t>2025_Październik_W2</t>
        </is>
      </c>
    </row>
    <row r="1748">
      <c r="A1748" s="177" t="n">
        <v>45943</v>
      </c>
      <c r="B1748" s="177" t="n">
        <v>45937</v>
      </c>
      <c r="C1748" s="177" t="n">
        <v>45943</v>
      </c>
      <c r="D1748" t="inlineStr">
        <is>
          <t>BW20251007</t>
        </is>
      </c>
      <c r="E1748" t="n">
        <v>2025</v>
      </c>
      <c r="F1748" t="inlineStr">
        <is>
          <t>Październik</t>
        </is>
      </c>
      <c r="G1748" t="inlineStr">
        <is>
          <t>Pn</t>
        </is>
      </c>
      <c r="H1748">
        <f>'Floor Hours Engine'!$E$4</f>
        <v/>
      </c>
      <c r="I1748" t="inlineStr">
        <is>
          <t>W2</t>
        </is>
      </c>
      <c r="J1748" t="inlineStr">
        <is>
          <t>2025_Październik_W2</t>
        </is>
      </c>
    </row>
    <row r="1749">
      <c r="A1749" s="177" t="n">
        <v>45944</v>
      </c>
      <c r="B1749" s="177" t="n">
        <v>45944</v>
      </c>
      <c r="C1749" s="177" t="n">
        <v>45950</v>
      </c>
      <c r="D1749" t="inlineStr">
        <is>
          <t>BW20251014</t>
        </is>
      </c>
      <c r="E1749" t="n">
        <v>2025</v>
      </c>
      <c r="F1749" t="inlineStr">
        <is>
          <t>Październik</t>
        </is>
      </c>
      <c r="G1749" t="inlineStr">
        <is>
          <t>Wt</t>
        </is>
      </c>
      <c r="H1749">
        <f>'Floor Hours Engine'!$E$4</f>
        <v/>
      </c>
      <c r="I1749" t="inlineStr">
        <is>
          <t>W3</t>
        </is>
      </c>
      <c r="J1749" t="inlineStr">
        <is>
          <t>2025_Październik_W3</t>
        </is>
      </c>
    </row>
    <row r="1750">
      <c r="A1750" s="177" t="n">
        <v>45945</v>
      </c>
      <c r="B1750" s="177" t="n">
        <v>45944</v>
      </c>
      <c r="C1750" s="177" t="n">
        <v>45950</v>
      </c>
      <c r="D1750" t="inlineStr">
        <is>
          <t>BW20251014</t>
        </is>
      </c>
      <c r="E1750" t="n">
        <v>2025</v>
      </c>
      <c r="F1750" t="inlineStr">
        <is>
          <t>Październik</t>
        </is>
      </c>
      <c r="G1750" t="inlineStr">
        <is>
          <t>Śr</t>
        </is>
      </c>
      <c r="H1750">
        <f>'Floor Hours Engine'!$E$4</f>
        <v/>
      </c>
      <c r="I1750" t="inlineStr">
        <is>
          <t>W3</t>
        </is>
      </c>
      <c r="J1750" t="inlineStr">
        <is>
          <t>2025_Październik_W3</t>
        </is>
      </c>
    </row>
    <row r="1751">
      <c r="A1751" s="177" t="n">
        <v>45946</v>
      </c>
      <c r="B1751" s="177" t="n">
        <v>45944</v>
      </c>
      <c r="C1751" s="177" t="n">
        <v>45950</v>
      </c>
      <c r="D1751" t="inlineStr">
        <is>
          <t>BW20251014</t>
        </is>
      </c>
      <c r="E1751" t="n">
        <v>2025</v>
      </c>
      <c r="F1751" t="inlineStr">
        <is>
          <t>Październik</t>
        </is>
      </c>
      <c r="G1751" t="inlineStr">
        <is>
          <t>Czw</t>
        </is>
      </c>
      <c r="H1751">
        <f>'Floor Hours Engine'!$E$4</f>
        <v/>
      </c>
      <c r="I1751" t="inlineStr">
        <is>
          <t>W3</t>
        </is>
      </c>
      <c r="J1751" t="inlineStr">
        <is>
          <t>2025_Październik_W3</t>
        </is>
      </c>
    </row>
    <row r="1752">
      <c r="A1752" s="177" t="n">
        <v>45947</v>
      </c>
      <c r="B1752" s="177" t="n">
        <v>45944</v>
      </c>
      <c r="C1752" s="177" t="n">
        <v>45950</v>
      </c>
      <c r="D1752" t="inlineStr">
        <is>
          <t>BW20251014</t>
        </is>
      </c>
      <c r="E1752" t="n">
        <v>2025</v>
      </c>
      <c r="F1752" t="inlineStr">
        <is>
          <t>Październik</t>
        </is>
      </c>
      <c r="G1752" t="inlineStr">
        <is>
          <t>Pt</t>
        </is>
      </c>
      <c r="H1752">
        <f>'Floor Hours Engine'!$E$5</f>
        <v/>
      </c>
      <c r="I1752" t="inlineStr">
        <is>
          <t>W3</t>
        </is>
      </c>
      <c r="J1752" t="inlineStr">
        <is>
          <t>2025_Październik_W3</t>
        </is>
      </c>
    </row>
    <row r="1753">
      <c r="A1753" s="177" t="n">
        <v>45948</v>
      </c>
      <c r="B1753" s="177" t="n">
        <v>45944</v>
      </c>
      <c r="C1753" s="177" t="n">
        <v>45950</v>
      </c>
      <c r="D1753" t="inlineStr">
        <is>
          <t>BW20251014</t>
        </is>
      </c>
      <c r="E1753" t="n">
        <v>2025</v>
      </c>
      <c r="F1753" t="inlineStr">
        <is>
          <t>Październik</t>
        </is>
      </c>
      <c r="G1753" t="inlineStr">
        <is>
          <t>Sob</t>
        </is>
      </c>
      <c r="H1753">
        <f>'Floor Hours Engine'!$E$5</f>
        <v/>
      </c>
      <c r="I1753" t="inlineStr">
        <is>
          <t>W3</t>
        </is>
      </c>
      <c r="J1753" t="inlineStr">
        <is>
          <t>2025_Październik_W3</t>
        </is>
      </c>
    </row>
    <row r="1754">
      <c r="A1754" s="177" t="n">
        <v>45949</v>
      </c>
      <c r="B1754" s="177" t="n">
        <v>45944</v>
      </c>
      <c r="C1754" s="177" t="n">
        <v>45950</v>
      </c>
      <c r="D1754" t="inlineStr">
        <is>
          <t>BW20251014</t>
        </is>
      </c>
      <c r="E1754" t="n">
        <v>2025</v>
      </c>
      <c r="F1754" t="inlineStr">
        <is>
          <t>Październik</t>
        </is>
      </c>
      <c r="G1754" t="inlineStr">
        <is>
          <t>Nd</t>
        </is>
      </c>
      <c r="H1754">
        <f>'Floor Hours Engine'!$E$6</f>
        <v/>
      </c>
      <c r="I1754" t="inlineStr">
        <is>
          <t>W3</t>
        </is>
      </c>
      <c r="J1754" t="inlineStr">
        <is>
          <t>2025_Październik_W3</t>
        </is>
      </c>
    </row>
    <row r="1755">
      <c r="A1755" s="177" t="n">
        <v>45950</v>
      </c>
      <c r="B1755" s="177" t="n">
        <v>45944</v>
      </c>
      <c r="C1755" s="177" t="n">
        <v>45950</v>
      </c>
      <c r="D1755" t="inlineStr">
        <is>
          <t>BW20251014</t>
        </is>
      </c>
      <c r="E1755" t="n">
        <v>2025</v>
      </c>
      <c r="F1755" t="inlineStr">
        <is>
          <t>Październik</t>
        </is>
      </c>
      <c r="G1755" t="inlineStr">
        <is>
          <t>Pn</t>
        </is>
      </c>
      <c r="H1755">
        <f>'Floor Hours Engine'!$E$4</f>
        <v/>
      </c>
      <c r="I1755" t="inlineStr">
        <is>
          <t>W3</t>
        </is>
      </c>
      <c r="J1755" t="inlineStr">
        <is>
          <t>2025_Październik_W3</t>
        </is>
      </c>
    </row>
    <row r="1756">
      <c r="A1756" s="177" t="n">
        <v>45951</v>
      </c>
      <c r="B1756" s="177" t="n">
        <v>45951</v>
      </c>
      <c r="C1756" s="177" t="n">
        <v>45957</v>
      </c>
      <c r="D1756" t="inlineStr">
        <is>
          <t>BW20251021</t>
        </is>
      </c>
      <c r="E1756" t="n">
        <v>2025</v>
      </c>
      <c r="F1756" t="inlineStr">
        <is>
          <t>Październik</t>
        </is>
      </c>
      <c r="G1756" t="inlineStr">
        <is>
          <t>Wt</t>
        </is>
      </c>
      <c r="H1756">
        <f>'Floor Hours Engine'!$E$4</f>
        <v/>
      </c>
      <c r="I1756" t="inlineStr">
        <is>
          <t>W4</t>
        </is>
      </c>
      <c r="J1756" t="inlineStr">
        <is>
          <t>2025_Październik_W4</t>
        </is>
      </c>
    </row>
    <row r="1757">
      <c r="A1757" s="177" t="n">
        <v>45952</v>
      </c>
      <c r="B1757" s="177" t="n">
        <v>45951</v>
      </c>
      <c r="C1757" s="177" t="n">
        <v>45957</v>
      </c>
      <c r="D1757" t="inlineStr">
        <is>
          <t>BW20251021</t>
        </is>
      </c>
      <c r="E1757" t="n">
        <v>2025</v>
      </c>
      <c r="F1757" t="inlineStr">
        <is>
          <t>Październik</t>
        </is>
      </c>
      <c r="G1757" t="inlineStr">
        <is>
          <t>Śr</t>
        </is>
      </c>
      <c r="H1757">
        <f>'Floor Hours Engine'!$E$4</f>
        <v/>
      </c>
      <c r="I1757" t="inlineStr">
        <is>
          <t>W4</t>
        </is>
      </c>
      <c r="J1757" t="inlineStr">
        <is>
          <t>2025_Październik_W4</t>
        </is>
      </c>
    </row>
    <row r="1758">
      <c r="A1758" s="177" t="n">
        <v>45953</v>
      </c>
      <c r="B1758" s="177" t="n">
        <v>45951</v>
      </c>
      <c r="C1758" s="177" t="n">
        <v>45957</v>
      </c>
      <c r="D1758" t="inlineStr">
        <is>
          <t>BW20251021</t>
        </is>
      </c>
      <c r="E1758" t="n">
        <v>2025</v>
      </c>
      <c r="F1758" t="inlineStr">
        <is>
          <t>Październik</t>
        </is>
      </c>
      <c r="G1758" t="inlineStr">
        <is>
          <t>Czw</t>
        </is>
      </c>
      <c r="H1758">
        <f>'Floor Hours Engine'!$E$4</f>
        <v/>
      </c>
      <c r="I1758" t="inlineStr">
        <is>
          <t>W4</t>
        </is>
      </c>
      <c r="J1758" t="inlineStr">
        <is>
          <t>2025_Październik_W4</t>
        </is>
      </c>
    </row>
    <row r="1759">
      <c r="A1759" s="177" t="n">
        <v>45954</v>
      </c>
      <c r="B1759" s="177" t="n">
        <v>45951</v>
      </c>
      <c r="C1759" s="177" t="n">
        <v>45957</v>
      </c>
      <c r="D1759" t="inlineStr">
        <is>
          <t>BW20251021</t>
        </is>
      </c>
      <c r="E1759" t="n">
        <v>2025</v>
      </c>
      <c r="F1759" t="inlineStr">
        <is>
          <t>Październik</t>
        </is>
      </c>
      <c r="G1759" t="inlineStr">
        <is>
          <t>Pt</t>
        </is>
      </c>
      <c r="H1759">
        <f>'Floor Hours Engine'!$E$5</f>
        <v/>
      </c>
      <c r="I1759" t="inlineStr">
        <is>
          <t>W4</t>
        </is>
      </c>
      <c r="J1759" t="inlineStr">
        <is>
          <t>2025_Październik_W4</t>
        </is>
      </c>
    </row>
    <row r="1760">
      <c r="A1760" s="177" t="n">
        <v>45955</v>
      </c>
      <c r="B1760" s="177" t="n">
        <v>45951</v>
      </c>
      <c r="C1760" s="177" t="n">
        <v>45957</v>
      </c>
      <c r="D1760" t="inlineStr">
        <is>
          <t>BW20251021</t>
        </is>
      </c>
      <c r="E1760" t="n">
        <v>2025</v>
      </c>
      <c r="F1760" t="inlineStr">
        <is>
          <t>Październik</t>
        </is>
      </c>
      <c r="G1760" t="inlineStr">
        <is>
          <t>Sob</t>
        </is>
      </c>
      <c r="H1760">
        <f>'Floor Hours Engine'!$E$5</f>
        <v/>
      </c>
      <c r="I1760" t="inlineStr">
        <is>
          <t>W4</t>
        </is>
      </c>
      <c r="J1760" t="inlineStr">
        <is>
          <t>2025_Październik_W4</t>
        </is>
      </c>
    </row>
    <row r="1761">
      <c r="A1761" s="177" t="n">
        <v>45956</v>
      </c>
      <c r="B1761" s="177" t="n">
        <v>45951</v>
      </c>
      <c r="C1761" s="177" t="n">
        <v>45957</v>
      </c>
      <c r="D1761" t="inlineStr">
        <is>
          <t>BW20251021</t>
        </is>
      </c>
      <c r="E1761" t="n">
        <v>2025</v>
      </c>
      <c r="F1761" t="inlineStr">
        <is>
          <t>Październik</t>
        </is>
      </c>
      <c r="G1761" t="inlineStr">
        <is>
          <t>Nd</t>
        </is>
      </c>
      <c r="H1761">
        <f>'Floor Hours Engine'!$E$6</f>
        <v/>
      </c>
      <c r="I1761" t="inlineStr">
        <is>
          <t>W4</t>
        </is>
      </c>
      <c r="J1761" t="inlineStr">
        <is>
          <t>2025_Październik_W4</t>
        </is>
      </c>
    </row>
    <row r="1762">
      <c r="A1762" s="177" t="n">
        <v>45957</v>
      </c>
      <c r="B1762" s="177" t="n">
        <v>45951</v>
      </c>
      <c r="C1762" s="177" t="n">
        <v>45957</v>
      </c>
      <c r="D1762" t="inlineStr">
        <is>
          <t>BW20251021</t>
        </is>
      </c>
      <c r="E1762" t="n">
        <v>2025</v>
      </c>
      <c r="F1762" t="inlineStr">
        <is>
          <t>Październik</t>
        </is>
      </c>
      <c r="G1762" t="inlineStr">
        <is>
          <t>Pn</t>
        </is>
      </c>
      <c r="H1762">
        <f>'Floor Hours Engine'!$E$4</f>
        <v/>
      </c>
      <c r="I1762" t="inlineStr">
        <is>
          <t>W4</t>
        </is>
      </c>
      <c r="J1762" t="inlineStr">
        <is>
          <t>2025_Październik_W4</t>
        </is>
      </c>
    </row>
    <row r="1763">
      <c r="A1763" s="177" t="n">
        <v>45958</v>
      </c>
      <c r="B1763" s="177" t="n">
        <v>45958</v>
      </c>
      <c r="C1763" s="177" t="n">
        <v>45964</v>
      </c>
      <c r="D1763" t="inlineStr">
        <is>
          <t>BW20251028</t>
        </is>
      </c>
      <c r="E1763" t="n">
        <v>2025</v>
      </c>
      <c r="F1763" t="inlineStr">
        <is>
          <t>Październik</t>
        </is>
      </c>
      <c r="G1763" t="inlineStr">
        <is>
          <t>Wt</t>
        </is>
      </c>
      <c r="H1763">
        <f>'Floor Hours Engine'!$E$4</f>
        <v/>
      </c>
      <c r="I1763" t="inlineStr">
        <is>
          <t>W5</t>
        </is>
      </c>
      <c r="J1763" t="inlineStr">
        <is>
          <t>2025_Październik_W5</t>
        </is>
      </c>
    </row>
    <row r="1764">
      <c r="A1764" s="177" t="n">
        <v>45959</v>
      </c>
      <c r="B1764" s="177" t="n">
        <v>45958</v>
      </c>
      <c r="C1764" s="177" t="n">
        <v>45964</v>
      </c>
      <c r="D1764" t="inlineStr">
        <is>
          <t>BW20251028</t>
        </is>
      </c>
      <c r="E1764" t="n">
        <v>2025</v>
      </c>
      <c r="F1764" t="inlineStr">
        <is>
          <t>Październik</t>
        </is>
      </c>
      <c r="G1764" t="inlineStr">
        <is>
          <t>Śr</t>
        </is>
      </c>
      <c r="H1764">
        <f>'Floor Hours Engine'!$E$4</f>
        <v/>
      </c>
      <c r="I1764" t="inlineStr">
        <is>
          <t>W5</t>
        </is>
      </c>
      <c r="J1764" t="inlineStr">
        <is>
          <t>2025_Październik_W5</t>
        </is>
      </c>
    </row>
    <row r="1765">
      <c r="A1765" s="177" t="n">
        <v>45960</v>
      </c>
      <c r="B1765" s="177" t="n">
        <v>45958</v>
      </c>
      <c r="C1765" s="177" t="n">
        <v>45964</v>
      </c>
      <c r="D1765" t="inlineStr">
        <is>
          <t>BW20251028</t>
        </is>
      </c>
      <c r="E1765" t="n">
        <v>2025</v>
      </c>
      <c r="F1765" t="inlineStr">
        <is>
          <t>Październik</t>
        </is>
      </c>
      <c r="G1765" t="inlineStr">
        <is>
          <t>Czw</t>
        </is>
      </c>
      <c r="H1765">
        <f>'Floor Hours Engine'!$E$4</f>
        <v/>
      </c>
      <c r="I1765" t="inlineStr">
        <is>
          <t>W5</t>
        </is>
      </c>
      <c r="J1765" t="inlineStr">
        <is>
          <t>2025_Październik_W5</t>
        </is>
      </c>
    </row>
    <row r="1766">
      <c r="A1766" s="177" t="n">
        <v>45961</v>
      </c>
      <c r="B1766" s="177" t="n">
        <v>45958</v>
      </c>
      <c r="C1766" s="177" t="n">
        <v>45964</v>
      </c>
      <c r="D1766" t="inlineStr">
        <is>
          <t>BW20251028</t>
        </is>
      </c>
      <c r="E1766" t="n">
        <v>2025</v>
      </c>
      <c r="F1766" t="inlineStr">
        <is>
          <t>Październik</t>
        </is>
      </c>
      <c r="G1766" t="inlineStr">
        <is>
          <t>Pt</t>
        </is>
      </c>
      <c r="H1766">
        <f>'Floor Hours Engine'!$E$5</f>
        <v/>
      </c>
      <c r="I1766" t="inlineStr">
        <is>
          <t>W5</t>
        </is>
      </c>
      <c r="J1766" t="inlineStr">
        <is>
          <t>2025_Październik_W5</t>
        </is>
      </c>
    </row>
    <row r="1767">
      <c r="A1767" s="177" t="n">
        <v>45962</v>
      </c>
      <c r="B1767" s="177" t="n">
        <v>45958</v>
      </c>
      <c r="C1767" s="177" t="n">
        <v>45964</v>
      </c>
      <c r="D1767" t="inlineStr">
        <is>
          <t>BW20251028</t>
        </is>
      </c>
      <c r="E1767" t="n">
        <v>2025</v>
      </c>
      <c r="F1767" t="inlineStr">
        <is>
          <t>Listopad</t>
        </is>
      </c>
      <c r="G1767" t="inlineStr">
        <is>
          <t>Sob</t>
        </is>
      </c>
      <c r="H1767">
        <f>'Floor Hours Engine'!$E$5</f>
        <v/>
      </c>
      <c r="I1767" t="inlineStr">
        <is>
          <t>W1</t>
        </is>
      </c>
      <c r="J1767" t="inlineStr">
        <is>
          <t>2025_Listopad_W1</t>
        </is>
      </c>
    </row>
    <row r="1768">
      <c r="A1768" s="177" t="n">
        <v>45963</v>
      </c>
      <c r="B1768" s="177" t="n">
        <v>45958</v>
      </c>
      <c r="C1768" s="177" t="n">
        <v>45964</v>
      </c>
      <c r="D1768" t="inlineStr">
        <is>
          <t>BW20251028</t>
        </is>
      </c>
      <c r="E1768" t="n">
        <v>2025</v>
      </c>
      <c r="F1768" t="inlineStr">
        <is>
          <t>Listopad</t>
        </is>
      </c>
      <c r="G1768" t="inlineStr">
        <is>
          <t>Nd</t>
        </is>
      </c>
      <c r="H1768">
        <f>'Floor Hours Engine'!$E$6</f>
        <v/>
      </c>
      <c r="I1768" t="inlineStr">
        <is>
          <t>W1</t>
        </is>
      </c>
      <c r="J1768" t="inlineStr">
        <is>
          <t>2025_Listopad_W1</t>
        </is>
      </c>
    </row>
    <row r="1769">
      <c r="A1769" s="177" t="n">
        <v>45964</v>
      </c>
      <c r="B1769" s="177" t="n">
        <v>45958</v>
      </c>
      <c r="C1769" s="177" t="n">
        <v>45964</v>
      </c>
      <c r="D1769" t="inlineStr">
        <is>
          <t>BW20251028</t>
        </is>
      </c>
      <c r="E1769" t="n">
        <v>2025</v>
      </c>
      <c r="F1769" t="inlineStr">
        <is>
          <t>Listopad</t>
        </is>
      </c>
      <c r="G1769" t="inlineStr">
        <is>
          <t>Pn</t>
        </is>
      </c>
      <c r="H1769">
        <f>'Floor Hours Engine'!$E$4</f>
        <v/>
      </c>
      <c r="I1769" t="inlineStr">
        <is>
          <t>W1</t>
        </is>
      </c>
      <c r="J1769" t="inlineStr">
        <is>
          <t>2025_Listopad_W1</t>
        </is>
      </c>
    </row>
    <row r="1770">
      <c r="A1770" s="177" t="n">
        <v>45965</v>
      </c>
      <c r="B1770" s="177" t="n">
        <v>45965</v>
      </c>
      <c r="C1770" s="177" t="n">
        <v>45971</v>
      </c>
      <c r="D1770" t="inlineStr">
        <is>
          <t>BW20251104</t>
        </is>
      </c>
      <c r="E1770" t="n">
        <v>2025</v>
      </c>
      <c r="F1770" t="inlineStr">
        <is>
          <t>Listopad</t>
        </is>
      </c>
      <c r="G1770" t="inlineStr">
        <is>
          <t>Wt</t>
        </is>
      </c>
      <c r="H1770">
        <f>'Floor Hours Engine'!$E$4</f>
        <v/>
      </c>
      <c r="I1770" t="inlineStr">
        <is>
          <t>W2</t>
        </is>
      </c>
      <c r="J1770" t="inlineStr">
        <is>
          <t>2025_Listopad_W2</t>
        </is>
      </c>
    </row>
    <row r="1771">
      <c r="A1771" s="177" t="n">
        <v>45966</v>
      </c>
      <c r="B1771" s="177" t="n">
        <v>45965</v>
      </c>
      <c r="C1771" s="177" t="n">
        <v>45971</v>
      </c>
      <c r="D1771" t="inlineStr">
        <is>
          <t>BW20251104</t>
        </is>
      </c>
      <c r="E1771" t="n">
        <v>2025</v>
      </c>
      <c r="F1771" t="inlineStr">
        <is>
          <t>Listopad</t>
        </is>
      </c>
      <c r="G1771" t="inlineStr">
        <is>
          <t>Śr</t>
        </is>
      </c>
      <c r="H1771">
        <f>'Floor Hours Engine'!$E$4</f>
        <v/>
      </c>
      <c r="I1771" t="inlineStr">
        <is>
          <t>W2</t>
        </is>
      </c>
      <c r="J1771" t="inlineStr">
        <is>
          <t>2025_Listopad_W2</t>
        </is>
      </c>
    </row>
    <row r="1772">
      <c r="A1772" s="177" t="n">
        <v>45967</v>
      </c>
      <c r="B1772" s="177" t="n">
        <v>45965</v>
      </c>
      <c r="C1772" s="177" t="n">
        <v>45971</v>
      </c>
      <c r="D1772" t="inlineStr">
        <is>
          <t>BW20251104</t>
        </is>
      </c>
      <c r="E1772" t="n">
        <v>2025</v>
      </c>
      <c r="F1772" t="inlineStr">
        <is>
          <t>Listopad</t>
        </is>
      </c>
      <c r="G1772" t="inlineStr">
        <is>
          <t>Czw</t>
        </is>
      </c>
      <c r="H1772">
        <f>'Floor Hours Engine'!$E$4</f>
        <v/>
      </c>
      <c r="I1772" t="inlineStr">
        <is>
          <t>W2</t>
        </is>
      </c>
      <c r="J1772" t="inlineStr">
        <is>
          <t>2025_Listopad_W2</t>
        </is>
      </c>
    </row>
    <row r="1773">
      <c r="A1773" s="177" t="n">
        <v>45968</v>
      </c>
      <c r="B1773" s="177" t="n">
        <v>45965</v>
      </c>
      <c r="C1773" s="177" t="n">
        <v>45971</v>
      </c>
      <c r="D1773" t="inlineStr">
        <is>
          <t>BW20251104</t>
        </is>
      </c>
      <c r="E1773" t="n">
        <v>2025</v>
      </c>
      <c r="F1773" t="inlineStr">
        <is>
          <t>Listopad</t>
        </is>
      </c>
      <c r="G1773" t="inlineStr">
        <is>
          <t>Pt</t>
        </is>
      </c>
      <c r="H1773">
        <f>'Floor Hours Engine'!$E$5</f>
        <v/>
      </c>
      <c r="I1773" t="inlineStr">
        <is>
          <t>W2</t>
        </is>
      </c>
      <c r="J1773" t="inlineStr">
        <is>
          <t>2025_Listopad_W2</t>
        </is>
      </c>
    </row>
    <row r="1774">
      <c r="A1774" s="177" t="n">
        <v>45969</v>
      </c>
      <c r="B1774" s="177" t="n">
        <v>45965</v>
      </c>
      <c r="C1774" s="177" t="n">
        <v>45971</v>
      </c>
      <c r="D1774" t="inlineStr">
        <is>
          <t>BW20251104</t>
        </is>
      </c>
      <c r="E1774" t="n">
        <v>2025</v>
      </c>
      <c r="F1774" t="inlineStr">
        <is>
          <t>Listopad</t>
        </is>
      </c>
      <c r="G1774" t="inlineStr">
        <is>
          <t>Sob</t>
        </is>
      </c>
      <c r="H1774">
        <f>'Floor Hours Engine'!$E$5</f>
        <v/>
      </c>
      <c r="I1774" t="inlineStr">
        <is>
          <t>W2</t>
        </is>
      </c>
      <c r="J1774" t="inlineStr">
        <is>
          <t>2025_Listopad_W2</t>
        </is>
      </c>
    </row>
    <row r="1775">
      <c r="A1775" s="177" t="n">
        <v>45970</v>
      </c>
      <c r="B1775" s="177" t="n">
        <v>45965</v>
      </c>
      <c r="C1775" s="177" t="n">
        <v>45971</v>
      </c>
      <c r="D1775" t="inlineStr">
        <is>
          <t>BW20251104</t>
        </is>
      </c>
      <c r="E1775" t="n">
        <v>2025</v>
      </c>
      <c r="F1775" t="inlineStr">
        <is>
          <t>Listopad</t>
        </is>
      </c>
      <c r="G1775" t="inlineStr">
        <is>
          <t>Nd</t>
        </is>
      </c>
      <c r="H1775">
        <f>'Floor Hours Engine'!$E$6</f>
        <v/>
      </c>
      <c r="I1775" t="inlineStr">
        <is>
          <t>W2</t>
        </is>
      </c>
      <c r="J1775" t="inlineStr">
        <is>
          <t>2025_Listopad_W2</t>
        </is>
      </c>
    </row>
    <row r="1776">
      <c r="A1776" s="177" t="n">
        <v>45971</v>
      </c>
      <c r="B1776" s="177" t="n">
        <v>45965</v>
      </c>
      <c r="C1776" s="177" t="n">
        <v>45971</v>
      </c>
      <c r="D1776" t="inlineStr">
        <is>
          <t>BW20251104</t>
        </is>
      </c>
      <c r="E1776" t="n">
        <v>2025</v>
      </c>
      <c r="F1776" t="inlineStr">
        <is>
          <t>Listopad</t>
        </is>
      </c>
      <c r="G1776" t="inlineStr">
        <is>
          <t>Pn</t>
        </is>
      </c>
      <c r="H1776">
        <f>'Floor Hours Engine'!$E$4</f>
        <v/>
      </c>
      <c r="I1776" t="inlineStr">
        <is>
          <t>W2</t>
        </is>
      </c>
      <c r="J1776" t="inlineStr">
        <is>
          <t>2025_Listopad_W2</t>
        </is>
      </c>
    </row>
    <row r="1777">
      <c r="A1777" s="177" t="n">
        <v>45972</v>
      </c>
      <c r="B1777" s="177" t="n">
        <v>45972</v>
      </c>
      <c r="C1777" s="177" t="n">
        <v>45978</v>
      </c>
      <c r="D1777" t="inlineStr">
        <is>
          <t>BW20251111</t>
        </is>
      </c>
      <c r="E1777" t="n">
        <v>2025</v>
      </c>
      <c r="F1777" t="inlineStr">
        <is>
          <t>Listopad</t>
        </is>
      </c>
      <c r="G1777" t="inlineStr">
        <is>
          <t>Wt</t>
        </is>
      </c>
      <c r="H1777">
        <f>'Floor Hours Engine'!$E$4</f>
        <v/>
      </c>
      <c r="I1777" t="inlineStr">
        <is>
          <t>W3</t>
        </is>
      </c>
      <c r="J1777" t="inlineStr">
        <is>
          <t>2025_Listopad_W3</t>
        </is>
      </c>
    </row>
    <row r="1778">
      <c r="A1778" s="177" t="n">
        <v>45973</v>
      </c>
      <c r="B1778" s="177" t="n">
        <v>45972</v>
      </c>
      <c r="C1778" s="177" t="n">
        <v>45978</v>
      </c>
      <c r="D1778" t="inlineStr">
        <is>
          <t>BW20251111</t>
        </is>
      </c>
      <c r="E1778" t="n">
        <v>2025</v>
      </c>
      <c r="F1778" t="inlineStr">
        <is>
          <t>Listopad</t>
        </is>
      </c>
      <c r="G1778" t="inlineStr">
        <is>
          <t>Śr</t>
        </is>
      </c>
      <c r="H1778">
        <f>'Floor Hours Engine'!$E$4</f>
        <v/>
      </c>
      <c r="I1778" t="inlineStr">
        <is>
          <t>W3</t>
        </is>
      </c>
      <c r="J1778" t="inlineStr">
        <is>
          <t>2025_Listopad_W3</t>
        </is>
      </c>
    </row>
    <row r="1779">
      <c r="A1779" s="177" t="n">
        <v>45974</v>
      </c>
      <c r="B1779" s="177" t="n">
        <v>45972</v>
      </c>
      <c r="C1779" s="177" t="n">
        <v>45978</v>
      </c>
      <c r="D1779" t="inlineStr">
        <is>
          <t>BW20251111</t>
        </is>
      </c>
      <c r="E1779" t="n">
        <v>2025</v>
      </c>
      <c r="F1779" t="inlineStr">
        <is>
          <t>Listopad</t>
        </is>
      </c>
      <c r="G1779" t="inlineStr">
        <is>
          <t>Czw</t>
        </is>
      </c>
      <c r="H1779">
        <f>'Floor Hours Engine'!$E$4</f>
        <v/>
      </c>
      <c r="I1779" t="inlineStr">
        <is>
          <t>W3</t>
        </is>
      </c>
      <c r="J1779" t="inlineStr">
        <is>
          <t>2025_Listopad_W3</t>
        </is>
      </c>
    </row>
    <row r="1780">
      <c r="A1780" s="177" t="n">
        <v>45975</v>
      </c>
      <c r="B1780" s="177" t="n">
        <v>45972</v>
      </c>
      <c r="C1780" s="177" t="n">
        <v>45978</v>
      </c>
      <c r="D1780" t="inlineStr">
        <is>
          <t>BW20251111</t>
        </is>
      </c>
      <c r="E1780" t="n">
        <v>2025</v>
      </c>
      <c r="F1780" t="inlineStr">
        <is>
          <t>Listopad</t>
        </is>
      </c>
      <c r="G1780" t="inlineStr">
        <is>
          <t>Pt</t>
        </is>
      </c>
      <c r="H1780">
        <f>'Floor Hours Engine'!$E$5</f>
        <v/>
      </c>
      <c r="I1780" t="inlineStr">
        <is>
          <t>W3</t>
        </is>
      </c>
      <c r="J1780" t="inlineStr">
        <is>
          <t>2025_Listopad_W3</t>
        </is>
      </c>
    </row>
    <row r="1781">
      <c r="A1781" s="177" t="n">
        <v>45976</v>
      </c>
      <c r="B1781" s="177" t="n">
        <v>45972</v>
      </c>
      <c r="C1781" s="177" t="n">
        <v>45978</v>
      </c>
      <c r="D1781" t="inlineStr">
        <is>
          <t>BW20251111</t>
        </is>
      </c>
      <c r="E1781" t="n">
        <v>2025</v>
      </c>
      <c r="F1781" t="inlineStr">
        <is>
          <t>Listopad</t>
        </is>
      </c>
      <c r="G1781" t="inlineStr">
        <is>
          <t>Sob</t>
        </is>
      </c>
      <c r="H1781">
        <f>'Floor Hours Engine'!$E$5</f>
        <v/>
      </c>
      <c r="I1781" t="inlineStr">
        <is>
          <t>W3</t>
        </is>
      </c>
      <c r="J1781" t="inlineStr">
        <is>
          <t>2025_Listopad_W3</t>
        </is>
      </c>
    </row>
    <row r="1782">
      <c r="A1782" s="177" t="n">
        <v>45977</v>
      </c>
      <c r="B1782" s="177" t="n">
        <v>45972</v>
      </c>
      <c r="C1782" s="177" t="n">
        <v>45978</v>
      </c>
      <c r="D1782" t="inlineStr">
        <is>
          <t>BW20251111</t>
        </is>
      </c>
      <c r="E1782" t="n">
        <v>2025</v>
      </c>
      <c r="F1782" t="inlineStr">
        <is>
          <t>Listopad</t>
        </is>
      </c>
      <c r="G1782" t="inlineStr">
        <is>
          <t>Nd</t>
        </is>
      </c>
      <c r="H1782">
        <f>'Floor Hours Engine'!$E$6</f>
        <v/>
      </c>
      <c r="I1782" t="inlineStr">
        <is>
          <t>W3</t>
        </is>
      </c>
      <c r="J1782" t="inlineStr">
        <is>
          <t>2025_Listopad_W3</t>
        </is>
      </c>
    </row>
    <row r="1783">
      <c r="A1783" s="177" t="n">
        <v>45978</v>
      </c>
      <c r="B1783" s="177" t="n">
        <v>45972</v>
      </c>
      <c r="C1783" s="177" t="n">
        <v>45978</v>
      </c>
      <c r="D1783" t="inlineStr">
        <is>
          <t>BW20251111</t>
        </is>
      </c>
      <c r="E1783" t="n">
        <v>2025</v>
      </c>
      <c r="F1783" t="inlineStr">
        <is>
          <t>Listopad</t>
        </is>
      </c>
      <c r="G1783" t="inlineStr">
        <is>
          <t>Pn</t>
        </is>
      </c>
      <c r="H1783">
        <f>'Floor Hours Engine'!$E$4</f>
        <v/>
      </c>
      <c r="I1783" t="inlineStr">
        <is>
          <t>W3</t>
        </is>
      </c>
      <c r="J1783" t="inlineStr">
        <is>
          <t>2025_Listopad_W3</t>
        </is>
      </c>
    </row>
    <row r="1784">
      <c r="A1784" s="177" t="n">
        <v>45979</v>
      </c>
      <c r="B1784" s="177" t="n">
        <v>45979</v>
      </c>
      <c r="C1784" s="177" t="n">
        <v>45985</v>
      </c>
      <c r="D1784" t="inlineStr">
        <is>
          <t>BW20251118</t>
        </is>
      </c>
      <c r="E1784" t="n">
        <v>2025</v>
      </c>
      <c r="F1784" t="inlineStr">
        <is>
          <t>Listopad</t>
        </is>
      </c>
      <c r="G1784" t="inlineStr">
        <is>
          <t>Wt</t>
        </is>
      </c>
      <c r="H1784">
        <f>'Floor Hours Engine'!$E$4</f>
        <v/>
      </c>
      <c r="I1784" t="inlineStr">
        <is>
          <t>W4</t>
        </is>
      </c>
      <c r="J1784" t="inlineStr">
        <is>
          <t>2025_Listopad_W4</t>
        </is>
      </c>
    </row>
    <row r="1785">
      <c r="A1785" s="177" t="n">
        <v>45980</v>
      </c>
      <c r="B1785" s="177" t="n">
        <v>45979</v>
      </c>
      <c r="C1785" s="177" t="n">
        <v>45985</v>
      </c>
      <c r="D1785" t="inlineStr">
        <is>
          <t>BW20251118</t>
        </is>
      </c>
      <c r="E1785" t="n">
        <v>2025</v>
      </c>
      <c r="F1785" t="inlineStr">
        <is>
          <t>Listopad</t>
        </is>
      </c>
      <c r="G1785" t="inlineStr">
        <is>
          <t>Śr</t>
        </is>
      </c>
      <c r="H1785">
        <f>'Floor Hours Engine'!$E$4</f>
        <v/>
      </c>
      <c r="I1785" t="inlineStr">
        <is>
          <t>W4</t>
        </is>
      </c>
      <c r="J1785" t="inlineStr">
        <is>
          <t>2025_Listopad_W4</t>
        </is>
      </c>
    </row>
    <row r="1786">
      <c r="A1786" s="177" t="n">
        <v>45981</v>
      </c>
      <c r="B1786" s="177" t="n">
        <v>45979</v>
      </c>
      <c r="C1786" s="177" t="n">
        <v>45985</v>
      </c>
      <c r="D1786" t="inlineStr">
        <is>
          <t>BW20251118</t>
        </is>
      </c>
      <c r="E1786" t="n">
        <v>2025</v>
      </c>
      <c r="F1786" t="inlineStr">
        <is>
          <t>Listopad</t>
        </is>
      </c>
      <c r="G1786" t="inlineStr">
        <is>
          <t>Czw</t>
        </is>
      </c>
      <c r="H1786">
        <f>'Floor Hours Engine'!$E$4</f>
        <v/>
      </c>
      <c r="I1786" t="inlineStr">
        <is>
          <t>W4</t>
        </is>
      </c>
      <c r="J1786" t="inlineStr">
        <is>
          <t>2025_Listopad_W4</t>
        </is>
      </c>
    </row>
    <row r="1787">
      <c r="A1787" s="177" t="n">
        <v>45982</v>
      </c>
      <c r="B1787" s="177" t="n">
        <v>45979</v>
      </c>
      <c r="C1787" s="177" t="n">
        <v>45985</v>
      </c>
      <c r="D1787" t="inlineStr">
        <is>
          <t>BW20251118</t>
        </is>
      </c>
      <c r="E1787" t="n">
        <v>2025</v>
      </c>
      <c r="F1787" t="inlineStr">
        <is>
          <t>Listopad</t>
        </is>
      </c>
      <c r="G1787" t="inlineStr">
        <is>
          <t>Pt</t>
        </is>
      </c>
      <c r="H1787">
        <f>'Floor Hours Engine'!$E$5</f>
        <v/>
      </c>
      <c r="I1787" t="inlineStr">
        <is>
          <t>W4</t>
        </is>
      </c>
      <c r="J1787" t="inlineStr">
        <is>
          <t>2025_Listopad_W4</t>
        </is>
      </c>
    </row>
    <row r="1788">
      <c r="A1788" s="177" t="n">
        <v>45983</v>
      </c>
      <c r="B1788" s="177" t="n">
        <v>45979</v>
      </c>
      <c r="C1788" s="177" t="n">
        <v>45985</v>
      </c>
      <c r="D1788" t="inlineStr">
        <is>
          <t>BW20251118</t>
        </is>
      </c>
      <c r="E1788" t="n">
        <v>2025</v>
      </c>
      <c r="F1788" t="inlineStr">
        <is>
          <t>Listopad</t>
        </is>
      </c>
      <c r="G1788" t="inlineStr">
        <is>
          <t>Sob</t>
        </is>
      </c>
      <c r="H1788">
        <f>'Floor Hours Engine'!$E$5</f>
        <v/>
      </c>
      <c r="I1788" t="inlineStr">
        <is>
          <t>W4</t>
        </is>
      </c>
      <c r="J1788" t="inlineStr">
        <is>
          <t>2025_Listopad_W4</t>
        </is>
      </c>
    </row>
    <row r="1789">
      <c r="A1789" s="177" t="n">
        <v>45984</v>
      </c>
      <c r="B1789" s="177" t="n">
        <v>45979</v>
      </c>
      <c r="C1789" s="177" t="n">
        <v>45985</v>
      </c>
      <c r="D1789" t="inlineStr">
        <is>
          <t>BW20251118</t>
        </is>
      </c>
      <c r="E1789" t="n">
        <v>2025</v>
      </c>
      <c r="F1789" t="inlineStr">
        <is>
          <t>Listopad</t>
        </is>
      </c>
      <c r="G1789" t="inlineStr">
        <is>
          <t>Nd</t>
        </is>
      </c>
      <c r="H1789">
        <f>'Floor Hours Engine'!$E$6</f>
        <v/>
      </c>
      <c r="I1789" t="inlineStr">
        <is>
          <t>W4</t>
        </is>
      </c>
      <c r="J1789" t="inlineStr">
        <is>
          <t>2025_Listopad_W4</t>
        </is>
      </c>
    </row>
    <row r="1790">
      <c r="A1790" s="177" t="n">
        <v>45985</v>
      </c>
      <c r="B1790" s="177" t="n">
        <v>45979</v>
      </c>
      <c r="C1790" s="177" t="n">
        <v>45985</v>
      </c>
      <c r="D1790" t="inlineStr">
        <is>
          <t>BW20251118</t>
        </is>
      </c>
      <c r="E1790" t="n">
        <v>2025</v>
      </c>
      <c r="F1790" t="inlineStr">
        <is>
          <t>Listopad</t>
        </is>
      </c>
      <c r="G1790" t="inlineStr">
        <is>
          <t>Pn</t>
        </is>
      </c>
      <c r="H1790">
        <f>'Floor Hours Engine'!$E$4</f>
        <v/>
      </c>
      <c r="I1790" t="inlineStr">
        <is>
          <t>W4</t>
        </is>
      </c>
      <c r="J1790" t="inlineStr">
        <is>
          <t>2025_Listopad_W4</t>
        </is>
      </c>
    </row>
    <row r="1791">
      <c r="A1791" s="177" t="n">
        <v>45986</v>
      </c>
      <c r="B1791" s="177" t="n">
        <v>45986</v>
      </c>
      <c r="C1791" s="177" t="n">
        <v>45992</v>
      </c>
      <c r="D1791" t="inlineStr">
        <is>
          <t>BW20251125</t>
        </is>
      </c>
      <c r="E1791" t="n">
        <v>2025</v>
      </c>
      <c r="F1791" t="inlineStr">
        <is>
          <t>Listopad</t>
        </is>
      </c>
      <c r="G1791" t="inlineStr">
        <is>
          <t>Wt</t>
        </is>
      </c>
      <c r="H1791">
        <f>'Floor Hours Engine'!$E$4</f>
        <v/>
      </c>
      <c r="I1791" t="inlineStr">
        <is>
          <t>W5</t>
        </is>
      </c>
      <c r="J1791" t="inlineStr">
        <is>
          <t>2025_Listopad_W5</t>
        </is>
      </c>
    </row>
    <row r="1792">
      <c r="A1792" s="177" t="n">
        <v>45987</v>
      </c>
      <c r="B1792" s="177" t="n">
        <v>45986</v>
      </c>
      <c r="C1792" s="177" t="n">
        <v>45992</v>
      </c>
      <c r="D1792" t="inlineStr">
        <is>
          <t>BW20251125</t>
        </is>
      </c>
      <c r="E1792" t="n">
        <v>2025</v>
      </c>
      <c r="F1792" t="inlineStr">
        <is>
          <t>Listopad</t>
        </is>
      </c>
      <c r="G1792" t="inlineStr">
        <is>
          <t>Śr</t>
        </is>
      </c>
      <c r="H1792">
        <f>'Floor Hours Engine'!$E$4</f>
        <v/>
      </c>
      <c r="I1792" t="inlineStr">
        <is>
          <t>W5</t>
        </is>
      </c>
      <c r="J1792" t="inlineStr">
        <is>
          <t>2025_Listopad_W5</t>
        </is>
      </c>
    </row>
    <row r="1793">
      <c r="A1793" s="177" t="n">
        <v>45988</v>
      </c>
      <c r="B1793" s="177" t="n">
        <v>45986</v>
      </c>
      <c r="C1793" s="177" t="n">
        <v>45992</v>
      </c>
      <c r="D1793" t="inlineStr">
        <is>
          <t>BW20251125</t>
        </is>
      </c>
      <c r="E1793" t="n">
        <v>2025</v>
      </c>
      <c r="F1793" t="inlineStr">
        <is>
          <t>Listopad</t>
        </is>
      </c>
      <c r="G1793" t="inlineStr">
        <is>
          <t>Czw</t>
        </is>
      </c>
      <c r="H1793">
        <f>'Floor Hours Engine'!$E$4</f>
        <v/>
      </c>
      <c r="I1793" t="inlineStr">
        <is>
          <t>W5</t>
        </is>
      </c>
      <c r="J1793" t="inlineStr">
        <is>
          <t>2025_Listopad_W5</t>
        </is>
      </c>
    </row>
    <row r="1794">
      <c r="A1794" s="177" t="n">
        <v>45989</v>
      </c>
      <c r="B1794" s="177" t="n">
        <v>45986</v>
      </c>
      <c r="C1794" s="177" t="n">
        <v>45992</v>
      </c>
      <c r="D1794" t="inlineStr">
        <is>
          <t>BW20251125</t>
        </is>
      </c>
      <c r="E1794" t="n">
        <v>2025</v>
      </c>
      <c r="F1794" t="inlineStr">
        <is>
          <t>Listopad</t>
        </is>
      </c>
      <c r="G1794" t="inlineStr">
        <is>
          <t>Pt</t>
        </is>
      </c>
      <c r="H1794">
        <f>'Floor Hours Engine'!$E$5</f>
        <v/>
      </c>
      <c r="I1794" t="inlineStr">
        <is>
          <t>W5</t>
        </is>
      </c>
      <c r="J1794" t="inlineStr">
        <is>
          <t>2025_Listopad_W5</t>
        </is>
      </c>
    </row>
    <row r="1795">
      <c r="A1795" s="177" t="n">
        <v>45990</v>
      </c>
      <c r="B1795" s="177" t="n">
        <v>45986</v>
      </c>
      <c r="C1795" s="177" t="n">
        <v>45992</v>
      </c>
      <c r="D1795" t="inlineStr">
        <is>
          <t>BW20251125</t>
        </is>
      </c>
      <c r="E1795" t="n">
        <v>2025</v>
      </c>
      <c r="F1795" t="inlineStr">
        <is>
          <t>Listopad</t>
        </is>
      </c>
      <c r="G1795" t="inlineStr">
        <is>
          <t>Sob</t>
        </is>
      </c>
      <c r="H1795">
        <f>'Floor Hours Engine'!$E$5</f>
        <v/>
      </c>
      <c r="I1795" t="inlineStr">
        <is>
          <t>W5</t>
        </is>
      </c>
      <c r="J1795" t="inlineStr">
        <is>
          <t>2025_Listopad_W5</t>
        </is>
      </c>
    </row>
    <row r="1796">
      <c r="A1796" s="177" t="n">
        <v>45991</v>
      </c>
      <c r="B1796" s="177" t="n">
        <v>45986</v>
      </c>
      <c r="C1796" s="177" t="n">
        <v>45992</v>
      </c>
      <c r="D1796" t="inlineStr">
        <is>
          <t>BW20251125</t>
        </is>
      </c>
      <c r="E1796" t="n">
        <v>2025</v>
      </c>
      <c r="F1796" t="inlineStr">
        <is>
          <t>Listopad</t>
        </is>
      </c>
      <c r="G1796" t="inlineStr">
        <is>
          <t>Nd</t>
        </is>
      </c>
      <c r="H1796">
        <f>'Floor Hours Engine'!$E$6</f>
        <v/>
      </c>
      <c r="I1796" t="inlineStr">
        <is>
          <t>W5</t>
        </is>
      </c>
      <c r="J1796" t="inlineStr">
        <is>
          <t>2025_Listopad_W5</t>
        </is>
      </c>
    </row>
    <row r="1797">
      <c r="A1797" s="177" t="n">
        <v>45992</v>
      </c>
      <c r="B1797" s="177" t="n">
        <v>45986</v>
      </c>
      <c r="C1797" s="177" t="n">
        <v>45992</v>
      </c>
      <c r="D1797" t="inlineStr">
        <is>
          <t>BW20251125</t>
        </is>
      </c>
      <c r="E1797" t="n">
        <v>2025</v>
      </c>
      <c r="F1797" t="inlineStr">
        <is>
          <t>Grudzień</t>
        </is>
      </c>
      <c r="G1797" t="inlineStr">
        <is>
          <t>Pn</t>
        </is>
      </c>
      <c r="H1797">
        <f>'Floor Hours Engine'!$E$4</f>
        <v/>
      </c>
      <c r="I1797" t="inlineStr">
        <is>
          <t>W1</t>
        </is>
      </c>
      <c r="J1797" t="inlineStr">
        <is>
          <t>2025_Grudzień_W1</t>
        </is>
      </c>
    </row>
    <row r="1798">
      <c r="A1798" s="177" t="n">
        <v>45993</v>
      </c>
      <c r="B1798" s="177" t="n">
        <v>45993</v>
      </c>
      <c r="C1798" s="177" t="n">
        <v>45999</v>
      </c>
      <c r="D1798" t="inlineStr">
        <is>
          <t>BW20251202</t>
        </is>
      </c>
      <c r="E1798" t="n">
        <v>2025</v>
      </c>
      <c r="F1798" t="inlineStr">
        <is>
          <t>Grudzień</t>
        </is>
      </c>
      <c r="G1798" t="inlineStr">
        <is>
          <t>Wt</t>
        </is>
      </c>
      <c r="H1798">
        <f>'Floor Hours Engine'!$E$4</f>
        <v/>
      </c>
      <c r="I1798" t="inlineStr">
        <is>
          <t>W2</t>
        </is>
      </c>
      <c r="J1798" t="inlineStr">
        <is>
          <t>2025_Grudzień_W2</t>
        </is>
      </c>
    </row>
    <row r="1799">
      <c r="A1799" s="177" t="n">
        <v>45994</v>
      </c>
      <c r="B1799" s="177" t="n">
        <v>45993</v>
      </c>
      <c r="C1799" s="177" t="n">
        <v>45999</v>
      </c>
      <c r="D1799" t="inlineStr">
        <is>
          <t>BW20251202</t>
        </is>
      </c>
      <c r="E1799" t="n">
        <v>2025</v>
      </c>
      <c r="F1799" t="inlineStr">
        <is>
          <t>Grudzień</t>
        </is>
      </c>
      <c r="G1799" t="inlineStr">
        <is>
          <t>Śr</t>
        </is>
      </c>
      <c r="H1799">
        <f>'Floor Hours Engine'!$E$4</f>
        <v/>
      </c>
      <c r="I1799" t="inlineStr">
        <is>
          <t>W2</t>
        </is>
      </c>
      <c r="J1799" t="inlineStr">
        <is>
          <t>2025_Grudzień_W2</t>
        </is>
      </c>
    </row>
    <row r="1800">
      <c r="A1800" s="177" t="n">
        <v>45995</v>
      </c>
      <c r="B1800" s="177" t="n">
        <v>45993</v>
      </c>
      <c r="C1800" s="177" t="n">
        <v>45999</v>
      </c>
      <c r="D1800" t="inlineStr">
        <is>
          <t>BW20251202</t>
        </is>
      </c>
      <c r="E1800" t="n">
        <v>2025</v>
      </c>
      <c r="F1800" t="inlineStr">
        <is>
          <t>Grudzień</t>
        </is>
      </c>
      <c r="G1800" t="inlineStr">
        <is>
          <t>Czw</t>
        </is>
      </c>
      <c r="H1800">
        <f>'Floor Hours Engine'!$E$4</f>
        <v/>
      </c>
      <c r="I1800" t="inlineStr">
        <is>
          <t>W2</t>
        </is>
      </c>
      <c r="J1800" t="inlineStr">
        <is>
          <t>2025_Grudzień_W2</t>
        </is>
      </c>
    </row>
    <row r="1801">
      <c r="A1801" s="177" t="n">
        <v>45996</v>
      </c>
      <c r="B1801" s="177" t="n">
        <v>45993</v>
      </c>
      <c r="C1801" s="177" t="n">
        <v>45999</v>
      </c>
      <c r="D1801" t="inlineStr">
        <is>
          <t>BW20251202</t>
        </is>
      </c>
      <c r="E1801" t="n">
        <v>2025</v>
      </c>
      <c r="F1801" t="inlineStr">
        <is>
          <t>Grudzień</t>
        </is>
      </c>
      <c r="G1801" t="inlineStr">
        <is>
          <t>Pt</t>
        </is>
      </c>
      <c r="H1801">
        <f>'Floor Hours Engine'!$E$5</f>
        <v/>
      </c>
      <c r="I1801" t="inlineStr">
        <is>
          <t>W2</t>
        </is>
      </c>
      <c r="J1801" t="inlineStr">
        <is>
          <t>2025_Grudzień_W2</t>
        </is>
      </c>
    </row>
    <row r="1802">
      <c r="A1802" s="177" t="n">
        <v>45997</v>
      </c>
      <c r="B1802" s="177" t="n">
        <v>45993</v>
      </c>
      <c r="C1802" s="177" t="n">
        <v>45999</v>
      </c>
      <c r="D1802" t="inlineStr">
        <is>
          <t>BW20251202</t>
        </is>
      </c>
      <c r="E1802" t="n">
        <v>2025</v>
      </c>
      <c r="F1802" t="inlineStr">
        <is>
          <t>Grudzień</t>
        </is>
      </c>
      <c r="G1802" t="inlineStr">
        <is>
          <t>Sob</t>
        </is>
      </c>
      <c r="H1802">
        <f>'Floor Hours Engine'!$E$5</f>
        <v/>
      </c>
      <c r="I1802" t="inlineStr">
        <is>
          <t>W2</t>
        </is>
      </c>
      <c r="J1802" t="inlineStr">
        <is>
          <t>2025_Grudzień_W2</t>
        </is>
      </c>
    </row>
    <row r="1803">
      <c r="A1803" s="177" t="n">
        <v>45998</v>
      </c>
      <c r="B1803" s="177" t="n">
        <v>45993</v>
      </c>
      <c r="C1803" s="177" t="n">
        <v>45999</v>
      </c>
      <c r="D1803" t="inlineStr">
        <is>
          <t>BW20251202</t>
        </is>
      </c>
      <c r="E1803" t="n">
        <v>2025</v>
      </c>
      <c r="F1803" t="inlineStr">
        <is>
          <t>Grudzień</t>
        </is>
      </c>
      <c r="G1803" t="inlineStr">
        <is>
          <t>Nd</t>
        </is>
      </c>
      <c r="H1803">
        <f>'Floor Hours Engine'!$E$6</f>
        <v/>
      </c>
      <c r="I1803" t="inlineStr">
        <is>
          <t>W2</t>
        </is>
      </c>
      <c r="J1803" t="inlineStr">
        <is>
          <t>2025_Grudzień_W2</t>
        </is>
      </c>
    </row>
    <row r="1804">
      <c r="A1804" s="177" t="n">
        <v>45999</v>
      </c>
      <c r="B1804" s="177" t="n">
        <v>45993</v>
      </c>
      <c r="C1804" s="177" t="n">
        <v>45999</v>
      </c>
      <c r="D1804" t="inlineStr">
        <is>
          <t>BW20251202</t>
        </is>
      </c>
      <c r="E1804" t="n">
        <v>2025</v>
      </c>
      <c r="F1804" t="inlineStr">
        <is>
          <t>Grudzień</t>
        </is>
      </c>
      <c r="G1804" t="inlineStr">
        <is>
          <t>Pn</t>
        </is>
      </c>
      <c r="H1804">
        <f>'Floor Hours Engine'!$E$4</f>
        <v/>
      </c>
      <c r="I1804" t="inlineStr">
        <is>
          <t>W2</t>
        </is>
      </c>
      <c r="J1804" t="inlineStr">
        <is>
          <t>2025_Grudzień_W2</t>
        </is>
      </c>
    </row>
    <row r="1805">
      <c r="A1805" s="177" t="n">
        <v>46000</v>
      </c>
      <c r="B1805" s="177" t="n">
        <v>46000</v>
      </c>
      <c r="C1805" s="177" t="n">
        <v>46006</v>
      </c>
      <c r="D1805" t="inlineStr">
        <is>
          <t>BW20251209</t>
        </is>
      </c>
      <c r="E1805" t="n">
        <v>2025</v>
      </c>
      <c r="F1805" t="inlineStr">
        <is>
          <t>Grudzień</t>
        </is>
      </c>
      <c r="G1805" t="inlineStr">
        <is>
          <t>Wt</t>
        </is>
      </c>
      <c r="H1805">
        <f>'Floor Hours Engine'!$E$4</f>
        <v/>
      </c>
      <c r="I1805" t="inlineStr">
        <is>
          <t>W3</t>
        </is>
      </c>
      <c r="J1805" t="inlineStr">
        <is>
          <t>2025_Grudzień_W3</t>
        </is>
      </c>
    </row>
    <row r="1806">
      <c r="A1806" s="177" t="n">
        <v>46001</v>
      </c>
      <c r="B1806" s="177" t="n">
        <v>46000</v>
      </c>
      <c r="C1806" s="177" t="n">
        <v>46006</v>
      </c>
      <c r="D1806" t="inlineStr">
        <is>
          <t>BW20251209</t>
        </is>
      </c>
      <c r="E1806" t="n">
        <v>2025</v>
      </c>
      <c r="F1806" t="inlineStr">
        <is>
          <t>Grudzień</t>
        </is>
      </c>
      <c r="G1806" t="inlineStr">
        <is>
          <t>Śr</t>
        </is>
      </c>
      <c r="H1806">
        <f>'Floor Hours Engine'!$E$4</f>
        <v/>
      </c>
      <c r="I1806" t="inlineStr">
        <is>
          <t>W3</t>
        </is>
      </c>
      <c r="J1806" t="inlineStr">
        <is>
          <t>2025_Grudzień_W3</t>
        </is>
      </c>
    </row>
    <row r="1807">
      <c r="A1807" s="177" t="n">
        <v>46002</v>
      </c>
      <c r="B1807" s="177" t="n">
        <v>46000</v>
      </c>
      <c r="C1807" s="177" t="n">
        <v>46006</v>
      </c>
      <c r="D1807" t="inlineStr">
        <is>
          <t>BW20251209</t>
        </is>
      </c>
      <c r="E1807" t="n">
        <v>2025</v>
      </c>
      <c r="F1807" t="inlineStr">
        <is>
          <t>Grudzień</t>
        </is>
      </c>
      <c r="G1807" t="inlineStr">
        <is>
          <t>Czw</t>
        </is>
      </c>
      <c r="H1807">
        <f>'Floor Hours Engine'!$E$4</f>
        <v/>
      </c>
      <c r="I1807" t="inlineStr">
        <is>
          <t>W3</t>
        </is>
      </c>
      <c r="J1807" t="inlineStr">
        <is>
          <t>2025_Grudzień_W3</t>
        </is>
      </c>
    </row>
    <row r="1808">
      <c r="A1808" s="177" t="n">
        <v>46003</v>
      </c>
      <c r="B1808" s="177" t="n">
        <v>46000</v>
      </c>
      <c r="C1808" s="177" t="n">
        <v>46006</v>
      </c>
      <c r="D1808" t="inlineStr">
        <is>
          <t>BW20251209</t>
        </is>
      </c>
      <c r="E1808" t="n">
        <v>2025</v>
      </c>
      <c r="F1808" t="inlineStr">
        <is>
          <t>Grudzień</t>
        </is>
      </c>
      <c r="G1808" t="inlineStr">
        <is>
          <t>Pt</t>
        </is>
      </c>
      <c r="H1808">
        <f>'Floor Hours Engine'!$E$5</f>
        <v/>
      </c>
      <c r="I1808" t="inlineStr">
        <is>
          <t>W3</t>
        </is>
      </c>
      <c r="J1808" t="inlineStr">
        <is>
          <t>2025_Grudzień_W3</t>
        </is>
      </c>
    </row>
    <row r="1809">
      <c r="A1809" s="177" t="n">
        <v>46004</v>
      </c>
      <c r="B1809" s="177" t="n">
        <v>46000</v>
      </c>
      <c r="C1809" s="177" t="n">
        <v>46006</v>
      </c>
      <c r="D1809" t="inlineStr">
        <is>
          <t>BW20251209</t>
        </is>
      </c>
      <c r="E1809" t="n">
        <v>2025</v>
      </c>
      <c r="F1809" t="inlineStr">
        <is>
          <t>Grudzień</t>
        </is>
      </c>
      <c r="G1809" t="inlineStr">
        <is>
          <t>Sob</t>
        </is>
      </c>
      <c r="H1809">
        <f>'Floor Hours Engine'!$E$5</f>
        <v/>
      </c>
      <c r="I1809" t="inlineStr">
        <is>
          <t>W3</t>
        </is>
      </c>
      <c r="J1809" t="inlineStr">
        <is>
          <t>2025_Grudzień_W3</t>
        </is>
      </c>
    </row>
    <row r="1810">
      <c r="A1810" s="177" t="n">
        <v>46005</v>
      </c>
      <c r="B1810" s="177" t="n">
        <v>46000</v>
      </c>
      <c r="C1810" s="177" t="n">
        <v>46006</v>
      </c>
      <c r="D1810" t="inlineStr">
        <is>
          <t>BW20251209</t>
        </is>
      </c>
      <c r="E1810" t="n">
        <v>2025</v>
      </c>
      <c r="F1810" t="inlineStr">
        <is>
          <t>Grudzień</t>
        </is>
      </c>
      <c r="G1810" t="inlineStr">
        <is>
          <t>Nd</t>
        </is>
      </c>
      <c r="H1810">
        <f>'Floor Hours Engine'!$E$6</f>
        <v/>
      </c>
      <c r="I1810" t="inlineStr">
        <is>
          <t>W3</t>
        </is>
      </c>
      <c r="J1810" t="inlineStr">
        <is>
          <t>2025_Grudzień_W3</t>
        </is>
      </c>
    </row>
    <row r="1811">
      <c r="A1811" s="177" t="n">
        <v>46006</v>
      </c>
      <c r="B1811" s="177" t="n">
        <v>46000</v>
      </c>
      <c r="C1811" s="177" t="n">
        <v>46006</v>
      </c>
      <c r="D1811" t="inlineStr">
        <is>
          <t>BW20251209</t>
        </is>
      </c>
      <c r="E1811" t="n">
        <v>2025</v>
      </c>
      <c r="F1811" t="inlineStr">
        <is>
          <t>Grudzień</t>
        </is>
      </c>
      <c r="G1811" t="inlineStr">
        <is>
          <t>Pn</t>
        </is>
      </c>
      <c r="H1811">
        <f>'Floor Hours Engine'!$E$4</f>
        <v/>
      </c>
      <c r="I1811" t="inlineStr">
        <is>
          <t>W3</t>
        </is>
      </c>
      <c r="J1811" t="inlineStr">
        <is>
          <t>2025_Grudzień_W3</t>
        </is>
      </c>
    </row>
    <row r="1812">
      <c r="A1812" s="177" t="n">
        <v>46007</v>
      </c>
      <c r="B1812" s="177" t="n">
        <v>46007</v>
      </c>
      <c r="C1812" s="177" t="n">
        <v>46013</v>
      </c>
      <c r="D1812" t="inlineStr">
        <is>
          <t>BW20251216</t>
        </is>
      </c>
      <c r="E1812" t="n">
        <v>2025</v>
      </c>
      <c r="F1812" t="inlineStr">
        <is>
          <t>Grudzień</t>
        </is>
      </c>
      <c r="G1812" t="inlineStr">
        <is>
          <t>Wt</t>
        </is>
      </c>
      <c r="H1812">
        <f>'Floor Hours Engine'!$E$4</f>
        <v/>
      </c>
      <c r="I1812" t="inlineStr">
        <is>
          <t>W4</t>
        </is>
      </c>
      <c r="J1812" t="inlineStr">
        <is>
          <t>2025_Grudzień_W4</t>
        </is>
      </c>
    </row>
    <row r="1813">
      <c r="A1813" s="177" t="n">
        <v>46008</v>
      </c>
      <c r="B1813" s="177" t="n">
        <v>46007</v>
      </c>
      <c r="C1813" s="177" t="n">
        <v>46013</v>
      </c>
      <c r="D1813" t="inlineStr">
        <is>
          <t>BW20251216</t>
        </is>
      </c>
      <c r="E1813" t="n">
        <v>2025</v>
      </c>
      <c r="F1813" t="inlineStr">
        <is>
          <t>Grudzień</t>
        </is>
      </c>
      <c r="G1813" t="inlineStr">
        <is>
          <t>Śr</t>
        </is>
      </c>
      <c r="H1813">
        <f>'Floor Hours Engine'!$E$4</f>
        <v/>
      </c>
      <c r="I1813" t="inlineStr">
        <is>
          <t>W4</t>
        </is>
      </c>
      <c r="J1813" t="inlineStr">
        <is>
          <t>2025_Grudzień_W4</t>
        </is>
      </c>
    </row>
    <row r="1814">
      <c r="A1814" s="177" t="n">
        <v>46009</v>
      </c>
      <c r="B1814" s="177" t="n">
        <v>46007</v>
      </c>
      <c r="C1814" s="177" t="n">
        <v>46013</v>
      </c>
      <c r="D1814" t="inlineStr">
        <is>
          <t>BW20251216</t>
        </is>
      </c>
      <c r="E1814" t="n">
        <v>2025</v>
      </c>
      <c r="F1814" t="inlineStr">
        <is>
          <t>Grudzień</t>
        </is>
      </c>
      <c r="G1814" t="inlineStr">
        <is>
          <t>Czw</t>
        </is>
      </c>
      <c r="H1814">
        <f>'Floor Hours Engine'!$E$4</f>
        <v/>
      </c>
      <c r="I1814" t="inlineStr">
        <is>
          <t>W4</t>
        </is>
      </c>
      <c r="J1814" t="inlineStr">
        <is>
          <t>2025_Grudzień_W4</t>
        </is>
      </c>
    </row>
    <row r="1815">
      <c r="A1815" s="177" t="n">
        <v>46010</v>
      </c>
      <c r="B1815" s="177" t="n">
        <v>46007</v>
      </c>
      <c r="C1815" s="177" t="n">
        <v>46013</v>
      </c>
      <c r="D1815" t="inlineStr">
        <is>
          <t>BW20251216</t>
        </is>
      </c>
      <c r="E1815" t="n">
        <v>2025</v>
      </c>
      <c r="F1815" t="inlineStr">
        <is>
          <t>Grudzień</t>
        </is>
      </c>
      <c r="G1815" t="inlineStr">
        <is>
          <t>Pt</t>
        </is>
      </c>
      <c r="H1815">
        <f>'Floor Hours Engine'!$E$5</f>
        <v/>
      </c>
      <c r="I1815" t="inlineStr">
        <is>
          <t>W4</t>
        </is>
      </c>
      <c r="J1815" t="inlineStr">
        <is>
          <t>2025_Grudzień_W4</t>
        </is>
      </c>
    </row>
    <row r="1816">
      <c r="A1816" s="177" t="n">
        <v>46011</v>
      </c>
      <c r="B1816" s="177" t="n">
        <v>46007</v>
      </c>
      <c r="C1816" s="177" t="n">
        <v>46013</v>
      </c>
      <c r="D1816" t="inlineStr">
        <is>
          <t>BW20251216</t>
        </is>
      </c>
      <c r="E1816" t="n">
        <v>2025</v>
      </c>
      <c r="F1816" t="inlineStr">
        <is>
          <t>Grudzień</t>
        </is>
      </c>
      <c r="G1816" t="inlineStr">
        <is>
          <t>Sob</t>
        </is>
      </c>
      <c r="H1816">
        <f>'Floor Hours Engine'!$E$5</f>
        <v/>
      </c>
      <c r="I1816" t="inlineStr">
        <is>
          <t>W4</t>
        </is>
      </c>
      <c r="J1816" t="inlineStr">
        <is>
          <t>2025_Grudzień_W4</t>
        </is>
      </c>
    </row>
    <row r="1817">
      <c r="A1817" s="177" t="n">
        <v>46012</v>
      </c>
      <c r="B1817" s="177" t="n">
        <v>46007</v>
      </c>
      <c r="C1817" s="177" t="n">
        <v>46013</v>
      </c>
      <c r="D1817" t="inlineStr">
        <is>
          <t>BW20251216</t>
        </is>
      </c>
      <c r="E1817" t="n">
        <v>2025</v>
      </c>
      <c r="F1817" t="inlineStr">
        <is>
          <t>Grudzień</t>
        </is>
      </c>
      <c r="G1817" t="inlineStr">
        <is>
          <t>Nd</t>
        </is>
      </c>
      <c r="H1817">
        <f>'Floor Hours Engine'!$E$6</f>
        <v/>
      </c>
      <c r="I1817" t="inlineStr">
        <is>
          <t>W4</t>
        </is>
      </c>
      <c r="J1817" t="inlineStr">
        <is>
          <t>2025_Grudzień_W4</t>
        </is>
      </c>
    </row>
    <row r="1818">
      <c r="A1818" s="177" t="n">
        <v>46013</v>
      </c>
      <c r="B1818" s="177" t="n">
        <v>46007</v>
      </c>
      <c r="C1818" s="177" t="n">
        <v>46013</v>
      </c>
      <c r="D1818" t="inlineStr">
        <is>
          <t>BW20251216</t>
        </is>
      </c>
      <c r="E1818" t="n">
        <v>2025</v>
      </c>
      <c r="F1818" t="inlineStr">
        <is>
          <t>Grudzień</t>
        </is>
      </c>
      <c r="G1818" t="inlineStr">
        <is>
          <t>Pn</t>
        </is>
      </c>
      <c r="H1818">
        <f>'Floor Hours Engine'!$E$4</f>
        <v/>
      </c>
      <c r="I1818" t="inlineStr">
        <is>
          <t>W4</t>
        </is>
      </c>
      <c r="J1818" t="inlineStr">
        <is>
          <t>2025_Grudzień_W4</t>
        </is>
      </c>
    </row>
    <row r="1819">
      <c r="A1819" s="177" t="n">
        <v>46014</v>
      </c>
      <c r="B1819" s="177" t="n">
        <v>46014</v>
      </c>
      <c r="C1819" s="177" t="n">
        <v>46020</v>
      </c>
      <c r="D1819" t="inlineStr">
        <is>
          <t>BW20251223</t>
        </is>
      </c>
      <c r="E1819" t="n">
        <v>2025</v>
      </c>
      <c r="F1819" t="inlineStr">
        <is>
          <t>Grudzień</t>
        </is>
      </c>
      <c r="G1819" t="inlineStr">
        <is>
          <t>Wt</t>
        </is>
      </c>
      <c r="H1819">
        <f>'Floor Hours Engine'!$E$4</f>
        <v/>
      </c>
      <c r="I1819" t="inlineStr">
        <is>
          <t>W5</t>
        </is>
      </c>
      <c r="J1819" t="inlineStr">
        <is>
          <t>2025_Grudzień_W5</t>
        </is>
      </c>
    </row>
    <row r="1820">
      <c r="A1820" s="177" t="n">
        <v>46015</v>
      </c>
      <c r="B1820" s="177" t="n">
        <v>46014</v>
      </c>
      <c r="C1820" s="177" t="n">
        <v>46020</v>
      </c>
      <c r="D1820" t="inlineStr">
        <is>
          <t>BW20251223</t>
        </is>
      </c>
      <c r="E1820" t="n">
        <v>2025</v>
      </c>
      <c r="F1820" t="inlineStr">
        <is>
          <t>Grudzień</t>
        </is>
      </c>
      <c r="G1820" t="inlineStr">
        <is>
          <t>Śr</t>
        </is>
      </c>
      <c r="H1820">
        <f>'Floor Hours Engine'!$E$4</f>
        <v/>
      </c>
      <c r="I1820" t="inlineStr">
        <is>
          <t>W5</t>
        </is>
      </c>
      <c r="J1820" t="inlineStr">
        <is>
          <t>2025_Grudzień_W5</t>
        </is>
      </c>
    </row>
    <row r="1821">
      <c r="A1821" s="177" t="n">
        <v>46016</v>
      </c>
      <c r="B1821" s="177" t="n">
        <v>46014</v>
      </c>
      <c r="C1821" s="177" t="n">
        <v>46020</v>
      </c>
      <c r="D1821" t="inlineStr">
        <is>
          <t>BW20251223</t>
        </is>
      </c>
      <c r="E1821" t="n">
        <v>2025</v>
      </c>
      <c r="F1821" t="inlineStr">
        <is>
          <t>Grudzień</t>
        </is>
      </c>
      <c r="G1821" t="inlineStr">
        <is>
          <t>Czw</t>
        </is>
      </c>
      <c r="H1821">
        <f>'Floor Hours Engine'!$E$4</f>
        <v/>
      </c>
      <c r="I1821" t="inlineStr">
        <is>
          <t>W5</t>
        </is>
      </c>
      <c r="J1821" t="inlineStr">
        <is>
          <t>2025_Grudzień_W5</t>
        </is>
      </c>
    </row>
    <row r="1822">
      <c r="A1822" s="177" t="n">
        <v>46017</v>
      </c>
      <c r="B1822" s="177" t="n">
        <v>46014</v>
      </c>
      <c r="C1822" s="177" t="n">
        <v>46020</v>
      </c>
      <c r="D1822" t="inlineStr">
        <is>
          <t>BW20251223</t>
        </is>
      </c>
      <c r="E1822" t="n">
        <v>2025</v>
      </c>
      <c r="F1822" t="inlineStr">
        <is>
          <t>Grudzień</t>
        </is>
      </c>
      <c r="G1822" t="inlineStr">
        <is>
          <t>Pt</t>
        </is>
      </c>
      <c r="H1822">
        <f>'Floor Hours Engine'!$E$5</f>
        <v/>
      </c>
      <c r="I1822" t="inlineStr">
        <is>
          <t>W5</t>
        </is>
      </c>
      <c r="J1822" t="inlineStr">
        <is>
          <t>2025_Grudzień_W5</t>
        </is>
      </c>
    </row>
    <row r="1823">
      <c r="A1823" s="177" t="n">
        <v>46018</v>
      </c>
      <c r="B1823" s="177" t="n">
        <v>46014</v>
      </c>
      <c r="C1823" s="177" t="n">
        <v>46020</v>
      </c>
      <c r="D1823" t="inlineStr">
        <is>
          <t>BW20251223</t>
        </is>
      </c>
      <c r="E1823" t="n">
        <v>2025</v>
      </c>
      <c r="F1823" t="inlineStr">
        <is>
          <t>Grudzień</t>
        </is>
      </c>
      <c r="G1823" t="inlineStr">
        <is>
          <t>Sob</t>
        </is>
      </c>
      <c r="H1823">
        <f>'Floor Hours Engine'!$E$5</f>
        <v/>
      </c>
      <c r="I1823" t="inlineStr">
        <is>
          <t>W5</t>
        </is>
      </c>
      <c r="J1823" t="inlineStr">
        <is>
          <t>2025_Grudzień_W5</t>
        </is>
      </c>
    </row>
    <row r="1824">
      <c r="A1824" s="177" t="n">
        <v>46019</v>
      </c>
      <c r="B1824" s="177" t="n">
        <v>46014</v>
      </c>
      <c r="C1824" s="177" t="n">
        <v>46020</v>
      </c>
      <c r="D1824" t="inlineStr">
        <is>
          <t>BW20251223</t>
        </is>
      </c>
      <c r="E1824" t="n">
        <v>2025</v>
      </c>
      <c r="F1824" t="inlineStr">
        <is>
          <t>Grudzień</t>
        </is>
      </c>
      <c r="G1824" t="inlineStr">
        <is>
          <t>Nd</t>
        </is>
      </c>
      <c r="H1824">
        <f>'Floor Hours Engine'!$E$6</f>
        <v/>
      </c>
      <c r="I1824" t="inlineStr">
        <is>
          <t>W5</t>
        </is>
      </c>
      <c r="J1824" t="inlineStr">
        <is>
          <t>2025_Grudzień_W5</t>
        </is>
      </c>
    </row>
    <row r="1825">
      <c r="A1825" s="177" t="n">
        <v>46020</v>
      </c>
      <c r="B1825" s="177" t="n">
        <v>46014</v>
      </c>
      <c r="C1825" s="177" t="n">
        <v>46020</v>
      </c>
      <c r="D1825" t="inlineStr">
        <is>
          <t>BW20251223</t>
        </is>
      </c>
      <c r="E1825" t="n">
        <v>2025</v>
      </c>
      <c r="F1825" t="inlineStr">
        <is>
          <t>Grudzień</t>
        </is>
      </c>
      <c r="G1825" t="inlineStr">
        <is>
          <t>Pn</t>
        </is>
      </c>
      <c r="H1825">
        <f>'Floor Hours Engine'!$E$4</f>
        <v/>
      </c>
      <c r="I1825" t="inlineStr">
        <is>
          <t>W5</t>
        </is>
      </c>
      <c r="J1825" t="inlineStr">
        <is>
          <t>2025_Grudzień_W5</t>
        </is>
      </c>
    </row>
    <row r="1826">
      <c r="A1826" s="177" t="n">
        <v>46021</v>
      </c>
      <c r="B1826" s="177" t="n">
        <v>46021</v>
      </c>
      <c r="C1826" s="177" t="n">
        <v>46027</v>
      </c>
      <c r="D1826" t="inlineStr">
        <is>
          <t>BW20251230</t>
        </is>
      </c>
      <c r="E1826" t="n">
        <v>2025</v>
      </c>
      <c r="F1826" t="inlineStr">
        <is>
          <t>Grudzień</t>
        </is>
      </c>
      <c r="G1826" t="inlineStr">
        <is>
          <t>Wt</t>
        </is>
      </c>
      <c r="H1826">
        <f>'Floor Hours Engine'!$E$4</f>
        <v/>
      </c>
      <c r="I1826" t="inlineStr">
        <is>
          <t>W6</t>
        </is>
      </c>
      <c r="J1826" t="inlineStr">
        <is>
          <t>2025_Grudzień_W6</t>
        </is>
      </c>
    </row>
    <row r="1827">
      <c r="A1827" s="177" t="n">
        <v>46022</v>
      </c>
      <c r="B1827" s="177" t="n">
        <v>46021</v>
      </c>
      <c r="C1827" s="177" t="n">
        <v>46027</v>
      </c>
      <c r="D1827" t="inlineStr">
        <is>
          <t>BW20251230</t>
        </is>
      </c>
      <c r="E1827" t="n">
        <v>2025</v>
      </c>
      <c r="F1827" t="inlineStr">
        <is>
          <t>Grudzień</t>
        </is>
      </c>
      <c r="G1827" t="inlineStr">
        <is>
          <t>Śr</t>
        </is>
      </c>
      <c r="H1827">
        <f>'Floor Hours Engine'!$E$4</f>
        <v/>
      </c>
      <c r="I1827" t="inlineStr">
        <is>
          <t>W6</t>
        </is>
      </c>
      <c r="J1827" t="inlineStr">
        <is>
          <t>2025_Grudzień_W6</t>
        </is>
      </c>
    </row>
    <row r="1828">
      <c r="A1828" s="177" t="n">
        <v>46023</v>
      </c>
      <c r="B1828" s="177" t="n">
        <v>46021</v>
      </c>
      <c r="C1828" s="177" t="n">
        <v>46027</v>
      </c>
      <c r="D1828" t="inlineStr">
        <is>
          <t>BW20251230</t>
        </is>
      </c>
      <c r="E1828" t="n">
        <v>2026</v>
      </c>
      <c r="F1828" t="inlineStr">
        <is>
          <t>Styczeń</t>
        </is>
      </c>
      <c r="G1828" t="inlineStr">
        <is>
          <t>Czw</t>
        </is>
      </c>
      <c r="H1828">
        <f>'Floor Hours Engine'!$E$4</f>
        <v/>
      </c>
      <c r="I1828" t="inlineStr">
        <is>
          <t>W1</t>
        </is>
      </c>
      <c r="J1828" t="inlineStr">
        <is>
          <t>2026_Styczeń_W1</t>
        </is>
      </c>
    </row>
    <row r="1829">
      <c r="A1829" s="177" t="n">
        <v>46024</v>
      </c>
      <c r="B1829" s="177" t="n">
        <v>46021</v>
      </c>
      <c r="C1829" s="177" t="n">
        <v>46027</v>
      </c>
      <c r="D1829" t="inlineStr">
        <is>
          <t>BW20251230</t>
        </is>
      </c>
      <c r="E1829" t="n">
        <v>2026</v>
      </c>
      <c r="F1829" t="inlineStr">
        <is>
          <t>Styczeń</t>
        </is>
      </c>
      <c r="G1829" t="inlineStr">
        <is>
          <t>Pt</t>
        </is>
      </c>
      <c r="H1829">
        <f>'Floor Hours Engine'!$E$5</f>
        <v/>
      </c>
      <c r="I1829" t="inlineStr">
        <is>
          <t>W1</t>
        </is>
      </c>
      <c r="J1829" t="inlineStr">
        <is>
          <t>2026_Styczeń_W1</t>
        </is>
      </c>
    </row>
    <row r="1830">
      <c r="A1830" s="177" t="n">
        <v>46025</v>
      </c>
      <c r="B1830" s="177" t="n">
        <v>46021</v>
      </c>
      <c r="C1830" s="177" t="n">
        <v>46027</v>
      </c>
      <c r="D1830" t="inlineStr">
        <is>
          <t>BW20251230</t>
        </is>
      </c>
      <c r="E1830" t="n">
        <v>2026</v>
      </c>
      <c r="F1830" t="inlineStr">
        <is>
          <t>Styczeń</t>
        </is>
      </c>
      <c r="G1830" t="inlineStr">
        <is>
          <t>Sob</t>
        </is>
      </c>
      <c r="H1830">
        <f>'Floor Hours Engine'!$E$5</f>
        <v/>
      </c>
      <c r="I1830" t="inlineStr">
        <is>
          <t>W1</t>
        </is>
      </c>
      <c r="J1830" t="inlineStr">
        <is>
          <t>2026_Styczeń_W1</t>
        </is>
      </c>
    </row>
    <row r="1831">
      <c r="A1831" s="177" t="n">
        <v>46026</v>
      </c>
      <c r="B1831" s="177" t="n">
        <v>46021</v>
      </c>
      <c r="C1831" s="177" t="n">
        <v>46027</v>
      </c>
      <c r="D1831" t="inlineStr">
        <is>
          <t>BW20251230</t>
        </is>
      </c>
      <c r="E1831" t="n">
        <v>2026</v>
      </c>
      <c r="F1831" t="inlineStr">
        <is>
          <t>Styczeń</t>
        </is>
      </c>
      <c r="G1831" t="inlineStr">
        <is>
          <t>Nd</t>
        </is>
      </c>
      <c r="H1831">
        <f>'Floor Hours Engine'!$E$6</f>
        <v/>
      </c>
      <c r="I1831" t="inlineStr">
        <is>
          <t>W1</t>
        </is>
      </c>
      <c r="J1831" t="inlineStr">
        <is>
          <t>2026_Styczeń_W1</t>
        </is>
      </c>
    </row>
    <row r="1832">
      <c r="A1832" s="177" t="n">
        <v>46027</v>
      </c>
      <c r="B1832" s="177" t="n">
        <v>46021</v>
      </c>
      <c r="C1832" s="177" t="n">
        <v>46027</v>
      </c>
      <c r="D1832" t="inlineStr">
        <is>
          <t>BW20251230</t>
        </is>
      </c>
      <c r="E1832" t="n">
        <v>2026</v>
      </c>
      <c r="F1832" t="inlineStr">
        <is>
          <t>Styczeń</t>
        </is>
      </c>
      <c r="G1832" t="inlineStr">
        <is>
          <t>Pn</t>
        </is>
      </c>
      <c r="H1832">
        <f>'Floor Hours Engine'!$E$4</f>
        <v/>
      </c>
      <c r="I1832" t="inlineStr">
        <is>
          <t>W1</t>
        </is>
      </c>
      <c r="J1832" t="inlineStr">
        <is>
          <t>2026_Styczeń_W1</t>
        </is>
      </c>
    </row>
    <row r="1833">
      <c r="A1833" s="177" t="n">
        <v>46028</v>
      </c>
      <c r="B1833" s="177" t="n">
        <v>46028</v>
      </c>
      <c r="C1833" s="177" t="n">
        <v>46034</v>
      </c>
      <c r="D1833" t="inlineStr">
        <is>
          <t>BW20260106</t>
        </is>
      </c>
      <c r="E1833" t="n">
        <v>2026</v>
      </c>
      <c r="F1833" t="inlineStr">
        <is>
          <t>Styczeń</t>
        </is>
      </c>
      <c r="G1833" t="inlineStr">
        <is>
          <t>Wt</t>
        </is>
      </c>
      <c r="H1833">
        <f>'Floor Hours Engine'!$E$4</f>
        <v/>
      </c>
      <c r="I1833" t="inlineStr">
        <is>
          <t>W2</t>
        </is>
      </c>
      <c r="J1833" t="inlineStr">
        <is>
          <t>2026_Styczeń_W2</t>
        </is>
      </c>
    </row>
    <row r="1834">
      <c r="A1834" s="177" t="n">
        <v>46029</v>
      </c>
      <c r="B1834" s="177" t="n">
        <v>46028</v>
      </c>
      <c r="C1834" s="177" t="n">
        <v>46034</v>
      </c>
      <c r="D1834" t="inlineStr">
        <is>
          <t>BW20260106</t>
        </is>
      </c>
      <c r="E1834" t="n">
        <v>2026</v>
      </c>
      <c r="F1834" t="inlineStr">
        <is>
          <t>Styczeń</t>
        </is>
      </c>
      <c r="G1834" t="inlineStr">
        <is>
          <t>Śr</t>
        </is>
      </c>
      <c r="H1834">
        <f>'Floor Hours Engine'!$E$4</f>
        <v/>
      </c>
      <c r="I1834" t="inlineStr">
        <is>
          <t>W2</t>
        </is>
      </c>
      <c r="J1834" t="inlineStr">
        <is>
          <t>2026_Styczeń_W2</t>
        </is>
      </c>
    </row>
    <row r="1835">
      <c r="A1835" s="177" t="n">
        <v>46030</v>
      </c>
      <c r="B1835" s="177" t="n">
        <v>46028</v>
      </c>
      <c r="C1835" s="177" t="n">
        <v>46034</v>
      </c>
      <c r="D1835" t="inlineStr">
        <is>
          <t>BW20260106</t>
        </is>
      </c>
      <c r="E1835" t="n">
        <v>2026</v>
      </c>
      <c r="F1835" t="inlineStr">
        <is>
          <t>Styczeń</t>
        </is>
      </c>
      <c r="G1835" t="inlineStr">
        <is>
          <t>Czw</t>
        </is>
      </c>
      <c r="H1835">
        <f>'Floor Hours Engine'!$E$4</f>
        <v/>
      </c>
      <c r="I1835" t="inlineStr">
        <is>
          <t>W2</t>
        </is>
      </c>
      <c r="J1835" t="inlineStr">
        <is>
          <t>2026_Styczeń_W2</t>
        </is>
      </c>
    </row>
    <row r="1836">
      <c r="A1836" s="177" t="n">
        <v>46031</v>
      </c>
      <c r="B1836" s="177" t="n">
        <v>46028</v>
      </c>
      <c r="C1836" s="177" t="n">
        <v>46034</v>
      </c>
      <c r="D1836" t="inlineStr">
        <is>
          <t>BW20260106</t>
        </is>
      </c>
      <c r="E1836" t="n">
        <v>2026</v>
      </c>
      <c r="F1836" t="inlineStr">
        <is>
          <t>Styczeń</t>
        </is>
      </c>
      <c r="G1836" t="inlineStr">
        <is>
          <t>Pt</t>
        </is>
      </c>
      <c r="H1836">
        <f>'Floor Hours Engine'!$E$5</f>
        <v/>
      </c>
      <c r="I1836" t="inlineStr">
        <is>
          <t>W2</t>
        </is>
      </c>
      <c r="J1836" t="inlineStr">
        <is>
          <t>2026_Styczeń_W2</t>
        </is>
      </c>
    </row>
    <row r="1837">
      <c r="A1837" s="177" t="n">
        <v>46032</v>
      </c>
      <c r="B1837" s="177" t="n">
        <v>46028</v>
      </c>
      <c r="C1837" s="177" t="n">
        <v>46034</v>
      </c>
      <c r="D1837" t="inlineStr">
        <is>
          <t>BW20260106</t>
        </is>
      </c>
      <c r="E1837" t="n">
        <v>2026</v>
      </c>
      <c r="F1837" t="inlineStr">
        <is>
          <t>Styczeń</t>
        </is>
      </c>
      <c r="G1837" t="inlineStr">
        <is>
          <t>Sob</t>
        </is>
      </c>
      <c r="H1837">
        <f>'Floor Hours Engine'!$E$5</f>
        <v/>
      </c>
      <c r="I1837" t="inlineStr">
        <is>
          <t>W2</t>
        </is>
      </c>
      <c r="J1837" t="inlineStr">
        <is>
          <t>2026_Styczeń_W2</t>
        </is>
      </c>
    </row>
    <row r="1838">
      <c r="A1838" s="177" t="n">
        <v>46033</v>
      </c>
      <c r="B1838" s="177" t="n">
        <v>46028</v>
      </c>
      <c r="C1838" s="177" t="n">
        <v>46034</v>
      </c>
      <c r="D1838" t="inlineStr">
        <is>
          <t>BW20260106</t>
        </is>
      </c>
      <c r="E1838" t="n">
        <v>2026</v>
      </c>
      <c r="F1838" t="inlineStr">
        <is>
          <t>Styczeń</t>
        </is>
      </c>
      <c r="G1838" t="inlineStr">
        <is>
          <t>Nd</t>
        </is>
      </c>
      <c r="H1838">
        <f>'Floor Hours Engine'!$E$6</f>
        <v/>
      </c>
      <c r="I1838" t="inlineStr">
        <is>
          <t>W2</t>
        </is>
      </c>
      <c r="J1838" t="inlineStr">
        <is>
          <t>2026_Styczeń_W2</t>
        </is>
      </c>
    </row>
    <row r="1839">
      <c r="A1839" s="177" t="n">
        <v>46034</v>
      </c>
      <c r="B1839" s="177" t="n">
        <v>46028</v>
      </c>
      <c r="C1839" s="177" t="n">
        <v>46034</v>
      </c>
      <c r="D1839" t="inlineStr">
        <is>
          <t>BW20260106</t>
        </is>
      </c>
      <c r="E1839" t="n">
        <v>2026</v>
      </c>
      <c r="F1839" t="inlineStr">
        <is>
          <t>Styczeń</t>
        </is>
      </c>
      <c r="G1839" t="inlineStr">
        <is>
          <t>Pn</t>
        </is>
      </c>
      <c r="H1839">
        <f>'Floor Hours Engine'!$E$4</f>
        <v/>
      </c>
      <c r="I1839" t="inlineStr">
        <is>
          <t>W2</t>
        </is>
      </c>
      <c r="J1839" t="inlineStr">
        <is>
          <t>2026_Styczeń_W2</t>
        </is>
      </c>
    </row>
    <row r="1840">
      <c r="A1840" s="177" t="n">
        <v>46035</v>
      </c>
      <c r="B1840" s="177" t="n">
        <v>46035</v>
      </c>
      <c r="C1840" s="177" t="n">
        <v>46041</v>
      </c>
      <c r="D1840" t="inlineStr">
        <is>
          <t>BW20260113</t>
        </is>
      </c>
      <c r="E1840" t="n">
        <v>2026</v>
      </c>
      <c r="F1840" t="inlineStr">
        <is>
          <t>Styczeń</t>
        </is>
      </c>
      <c r="G1840" t="inlineStr">
        <is>
          <t>Wt</t>
        </is>
      </c>
      <c r="H1840">
        <f>'Floor Hours Engine'!$E$4</f>
        <v/>
      </c>
      <c r="I1840" t="inlineStr">
        <is>
          <t>W3</t>
        </is>
      </c>
      <c r="J1840" t="inlineStr">
        <is>
          <t>2026_Styczeń_W3</t>
        </is>
      </c>
    </row>
    <row r="1841">
      <c r="A1841" s="177" t="n">
        <v>46036</v>
      </c>
      <c r="B1841" s="177" t="n">
        <v>46035</v>
      </c>
      <c r="C1841" s="177" t="n">
        <v>46041</v>
      </c>
      <c r="D1841" t="inlineStr">
        <is>
          <t>BW20260113</t>
        </is>
      </c>
      <c r="E1841" t="n">
        <v>2026</v>
      </c>
      <c r="F1841" t="inlineStr">
        <is>
          <t>Styczeń</t>
        </is>
      </c>
      <c r="G1841" t="inlineStr">
        <is>
          <t>Śr</t>
        </is>
      </c>
      <c r="H1841">
        <f>'Floor Hours Engine'!$E$4</f>
        <v/>
      </c>
      <c r="I1841" t="inlineStr">
        <is>
          <t>W3</t>
        </is>
      </c>
      <c r="J1841" t="inlineStr">
        <is>
          <t>2026_Styczeń_W3</t>
        </is>
      </c>
    </row>
    <row r="1842">
      <c r="A1842" s="177" t="n">
        <v>46037</v>
      </c>
      <c r="B1842" s="177" t="n">
        <v>46035</v>
      </c>
      <c r="C1842" s="177" t="n">
        <v>46041</v>
      </c>
      <c r="D1842" t="inlineStr">
        <is>
          <t>BW20260113</t>
        </is>
      </c>
      <c r="E1842" t="n">
        <v>2026</v>
      </c>
      <c r="F1842" t="inlineStr">
        <is>
          <t>Styczeń</t>
        </is>
      </c>
      <c r="G1842" t="inlineStr">
        <is>
          <t>Czw</t>
        </is>
      </c>
      <c r="H1842">
        <f>'Floor Hours Engine'!$E$4</f>
        <v/>
      </c>
      <c r="I1842" t="inlineStr">
        <is>
          <t>W3</t>
        </is>
      </c>
      <c r="J1842" t="inlineStr">
        <is>
          <t>2026_Styczeń_W3</t>
        </is>
      </c>
    </row>
    <row r="1843">
      <c r="A1843" s="177" t="n">
        <v>46038</v>
      </c>
      <c r="B1843" s="177" t="n">
        <v>46035</v>
      </c>
      <c r="C1843" s="177" t="n">
        <v>46041</v>
      </c>
      <c r="D1843" t="inlineStr">
        <is>
          <t>BW20260113</t>
        </is>
      </c>
      <c r="E1843" t="n">
        <v>2026</v>
      </c>
      <c r="F1843" t="inlineStr">
        <is>
          <t>Styczeń</t>
        </is>
      </c>
      <c r="G1843" t="inlineStr">
        <is>
          <t>Pt</t>
        </is>
      </c>
      <c r="H1843">
        <f>'Floor Hours Engine'!$E$5</f>
        <v/>
      </c>
      <c r="I1843" t="inlineStr">
        <is>
          <t>W3</t>
        </is>
      </c>
      <c r="J1843" t="inlineStr">
        <is>
          <t>2026_Styczeń_W3</t>
        </is>
      </c>
    </row>
    <row r="1844">
      <c r="A1844" s="177" t="n">
        <v>46039</v>
      </c>
      <c r="B1844" s="177" t="n">
        <v>46035</v>
      </c>
      <c r="C1844" s="177" t="n">
        <v>46041</v>
      </c>
      <c r="D1844" t="inlineStr">
        <is>
          <t>BW20260113</t>
        </is>
      </c>
      <c r="E1844" t="n">
        <v>2026</v>
      </c>
      <c r="F1844" t="inlineStr">
        <is>
          <t>Styczeń</t>
        </is>
      </c>
      <c r="G1844" t="inlineStr">
        <is>
          <t>Sob</t>
        </is>
      </c>
      <c r="H1844">
        <f>'Floor Hours Engine'!$E$5</f>
        <v/>
      </c>
      <c r="I1844" t="inlineStr">
        <is>
          <t>W3</t>
        </is>
      </c>
      <c r="J1844" t="inlineStr">
        <is>
          <t>2026_Styczeń_W3</t>
        </is>
      </c>
    </row>
    <row r="1845">
      <c r="A1845" s="177" t="n">
        <v>46040</v>
      </c>
      <c r="B1845" s="177" t="n">
        <v>46035</v>
      </c>
      <c r="C1845" s="177" t="n">
        <v>46041</v>
      </c>
      <c r="D1845" t="inlineStr">
        <is>
          <t>BW20260113</t>
        </is>
      </c>
      <c r="E1845" t="n">
        <v>2026</v>
      </c>
      <c r="F1845" t="inlineStr">
        <is>
          <t>Styczeń</t>
        </is>
      </c>
      <c r="G1845" t="inlineStr">
        <is>
          <t>Nd</t>
        </is>
      </c>
      <c r="H1845">
        <f>'Floor Hours Engine'!$E$6</f>
        <v/>
      </c>
      <c r="I1845" t="inlineStr">
        <is>
          <t>W3</t>
        </is>
      </c>
      <c r="J1845" t="inlineStr">
        <is>
          <t>2026_Styczeń_W3</t>
        </is>
      </c>
    </row>
    <row r="1846">
      <c r="A1846" s="177" t="n">
        <v>46041</v>
      </c>
      <c r="B1846" s="177" t="n">
        <v>46035</v>
      </c>
      <c r="C1846" s="177" t="n">
        <v>46041</v>
      </c>
      <c r="D1846" t="inlineStr">
        <is>
          <t>BW20260113</t>
        </is>
      </c>
      <c r="E1846" t="n">
        <v>2026</v>
      </c>
      <c r="F1846" t="inlineStr">
        <is>
          <t>Styczeń</t>
        </is>
      </c>
      <c r="G1846" t="inlineStr">
        <is>
          <t>Pn</t>
        </is>
      </c>
      <c r="H1846">
        <f>'Floor Hours Engine'!$E$4</f>
        <v/>
      </c>
      <c r="I1846" t="inlineStr">
        <is>
          <t>W3</t>
        </is>
      </c>
      <c r="J1846" t="inlineStr">
        <is>
          <t>2026_Styczeń_W3</t>
        </is>
      </c>
    </row>
    <row r="1847">
      <c r="A1847" s="177" t="n">
        <v>46042</v>
      </c>
      <c r="B1847" s="177" t="n">
        <v>46042</v>
      </c>
      <c r="C1847" s="177" t="n">
        <v>46048</v>
      </c>
      <c r="D1847" t="inlineStr">
        <is>
          <t>BW20260120</t>
        </is>
      </c>
      <c r="E1847" t="n">
        <v>2026</v>
      </c>
      <c r="F1847" t="inlineStr">
        <is>
          <t>Styczeń</t>
        </is>
      </c>
      <c r="G1847" t="inlineStr">
        <is>
          <t>Wt</t>
        </is>
      </c>
      <c r="H1847">
        <f>'Floor Hours Engine'!$E$4</f>
        <v/>
      </c>
      <c r="I1847" t="inlineStr">
        <is>
          <t>W4</t>
        </is>
      </c>
      <c r="J1847" t="inlineStr">
        <is>
          <t>2026_Styczeń_W4</t>
        </is>
      </c>
    </row>
    <row r="1848">
      <c r="A1848" s="177" t="n">
        <v>46043</v>
      </c>
      <c r="B1848" s="177" t="n">
        <v>46042</v>
      </c>
      <c r="C1848" s="177" t="n">
        <v>46048</v>
      </c>
      <c r="D1848" t="inlineStr">
        <is>
          <t>BW20260120</t>
        </is>
      </c>
      <c r="E1848" t="n">
        <v>2026</v>
      </c>
      <c r="F1848" t="inlineStr">
        <is>
          <t>Styczeń</t>
        </is>
      </c>
      <c r="G1848" t="inlineStr">
        <is>
          <t>Śr</t>
        </is>
      </c>
      <c r="H1848">
        <f>'Floor Hours Engine'!$E$4</f>
        <v/>
      </c>
      <c r="I1848" t="inlineStr">
        <is>
          <t>W4</t>
        </is>
      </c>
      <c r="J1848" t="inlineStr">
        <is>
          <t>2026_Styczeń_W4</t>
        </is>
      </c>
    </row>
    <row r="1849">
      <c r="A1849" s="177" t="n">
        <v>46044</v>
      </c>
      <c r="B1849" s="177" t="n">
        <v>46042</v>
      </c>
      <c r="C1849" s="177" t="n">
        <v>46048</v>
      </c>
      <c r="D1849" t="inlineStr">
        <is>
          <t>BW20260120</t>
        </is>
      </c>
      <c r="E1849" t="n">
        <v>2026</v>
      </c>
      <c r="F1849" t="inlineStr">
        <is>
          <t>Styczeń</t>
        </is>
      </c>
      <c r="G1849" t="inlineStr">
        <is>
          <t>Czw</t>
        </is>
      </c>
      <c r="H1849">
        <f>'Floor Hours Engine'!$E$4</f>
        <v/>
      </c>
      <c r="I1849" t="inlineStr">
        <is>
          <t>W4</t>
        </is>
      </c>
      <c r="J1849" t="inlineStr">
        <is>
          <t>2026_Styczeń_W4</t>
        </is>
      </c>
    </row>
    <row r="1850">
      <c r="A1850" s="177" t="n">
        <v>46045</v>
      </c>
      <c r="B1850" s="177" t="n">
        <v>46042</v>
      </c>
      <c r="C1850" s="177" t="n">
        <v>46048</v>
      </c>
      <c r="D1850" t="inlineStr">
        <is>
          <t>BW20260120</t>
        </is>
      </c>
      <c r="E1850" t="n">
        <v>2026</v>
      </c>
      <c r="F1850" t="inlineStr">
        <is>
          <t>Styczeń</t>
        </is>
      </c>
      <c r="G1850" t="inlineStr">
        <is>
          <t>Pt</t>
        </is>
      </c>
      <c r="H1850">
        <f>'Floor Hours Engine'!$E$5</f>
        <v/>
      </c>
      <c r="I1850" t="inlineStr">
        <is>
          <t>W4</t>
        </is>
      </c>
      <c r="J1850" t="inlineStr">
        <is>
          <t>2026_Styczeń_W4</t>
        </is>
      </c>
    </row>
    <row r="1851">
      <c r="A1851" s="177" t="n">
        <v>46046</v>
      </c>
      <c r="B1851" s="177" t="n">
        <v>46042</v>
      </c>
      <c r="C1851" s="177" t="n">
        <v>46048</v>
      </c>
      <c r="D1851" t="inlineStr">
        <is>
          <t>BW20260120</t>
        </is>
      </c>
      <c r="E1851" t="n">
        <v>2026</v>
      </c>
      <c r="F1851" t="inlineStr">
        <is>
          <t>Styczeń</t>
        </is>
      </c>
      <c r="G1851" t="inlineStr">
        <is>
          <t>Sob</t>
        </is>
      </c>
      <c r="H1851">
        <f>'Floor Hours Engine'!$E$5</f>
        <v/>
      </c>
      <c r="I1851" t="inlineStr">
        <is>
          <t>W4</t>
        </is>
      </c>
      <c r="J1851" t="inlineStr">
        <is>
          <t>2026_Styczeń_W4</t>
        </is>
      </c>
    </row>
    <row r="1852">
      <c r="A1852" s="177" t="n">
        <v>46047</v>
      </c>
      <c r="B1852" s="177" t="n">
        <v>46042</v>
      </c>
      <c r="C1852" s="177" t="n">
        <v>46048</v>
      </c>
      <c r="D1852" t="inlineStr">
        <is>
          <t>BW20260120</t>
        </is>
      </c>
      <c r="E1852" t="n">
        <v>2026</v>
      </c>
      <c r="F1852" t="inlineStr">
        <is>
          <t>Styczeń</t>
        </is>
      </c>
      <c r="G1852" t="inlineStr">
        <is>
          <t>Nd</t>
        </is>
      </c>
      <c r="H1852">
        <f>'Floor Hours Engine'!$E$6</f>
        <v/>
      </c>
      <c r="I1852" t="inlineStr">
        <is>
          <t>W4</t>
        </is>
      </c>
      <c r="J1852" t="inlineStr">
        <is>
          <t>2026_Styczeń_W4</t>
        </is>
      </c>
    </row>
    <row r="1853">
      <c r="A1853" s="177" t="n">
        <v>46048</v>
      </c>
      <c r="B1853" s="177" t="n">
        <v>46042</v>
      </c>
      <c r="C1853" s="177" t="n">
        <v>46048</v>
      </c>
      <c r="D1853" t="inlineStr">
        <is>
          <t>BW20260120</t>
        </is>
      </c>
      <c r="E1853" t="n">
        <v>2026</v>
      </c>
      <c r="F1853" t="inlineStr">
        <is>
          <t>Styczeń</t>
        </is>
      </c>
      <c r="G1853" t="inlineStr">
        <is>
          <t>Pn</t>
        </is>
      </c>
      <c r="H1853">
        <f>'Floor Hours Engine'!$E$4</f>
        <v/>
      </c>
      <c r="I1853" t="inlineStr">
        <is>
          <t>W4</t>
        </is>
      </c>
      <c r="J1853" t="inlineStr">
        <is>
          <t>2026_Styczeń_W4</t>
        </is>
      </c>
    </row>
    <row r="1854">
      <c r="A1854" s="177" t="n">
        <v>46049</v>
      </c>
      <c r="B1854" s="177" t="n">
        <v>46049</v>
      </c>
      <c r="C1854" s="177" t="n">
        <v>46055</v>
      </c>
      <c r="D1854" t="inlineStr">
        <is>
          <t>BW20260127</t>
        </is>
      </c>
      <c r="E1854" t="n">
        <v>2026</v>
      </c>
      <c r="F1854" t="inlineStr">
        <is>
          <t>Styczeń</t>
        </is>
      </c>
      <c r="G1854" t="inlineStr">
        <is>
          <t>Wt</t>
        </is>
      </c>
      <c r="H1854">
        <f>'Floor Hours Engine'!$E$4</f>
        <v/>
      </c>
      <c r="I1854" t="inlineStr">
        <is>
          <t>W5</t>
        </is>
      </c>
      <c r="J1854" t="inlineStr">
        <is>
          <t>2026_Styczeń_W5</t>
        </is>
      </c>
    </row>
    <row r="1855">
      <c r="A1855" s="177" t="n">
        <v>46050</v>
      </c>
      <c r="B1855" s="177" t="n">
        <v>46049</v>
      </c>
      <c r="C1855" s="177" t="n">
        <v>46055</v>
      </c>
      <c r="D1855" t="inlineStr">
        <is>
          <t>BW20260127</t>
        </is>
      </c>
      <c r="E1855" t="n">
        <v>2026</v>
      </c>
      <c r="F1855" t="inlineStr">
        <is>
          <t>Styczeń</t>
        </is>
      </c>
      <c r="G1855" t="inlineStr">
        <is>
          <t>Śr</t>
        </is>
      </c>
      <c r="H1855">
        <f>'Floor Hours Engine'!$E$4</f>
        <v/>
      </c>
      <c r="I1855" t="inlineStr">
        <is>
          <t>W5</t>
        </is>
      </c>
      <c r="J1855" t="inlineStr">
        <is>
          <t>2026_Styczeń_W5</t>
        </is>
      </c>
    </row>
    <row r="1856">
      <c r="A1856" s="177" t="n">
        <v>46051</v>
      </c>
      <c r="B1856" s="177" t="n">
        <v>46049</v>
      </c>
      <c r="C1856" s="177" t="n">
        <v>46055</v>
      </c>
      <c r="D1856" t="inlineStr">
        <is>
          <t>BW20260127</t>
        </is>
      </c>
      <c r="E1856" t="n">
        <v>2026</v>
      </c>
      <c r="F1856" t="inlineStr">
        <is>
          <t>Styczeń</t>
        </is>
      </c>
      <c r="G1856" t="inlineStr">
        <is>
          <t>Czw</t>
        </is>
      </c>
      <c r="H1856">
        <f>'Floor Hours Engine'!$E$4</f>
        <v/>
      </c>
      <c r="I1856" t="inlineStr">
        <is>
          <t>W5</t>
        </is>
      </c>
      <c r="J1856" t="inlineStr">
        <is>
          <t>2026_Styczeń_W5</t>
        </is>
      </c>
    </row>
    <row r="1857">
      <c r="A1857" s="177" t="n">
        <v>46052</v>
      </c>
      <c r="B1857" s="177" t="n">
        <v>46049</v>
      </c>
      <c r="C1857" s="177" t="n">
        <v>46055</v>
      </c>
      <c r="D1857" t="inlineStr">
        <is>
          <t>BW20260127</t>
        </is>
      </c>
      <c r="E1857" t="n">
        <v>2026</v>
      </c>
      <c r="F1857" t="inlineStr">
        <is>
          <t>Styczeń</t>
        </is>
      </c>
      <c r="G1857" t="inlineStr">
        <is>
          <t>Pt</t>
        </is>
      </c>
      <c r="H1857">
        <f>'Floor Hours Engine'!$E$5</f>
        <v/>
      </c>
      <c r="I1857" t="inlineStr">
        <is>
          <t>W5</t>
        </is>
      </c>
      <c r="J1857" t="inlineStr">
        <is>
          <t>2026_Styczeń_W5</t>
        </is>
      </c>
    </row>
    <row r="1858">
      <c r="A1858" s="177" t="n">
        <v>46053</v>
      </c>
      <c r="B1858" s="177" t="n">
        <v>46049</v>
      </c>
      <c r="C1858" s="177" t="n">
        <v>46055</v>
      </c>
      <c r="D1858" t="inlineStr">
        <is>
          <t>BW20260127</t>
        </is>
      </c>
      <c r="E1858" t="n">
        <v>2026</v>
      </c>
      <c r="F1858" t="inlineStr">
        <is>
          <t>Styczeń</t>
        </is>
      </c>
      <c r="G1858" t="inlineStr">
        <is>
          <t>Sob</t>
        </is>
      </c>
      <c r="H1858">
        <f>'Floor Hours Engine'!$E$5</f>
        <v/>
      </c>
      <c r="I1858" t="inlineStr">
        <is>
          <t>W5</t>
        </is>
      </c>
      <c r="J1858" t="inlineStr">
        <is>
          <t>2026_Styczeń_W5</t>
        </is>
      </c>
    </row>
    <row r="1859">
      <c r="A1859" s="177" t="n">
        <v>46054</v>
      </c>
      <c r="B1859" s="177" t="n">
        <v>46049</v>
      </c>
      <c r="C1859" s="177" t="n">
        <v>46055</v>
      </c>
      <c r="D1859" t="inlineStr">
        <is>
          <t>BW20260127</t>
        </is>
      </c>
      <c r="E1859" t="n">
        <v>2026</v>
      </c>
      <c r="F1859" t="inlineStr">
        <is>
          <t>Luty</t>
        </is>
      </c>
      <c r="G1859" t="inlineStr">
        <is>
          <t>Nd</t>
        </is>
      </c>
      <c r="H1859">
        <f>'Floor Hours Engine'!$E$6</f>
        <v/>
      </c>
      <c r="I1859" t="inlineStr">
        <is>
          <t>W1</t>
        </is>
      </c>
      <c r="J1859" t="inlineStr">
        <is>
          <t>2026_Luty_W1</t>
        </is>
      </c>
    </row>
    <row r="1860">
      <c r="A1860" s="177" t="n">
        <v>46055</v>
      </c>
      <c r="B1860" s="177" t="n">
        <v>46049</v>
      </c>
      <c r="C1860" s="177" t="n">
        <v>46055</v>
      </c>
      <c r="D1860" t="inlineStr">
        <is>
          <t>BW20260127</t>
        </is>
      </c>
      <c r="E1860" t="n">
        <v>2026</v>
      </c>
      <c r="F1860" t="inlineStr">
        <is>
          <t>Luty</t>
        </is>
      </c>
      <c r="G1860" t="inlineStr">
        <is>
          <t>Pn</t>
        </is>
      </c>
      <c r="H1860">
        <f>'Floor Hours Engine'!$E$4</f>
        <v/>
      </c>
      <c r="I1860" t="inlineStr">
        <is>
          <t>W1</t>
        </is>
      </c>
      <c r="J1860" t="inlineStr">
        <is>
          <t>2026_Luty_W1</t>
        </is>
      </c>
    </row>
    <row r="1861">
      <c r="A1861" s="177" t="n">
        <v>46056</v>
      </c>
      <c r="B1861" s="177" t="n">
        <v>46056</v>
      </c>
      <c r="C1861" s="177" t="n">
        <v>46062</v>
      </c>
      <c r="D1861" t="inlineStr">
        <is>
          <t>BW20260203</t>
        </is>
      </c>
      <c r="E1861" t="n">
        <v>2026</v>
      </c>
      <c r="F1861" t="inlineStr">
        <is>
          <t>Luty</t>
        </is>
      </c>
      <c r="G1861" t="inlineStr">
        <is>
          <t>Wt</t>
        </is>
      </c>
      <c r="H1861">
        <f>'Floor Hours Engine'!$E$4</f>
        <v/>
      </c>
      <c r="I1861" t="inlineStr">
        <is>
          <t>W2</t>
        </is>
      </c>
      <c r="J1861" t="inlineStr">
        <is>
          <t>2026_Luty_W2</t>
        </is>
      </c>
    </row>
    <row r="1862">
      <c r="A1862" s="177" t="n">
        <v>46057</v>
      </c>
      <c r="B1862" s="177" t="n">
        <v>46056</v>
      </c>
      <c r="C1862" s="177" t="n">
        <v>46062</v>
      </c>
      <c r="D1862" t="inlineStr">
        <is>
          <t>BW20260203</t>
        </is>
      </c>
      <c r="E1862" t="n">
        <v>2026</v>
      </c>
      <c r="F1862" t="inlineStr">
        <is>
          <t>Luty</t>
        </is>
      </c>
      <c r="G1862" t="inlineStr">
        <is>
          <t>Śr</t>
        </is>
      </c>
      <c r="H1862">
        <f>'Floor Hours Engine'!$E$4</f>
        <v/>
      </c>
      <c r="I1862" t="inlineStr">
        <is>
          <t>W2</t>
        </is>
      </c>
      <c r="J1862" t="inlineStr">
        <is>
          <t>2026_Luty_W2</t>
        </is>
      </c>
    </row>
    <row r="1863">
      <c r="A1863" s="177" t="n">
        <v>46058</v>
      </c>
      <c r="B1863" s="177" t="n">
        <v>46056</v>
      </c>
      <c r="C1863" s="177" t="n">
        <v>46062</v>
      </c>
      <c r="D1863" t="inlineStr">
        <is>
          <t>BW20260203</t>
        </is>
      </c>
      <c r="E1863" t="n">
        <v>2026</v>
      </c>
      <c r="F1863" t="inlineStr">
        <is>
          <t>Luty</t>
        </is>
      </c>
      <c r="G1863" t="inlineStr">
        <is>
          <t>Czw</t>
        </is>
      </c>
      <c r="H1863">
        <f>'Floor Hours Engine'!$E$4</f>
        <v/>
      </c>
      <c r="I1863" t="inlineStr">
        <is>
          <t>W2</t>
        </is>
      </c>
      <c r="J1863" t="inlineStr">
        <is>
          <t>2026_Luty_W2</t>
        </is>
      </c>
    </row>
    <row r="1864">
      <c r="A1864" s="177" t="n">
        <v>46059</v>
      </c>
      <c r="B1864" s="177" t="n">
        <v>46056</v>
      </c>
      <c r="C1864" s="177" t="n">
        <v>46062</v>
      </c>
      <c r="D1864" t="inlineStr">
        <is>
          <t>BW20260203</t>
        </is>
      </c>
      <c r="E1864" t="n">
        <v>2026</v>
      </c>
      <c r="F1864" t="inlineStr">
        <is>
          <t>Luty</t>
        </is>
      </c>
      <c r="G1864" t="inlineStr">
        <is>
          <t>Pt</t>
        </is>
      </c>
      <c r="H1864">
        <f>'Floor Hours Engine'!$E$5</f>
        <v/>
      </c>
      <c r="I1864" t="inlineStr">
        <is>
          <t>W2</t>
        </is>
      </c>
      <c r="J1864" t="inlineStr">
        <is>
          <t>2026_Luty_W2</t>
        </is>
      </c>
    </row>
    <row r="1865">
      <c r="A1865" s="177" t="n">
        <v>46060</v>
      </c>
      <c r="B1865" s="177" t="n">
        <v>46056</v>
      </c>
      <c r="C1865" s="177" t="n">
        <v>46062</v>
      </c>
      <c r="D1865" t="inlineStr">
        <is>
          <t>BW20260203</t>
        </is>
      </c>
      <c r="E1865" t="n">
        <v>2026</v>
      </c>
      <c r="F1865" t="inlineStr">
        <is>
          <t>Luty</t>
        </is>
      </c>
      <c r="G1865" t="inlineStr">
        <is>
          <t>Sob</t>
        </is>
      </c>
      <c r="H1865">
        <f>'Floor Hours Engine'!$E$5</f>
        <v/>
      </c>
      <c r="I1865" t="inlineStr">
        <is>
          <t>W2</t>
        </is>
      </c>
      <c r="J1865" t="inlineStr">
        <is>
          <t>2026_Luty_W2</t>
        </is>
      </c>
    </row>
    <row r="1866">
      <c r="A1866" s="177" t="n">
        <v>46061</v>
      </c>
      <c r="B1866" s="177" t="n">
        <v>46056</v>
      </c>
      <c r="C1866" s="177" t="n">
        <v>46062</v>
      </c>
      <c r="D1866" t="inlineStr">
        <is>
          <t>BW20260203</t>
        </is>
      </c>
      <c r="E1866" t="n">
        <v>2026</v>
      </c>
      <c r="F1866" t="inlineStr">
        <is>
          <t>Luty</t>
        </is>
      </c>
      <c r="G1866" t="inlineStr">
        <is>
          <t>Nd</t>
        </is>
      </c>
      <c r="H1866">
        <f>'Floor Hours Engine'!$E$6</f>
        <v/>
      </c>
      <c r="I1866" t="inlineStr">
        <is>
          <t>W2</t>
        </is>
      </c>
      <c r="J1866" t="inlineStr">
        <is>
          <t>2026_Luty_W2</t>
        </is>
      </c>
    </row>
    <row r="1867">
      <c r="A1867" s="177" t="n">
        <v>46062</v>
      </c>
      <c r="B1867" s="177" t="n">
        <v>46056</v>
      </c>
      <c r="C1867" s="177" t="n">
        <v>46062</v>
      </c>
      <c r="D1867" t="inlineStr">
        <is>
          <t>BW20260203</t>
        </is>
      </c>
      <c r="E1867" t="n">
        <v>2026</v>
      </c>
      <c r="F1867" t="inlineStr">
        <is>
          <t>Luty</t>
        </is>
      </c>
      <c r="G1867" t="inlineStr">
        <is>
          <t>Pn</t>
        </is>
      </c>
      <c r="H1867">
        <f>'Floor Hours Engine'!$E$4</f>
        <v/>
      </c>
      <c r="I1867" t="inlineStr">
        <is>
          <t>W2</t>
        </is>
      </c>
      <c r="J1867" t="inlineStr">
        <is>
          <t>2026_Luty_W2</t>
        </is>
      </c>
    </row>
    <row r="1868">
      <c r="A1868" s="177" t="n">
        <v>46063</v>
      </c>
      <c r="B1868" s="177" t="n">
        <v>46063</v>
      </c>
      <c r="C1868" s="177" t="n">
        <v>46069</v>
      </c>
      <c r="D1868" t="inlineStr">
        <is>
          <t>BW20260210</t>
        </is>
      </c>
      <c r="E1868" t="n">
        <v>2026</v>
      </c>
      <c r="F1868" t="inlineStr">
        <is>
          <t>Luty</t>
        </is>
      </c>
      <c r="G1868" t="inlineStr">
        <is>
          <t>Wt</t>
        </is>
      </c>
      <c r="H1868">
        <f>'Floor Hours Engine'!$E$4</f>
        <v/>
      </c>
      <c r="I1868" t="inlineStr">
        <is>
          <t>W3</t>
        </is>
      </c>
      <c r="J1868" t="inlineStr">
        <is>
          <t>2026_Luty_W3</t>
        </is>
      </c>
    </row>
    <row r="1869">
      <c r="A1869" s="177" t="n">
        <v>46064</v>
      </c>
      <c r="B1869" s="177" t="n">
        <v>46063</v>
      </c>
      <c r="C1869" s="177" t="n">
        <v>46069</v>
      </c>
      <c r="D1869" t="inlineStr">
        <is>
          <t>BW20260210</t>
        </is>
      </c>
      <c r="E1869" t="n">
        <v>2026</v>
      </c>
      <c r="F1869" t="inlineStr">
        <is>
          <t>Luty</t>
        </is>
      </c>
      <c r="G1869" t="inlineStr">
        <is>
          <t>Śr</t>
        </is>
      </c>
      <c r="H1869">
        <f>'Floor Hours Engine'!$E$4</f>
        <v/>
      </c>
      <c r="I1869" t="inlineStr">
        <is>
          <t>W3</t>
        </is>
      </c>
      <c r="J1869" t="inlineStr">
        <is>
          <t>2026_Luty_W3</t>
        </is>
      </c>
    </row>
    <row r="1870">
      <c r="A1870" s="177" t="n">
        <v>46065</v>
      </c>
      <c r="B1870" s="177" t="n">
        <v>46063</v>
      </c>
      <c r="C1870" s="177" t="n">
        <v>46069</v>
      </c>
      <c r="D1870" t="inlineStr">
        <is>
          <t>BW20260210</t>
        </is>
      </c>
      <c r="E1870" t="n">
        <v>2026</v>
      </c>
      <c r="F1870" t="inlineStr">
        <is>
          <t>Luty</t>
        </is>
      </c>
      <c r="G1870" t="inlineStr">
        <is>
          <t>Czw</t>
        </is>
      </c>
      <c r="H1870">
        <f>'Floor Hours Engine'!$E$4</f>
        <v/>
      </c>
      <c r="I1870" t="inlineStr">
        <is>
          <t>W3</t>
        </is>
      </c>
      <c r="J1870" t="inlineStr">
        <is>
          <t>2026_Luty_W3</t>
        </is>
      </c>
    </row>
    <row r="1871">
      <c r="A1871" s="177" t="n">
        <v>46066</v>
      </c>
      <c r="B1871" s="177" t="n">
        <v>46063</v>
      </c>
      <c r="C1871" s="177" t="n">
        <v>46069</v>
      </c>
      <c r="D1871" t="inlineStr">
        <is>
          <t>BW20260210</t>
        </is>
      </c>
      <c r="E1871" t="n">
        <v>2026</v>
      </c>
      <c r="F1871" t="inlineStr">
        <is>
          <t>Luty</t>
        </is>
      </c>
      <c r="G1871" t="inlineStr">
        <is>
          <t>Pt</t>
        </is>
      </c>
      <c r="H1871">
        <f>'Floor Hours Engine'!$E$5</f>
        <v/>
      </c>
      <c r="I1871" t="inlineStr">
        <is>
          <t>W3</t>
        </is>
      </c>
      <c r="J1871" t="inlineStr">
        <is>
          <t>2026_Luty_W3</t>
        </is>
      </c>
    </row>
    <row r="1872">
      <c r="A1872" s="177" t="n">
        <v>46067</v>
      </c>
      <c r="B1872" s="177" t="n">
        <v>46063</v>
      </c>
      <c r="C1872" s="177" t="n">
        <v>46069</v>
      </c>
      <c r="D1872" t="inlineStr">
        <is>
          <t>BW20260210</t>
        </is>
      </c>
      <c r="E1872" t="n">
        <v>2026</v>
      </c>
      <c r="F1872" t="inlineStr">
        <is>
          <t>Luty</t>
        </is>
      </c>
      <c r="G1872" t="inlineStr">
        <is>
          <t>Sob</t>
        </is>
      </c>
      <c r="H1872">
        <f>'Floor Hours Engine'!$E$5</f>
        <v/>
      </c>
      <c r="I1872" t="inlineStr">
        <is>
          <t>W3</t>
        </is>
      </c>
      <c r="J1872" t="inlineStr">
        <is>
          <t>2026_Luty_W3</t>
        </is>
      </c>
    </row>
    <row r="1873">
      <c r="A1873" s="177" t="n">
        <v>46068</v>
      </c>
      <c r="B1873" s="177" t="n">
        <v>46063</v>
      </c>
      <c r="C1873" s="177" t="n">
        <v>46069</v>
      </c>
      <c r="D1873" t="inlineStr">
        <is>
          <t>BW20260210</t>
        </is>
      </c>
      <c r="E1873" t="n">
        <v>2026</v>
      </c>
      <c r="F1873" t="inlineStr">
        <is>
          <t>Luty</t>
        </is>
      </c>
      <c r="G1873" t="inlineStr">
        <is>
          <t>Nd</t>
        </is>
      </c>
      <c r="H1873">
        <f>'Floor Hours Engine'!$E$6</f>
        <v/>
      </c>
      <c r="I1873" t="inlineStr">
        <is>
          <t>W3</t>
        </is>
      </c>
      <c r="J1873" t="inlineStr">
        <is>
          <t>2026_Luty_W3</t>
        </is>
      </c>
    </row>
    <row r="1874">
      <c r="A1874" s="177" t="n">
        <v>46069</v>
      </c>
      <c r="B1874" s="177" t="n">
        <v>46063</v>
      </c>
      <c r="C1874" s="177" t="n">
        <v>46069</v>
      </c>
      <c r="D1874" t="inlineStr">
        <is>
          <t>BW20260210</t>
        </is>
      </c>
      <c r="E1874" t="n">
        <v>2026</v>
      </c>
      <c r="F1874" t="inlineStr">
        <is>
          <t>Luty</t>
        </is>
      </c>
      <c r="G1874" t="inlineStr">
        <is>
          <t>Pn</t>
        </is>
      </c>
      <c r="H1874">
        <f>'Floor Hours Engine'!$E$4</f>
        <v/>
      </c>
      <c r="I1874" t="inlineStr">
        <is>
          <t>W3</t>
        </is>
      </c>
      <c r="J1874" t="inlineStr">
        <is>
          <t>2026_Luty_W3</t>
        </is>
      </c>
    </row>
    <row r="1875">
      <c r="A1875" s="177" t="n">
        <v>46070</v>
      </c>
      <c r="B1875" s="177" t="n">
        <v>46070</v>
      </c>
      <c r="C1875" s="177" t="n">
        <v>46076</v>
      </c>
      <c r="D1875" t="inlineStr">
        <is>
          <t>BW20260217</t>
        </is>
      </c>
      <c r="E1875" t="n">
        <v>2026</v>
      </c>
      <c r="F1875" t="inlineStr">
        <is>
          <t>Luty</t>
        </is>
      </c>
      <c r="G1875" t="inlineStr">
        <is>
          <t>Wt</t>
        </is>
      </c>
      <c r="H1875">
        <f>'Floor Hours Engine'!$E$4</f>
        <v/>
      </c>
      <c r="I1875" t="inlineStr">
        <is>
          <t>W4</t>
        </is>
      </c>
      <c r="J1875" t="inlineStr">
        <is>
          <t>2026_Luty_W4</t>
        </is>
      </c>
    </row>
    <row r="1876">
      <c r="A1876" s="177" t="n">
        <v>46071</v>
      </c>
      <c r="B1876" s="177" t="n">
        <v>46070</v>
      </c>
      <c r="C1876" s="177" t="n">
        <v>46076</v>
      </c>
      <c r="D1876" t="inlineStr">
        <is>
          <t>BW20260217</t>
        </is>
      </c>
      <c r="E1876" t="n">
        <v>2026</v>
      </c>
      <c r="F1876" t="inlineStr">
        <is>
          <t>Luty</t>
        </is>
      </c>
      <c r="G1876" t="inlineStr">
        <is>
          <t>Śr</t>
        </is>
      </c>
      <c r="H1876">
        <f>'Floor Hours Engine'!$E$4</f>
        <v/>
      </c>
      <c r="I1876" t="inlineStr">
        <is>
          <t>W4</t>
        </is>
      </c>
      <c r="J1876" t="inlineStr">
        <is>
          <t>2026_Luty_W4</t>
        </is>
      </c>
    </row>
    <row r="1877">
      <c r="A1877" s="177" t="n">
        <v>46072</v>
      </c>
      <c r="B1877" s="177" t="n">
        <v>46070</v>
      </c>
      <c r="C1877" s="177" t="n">
        <v>46076</v>
      </c>
      <c r="D1877" t="inlineStr">
        <is>
          <t>BW20260217</t>
        </is>
      </c>
      <c r="E1877" t="n">
        <v>2026</v>
      </c>
      <c r="F1877" t="inlineStr">
        <is>
          <t>Luty</t>
        </is>
      </c>
      <c r="G1877" t="inlineStr">
        <is>
          <t>Czw</t>
        </is>
      </c>
      <c r="H1877">
        <f>'Floor Hours Engine'!$E$4</f>
        <v/>
      </c>
      <c r="I1877" t="inlineStr">
        <is>
          <t>W4</t>
        </is>
      </c>
      <c r="J1877" t="inlineStr">
        <is>
          <t>2026_Luty_W4</t>
        </is>
      </c>
    </row>
    <row r="1878">
      <c r="A1878" s="177" t="n">
        <v>46073</v>
      </c>
      <c r="B1878" s="177" t="n">
        <v>46070</v>
      </c>
      <c r="C1878" s="177" t="n">
        <v>46076</v>
      </c>
      <c r="D1878" t="inlineStr">
        <is>
          <t>BW20260217</t>
        </is>
      </c>
      <c r="E1878" t="n">
        <v>2026</v>
      </c>
      <c r="F1878" t="inlineStr">
        <is>
          <t>Luty</t>
        </is>
      </c>
      <c r="G1878" t="inlineStr">
        <is>
          <t>Pt</t>
        </is>
      </c>
      <c r="H1878">
        <f>'Floor Hours Engine'!$E$5</f>
        <v/>
      </c>
      <c r="I1878" t="inlineStr">
        <is>
          <t>W4</t>
        </is>
      </c>
      <c r="J1878" t="inlineStr">
        <is>
          <t>2026_Luty_W4</t>
        </is>
      </c>
    </row>
    <row r="1879">
      <c r="A1879" s="177" t="n">
        <v>46074</v>
      </c>
      <c r="B1879" s="177" t="n">
        <v>46070</v>
      </c>
      <c r="C1879" s="177" t="n">
        <v>46076</v>
      </c>
      <c r="D1879" t="inlineStr">
        <is>
          <t>BW20260217</t>
        </is>
      </c>
      <c r="E1879" t="n">
        <v>2026</v>
      </c>
      <c r="F1879" t="inlineStr">
        <is>
          <t>Luty</t>
        </is>
      </c>
      <c r="G1879" t="inlineStr">
        <is>
          <t>Sob</t>
        </is>
      </c>
      <c r="H1879">
        <f>'Floor Hours Engine'!$E$5</f>
        <v/>
      </c>
      <c r="I1879" t="inlineStr">
        <is>
          <t>W4</t>
        </is>
      </c>
      <c r="J1879" t="inlineStr">
        <is>
          <t>2026_Luty_W4</t>
        </is>
      </c>
    </row>
    <row r="1880">
      <c r="A1880" s="177" t="n">
        <v>46075</v>
      </c>
      <c r="B1880" s="177" t="n">
        <v>46070</v>
      </c>
      <c r="C1880" s="177" t="n">
        <v>46076</v>
      </c>
      <c r="D1880" t="inlineStr">
        <is>
          <t>BW20260217</t>
        </is>
      </c>
      <c r="E1880" t="n">
        <v>2026</v>
      </c>
      <c r="F1880" t="inlineStr">
        <is>
          <t>Luty</t>
        </is>
      </c>
      <c r="G1880" t="inlineStr">
        <is>
          <t>Nd</t>
        </is>
      </c>
      <c r="H1880">
        <f>'Floor Hours Engine'!$E$6</f>
        <v/>
      </c>
      <c r="I1880" t="inlineStr">
        <is>
          <t>W4</t>
        </is>
      </c>
      <c r="J1880" t="inlineStr">
        <is>
          <t>2026_Luty_W4</t>
        </is>
      </c>
    </row>
    <row r="1881">
      <c r="A1881" s="177" t="n">
        <v>46076</v>
      </c>
      <c r="B1881" s="177" t="n">
        <v>46070</v>
      </c>
      <c r="C1881" s="177" t="n">
        <v>46076</v>
      </c>
      <c r="D1881" t="inlineStr">
        <is>
          <t>BW20260217</t>
        </is>
      </c>
      <c r="E1881" t="n">
        <v>2026</v>
      </c>
      <c r="F1881" t="inlineStr">
        <is>
          <t>Luty</t>
        </is>
      </c>
      <c r="G1881" t="inlineStr">
        <is>
          <t>Pn</t>
        </is>
      </c>
      <c r="H1881">
        <f>'Floor Hours Engine'!$E$4</f>
        <v/>
      </c>
      <c r="I1881" t="inlineStr">
        <is>
          <t>W4</t>
        </is>
      </c>
      <c r="J1881" t="inlineStr">
        <is>
          <t>2026_Luty_W4</t>
        </is>
      </c>
    </row>
    <row r="1882">
      <c r="A1882" s="177" t="n">
        <v>46077</v>
      </c>
      <c r="B1882" s="177" t="n">
        <v>46077</v>
      </c>
      <c r="C1882" s="177" t="n">
        <v>46083</v>
      </c>
      <c r="D1882" t="inlineStr">
        <is>
          <t>BW20260224</t>
        </is>
      </c>
      <c r="E1882" t="n">
        <v>2026</v>
      </c>
      <c r="F1882" t="inlineStr">
        <is>
          <t>Luty</t>
        </is>
      </c>
      <c r="G1882" t="inlineStr">
        <is>
          <t>Wt</t>
        </is>
      </c>
      <c r="H1882">
        <f>'Floor Hours Engine'!$E$4</f>
        <v/>
      </c>
      <c r="I1882" t="inlineStr">
        <is>
          <t>W5</t>
        </is>
      </c>
      <c r="J1882" t="inlineStr">
        <is>
          <t>2026_Luty_W5</t>
        </is>
      </c>
    </row>
    <row r="1883">
      <c r="A1883" s="177" t="n">
        <v>46078</v>
      </c>
      <c r="B1883" s="177" t="n">
        <v>46077</v>
      </c>
      <c r="C1883" s="177" t="n">
        <v>46083</v>
      </c>
      <c r="D1883" t="inlineStr">
        <is>
          <t>BW20260224</t>
        </is>
      </c>
      <c r="E1883" t="n">
        <v>2026</v>
      </c>
      <c r="F1883" t="inlineStr">
        <is>
          <t>Luty</t>
        </is>
      </c>
      <c r="G1883" t="inlineStr">
        <is>
          <t>Śr</t>
        </is>
      </c>
      <c r="H1883">
        <f>'Floor Hours Engine'!$E$4</f>
        <v/>
      </c>
      <c r="I1883" t="inlineStr">
        <is>
          <t>W5</t>
        </is>
      </c>
      <c r="J1883" t="inlineStr">
        <is>
          <t>2026_Luty_W5</t>
        </is>
      </c>
    </row>
    <row r="1884">
      <c r="A1884" s="177" t="n">
        <v>46079</v>
      </c>
      <c r="B1884" s="177" t="n">
        <v>46077</v>
      </c>
      <c r="C1884" s="177" t="n">
        <v>46083</v>
      </c>
      <c r="D1884" t="inlineStr">
        <is>
          <t>BW20260224</t>
        </is>
      </c>
      <c r="E1884" t="n">
        <v>2026</v>
      </c>
      <c r="F1884" t="inlineStr">
        <is>
          <t>Luty</t>
        </is>
      </c>
      <c r="G1884" t="inlineStr">
        <is>
          <t>Czw</t>
        </is>
      </c>
      <c r="H1884">
        <f>'Floor Hours Engine'!$E$4</f>
        <v/>
      </c>
      <c r="I1884" t="inlineStr">
        <is>
          <t>W5</t>
        </is>
      </c>
      <c r="J1884" t="inlineStr">
        <is>
          <t>2026_Luty_W5</t>
        </is>
      </c>
    </row>
    <row r="1885">
      <c r="A1885" s="177" t="n">
        <v>46080</v>
      </c>
      <c r="B1885" s="177" t="n">
        <v>46077</v>
      </c>
      <c r="C1885" s="177" t="n">
        <v>46083</v>
      </c>
      <c r="D1885" t="inlineStr">
        <is>
          <t>BW20260224</t>
        </is>
      </c>
      <c r="E1885" t="n">
        <v>2026</v>
      </c>
      <c r="F1885" t="inlineStr">
        <is>
          <t>Luty</t>
        </is>
      </c>
      <c r="G1885" t="inlineStr">
        <is>
          <t>Pt</t>
        </is>
      </c>
      <c r="H1885">
        <f>'Floor Hours Engine'!$E$5</f>
        <v/>
      </c>
      <c r="I1885" t="inlineStr">
        <is>
          <t>W5</t>
        </is>
      </c>
      <c r="J1885" t="inlineStr">
        <is>
          <t>2026_Luty_W5</t>
        </is>
      </c>
    </row>
    <row r="1886">
      <c r="A1886" s="177" t="n">
        <v>46081</v>
      </c>
      <c r="B1886" s="177" t="n">
        <v>46077</v>
      </c>
      <c r="C1886" s="177" t="n">
        <v>46083</v>
      </c>
      <c r="D1886" t="inlineStr">
        <is>
          <t>BW20260224</t>
        </is>
      </c>
      <c r="E1886" t="n">
        <v>2026</v>
      </c>
      <c r="F1886" t="inlineStr">
        <is>
          <t>Luty</t>
        </is>
      </c>
      <c r="G1886" t="inlineStr">
        <is>
          <t>Sob</t>
        </is>
      </c>
      <c r="H1886">
        <f>'Floor Hours Engine'!$E$5</f>
        <v/>
      </c>
      <c r="I1886" t="inlineStr">
        <is>
          <t>W5</t>
        </is>
      </c>
      <c r="J1886" t="inlineStr">
        <is>
          <t>2026_Luty_W5</t>
        </is>
      </c>
    </row>
    <row r="1887">
      <c r="A1887" s="177" t="n">
        <v>46082</v>
      </c>
      <c r="B1887" s="177" t="n">
        <v>46077</v>
      </c>
      <c r="C1887" s="177" t="n">
        <v>46083</v>
      </c>
      <c r="D1887" t="inlineStr">
        <is>
          <t>BW20260224</t>
        </is>
      </c>
      <c r="E1887" t="n">
        <v>2026</v>
      </c>
      <c r="F1887" t="inlineStr">
        <is>
          <t>Marzec</t>
        </is>
      </c>
      <c r="G1887" t="inlineStr">
        <is>
          <t>Nd</t>
        </is>
      </c>
      <c r="H1887">
        <f>'Floor Hours Engine'!$E$6</f>
        <v/>
      </c>
      <c r="I1887" t="inlineStr">
        <is>
          <t>W1</t>
        </is>
      </c>
      <c r="J1887" t="inlineStr">
        <is>
          <t>2026_Marzec_W1</t>
        </is>
      </c>
    </row>
    <row r="1888">
      <c r="A1888" s="177" t="n">
        <v>46083</v>
      </c>
      <c r="B1888" s="177" t="n">
        <v>46077</v>
      </c>
      <c r="C1888" s="177" t="n">
        <v>46083</v>
      </c>
      <c r="D1888" t="inlineStr">
        <is>
          <t>BW20260224</t>
        </is>
      </c>
      <c r="E1888" t="n">
        <v>2026</v>
      </c>
      <c r="F1888" t="inlineStr">
        <is>
          <t>Marzec</t>
        </is>
      </c>
      <c r="G1888" t="inlineStr">
        <is>
          <t>Pn</t>
        </is>
      </c>
      <c r="H1888">
        <f>'Floor Hours Engine'!$E$4</f>
        <v/>
      </c>
      <c r="I1888" t="inlineStr">
        <is>
          <t>W1</t>
        </is>
      </c>
      <c r="J1888" t="inlineStr">
        <is>
          <t>2026_Marzec_W1</t>
        </is>
      </c>
    </row>
    <row r="1889">
      <c r="A1889" s="177" t="n">
        <v>46084</v>
      </c>
      <c r="B1889" s="177" t="n">
        <v>46084</v>
      </c>
      <c r="C1889" s="177" t="n">
        <v>46090</v>
      </c>
      <c r="D1889" t="inlineStr">
        <is>
          <t>BW20260303</t>
        </is>
      </c>
      <c r="E1889" t="n">
        <v>2026</v>
      </c>
      <c r="F1889" t="inlineStr">
        <is>
          <t>Marzec</t>
        </is>
      </c>
      <c r="G1889" t="inlineStr">
        <is>
          <t>Wt</t>
        </is>
      </c>
      <c r="H1889">
        <f>'Floor Hours Engine'!$E$4</f>
        <v/>
      </c>
      <c r="I1889" t="inlineStr">
        <is>
          <t>W2</t>
        </is>
      </c>
      <c r="J1889" t="inlineStr">
        <is>
          <t>2026_Marzec_W2</t>
        </is>
      </c>
    </row>
    <row r="1890">
      <c r="A1890" s="177" t="n">
        <v>46085</v>
      </c>
      <c r="B1890" s="177" t="n">
        <v>46084</v>
      </c>
      <c r="C1890" s="177" t="n">
        <v>46090</v>
      </c>
      <c r="D1890" t="inlineStr">
        <is>
          <t>BW20260303</t>
        </is>
      </c>
      <c r="E1890" t="n">
        <v>2026</v>
      </c>
      <c r="F1890" t="inlineStr">
        <is>
          <t>Marzec</t>
        </is>
      </c>
      <c r="G1890" t="inlineStr">
        <is>
          <t>Śr</t>
        </is>
      </c>
      <c r="H1890">
        <f>'Floor Hours Engine'!$E$4</f>
        <v/>
      </c>
      <c r="I1890" t="inlineStr">
        <is>
          <t>W2</t>
        </is>
      </c>
      <c r="J1890" t="inlineStr">
        <is>
          <t>2026_Marzec_W2</t>
        </is>
      </c>
    </row>
    <row r="1891">
      <c r="A1891" s="177" t="n">
        <v>46086</v>
      </c>
      <c r="B1891" s="177" t="n">
        <v>46084</v>
      </c>
      <c r="C1891" s="177" t="n">
        <v>46090</v>
      </c>
      <c r="D1891" t="inlineStr">
        <is>
          <t>BW20260303</t>
        </is>
      </c>
      <c r="E1891" t="n">
        <v>2026</v>
      </c>
      <c r="F1891" t="inlineStr">
        <is>
          <t>Marzec</t>
        </is>
      </c>
      <c r="G1891" t="inlineStr">
        <is>
          <t>Czw</t>
        </is>
      </c>
      <c r="H1891">
        <f>'Floor Hours Engine'!$E$4</f>
        <v/>
      </c>
      <c r="I1891" t="inlineStr">
        <is>
          <t>W2</t>
        </is>
      </c>
      <c r="J1891" t="inlineStr">
        <is>
          <t>2026_Marzec_W2</t>
        </is>
      </c>
    </row>
    <row r="1892">
      <c r="A1892" s="177" t="n">
        <v>46087</v>
      </c>
      <c r="B1892" s="177" t="n">
        <v>46084</v>
      </c>
      <c r="C1892" s="177" t="n">
        <v>46090</v>
      </c>
      <c r="D1892" t="inlineStr">
        <is>
          <t>BW20260303</t>
        </is>
      </c>
      <c r="E1892" t="n">
        <v>2026</v>
      </c>
      <c r="F1892" t="inlineStr">
        <is>
          <t>Marzec</t>
        </is>
      </c>
      <c r="G1892" t="inlineStr">
        <is>
          <t>Pt</t>
        </is>
      </c>
      <c r="H1892">
        <f>'Floor Hours Engine'!$E$5</f>
        <v/>
      </c>
      <c r="I1892" t="inlineStr">
        <is>
          <t>W2</t>
        </is>
      </c>
      <c r="J1892" t="inlineStr">
        <is>
          <t>2026_Marzec_W2</t>
        </is>
      </c>
    </row>
    <row r="1893">
      <c r="A1893" s="177" t="n">
        <v>46088</v>
      </c>
      <c r="B1893" s="177" t="n">
        <v>46084</v>
      </c>
      <c r="C1893" s="177" t="n">
        <v>46090</v>
      </c>
      <c r="D1893" t="inlineStr">
        <is>
          <t>BW20260303</t>
        </is>
      </c>
      <c r="E1893" t="n">
        <v>2026</v>
      </c>
      <c r="F1893" t="inlineStr">
        <is>
          <t>Marzec</t>
        </is>
      </c>
      <c r="G1893" t="inlineStr">
        <is>
          <t>Sob</t>
        </is>
      </c>
      <c r="H1893">
        <f>'Floor Hours Engine'!$E$5</f>
        <v/>
      </c>
      <c r="I1893" t="inlineStr">
        <is>
          <t>W2</t>
        </is>
      </c>
      <c r="J1893" t="inlineStr">
        <is>
          <t>2026_Marzec_W2</t>
        </is>
      </c>
    </row>
    <row r="1894">
      <c r="A1894" s="177" t="n">
        <v>46089</v>
      </c>
      <c r="B1894" s="177" t="n">
        <v>46084</v>
      </c>
      <c r="C1894" s="177" t="n">
        <v>46090</v>
      </c>
      <c r="D1894" t="inlineStr">
        <is>
          <t>BW20260303</t>
        </is>
      </c>
      <c r="E1894" t="n">
        <v>2026</v>
      </c>
      <c r="F1894" t="inlineStr">
        <is>
          <t>Marzec</t>
        </is>
      </c>
      <c r="G1894" t="inlineStr">
        <is>
          <t>Nd</t>
        </is>
      </c>
      <c r="H1894">
        <f>'Floor Hours Engine'!$E$6</f>
        <v/>
      </c>
      <c r="I1894" t="inlineStr">
        <is>
          <t>W2</t>
        </is>
      </c>
      <c r="J1894" t="inlineStr">
        <is>
          <t>2026_Marzec_W2</t>
        </is>
      </c>
    </row>
    <row r="1895">
      <c r="A1895" s="177" t="n">
        <v>46090</v>
      </c>
      <c r="B1895" s="177" t="n">
        <v>46084</v>
      </c>
      <c r="C1895" s="177" t="n">
        <v>46090</v>
      </c>
      <c r="D1895" t="inlineStr">
        <is>
          <t>BW20260303</t>
        </is>
      </c>
      <c r="E1895" t="n">
        <v>2026</v>
      </c>
      <c r="F1895" t="inlineStr">
        <is>
          <t>Marzec</t>
        </is>
      </c>
      <c r="G1895" t="inlineStr">
        <is>
          <t>Pn</t>
        </is>
      </c>
      <c r="H1895">
        <f>'Floor Hours Engine'!$E$4</f>
        <v/>
      </c>
      <c r="I1895" t="inlineStr">
        <is>
          <t>W2</t>
        </is>
      </c>
      <c r="J1895" t="inlineStr">
        <is>
          <t>2026_Marzec_W2</t>
        </is>
      </c>
    </row>
    <row r="1896">
      <c r="A1896" s="177" t="n">
        <v>46091</v>
      </c>
      <c r="B1896" s="177" t="n">
        <v>46091</v>
      </c>
      <c r="C1896" s="177" t="n">
        <v>46097</v>
      </c>
      <c r="D1896" t="inlineStr">
        <is>
          <t>BW20260310</t>
        </is>
      </c>
      <c r="E1896" t="n">
        <v>2026</v>
      </c>
      <c r="F1896" t="inlineStr">
        <is>
          <t>Marzec</t>
        </is>
      </c>
      <c r="G1896" t="inlineStr">
        <is>
          <t>Wt</t>
        </is>
      </c>
      <c r="H1896">
        <f>'Floor Hours Engine'!$E$4</f>
        <v/>
      </c>
      <c r="I1896" t="inlineStr">
        <is>
          <t>W3</t>
        </is>
      </c>
      <c r="J1896" t="inlineStr">
        <is>
          <t>2026_Marzec_W3</t>
        </is>
      </c>
    </row>
    <row r="1897">
      <c r="A1897" s="177" t="n">
        <v>46092</v>
      </c>
      <c r="B1897" s="177" t="n">
        <v>46091</v>
      </c>
      <c r="C1897" s="177" t="n">
        <v>46097</v>
      </c>
      <c r="D1897" t="inlineStr">
        <is>
          <t>BW20260310</t>
        </is>
      </c>
      <c r="E1897" t="n">
        <v>2026</v>
      </c>
      <c r="F1897" t="inlineStr">
        <is>
          <t>Marzec</t>
        </is>
      </c>
      <c r="G1897" t="inlineStr">
        <is>
          <t>Śr</t>
        </is>
      </c>
      <c r="H1897">
        <f>'Floor Hours Engine'!$E$4</f>
        <v/>
      </c>
      <c r="I1897" t="inlineStr">
        <is>
          <t>W3</t>
        </is>
      </c>
      <c r="J1897" t="inlineStr">
        <is>
          <t>2026_Marzec_W3</t>
        </is>
      </c>
    </row>
    <row r="1898">
      <c r="A1898" s="177" t="n">
        <v>46093</v>
      </c>
      <c r="B1898" s="177" t="n">
        <v>46091</v>
      </c>
      <c r="C1898" s="177" t="n">
        <v>46097</v>
      </c>
      <c r="D1898" t="inlineStr">
        <is>
          <t>BW20260310</t>
        </is>
      </c>
      <c r="E1898" t="n">
        <v>2026</v>
      </c>
      <c r="F1898" t="inlineStr">
        <is>
          <t>Marzec</t>
        </is>
      </c>
      <c r="G1898" t="inlineStr">
        <is>
          <t>Czw</t>
        </is>
      </c>
      <c r="H1898">
        <f>'Floor Hours Engine'!$E$4</f>
        <v/>
      </c>
      <c r="I1898" t="inlineStr">
        <is>
          <t>W3</t>
        </is>
      </c>
      <c r="J1898" t="inlineStr">
        <is>
          <t>2026_Marzec_W3</t>
        </is>
      </c>
    </row>
    <row r="1899">
      <c r="A1899" s="177" t="n">
        <v>46094</v>
      </c>
      <c r="B1899" s="177" t="n">
        <v>46091</v>
      </c>
      <c r="C1899" s="177" t="n">
        <v>46097</v>
      </c>
      <c r="D1899" t="inlineStr">
        <is>
          <t>BW20260310</t>
        </is>
      </c>
      <c r="E1899" t="n">
        <v>2026</v>
      </c>
      <c r="F1899" t="inlineStr">
        <is>
          <t>Marzec</t>
        </is>
      </c>
      <c r="G1899" t="inlineStr">
        <is>
          <t>Pt</t>
        </is>
      </c>
      <c r="H1899">
        <f>'Floor Hours Engine'!$E$5</f>
        <v/>
      </c>
      <c r="I1899" t="inlineStr">
        <is>
          <t>W3</t>
        </is>
      </c>
      <c r="J1899" t="inlineStr">
        <is>
          <t>2026_Marzec_W3</t>
        </is>
      </c>
    </row>
    <row r="1900">
      <c r="A1900" s="177" t="n">
        <v>46095</v>
      </c>
      <c r="B1900" s="177" t="n">
        <v>46091</v>
      </c>
      <c r="C1900" s="177" t="n">
        <v>46097</v>
      </c>
      <c r="D1900" t="inlineStr">
        <is>
          <t>BW20260310</t>
        </is>
      </c>
      <c r="E1900" t="n">
        <v>2026</v>
      </c>
      <c r="F1900" t="inlineStr">
        <is>
          <t>Marzec</t>
        </is>
      </c>
      <c r="G1900" t="inlineStr">
        <is>
          <t>Sob</t>
        </is>
      </c>
      <c r="H1900">
        <f>'Floor Hours Engine'!$E$5</f>
        <v/>
      </c>
      <c r="I1900" t="inlineStr">
        <is>
          <t>W3</t>
        </is>
      </c>
      <c r="J1900" t="inlineStr">
        <is>
          <t>2026_Marzec_W3</t>
        </is>
      </c>
    </row>
    <row r="1901">
      <c r="A1901" s="177" t="n">
        <v>46096</v>
      </c>
      <c r="B1901" s="177" t="n">
        <v>46091</v>
      </c>
      <c r="C1901" s="177" t="n">
        <v>46097</v>
      </c>
      <c r="D1901" t="inlineStr">
        <is>
          <t>BW20260310</t>
        </is>
      </c>
      <c r="E1901" t="n">
        <v>2026</v>
      </c>
      <c r="F1901" t="inlineStr">
        <is>
          <t>Marzec</t>
        </is>
      </c>
      <c r="G1901" t="inlineStr">
        <is>
          <t>Nd</t>
        </is>
      </c>
      <c r="H1901">
        <f>'Floor Hours Engine'!$E$6</f>
        <v/>
      </c>
      <c r="I1901" t="inlineStr">
        <is>
          <t>W3</t>
        </is>
      </c>
      <c r="J1901" t="inlineStr">
        <is>
          <t>2026_Marzec_W3</t>
        </is>
      </c>
    </row>
    <row r="1902">
      <c r="A1902" s="177" t="n">
        <v>46097</v>
      </c>
      <c r="B1902" s="177" t="n">
        <v>46091</v>
      </c>
      <c r="C1902" s="177" t="n">
        <v>46097</v>
      </c>
      <c r="D1902" t="inlineStr">
        <is>
          <t>BW20260310</t>
        </is>
      </c>
      <c r="E1902" t="n">
        <v>2026</v>
      </c>
      <c r="F1902" t="inlineStr">
        <is>
          <t>Marzec</t>
        </is>
      </c>
      <c r="G1902" t="inlineStr">
        <is>
          <t>Pn</t>
        </is>
      </c>
      <c r="H1902">
        <f>'Floor Hours Engine'!$E$4</f>
        <v/>
      </c>
      <c r="I1902" t="inlineStr">
        <is>
          <t>W3</t>
        </is>
      </c>
      <c r="J1902" t="inlineStr">
        <is>
          <t>2026_Marzec_W3</t>
        </is>
      </c>
    </row>
    <row r="1903">
      <c r="A1903" s="177" t="n">
        <v>46098</v>
      </c>
      <c r="B1903" s="177" t="n">
        <v>46098</v>
      </c>
      <c r="C1903" s="177" t="n">
        <v>46104</v>
      </c>
      <c r="D1903" t="inlineStr">
        <is>
          <t>BW20260317</t>
        </is>
      </c>
      <c r="E1903" t="n">
        <v>2026</v>
      </c>
      <c r="F1903" t="inlineStr">
        <is>
          <t>Marzec</t>
        </is>
      </c>
      <c r="G1903" t="inlineStr">
        <is>
          <t>Wt</t>
        </is>
      </c>
      <c r="H1903">
        <f>'Floor Hours Engine'!$E$4</f>
        <v/>
      </c>
      <c r="I1903" t="inlineStr">
        <is>
          <t>W4</t>
        </is>
      </c>
      <c r="J1903" t="inlineStr">
        <is>
          <t>2026_Marzec_W4</t>
        </is>
      </c>
    </row>
    <row r="1904">
      <c r="A1904" s="177" t="n">
        <v>46099</v>
      </c>
      <c r="B1904" s="177" t="n">
        <v>46098</v>
      </c>
      <c r="C1904" s="177" t="n">
        <v>46104</v>
      </c>
      <c r="D1904" t="inlineStr">
        <is>
          <t>BW20260317</t>
        </is>
      </c>
      <c r="E1904" t="n">
        <v>2026</v>
      </c>
      <c r="F1904" t="inlineStr">
        <is>
          <t>Marzec</t>
        </is>
      </c>
      <c r="G1904" t="inlineStr">
        <is>
          <t>Śr</t>
        </is>
      </c>
      <c r="H1904">
        <f>'Floor Hours Engine'!$E$4</f>
        <v/>
      </c>
      <c r="I1904" t="inlineStr">
        <is>
          <t>W4</t>
        </is>
      </c>
      <c r="J1904" t="inlineStr">
        <is>
          <t>2026_Marzec_W4</t>
        </is>
      </c>
    </row>
    <row r="1905">
      <c r="A1905" s="177" t="n">
        <v>46100</v>
      </c>
      <c r="B1905" s="177" t="n">
        <v>46098</v>
      </c>
      <c r="C1905" s="177" t="n">
        <v>46104</v>
      </c>
      <c r="D1905" t="inlineStr">
        <is>
          <t>BW20260317</t>
        </is>
      </c>
      <c r="E1905" t="n">
        <v>2026</v>
      </c>
      <c r="F1905" t="inlineStr">
        <is>
          <t>Marzec</t>
        </is>
      </c>
      <c r="G1905" t="inlineStr">
        <is>
          <t>Czw</t>
        </is>
      </c>
      <c r="H1905">
        <f>'Floor Hours Engine'!$E$4</f>
        <v/>
      </c>
      <c r="I1905" t="inlineStr">
        <is>
          <t>W4</t>
        </is>
      </c>
      <c r="J1905" t="inlineStr">
        <is>
          <t>2026_Marzec_W4</t>
        </is>
      </c>
    </row>
    <row r="1906">
      <c r="A1906" s="177" t="n">
        <v>46101</v>
      </c>
      <c r="B1906" s="177" t="n">
        <v>46098</v>
      </c>
      <c r="C1906" s="177" t="n">
        <v>46104</v>
      </c>
      <c r="D1906" t="inlineStr">
        <is>
          <t>BW20260317</t>
        </is>
      </c>
      <c r="E1906" t="n">
        <v>2026</v>
      </c>
      <c r="F1906" t="inlineStr">
        <is>
          <t>Marzec</t>
        </is>
      </c>
      <c r="G1906" t="inlineStr">
        <is>
          <t>Pt</t>
        </is>
      </c>
      <c r="H1906">
        <f>'Floor Hours Engine'!$E$5</f>
        <v/>
      </c>
      <c r="I1906" t="inlineStr">
        <is>
          <t>W4</t>
        </is>
      </c>
      <c r="J1906" t="inlineStr">
        <is>
          <t>2026_Marzec_W4</t>
        </is>
      </c>
    </row>
    <row r="1907">
      <c r="A1907" s="177" t="n">
        <v>46102</v>
      </c>
      <c r="B1907" s="177" t="n">
        <v>46098</v>
      </c>
      <c r="C1907" s="177" t="n">
        <v>46104</v>
      </c>
      <c r="D1907" t="inlineStr">
        <is>
          <t>BW20260317</t>
        </is>
      </c>
      <c r="E1907" t="n">
        <v>2026</v>
      </c>
      <c r="F1907" t="inlineStr">
        <is>
          <t>Marzec</t>
        </is>
      </c>
      <c r="G1907" t="inlineStr">
        <is>
          <t>Sob</t>
        </is>
      </c>
      <c r="H1907">
        <f>'Floor Hours Engine'!$E$5</f>
        <v/>
      </c>
      <c r="I1907" t="inlineStr">
        <is>
          <t>W4</t>
        </is>
      </c>
      <c r="J1907" t="inlineStr">
        <is>
          <t>2026_Marzec_W4</t>
        </is>
      </c>
    </row>
    <row r="1908">
      <c r="A1908" s="177" t="n">
        <v>46103</v>
      </c>
      <c r="B1908" s="177" t="n">
        <v>46098</v>
      </c>
      <c r="C1908" s="177" t="n">
        <v>46104</v>
      </c>
      <c r="D1908" t="inlineStr">
        <is>
          <t>BW20260317</t>
        </is>
      </c>
      <c r="E1908" t="n">
        <v>2026</v>
      </c>
      <c r="F1908" t="inlineStr">
        <is>
          <t>Marzec</t>
        </is>
      </c>
      <c r="G1908" t="inlineStr">
        <is>
          <t>Nd</t>
        </is>
      </c>
      <c r="H1908">
        <f>'Floor Hours Engine'!$E$6</f>
        <v/>
      </c>
      <c r="I1908" t="inlineStr">
        <is>
          <t>W4</t>
        </is>
      </c>
      <c r="J1908" t="inlineStr">
        <is>
          <t>2026_Marzec_W4</t>
        </is>
      </c>
    </row>
    <row r="1909">
      <c r="A1909" s="177" t="n">
        <v>46104</v>
      </c>
      <c r="B1909" s="177" t="n">
        <v>46098</v>
      </c>
      <c r="C1909" s="177" t="n">
        <v>46104</v>
      </c>
      <c r="D1909" t="inlineStr">
        <is>
          <t>BW20260317</t>
        </is>
      </c>
      <c r="E1909" t="n">
        <v>2026</v>
      </c>
      <c r="F1909" t="inlineStr">
        <is>
          <t>Marzec</t>
        </is>
      </c>
      <c r="G1909" t="inlineStr">
        <is>
          <t>Pn</t>
        </is>
      </c>
      <c r="H1909">
        <f>'Floor Hours Engine'!$E$4</f>
        <v/>
      </c>
      <c r="I1909" t="inlineStr">
        <is>
          <t>W4</t>
        </is>
      </c>
      <c r="J1909" t="inlineStr">
        <is>
          <t>2026_Marzec_W4</t>
        </is>
      </c>
    </row>
    <row r="1910">
      <c r="A1910" s="177" t="n">
        <v>46105</v>
      </c>
      <c r="B1910" s="177" t="n">
        <v>46105</v>
      </c>
      <c r="C1910" s="177" t="n">
        <v>46111</v>
      </c>
      <c r="D1910" t="inlineStr">
        <is>
          <t>BW20260324</t>
        </is>
      </c>
      <c r="E1910" t="n">
        <v>2026</v>
      </c>
      <c r="F1910" t="inlineStr">
        <is>
          <t>Marzec</t>
        </is>
      </c>
      <c r="G1910" t="inlineStr">
        <is>
          <t>Wt</t>
        </is>
      </c>
      <c r="H1910">
        <f>'Floor Hours Engine'!$E$4</f>
        <v/>
      </c>
      <c r="I1910" t="inlineStr">
        <is>
          <t>W5</t>
        </is>
      </c>
      <c r="J1910" t="inlineStr">
        <is>
          <t>2026_Marzec_W5</t>
        </is>
      </c>
    </row>
    <row r="1911">
      <c r="A1911" s="177" t="n">
        <v>46106</v>
      </c>
      <c r="B1911" s="177" t="n">
        <v>46105</v>
      </c>
      <c r="C1911" s="177" t="n">
        <v>46111</v>
      </c>
      <c r="D1911" t="inlineStr">
        <is>
          <t>BW20260324</t>
        </is>
      </c>
      <c r="E1911" t="n">
        <v>2026</v>
      </c>
      <c r="F1911" t="inlineStr">
        <is>
          <t>Marzec</t>
        </is>
      </c>
      <c r="G1911" t="inlineStr">
        <is>
          <t>Śr</t>
        </is>
      </c>
      <c r="H1911">
        <f>'Floor Hours Engine'!$E$4</f>
        <v/>
      </c>
      <c r="I1911" t="inlineStr">
        <is>
          <t>W5</t>
        </is>
      </c>
      <c r="J1911" t="inlineStr">
        <is>
          <t>2026_Marzec_W5</t>
        </is>
      </c>
    </row>
    <row r="1912">
      <c r="A1912" s="177" t="n">
        <v>46107</v>
      </c>
      <c r="B1912" s="177" t="n">
        <v>46105</v>
      </c>
      <c r="C1912" s="177" t="n">
        <v>46111</v>
      </c>
      <c r="D1912" t="inlineStr">
        <is>
          <t>BW20260324</t>
        </is>
      </c>
      <c r="E1912" t="n">
        <v>2026</v>
      </c>
      <c r="F1912" t="inlineStr">
        <is>
          <t>Marzec</t>
        </is>
      </c>
      <c r="G1912" t="inlineStr">
        <is>
          <t>Czw</t>
        </is>
      </c>
      <c r="H1912">
        <f>'Floor Hours Engine'!$E$4</f>
        <v/>
      </c>
      <c r="I1912" t="inlineStr">
        <is>
          <t>W5</t>
        </is>
      </c>
      <c r="J1912" t="inlineStr">
        <is>
          <t>2026_Marzec_W5</t>
        </is>
      </c>
    </row>
    <row r="1913">
      <c r="A1913" s="177" t="n">
        <v>46108</v>
      </c>
      <c r="B1913" s="177" t="n">
        <v>46105</v>
      </c>
      <c r="C1913" s="177" t="n">
        <v>46111</v>
      </c>
      <c r="D1913" t="inlineStr">
        <is>
          <t>BW20260324</t>
        </is>
      </c>
      <c r="E1913" t="n">
        <v>2026</v>
      </c>
      <c r="F1913" t="inlineStr">
        <is>
          <t>Marzec</t>
        </is>
      </c>
      <c r="G1913" t="inlineStr">
        <is>
          <t>Pt</t>
        </is>
      </c>
      <c r="H1913">
        <f>'Floor Hours Engine'!$E$5</f>
        <v/>
      </c>
      <c r="I1913" t="inlineStr">
        <is>
          <t>W5</t>
        </is>
      </c>
      <c r="J1913" t="inlineStr">
        <is>
          <t>2026_Marzec_W5</t>
        </is>
      </c>
    </row>
    <row r="1914">
      <c r="A1914" s="177" t="n">
        <v>46109</v>
      </c>
      <c r="B1914" s="177" t="n">
        <v>46105</v>
      </c>
      <c r="C1914" s="177" t="n">
        <v>46111</v>
      </c>
      <c r="D1914" t="inlineStr">
        <is>
          <t>BW20260324</t>
        </is>
      </c>
      <c r="E1914" t="n">
        <v>2026</v>
      </c>
      <c r="F1914" t="inlineStr">
        <is>
          <t>Marzec</t>
        </is>
      </c>
      <c r="G1914" t="inlineStr">
        <is>
          <t>Sob</t>
        </is>
      </c>
      <c r="H1914">
        <f>'Floor Hours Engine'!$E$5</f>
        <v/>
      </c>
      <c r="I1914" t="inlineStr">
        <is>
          <t>W5</t>
        </is>
      </c>
      <c r="J1914" t="inlineStr">
        <is>
          <t>2026_Marzec_W5</t>
        </is>
      </c>
    </row>
    <row r="1915">
      <c r="A1915" s="177" t="n">
        <v>46110</v>
      </c>
      <c r="B1915" s="177" t="n">
        <v>46105</v>
      </c>
      <c r="C1915" s="177" t="n">
        <v>46111</v>
      </c>
      <c r="D1915" t="inlineStr">
        <is>
          <t>BW20260324</t>
        </is>
      </c>
      <c r="E1915" t="n">
        <v>2026</v>
      </c>
      <c r="F1915" t="inlineStr">
        <is>
          <t>Marzec</t>
        </is>
      </c>
      <c r="G1915" t="inlineStr">
        <is>
          <t>Nd</t>
        </is>
      </c>
      <c r="H1915">
        <f>'Floor Hours Engine'!$E$6</f>
        <v/>
      </c>
      <c r="I1915" t="inlineStr">
        <is>
          <t>W5</t>
        </is>
      </c>
      <c r="J1915" t="inlineStr">
        <is>
          <t>2026_Marzec_W5</t>
        </is>
      </c>
    </row>
    <row r="1916">
      <c r="A1916" s="177" t="n">
        <v>46111</v>
      </c>
      <c r="B1916" s="177" t="n">
        <v>46105</v>
      </c>
      <c r="C1916" s="177" t="n">
        <v>46111</v>
      </c>
      <c r="D1916" t="inlineStr">
        <is>
          <t>BW20260324</t>
        </is>
      </c>
      <c r="E1916" t="n">
        <v>2026</v>
      </c>
      <c r="F1916" t="inlineStr">
        <is>
          <t>Marzec</t>
        </is>
      </c>
      <c r="G1916" t="inlineStr">
        <is>
          <t>Pn</t>
        </is>
      </c>
      <c r="H1916">
        <f>'Floor Hours Engine'!$E$4</f>
        <v/>
      </c>
      <c r="I1916" t="inlineStr">
        <is>
          <t>W5</t>
        </is>
      </c>
      <c r="J1916" t="inlineStr">
        <is>
          <t>2026_Marzec_W5</t>
        </is>
      </c>
    </row>
    <row r="1917">
      <c r="A1917" s="177" t="n">
        <v>46112</v>
      </c>
      <c r="B1917" s="177" t="n">
        <v>46112</v>
      </c>
      <c r="C1917" s="177" t="n">
        <v>46118</v>
      </c>
      <c r="D1917" t="inlineStr">
        <is>
          <t>BW20260331</t>
        </is>
      </c>
      <c r="E1917" t="n">
        <v>2026</v>
      </c>
      <c r="F1917" t="inlineStr">
        <is>
          <t>Marzec</t>
        </is>
      </c>
      <c r="G1917" t="inlineStr">
        <is>
          <t>Wt</t>
        </is>
      </c>
      <c r="H1917">
        <f>'Floor Hours Engine'!$E$4</f>
        <v/>
      </c>
      <c r="I1917" t="inlineStr">
        <is>
          <t>W6</t>
        </is>
      </c>
      <c r="J1917" t="inlineStr">
        <is>
          <t>2026_Marzec_W6</t>
        </is>
      </c>
    </row>
    <row r="1918">
      <c r="A1918" s="177" t="n">
        <v>46113</v>
      </c>
      <c r="B1918" s="177" t="n">
        <v>46112</v>
      </c>
      <c r="C1918" s="177" t="n">
        <v>46118</v>
      </c>
      <c r="D1918" t="inlineStr">
        <is>
          <t>BW20260331</t>
        </is>
      </c>
      <c r="E1918" t="n">
        <v>2026</v>
      </c>
      <c r="F1918" t="inlineStr">
        <is>
          <t>Kwiecień</t>
        </is>
      </c>
      <c r="G1918" t="inlineStr">
        <is>
          <t>Śr</t>
        </is>
      </c>
      <c r="H1918">
        <f>'Floor Hours Engine'!$E$4</f>
        <v/>
      </c>
      <c r="I1918" t="inlineStr">
        <is>
          <t>W1</t>
        </is>
      </c>
      <c r="J1918" t="inlineStr">
        <is>
          <t>2026_Kwiecień_W1</t>
        </is>
      </c>
    </row>
    <row r="1919">
      <c r="A1919" s="177" t="n">
        <v>46114</v>
      </c>
      <c r="B1919" s="177" t="n">
        <v>46112</v>
      </c>
      <c r="C1919" s="177" t="n">
        <v>46118</v>
      </c>
      <c r="D1919" t="inlineStr">
        <is>
          <t>BW20260331</t>
        </is>
      </c>
      <c r="E1919" t="n">
        <v>2026</v>
      </c>
      <c r="F1919" t="inlineStr">
        <is>
          <t>Kwiecień</t>
        </is>
      </c>
      <c r="G1919" t="inlineStr">
        <is>
          <t>Czw</t>
        </is>
      </c>
      <c r="H1919">
        <f>'Floor Hours Engine'!$E$4</f>
        <v/>
      </c>
      <c r="I1919" t="inlineStr">
        <is>
          <t>W1</t>
        </is>
      </c>
      <c r="J1919" t="inlineStr">
        <is>
          <t>2026_Kwiecień_W1</t>
        </is>
      </c>
    </row>
    <row r="1920">
      <c r="A1920" s="177" t="n">
        <v>46115</v>
      </c>
      <c r="B1920" s="177" t="n">
        <v>46112</v>
      </c>
      <c r="C1920" s="177" t="n">
        <v>46118</v>
      </c>
      <c r="D1920" t="inlineStr">
        <is>
          <t>BW20260331</t>
        </is>
      </c>
      <c r="E1920" t="n">
        <v>2026</v>
      </c>
      <c r="F1920" t="inlineStr">
        <is>
          <t>Kwiecień</t>
        </is>
      </c>
      <c r="G1920" t="inlineStr">
        <is>
          <t>Pt</t>
        </is>
      </c>
      <c r="H1920">
        <f>'Floor Hours Engine'!$E$5</f>
        <v/>
      </c>
      <c r="I1920" t="inlineStr">
        <is>
          <t>W1</t>
        </is>
      </c>
      <c r="J1920" t="inlineStr">
        <is>
          <t>2026_Kwiecień_W1</t>
        </is>
      </c>
    </row>
    <row r="1921">
      <c r="A1921" s="177" t="n">
        <v>46116</v>
      </c>
      <c r="B1921" s="177" t="n">
        <v>46112</v>
      </c>
      <c r="C1921" s="177" t="n">
        <v>46118</v>
      </c>
      <c r="D1921" t="inlineStr">
        <is>
          <t>BW20260331</t>
        </is>
      </c>
      <c r="E1921" t="n">
        <v>2026</v>
      </c>
      <c r="F1921" t="inlineStr">
        <is>
          <t>Kwiecień</t>
        </is>
      </c>
      <c r="G1921" t="inlineStr">
        <is>
          <t>Sob</t>
        </is>
      </c>
      <c r="H1921">
        <f>'Floor Hours Engine'!$E$5</f>
        <v/>
      </c>
      <c r="I1921" t="inlineStr">
        <is>
          <t>W1</t>
        </is>
      </c>
      <c r="J1921" t="inlineStr">
        <is>
          <t>2026_Kwiecień_W1</t>
        </is>
      </c>
    </row>
    <row r="1922">
      <c r="A1922" s="177" t="n">
        <v>46117</v>
      </c>
      <c r="B1922" s="177" t="n">
        <v>46112</v>
      </c>
      <c r="C1922" s="177" t="n">
        <v>46118</v>
      </c>
      <c r="D1922" t="inlineStr">
        <is>
          <t>BW20260331</t>
        </is>
      </c>
      <c r="E1922" t="n">
        <v>2026</v>
      </c>
      <c r="F1922" t="inlineStr">
        <is>
          <t>Kwiecień</t>
        </is>
      </c>
      <c r="G1922" t="inlineStr">
        <is>
          <t>Nd</t>
        </is>
      </c>
      <c r="H1922">
        <f>'Floor Hours Engine'!$E$6</f>
        <v/>
      </c>
      <c r="I1922" t="inlineStr">
        <is>
          <t>W1</t>
        </is>
      </c>
      <c r="J1922" t="inlineStr">
        <is>
          <t>2026_Kwiecień_W1</t>
        </is>
      </c>
    </row>
    <row r="1923">
      <c r="A1923" s="177" t="n">
        <v>46118</v>
      </c>
      <c r="B1923" s="177" t="n">
        <v>46112</v>
      </c>
      <c r="C1923" s="177" t="n">
        <v>46118</v>
      </c>
      <c r="D1923" t="inlineStr">
        <is>
          <t>BW20260331</t>
        </is>
      </c>
      <c r="E1923" t="n">
        <v>2026</v>
      </c>
      <c r="F1923" t="inlineStr">
        <is>
          <t>Kwiecień</t>
        </is>
      </c>
      <c r="G1923" t="inlineStr">
        <is>
          <t>Pn</t>
        </is>
      </c>
      <c r="H1923">
        <f>'Floor Hours Engine'!$E$4</f>
        <v/>
      </c>
      <c r="I1923" t="inlineStr">
        <is>
          <t>W1</t>
        </is>
      </c>
      <c r="J1923" t="inlineStr">
        <is>
          <t>2026_Kwiecień_W1</t>
        </is>
      </c>
    </row>
    <row r="1924">
      <c r="A1924" s="177" t="n">
        <v>46119</v>
      </c>
      <c r="B1924" s="177" t="n">
        <v>46119</v>
      </c>
      <c r="C1924" s="177" t="n">
        <v>46125</v>
      </c>
      <c r="D1924" t="inlineStr">
        <is>
          <t>BW20260407</t>
        </is>
      </c>
      <c r="E1924" t="n">
        <v>2026</v>
      </c>
      <c r="F1924" t="inlineStr">
        <is>
          <t>Kwiecień</t>
        </is>
      </c>
      <c r="G1924" t="inlineStr">
        <is>
          <t>Wt</t>
        </is>
      </c>
      <c r="H1924">
        <f>'Floor Hours Engine'!$E$4</f>
        <v/>
      </c>
      <c r="I1924" t="inlineStr">
        <is>
          <t>W2</t>
        </is>
      </c>
      <c r="J1924" t="inlineStr">
        <is>
          <t>2026_Kwiecień_W2</t>
        </is>
      </c>
    </row>
    <row r="1925">
      <c r="A1925" s="177" t="n">
        <v>46120</v>
      </c>
      <c r="B1925" s="177" t="n">
        <v>46119</v>
      </c>
      <c r="C1925" s="177" t="n">
        <v>46125</v>
      </c>
      <c r="D1925" t="inlineStr">
        <is>
          <t>BW20260407</t>
        </is>
      </c>
      <c r="E1925" t="n">
        <v>2026</v>
      </c>
      <c r="F1925" t="inlineStr">
        <is>
          <t>Kwiecień</t>
        </is>
      </c>
      <c r="G1925" t="inlineStr">
        <is>
          <t>Śr</t>
        </is>
      </c>
      <c r="H1925">
        <f>'Floor Hours Engine'!$E$4</f>
        <v/>
      </c>
      <c r="I1925" t="inlineStr">
        <is>
          <t>W2</t>
        </is>
      </c>
      <c r="J1925" t="inlineStr">
        <is>
          <t>2026_Kwiecień_W2</t>
        </is>
      </c>
    </row>
    <row r="1926">
      <c r="A1926" s="177" t="n">
        <v>46121</v>
      </c>
      <c r="B1926" s="177" t="n">
        <v>46119</v>
      </c>
      <c r="C1926" s="177" t="n">
        <v>46125</v>
      </c>
      <c r="D1926" t="inlineStr">
        <is>
          <t>BW20260407</t>
        </is>
      </c>
      <c r="E1926" t="n">
        <v>2026</v>
      </c>
      <c r="F1926" t="inlineStr">
        <is>
          <t>Kwiecień</t>
        </is>
      </c>
      <c r="G1926" t="inlineStr">
        <is>
          <t>Czw</t>
        </is>
      </c>
      <c r="H1926">
        <f>'Floor Hours Engine'!$E$4</f>
        <v/>
      </c>
      <c r="I1926" t="inlineStr">
        <is>
          <t>W2</t>
        </is>
      </c>
      <c r="J1926" t="inlineStr">
        <is>
          <t>2026_Kwiecień_W2</t>
        </is>
      </c>
    </row>
    <row r="1927">
      <c r="A1927" s="177" t="n">
        <v>46122</v>
      </c>
      <c r="B1927" s="177" t="n">
        <v>46119</v>
      </c>
      <c r="C1927" s="177" t="n">
        <v>46125</v>
      </c>
      <c r="D1927" t="inlineStr">
        <is>
          <t>BW20260407</t>
        </is>
      </c>
      <c r="E1927" t="n">
        <v>2026</v>
      </c>
      <c r="F1927" t="inlineStr">
        <is>
          <t>Kwiecień</t>
        </is>
      </c>
      <c r="G1927" t="inlineStr">
        <is>
          <t>Pt</t>
        </is>
      </c>
      <c r="H1927">
        <f>'Floor Hours Engine'!$E$5</f>
        <v/>
      </c>
      <c r="I1927" t="inlineStr">
        <is>
          <t>W2</t>
        </is>
      </c>
      <c r="J1927" t="inlineStr">
        <is>
          <t>2026_Kwiecień_W2</t>
        </is>
      </c>
    </row>
    <row r="1928">
      <c r="A1928" s="177" t="n">
        <v>46123</v>
      </c>
      <c r="B1928" s="177" t="n">
        <v>46119</v>
      </c>
      <c r="C1928" s="177" t="n">
        <v>46125</v>
      </c>
      <c r="D1928" t="inlineStr">
        <is>
          <t>BW20260407</t>
        </is>
      </c>
      <c r="E1928" t="n">
        <v>2026</v>
      </c>
      <c r="F1928" t="inlineStr">
        <is>
          <t>Kwiecień</t>
        </is>
      </c>
      <c r="G1928" t="inlineStr">
        <is>
          <t>Sob</t>
        </is>
      </c>
      <c r="H1928">
        <f>'Floor Hours Engine'!$E$5</f>
        <v/>
      </c>
      <c r="I1928" t="inlineStr">
        <is>
          <t>W2</t>
        </is>
      </c>
      <c r="J1928" t="inlineStr">
        <is>
          <t>2026_Kwiecień_W2</t>
        </is>
      </c>
    </row>
    <row r="1929">
      <c r="A1929" s="177" t="n">
        <v>46124</v>
      </c>
      <c r="B1929" s="177" t="n">
        <v>46119</v>
      </c>
      <c r="C1929" s="177" t="n">
        <v>46125</v>
      </c>
      <c r="D1929" t="inlineStr">
        <is>
          <t>BW20260407</t>
        </is>
      </c>
      <c r="E1929" t="n">
        <v>2026</v>
      </c>
      <c r="F1929" t="inlineStr">
        <is>
          <t>Kwiecień</t>
        </is>
      </c>
      <c r="G1929" t="inlineStr">
        <is>
          <t>Nd</t>
        </is>
      </c>
      <c r="H1929">
        <f>'Floor Hours Engine'!$E$6</f>
        <v/>
      </c>
      <c r="I1929" t="inlineStr">
        <is>
          <t>W2</t>
        </is>
      </c>
      <c r="J1929" t="inlineStr">
        <is>
          <t>2026_Kwiecień_W2</t>
        </is>
      </c>
    </row>
    <row r="1930">
      <c r="A1930" s="177" t="n">
        <v>46125</v>
      </c>
      <c r="B1930" s="177" t="n">
        <v>46119</v>
      </c>
      <c r="C1930" s="177" t="n">
        <v>46125</v>
      </c>
      <c r="D1930" t="inlineStr">
        <is>
          <t>BW20260407</t>
        </is>
      </c>
      <c r="E1930" t="n">
        <v>2026</v>
      </c>
      <c r="F1930" t="inlineStr">
        <is>
          <t>Kwiecień</t>
        </is>
      </c>
      <c r="G1930" t="inlineStr">
        <is>
          <t>Pn</t>
        </is>
      </c>
      <c r="H1930">
        <f>'Floor Hours Engine'!$E$4</f>
        <v/>
      </c>
      <c r="I1930" t="inlineStr">
        <is>
          <t>W2</t>
        </is>
      </c>
      <c r="J1930" t="inlineStr">
        <is>
          <t>2026_Kwiecień_W2</t>
        </is>
      </c>
    </row>
    <row r="1931">
      <c r="A1931" s="177" t="n">
        <v>46126</v>
      </c>
      <c r="B1931" s="177" t="n">
        <v>46126</v>
      </c>
      <c r="C1931" s="177" t="n">
        <v>46132</v>
      </c>
      <c r="D1931" t="inlineStr">
        <is>
          <t>BW20260414</t>
        </is>
      </c>
      <c r="E1931" t="n">
        <v>2026</v>
      </c>
      <c r="F1931" t="inlineStr">
        <is>
          <t>Kwiecień</t>
        </is>
      </c>
      <c r="G1931" t="inlineStr">
        <is>
          <t>Wt</t>
        </is>
      </c>
      <c r="H1931">
        <f>'Floor Hours Engine'!$E$4</f>
        <v/>
      </c>
      <c r="I1931" t="inlineStr">
        <is>
          <t>W3</t>
        </is>
      </c>
      <c r="J1931" t="inlineStr">
        <is>
          <t>2026_Kwiecień_W3</t>
        </is>
      </c>
    </row>
    <row r="1932">
      <c r="A1932" s="177" t="n">
        <v>46127</v>
      </c>
      <c r="B1932" s="177" t="n">
        <v>46126</v>
      </c>
      <c r="C1932" s="177" t="n">
        <v>46132</v>
      </c>
      <c r="D1932" t="inlineStr">
        <is>
          <t>BW20260414</t>
        </is>
      </c>
      <c r="E1932" t="n">
        <v>2026</v>
      </c>
      <c r="F1932" t="inlineStr">
        <is>
          <t>Kwiecień</t>
        </is>
      </c>
      <c r="G1932" t="inlineStr">
        <is>
          <t>Śr</t>
        </is>
      </c>
      <c r="H1932">
        <f>'Floor Hours Engine'!$E$4</f>
        <v/>
      </c>
      <c r="I1932" t="inlineStr">
        <is>
          <t>W3</t>
        </is>
      </c>
      <c r="J1932" t="inlineStr">
        <is>
          <t>2026_Kwiecień_W3</t>
        </is>
      </c>
    </row>
    <row r="1933">
      <c r="A1933" s="177" t="n">
        <v>46128</v>
      </c>
      <c r="B1933" s="177" t="n">
        <v>46126</v>
      </c>
      <c r="C1933" s="177" t="n">
        <v>46132</v>
      </c>
      <c r="D1933" t="inlineStr">
        <is>
          <t>BW20260414</t>
        </is>
      </c>
      <c r="E1933" t="n">
        <v>2026</v>
      </c>
      <c r="F1933" t="inlineStr">
        <is>
          <t>Kwiecień</t>
        </is>
      </c>
      <c r="G1933" t="inlineStr">
        <is>
          <t>Czw</t>
        </is>
      </c>
      <c r="H1933">
        <f>'Floor Hours Engine'!$E$4</f>
        <v/>
      </c>
      <c r="I1933" t="inlineStr">
        <is>
          <t>W3</t>
        </is>
      </c>
      <c r="J1933" t="inlineStr">
        <is>
          <t>2026_Kwiecień_W3</t>
        </is>
      </c>
    </row>
    <row r="1934">
      <c r="A1934" s="177" t="n">
        <v>46129</v>
      </c>
      <c r="B1934" s="177" t="n">
        <v>46126</v>
      </c>
      <c r="C1934" s="177" t="n">
        <v>46132</v>
      </c>
      <c r="D1934" t="inlineStr">
        <is>
          <t>BW20260414</t>
        </is>
      </c>
      <c r="E1934" t="n">
        <v>2026</v>
      </c>
      <c r="F1934" t="inlineStr">
        <is>
          <t>Kwiecień</t>
        </is>
      </c>
      <c r="G1934" t="inlineStr">
        <is>
          <t>Pt</t>
        </is>
      </c>
      <c r="H1934">
        <f>'Floor Hours Engine'!$E$5</f>
        <v/>
      </c>
      <c r="I1934" t="inlineStr">
        <is>
          <t>W3</t>
        </is>
      </c>
      <c r="J1934" t="inlineStr">
        <is>
          <t>2026_Kwiecień_W3</t>
        </is>
      </c>
    </row>
    <row r="1935">
      <c r="A1935" s="177" t="n">
        <v>46130</v>
      </c>
      <c r="B1935" s="177" t="n">
        <v>46126</v>
      </c>
      <c r="C1935" s="177" t="n">
        <v>46132</v>
      </c>
      <c r="D1935" t="inlineStr">
        <is>
          <t>BW20260414</t>
        </is>
      </c>
      <c r="E1935" t="n">
        <v>2026</v>
      </c>
      <c r="F1935" t="inlineStr">
        <is>
          <t>Kwiecień</t>
        </is>
      </c>
      <c r="G1935" t="inlineStr">
        <is>
          <t>Sob</t>
        </is>
      </c>
      <c r="H1935">
        <f>'Floor Hours Engine'!$E$5</f>
        <v/>
      </c>
      <c r="I1935" t="inlineStr">
        <is>
          <t>W3</t>
        </is>
      </c>
      <c r="J1935" t="inlineStr">
        <is>
          <t>2026_Kwiecień_W3</t>
        </is>
      </c>
    </row>
    <row r="1936">
      <c r="A1936" s="177" t="n">
        <v>46131</v>
      </c>
      <c r="B1936" s="177" t="n">
        <v>46126</v>
      </c>
      <c r="C1936" s="177" t="n">
        <v>46132</v>
      </c>
      <c r="D1936" t="inlineStr">
        <is>
          <t>BW20260414</t>
        </is>
      </c>
      <c r="E1936" t="n">
        <v>2026</v>
      </c>
      <c r="F1936" t="inlineStr">
        <is>
          <t>Kwiecień</t>
        </is>
      </c>
      <c r="G1936" t="inlineStr">
        <is>
          <t>Nd</t>
        </is>
      </c>
      <c r="H1936">
        <f>'Floor Hours Engine'!$E$6</f>
        <v/>
      </c>
      <c r="I1936" t="inlineStr">
        <is>
          <t>W3</t>
        </is>
      </c>
      <c r="J1936" t="inlineStr">
        <is>
          <t>2026_Kwiecień_W3</t>
        </is>
      </c>
    </row>
    <row r="1937">
      <c r="A1937" s="177" t="n">
        <v>46132</v>
      </c>
      <c r="B1937" s="177" t="n">
        <v>46126</v>
      </c>
      <c r="C1937" s="177" t="n">
        <v>46132</v>
      </c>
      <c r="D1937" t="inlineStr">
        <is>
          <t>BW20260414</t>
        </is>
      </c>
      <c r="E1937" t="n">
        <v>2026</v>
      </c>
      <c r="F1937" t="inlineStr">
        <is>
          <t>Kwiecień</t>
        </is>
      </c>
      <c r="G1937" t="inlineStr">
        <is>
          <t>Pn</t>
        </is>
      </c>
      <c r="H1937">
        <f>'Floor Hours Engine'!$E$4</f>
        <v/>
      </c>
      <c r="I1937" t="inlineStr">
        <is>
          <t>W3</t>
        </is>
      </c>
      <c r="J1937" t="inlineStr">
        <is>
          <t>2026_Kwiecień_W3</t>
        </is>
      </c>
    </row>
    <row r="1938">
      <c r="A1938" s="177" t="n">
        <v>46133</v>
      </c>
      <c r="B1938" s="177" t="n">
        <v>46133</v>
      </c>
      <c r="C1938" s="177" t="n">
        <v>46139</v>
      </c>
      <c r="D1938" t="inlineStr">
        <is>
          <t>BW20260421</t>
        </is>
      </c>
      <c r="E1938" t="n">
        <v>2026</v>
      </c>
      <c r="F1938" t="inlineStr">
        <is>
          <t>Kwiecień</t>
        </is>
      </c>
      <c r="G1938" t="inlineStr">
        <is>
          <t>Wt</t>
        </is>
      </c>
      <c r="H1938">
        <f>'Floor Hours Engine'!$E$4</f>
        <v/>
      </c>
      <c r="I1938" t="inlineStr">
        <is>
          <t>W4</t>
        </is>
      </c>
      <c r="J1938" t="inlineStr">
        <is>
          <t>2026_Kwiecień_W4</t>
        </is>
      </c>
    </row>
    <row r="1939">
      <c r="A1939" s="177" t="n">
        <v>46134</v>
      </c>
      <c r="B1939" s="177" t="n">
        <v>46133</v>
      </c>
      <c r="C1939" s="177" t="n">
        <v>46139</v>
      </c>
      <c r="D1939" t="inlineStr">
        <is>
          <t>BW20260421</t>
        </is>
      </c>
      <c r="E1939" t="n">
        <v>2026</v>
      </c>
      <c r="F1939" t="inlineStr">
        <is>
          <t>Kwiecień</t>
        </is>
      </c>
      <c r="G1939" t="inlineStr">
        <is>
          <t>Śr</t>
        </is>
      </c>
      <c r="H1939">
        <f>'Floor Hours Engine'!$E$4</f>
        <v/>
      </c>
      <c r="I1939" t="inlineStr">
        <is>
          <t>W4</t>
        </is>
      </c>
      <c r="J1939" t="inlineStr">
        <is>
          <t>2026_Kwiecień_W4</t>
        </is>
      </c>
    </row>
    <row r="1940">
      <c r="A1940" s="177" t="n">
        <v>46135</v>
      </c>
      <c r="B1940" s="177" t="n">
        <v>46133</v>
      </c>
      <c r="C1940" s="177" t="n">
        <v>46139</v>
      </c>
      <c r="D1940" t="inlineStr">
        <is>
          <t>BW20260421</t>
        </is>
      </c>
      <c r="E1940" t="n">
        <v>2026</v>
      </c>
      <c r="F1940" t="inlineStr">
        <is>
          <t>Kwiecień</t>
        </is>
      </c>
      <c r="G1940" t="inlineStr">
        <is>
          <t>Czw</t>
        </is>
      </c>
      <c r="H1940">
        <f>'Floor Hours Engine'!$E$4</f>
        <v/>
      </c>
      <c r="I1940" t="inlineStr">
        <is>
          <t>W4</t>
        </is>
      </c>
      <c r="J1940" t="inlineStr">
        <is>
          <t>2026_Kwiecień_W4</t>
        </is>
      </c>
    </row>
    <row r="1941">
      <c r="A1941" s="177" t="n">
        <v>46136</v>
      </c>
      <c r="B1941" s="177" t="n">
        <v>46133</v>
      </c>
      <c r="C1941" s="177" t="n">
        <v>46139</v>
      </c>
      <c r="D1941" t="inlineStr">
        <is>
          <t>BW20260421</t>
        </is>
      </c>
      <c r="E1941" t="n">
        <v>2026</v>
      </c>
      <c r="F1941" t="inlineStr">
        <is>
          <t>Kwiecień</t>
        </is>
      </c>
      <c r="G1941" t="inlineStr">
        <is>
          <t>Pt</t>
        </is>
      </c>
      <c r="H1941">
        <f>'Floor Hours Engine'!$E$5</f>
        <v/>
      </c>
      <c r="I1941" t="inlineStr">
        <is>
          <t>W4</t>
        </is>
      </c>
      <c r="J1941" t="inlineStr">
        <is>
          <t>2026_Kwiecień_W4</t>
        </is>
      </c>
    </row>
    <row r="1942">
      <c r="A1942" s="177" t="n">
        <v>46137</v>
      </c>
      <c r="B1942" s="177" t="n">
        <v>46133</v>
      </c>
      <c r="C1942" s="177" t="n">
        <v>46139</v>
      </c>
      <c r="D1942" t="inlineStr">
        <is>
          <t>BW20260421</t>
        </is>
      </c>
      <c r="E1942" t="n">
        <v>2026</v>
      </c>
      <c r="F1942" t="inlineStr">
        <is>
          <t>Kwiecień</t>
        </is>
      </c>
      <c r="G1942" t="inlineStr">
        <is>
          <t>Sob</t>
        </is>
      </c>
      <c r="H1942">
        <f>'Floor Hours Engine'!$E$5</f>
        <v/>
      </c>
      <c r="I1942" t="inlineStr">
        <is>
          <t>W4</t>
        </is>
      </c>
      <c r="J1942" t="inlineStr">
        <is>
          <t>2026_Kwiecień_W4</t>
        </is>
      </c>
    </row>
    <row r="1943">
      <c r="A1943" s="177" t="n">
        <v>46138</v>
      </c>
      <c r="B1943" s="177" t="n">
        <v>46133</v>
      </c>
      <c r="C1943" s="177" t="n">
        <v>46139</v>
      </c>
      <c r="D1943" t="inlineStr">
        <is>
          <t>BW20260421</t>
        </is>
      </c>
      <c r="E1943" t="n">
        <v>2026</v>
      </c>
      <c r="F1943" t="inlineStr">
        <is>
          <t>Kwiecień</t>
        </is>
      </c>
      <c r="G1943" t="inlineStr">
        <is>
          <t>Nd</t>
        </is>
      </c>
      <c r="H1943">
        <f>'Floor Hours Engine'!$E$6</f>
        <v/>
      </c>
      <c r="I1943" t="inlineStr">
        <is>
          <t>W4</t>
        </is>
      </c>
      <c r="J1943" t="inlineStr">
        <is>
          <t>2026_Kwiecień_W4</t>
        </is>
      </c>
    </row>
    <row r="1944">
      <c r="A1944" s="177" t="n">
        <v>46139</v>
      </c>
      <c r="B1944" s="177" t="n">
        <v>46133</v>
      </c>
      <c r="C1944" s="177" t="n">
        <v>46139</v>
      </c>
      <c r="D1944" t="inlineStr">
        <is>
          <t>BW20260421</t>
        </is>
      </c>
      <c r="E1944" t="n">
        <v>2026</v>
      </c>
      <c r="F1944" t="inlineStr">
        <is>
          <t>Kwiecień</t>
        </is>
      </c>
      <c r="G1944" t="inlineStr">
        <is>
          <t>Pn</t>
        </is>
      </c>
      <c r="H1944">
        <f>'Floor Hours Engine'!$E$4</f>
        <v/>
      </c>
      <c r="I1944" t="inlineStr">
        <is>
          <t>W4</t>
        </is>
      </c>
      <c r="J1944" t="inlineStr">
        <is>
          <t>2026_Kwiecień_W4</t>
        </is>
      </c>
    </row>
    <row r="1945">
      <c r="A1945" s="177" t="n">
        <v>46140</v>
      </c>
      <c r="B1945" s="177" t="n">
        <v>46140</v>
      </c>
      <c r="C1945" s="177" t="n">
        <v>46146</v>
      </c>
      <c r="D1945" t="inlineStr">
        <is>
          <t>BW20260428</t>
        </is>
      </c>
      <c r="E1945" t="n">
        <v>2026</v>
      </c>
      <c r="F1945" t="inlineStr">
        <is>
          <t>Kwiecień</t>
        </is>
      </c>
      <c r="G1945" t="inlineStr">
        <is>
          <t>Wt</t>
        </is>
      </c>
      <c r="H1945">
        <f>'Floor Hours Engine'!$E$4</f>
        <v/>
      </c>
      <c r="I1945" t="inlineStr">
        <is>
          <t>W5</t>
        </is>
      </c>
      <c r="J1945" t="inlineStr">
        <is>
          <t>2026_Kwiecień_W5</t>
        </is>
      </c>
    </row>
    <row r="1946">
      <c r="A1946" s="177" t="n">
        <v>46141</v>
      </c>
      <c r="B1946" s="177" t="n">
        <v>46140</v>
      </c>
      <c r="C1946" s="177" t="n">
        <v>46146</v>
      </c>
      <c r="D1946" t="inlineStr">
        <is>
          <t>BW20260428</t>
        </is>
      </c>
      <c r="E1946" t="n">
        <v>2026</v>
      </c>
      <c r="F1946" t="inlineStr">
        <is>
          <t>Kwiecień</t>
        </is>
      </c>
      <c r="G1946" t="inlineStr">
        <is>
          <t>Śr</t>
        </is>
      </c>
      <c r="H1946">
        <f>'Floor Hours Engine'!$E$4</f>
        <v/>
      </c>
      <c r="I1946" t="inlineStr">
        <is>
          <t>W5</t>
        </is>
      </c>
      <c r="J1946" t="inlineStr">
        <is>
          <t>2026_Kwiecień_W5</t>
        </is>
      </c>
    </row>
    <row r="1947">
      <c r="A1947" s="177" t="n">
        <v>46142</v>
      </c>
      <c r="B1947" s="177" t="n">
        <v>46140</v>
      </c>
      <c r="C1947" s="177" t="n">
        <v>46146</v>
      </c>
      <c r="D1947" t="inlineStr">
        <is>
          <t>BW20260428</t>
        </is>
      </c>
      <c r="E1947" t="n">
        <v>2026</v>
      </c>
      <c r="F1947" t="inlineStr">
        <is>
          <t>Kwiecień</t>
        </is>
      </c>
      <c r="G1947" t="inlineStr">
        <is>
          <t>Czw</t>
        </is>
      </c>
      <c r="H1947">
        <f>'Floor Hours Engine'!$E$4</f>
        <v/>
      </c>
      <c r="I1947" t="inlineStr">
        <is>
          <t>W5</t>
        </is>
      </c>
      <c r="J1947" t="inlineStr">
        <is>
          <t>2026_Kwiecień_W5</t>
        </is>
      </c>
    </row>
    <row r="1948">
      <c r="A1948" s="177" t="n">
        <v>46143</v>
      </c>
      <c r="B1948" s="177" t="n">
        <v>46140</v>
      </c>
      <c r="C1948" s="177" t="n">
        <v>46146</v>
      </c>
      <c r="D1948" t="inlineStr">
        <is>
          <t>BW20260428</t>
        </is>
      </c>
      <c r="E1948" t="n">
        <v>2026</v>
      </c>
      <c r="F1948" t="inlineStr">
        <is>
          <t>Maj</t>
        </is>
      </c>
      <c r="G1948" t="inlineStr">
        <is>
          <t>Pt</t>
        </is>
      </c>
      <c r="H1948">
        <f>'Floor Hours Engine'!$E$5</f>
        <v/>
      </c>
      <c r="I1948" t="inlineStr">
        <is>
          <t>W1</t>
        </is>
      </c>
      <c r="J1948" t="inlineStr">
        <is>
          <t>2026_Maj_W1</t>
        </is>
      </c>
    </row>
    <row r="1949">
      <c r="A1949" s="177" t="n">
        <v>46144</v>
      </c>
      <c r="B1949" s="177" t="n">
        <v>46140</v>
      </c>
      <c r="C1949" s="177" t="n">
        <v>46146</v>
      </c>
      <c r="D1949" t="inlineStr">
        <is>
          <t>BW20260428</t>
        </is>
      </c>
      <c r="E1949" t="n">
        <v>2026</v>
      </c>
      <c r="F1949" t="inlineStr">
        <is>
          <t>Maj</t>
        </is>
      </c>
      <c r="G1949" t="inlineStr">
        <is>
          <t>Sob</t>
        </is>
      </c>
      <c r="H1949">
        <f>'Floor Hours Engine'!$E$5</f>
        <v/>
      </c>
      <c r="I1949" t="inlineStr">
        <is>
          <t>W1</t>
        </is>
      </c>
      <c r="J1949" t="inlineStr">
        <is>
          <t>2026_Maj_W1</t>
        </is>
      </c>
    </row>
    <row r="1950">
      <c r="A1950" s="177" t="n">
        <v>46145</v>
      </c>
      <c r="B1950" s="177" t="n">
        <v>46140</v>
      </c>
      <c r="C1950" s="177" t="n">
        <v>46146</v>
      </c>
      <c r="D1950" t="inlineStr">
        <is>
          <t>BW20260428</t>
        </is>
      </c>
      <c r="E1950" t="n">
        <v>2026</v>
      </c>
      <c r="F1950" t="inlineStr">
        <is>
          <t>Maj</t>
        </is>
      </c>
      <c r="G1950" t="inlineStr">
        <is>
          <t>Nd</t>
        </is>
      </c>
      <c r="H1950">
        <f>'Floor Hours Engine'!$E$6</f>
        <v/>
      </c>
      <c r="I1950" t="inlineStr">
        <is>
          <t>W1</t>
        </is>
      </c>
      <c r="J1950" t="inlineStr">
        <is>
          <t>2026_Maj_W1</t>
        </is>
      </c>
    </row>
    <row r="1951">
      <c r="A1951" s="177" t="n">
        <v>46146</v>
      </c>
      <c r="B1951" s="177" t="n">
        <v>46140</v>
      </c>
      <c r="C1951" s="177" t="n">
        <v>46146</v>
      </c>
      <c r="D1951" t="inlineStr">
        <is>
          <t>BW20260428</t>
        </is>
      </c>
      <c r="E1951" t="n">
        <v>2026</v>
      </c>
      <c r="F1951" t="inlineStr">
        <is>
          <t>Maj</t>
        </is>
      </c>
      <c r="G1951" t="inlineStr">
        <is>
          <t>Pn</t>
        </is>
      </c>
      <c r="H1951">
        <f>'Floor Hours Engine'!$E$4</f>
        <v/>
      </c>
      <c r="I1951" t="inlineStr">
        <is>
          <t>W1</t>
        </is>
      </c>
      <c r="J1951" t="inlineStr">
        <is>
          <t>2026_Maj_W1</t>
        </is>
      </c>
    </row>
    <row r="1952">
      <c r="A1952" s="177" t="n">
        <v>46147</v>
      </c>
      <c r="B1952" s="177" t="n">
        <v>46147</v>
      </c>
      <c r="C1952" s="177" t="n">
        <v>46153</v>
      </c>
      <c r="D1952" t="inlineStr">
        <is>
          <t>BW20260505</t>
        </is>
      </c>
      <c r="E1952" t="n">
        <v>2026</v>
      </c>
      <c r="F1952" t="inlineStr">
        <is>
          <t>Maj</t>
        </is>
      </c>
      <c r="G1952" t="inlineStr">
        <is>
          <t>Wt</t>
        </is>
      </c>
      <c r="H1952">
        <f>'Floor Hours Engine'!$E$4</f>
        <v/>
      </c>
      <c r="I1952" t="inlineStr">
        <is>
          <t>W2</t>
        </is>
      </c>
      <c r="J1952" t="inlineStr">
        <is>
          <t>2026_Maj_W2</t>
        </is>
      </c>
    </row>
    <row r="1953">
      <c r="A1953" s="177" t="n">
        <v>46148</v>
      </c>
      <c r="B1953" s="177" t="n">
        <v>46147</v>
      </c>
      <c r="C1953" s="177" t="n">
        <v>46153</v>
      </c>
      <c r="D1953" t="inlineStr">
        <is>
          <t>BW20260505</t>
        </is>
      </c>
      <c r="E1953" t="n">
        <v>2026</v>
      </c>
      <c r="F1953" t="inlineStr">
        <is>
          <t>Maj</t>
        </is>
      </c>
      <c r="G1953" t="inlineStr">
        <is>
          <t>Śr</t>
        </is>
      </c>
      <c r="H1953">
        <f>'Floor Hours Engine'!$E$4</f>
        <v/>
      </c>
      <c r="I1953" t="inlineStr">
        <is>
          <t>W2</t>
        </is>
      </c>
      <c r="J1953" t="inlineStr">
        <is>
          <t>2026_Maj_W2</t>
        </is>
      </c>
    </row>
    <row r="1954">
      <c r="A1954" s="177" t="n">
        <v>46149</v>
      </c>
      <c r="B1954" s="177" t="n">
        <v>46147</v>
      </c>
      <c r="C1954" s="177" t="n">
        <v>46153</v>
      </c>
      <c r="D1954" t="inlineStr">
        <is>
          <t>BW20260505</t>
        </is>
      </c>
      <c r="E1954" t="n">
        <v>2026</v>
      </c>
      <c r="F1954" t="inlineStr">
        <is>
          <t>Maj</t>
        </is>
      </c>
      <c r="G1954" t="inlineStr">
        <is>
          <t>Czw</t>
        </is>
      </c>
      <c r="H1954">
        <f>'Floor Hours Engine'!$E$4</f>
        <v/>
      </c>
      <c r="I1954" t="inlineStr">
        <is>
          <t>W2</t>
        </is>
      </c>
      <c r="J1954" t="inlineStr">
        <is>
          <t>2026_Maj_W2</t>
        </is>
      </c>
    </row>
    <row r="1955">
      <c r="A1955" s="177" t="n">
        <v>46150</v>
      </c>
      <c r="B1955" s="177" t="n">
        <v>46147</v>
      </c>
      <c r="C1955" s="177" t="n">
        <v>46153</v>
      </c>
      <c r="D1955" t="inlineStr">
        <is>
          <t>BW20260505</t>
        </is>
      </c>
      <c r="E1955" t="n">
        <v>2026</v>
      </c>
      <c r="F1955" t="inlineStr">
        <is>
          <t>Maj</t>
        </is>
      </c>
      <c r="G1955" t="inlineStr">
        <is>
          <t>Pt</t>
        </is>
      </c>
      <c r="H1955">
        <f>'Floor Hours Engine'!$E$5</f>
        <v/>
      </c>
      <c r="I1955" t="inlineStr">
        <is>
          <t>W2</t>
        </is>
      </c>
      <c r="J1955" t="inlineStr">
        <is>
          <t>2026_Maj_W2</t>
        </is>
      </c>
    </row>
    <row r="1956">
      <c r="A1956" s="177" t="n">
        <v>46151</v>
      </c>
      <c r="B1956" s="177" t="n">
        <v>46147</v>
      </c>
      <c r="C1956" s="177" t="n">
        <v>46153</v>
      </c>
      <c r="D1956" t="inlineStr">
        <is>
          <t>BW20260505</t>
        </is>
      </c>
      <c r="E1956" t="n">
        <v>2026</v>
      </c>
      <c r="F1956" t="inlineStr">
        <is>
          <t>Maj</t>
        </is>
      </c>
      <c r="G1956" t="inlineStr">
        <is>
          <t>Sob</t>
        </is>
      </c>
      <c r="H1956">
        <f>'Floor Hours Engine'!$E$5</f>
        <v/>
      </c>
      <c r="I1956" t="inlineStr">
        <is>
          <t>W2</t>
        </is>
      </c>
      <c r="J1956" t="inlineStr">
        <is>
          <t>2026_Maj_W2</t>
        </is>
      </c>
    </row>
    <row r="1957">
      <c r="A1957" s="177" t="n">
        <v>46152</v>
      </c>
      <c r="B1957" s="177" t="n">
        <v>46147</v>
      </c>
      <c r="C1957" s="177" t="n">
        <v>46153</v>
      </c>
      <c r="D1957" t="inlineStr">
        <is>
          <t>BW20260505</t>
        </is>
      </c>
      <c r="E1957" t="n">
        <v>2026</v>
      </c>
      <c r="F1957" t="inlineStr">
        <is>
          <t>Maj</t>
        </is>
      </c>
      <c r="G1957" t="inlineStr">
        <is>
          <t>Nd</t>
        </is>
      </c>
      <c r="H1957">
        <f>'Floor Hours Engine'!$E$6</f>
        <v/>
      </c>
      <c r="I1957" t="inlineStr">
        <is>
          <t>W2</t>
        </is>
      </c>
      <c r="J1957" t="inlineStr">
        <is>
          <t>2026_Maj_W2</t>
        </is>
      </c>
    </row>
    <row r="1958">
      <c r="A1958" s="177" t="n">
        <v>46153</v>
      </c>
      <c r="B1958" s="177" t="n">
        <v>46147</v>
      </c>
      <c r="C1958" s="177" t="n">
        <v>46153</v>
      </c>
      <c r="D1958" t="inlineStr">
        <is>
          <t>BW20260505</t>
        </is>
      </c>
      <c r="E1958" t="n">
        <v>2026</v>
      </c>
      <c r="F1958" t="inlineStr">
        <is>
          <t>Maj</t>
        </is>
      </c>
      <c r="G1958" t="inlineStr">
        <is>
          <t>Pn</t>
        </is>
      </c>
      <c r="H1958">
        <f>'Floor Hours Engine'!$E$4</f>
        <v/>
      </c>
      <c r="I1958" t="inlineStr">
        <is>
          <t>W2</t>
        </is>
      </c>
      <c r="J1958" t="inlineStr">
        <is>
          <t>2026_Maj_W2</t>
        </is>
      </c>
    </row>
    <row r="1959">
      <c r="A1959" s="177" t="n">
        <v>46154</v>
      </c>
      <c r="B1959" s="177" t="n">
        <v>46154</v>
      </c>
      <c r="C1959" s="177" t="n">
        <v>46160</v>
      </c>
      <c r="D1959" t="inlineStr">
        <is>
          <t>BW20260512</t>
        </is>
      </c>
      <c r="E1959" t="n">
        <v>2026</v>
      </c>
      <c r="F1959" t="inlineStr">
        <is>
          <t>Maj</t>
        </is>
      </c>
      <c r="G1959" t="inlineStr">
        <is>
          <t>Wt</t>
        </is>
      </c>
      <c r="H1959">
        <f>'Floor Hours Engine'!$E$4</f>
        <v/>
      </c>
      <c r="I1959" t="inlineStr">
        <is>
          <t>W3</t>
        </is>
      </c>
      <c r="J1959" t="inlineStr">
        <is>
          <t>2026_Maj_W3</t>
        </is>
      </c>
    </row>
    <row r="1960">
      <c r="A1960" s="177" t="n">
        <v>46155</v>
      </c>
      <c r="B1960" s="177" t="n">
        <v>46154</v>
      </c>
      <c r="C1960" s="177" t="n">
        <v>46160</v>
      </c>
      <c r="D1960" t="inlineStr">
        <is>
          <t>BW20260512</t>
        </is>
      </c>
      <c r="E1960" t="n">
        <v>2026</v>
      </c>
      <c r="F1960" t="inlineStr">
        <is>
          <t>Maj</t>
        </is>
      </c>
      <c r="G1960" t="inlineStr">
        <is>
          <t>Śr</t>
        </is>
      </c>
      <c r="H1960">
        <f>'Floor Hours Engine'!$E$4</f>
        <v/>
      </c>
      <c r="I1960" t="inlineStr">
        <is>
          <t>W3</t>
        </is>
      </c>
      <c r="J1960" t="inlineStr">
        <is>
          <t>2026_Maj_W3</t>
        </is>
      </c>
    </row>
    <row r="1961">
      <c r="A1961" s="177" t="n">
        <v>46156</v>
      </c>
      <c r="B1961" s="177" t="n">
        <v>46154</v>
      </c>
      <c r="C1961" s="177" t="n">
        <v>46160</v>
      </c>
      <c r="D1961" t="inlineStr">
        <is>
          <t>BW20260512</t>
        </is>
      </c>
      <c r="E1961" t="n">
        <v>2026</v>
      </c>
      <c r="F1961" t="inlineStr">
        <is>
          <t>Maj</t>
        </is>
      </c>
      <c r="G1961" t="inlineStr">
        <is>
          <t>Czw</t>
        </is>
      </c>
      <c r="H1961">
        <f>'Floor Hours Engine'!$E$4</f>
        <v/>
      </c>
      <c r="I1961" t="inlineStr">
        <is>
          <t>W3</t>
        </is>
      </c>
      <c r="J1961" t="inlineStr">
        <is>
          <t>2026_Maj_W3</t>
        </is>
      </c>
    </row>
    <row r="1962">
      <c r="A1962" s="177" t="n">
        <v>46157</v>
      </c>
      <c r="B1962" s="177" t="n">
        <v>46154</v>
      </c>
      <c r="C1962" s="177" t="n">
        <v>46160</v>
      </c>
      <c r="D1962" t="inlineStr">
        <is>
          <t>BW20260512</t>
        </is>
      </c>
      <c r="E1962" t="n">
        <v>2026</v>
      </c>
      <c r="F1962" t="inlineStr">
        <is>
          <t>Maj</t>
        </is>
      </c>
      <c r="G1962" t="inlineStr">
        <is>
          <t>Pt</t>
        </is>
      </c>
      <c r="H1962">
        <f>'Floor Hours Engine'!$E$5</f>
        <v/>
      </c>
      <c r="I1962" t="inlineStr">
        <is>
          <t>W3</t>
        </is>
      </c>
      <c r="J1962" t="inlineStr">
        <is>
          <t>2026_Maj_W3</t>
        </is>
      </c>
    </row>
    <row r="1963">
      <c r="A1963" s="177" t="n">
        <v>46158</v>
      </c>
      <c r="B1963" s="177" t="n">
        <v>46154</v>
      </c>
      <c r="C1963" s="177" t="n">
        <v>46160</v>
      </c>
      <c r="D1963" t="inlineStr">
        <is>
          <t>BW20260512</t>
        </is>
      </c>
      <c r="E1963" t="n">
        <v>2026</v>
      </c>
      <c r="F1963" t="inlineStr">
        <is>
          <t>Maj</t>
        </is>
      </c>
      <c r="G1963" t="inlineStr">
        <is>
          <t>Sob</t>
        </is>
      </c>
      <c r="H1963">
        <f>'Floor Hours Engine'!$E$5</f>
        <v/>
      </c>
      <c r="I1963" t="inlineStr">
        <is>
          <t>W3</t>
        </is>
      </c>
      <c r="J1963" t="inlineStr">
        <is>
          <t>2026_Maj_W3</t>
        </is>
      </c>
    </row>
    <row r="1964">
      <c r="A1964" s="177" t="n">
        <v>46159</v>
      </c>
      <c r="B1964" s="177" t="n">
        <v>46154</v>
      </c>
      <c r="C1964" s="177" t="n">
        <v>46160</v>
      </c>
      <c r="D1964" t="inlineStr">
        <is>
          <t>BW20260512</t>
        </is>
      </c>
      <c r="E1964" t="n">
        <v>2026</v>
      </c>
      <c r="F1964" t="inlineStr">
        <is>
          <t>Maj</t>
        </is>
      </c>
      <c r="G1964" t="inlineStr">
        <is>
          <t>Nd</t>
        </is>
      </c>
      <c r="H1964">
        <f>'Floor Hours Engine'!$E$6</f>
        <v/>
      </c>
      <c r="I1964" t="inlineStr">
        <is>
          <t>W3</t>
        </is>
      </c>
      <c r="J1964" t="inlineStr">
        <is>
          <t>2026_Maj_W3</t>
        </is>
      </c>
    </row>
    <row r="1965">
      <c r="A1965" s="177" t="n">
        <v>46160</v>
      </c>
      <c r="B1965" s="177" t="n">
        <v>46154</v>
      </c>
      <c r="C1965" s="177" t="n">
        <v>46160</v>
      </c>
      <c r="D1965" t="inlineStr">
        <is>
          <t>BW20260512</t>
        </is>
      </c>
      <c r="E1965" t="n">
        <v>2026</v>
      </c>
      <c r="F1965" t="inlineStr">
        <is>
          <t>Maj</t>
        </is>
      </c>
      <c r="G1965" t="inlineStr">
        <is>
          <t>Pn</t>
        </is>
      </c>
      <c r="H1965">
        <f>'Floor Hours Engine'!$E$4</f>
        <v/>
      </c>
      <c r="I1965" t="inlineStr">
        <is>
          <t>W3</t>
        </is>
      </c>
      <c r="J1965" t="inlineStr">
        <is>
          <t>2026_Maj_W3</t>
        </is>
      </c>
    </row>
    <row r="1966">
      <c r="A1966" s="177" t="n">
        <v>46161</v>
      </c>
      <c r="B1966" s="177" t="n">
        <v>46161</v>
      </c>
      <c r="C1966" s="177" t="n">
        <v>46167</v>
      </c>
      <c r="D1966" t="inlineStr">
        <is>
          <t>BW20260519</t>
        </is>
      </c>
      <c r="E1966" t="n">
        <v>2026</v>
      </c>
      <c r="F1966" t="inlineStr">
        <is>
          <t>Maj</t>
        </is>
      </c>
      <c r="G1966" t="inlineStr">
        <is>
          <t>Wt</t>
        </is>
      </c>
      <c r="H1966">
        <f>'Floor Hours Engine'!$E$4</f>
        <v/>
      </c>
      <c r="I1966" t="inlineStr">
        <is>
          <t>W4</t>
        </is>
      </c>
      <c r="J1966" t="inlineStr">
        <is>
          <t>2026_Maj_W4</t>
        </is>
      </c>
    </row>
    <row r="1967">
      <c r="A1967" s="177" t="n">
        <v>46162</v>
      </c>
      <c r="B1967" s="177" t="n">
        <v>46161</v>
      </c>
      <c r="C1967" s="177" t="n">
        <v>46167</v>
      </c>
      <c r="D1967" t="inlineStr">
        <is>
          <t>BW20260519</t>
        </is>
      </c>
      <c r="E1967" t="n">
        <v>2026</v>
      </c>
      <c r="F1967" t="inlineStr">
        <is>
          <t>Maj</t>
        </is>
      </c>
      <c r="G1967" t="inlineStr">
        <is>
          <t>Śr</t>
        </is>
      </c>
      <c r="H1967">
        <f>'Floor Hours Engine'!$E$4</f>
        <v/>
      </c>
      <c r="I1967" t="inlineStr">
        <is>
          <t>W4</t>
        </is>
      </c>
      <c r="J1967" t="inlineStr">
        <is>
          <t>2026_Maj_W4</t>
        </is>
      </c>
    </row>
    <row r="1968">
      <c r="A1968" s="177" t="n">
        <v>46163</v>
      </c>
      <c r="B1968" s="177" t="n">
        <v>46161</v>
      </c>
      <c r="C1968" s="177" t="n">
        <v>46167</v>
      </c>
      <c r="D1968" t="inlineStr">
        <is>
          <t>BW20260519</t>
        </is>
      </c>
      <c r="E1968" t="n">
        <v>2026</v>
      </c>
      <c r="F1968" t="inlineStr">
        <is>
          <t>Maj</t>
        </is>
      </c>
      <c r="G1968" t="inlineStr">
        <is>
          <t>Czw</t>
        </is>
      </c>
      <c r="H1968">
        <f>'Floor Hours Engine'!$E$4</f>
        <v/>
      </c>
      <c r="I1968" t="inlineStr">
        <is>
          <t>W4</t>
        </is>
      </c>
      <c r="J1968" t="inlineStr">
        <is>
          <t>2026_Maj_W4</t>
        </is>
      </c>
    </row>
    <row r="1969">
      <c r="A1969" s="177" t="n">
        <v>46164</v>
      </c>
      <c r="B1969" s="177" t="n">
        <v>46161</v>
      </c>
      <c r="C1969" s="177" t="n">
        <v>46167</v>
      </c>
      <c r="D1969" t="inlineStr">
        <is>
          <t>BW20260519</t>
        </is>
      </c>
      <c r="E1969" t="n">
        <v>2026</v>
      </c>
      <c r="F1969" t="inlineStr">
        <is>
          <t>Maj</t>
        </is>
      </c>
      <c r="G1969" t="inlineStr">
        <is>
          <t>Pt</t>
        </is>
      </c>
      <c r="H1969">
        <f>'Floor Hours Engine'!$E$5</f>
        <v/>
      </c>
      <c r="I1969" t="inlineStr">
        <is>
          <t>W4</t>
        </is>
      </c>
      <c r="J1969" t="inlineStr">
        <is>
          <t>2026_Maj_W4</t>
        </is>
      </c>
    </row>
    <row r="1970">
      <c r="A1970" s="177" t="n">
        <v>46165</v>
      </c>
      <c r="B1970" s="177" t="n">
        <v>46161</v>
      </c>
      <c r="C1970" s="177" t="n">
        <v>46167</v>
      </c>
      <c r="D1970" t="inlineStr">
        <is>
          <t>BW20260519</t>
        </is>
      </c>
      <c r="E1970" t="n">
        <v>2026</v>
      </c>
      <c r="F1970" t="inlineStr">
        <is>
          <t>Maj</t>
        </is>
      </c>
      <c r="G1970" t="inlineStr">
        <is>
          <t>Sob</t>
        </is>
      </c>
      <c r="H1970">
        <f>'Floor Hours Engine'!$E$5</f>
        <v/>
      </c>
      <c r="I1970" t="inlineStr">
        <is>
          <t>W4</t>
        </is>
      </c>
      <c r="J1970" t="inlineStr">
        <is>
          <t>2026_Maj_W4</t>
        </is>
      </c>
    </row>
    <row r="1971">
      <c r="A1971" s="177" t="n">
        <v>46166</v>
      </c>
      <c r="B1971" s="177" t="n">
        <v>46161</v>
      </c>
      <c r="C1971" s="177" t="n">
        <v>46167</v>
      </c>
      <c r="D1971" t="inlineStr">
        <is>
          <t>BW20260519</t>
        </is>
      </c>
      <c r="E1971" t="n">
        <v>2026</v>
      </c>
      <c r="F1971" t="inlineStr">
        <is>
          <t>Maj</t>
        </is>
      </c>
      <c r="G1971" t="inlineStr">
        <is>
          <t>Nd</t>
        </is>
      </c>
      <c r="H1971">
        <f>'Floor Hours Engine'!$E$6</f>
        <v/>
      </c>
      <c r="I1971" t="inlineStr">
        <is>
          <t>W4</t>
        </is>
      </c>
      <c r="J1971" t="inlineStr">
        <is>
          <t>2026_Maj_W4</t>
        </is>
      </c>
    </row>
    <row r="1972">
      <c r="A1972" s="177" t="n">
        <v>46167</v>
      </c>
      <c r="B1972" s="177" t="n">
        <v>46161</v>
      </c>
      <c r="C1972" s="177" t="n">
        <v>46167</v>
      </c>
      <c r="D1972" t="inlineStr">
        <is>
          <t>BW20260519</t>
        </is>
      </c>
      <c r="E1972" t="n">
        <v>2026</v>
      </c>
      <c r="F1972" t="inlineStr">
        <is>
          <t>Maj</t>
        </is>
      </c>
      <c r="G1972" t="inlineStr">
        <is>
          <t>Pn</t>
        </is>
      </c>
      <c r="H1972">
        <f>'Floor Hours Engine'!$E$4</f>
        <v/>
      </c>
      <c r="I1972" t="inlineStr">
        <is>
          <t>W4</t>
        </is>
      </c>
      <c r="J1972" t="inlineStr">
        <is>
          <t>2026_Maj_W4</t>
        </is>
      </c>
    </row>
    <row r="1973">
      <c r="A1973" s="177" t="n">
        <v>46168</v>
      </c>
      <c r="B1973" s="177" t="n">
        <v>46168</v>
      </c>
      <c r="C1973" s="177" t="n">
        <v>46174</v>
      </c>
      <c r="D1973" t="inlineStr">
        <is>
          <t>BW20260526</t>
        </is>
      </c>
      <c r="E1973" t="n">
        <v>2026</v>
      </c>
      <c r="F1973" t="inlineStr">
        <is>
          <t>Maj</t>
        </is>
      </c>
      <c r="G1973" t="inlineStr">
        <is>
          <t>Wt</t>
        </is>
      </c>
      <c r="H1973">
        <f>'Floor Hours Engine'!$E$4</f>
        <v/>
      </c>
      <c r="I1973" t="inlineStr">
        <is>
          <t>W5</t>
        </is>
      </c>
      <c r="J1973" t="inlineStr">
        <is>
          <t>2026_Maj_W5</t>
        </is>
      </c>
    </row>
    <row r="1974">
      <c r="A1974" s="177" t="n">
        <v>46169</v>
      </c>
      <c r="B1974" s="177" t="n">
        <v>46168</v>
      </c>
      <c r="C1974" s="177" t="n">
        <v>46174</v>
      </c>
      <c r="D1974" t="inlineStr">
        <is>
          <t>BW20260526</t>
        </is>
      </c>
      <c r="E1974" t="n">
        <v>2026</v>
      </c>
      <c r="F1974" t="inlineStr">
        <is>
          <t>Maj</t>
        </is>
      </c>
      <c r="G1974" t="inlineStr">
        <is>
          <t>Śr</t>
        </is>
      </c>
      <c r="H1974">
        <f>'Floor Hours Engine'!$E$4</f>
        <v/>
      </c>
      <c r="I1974" t="inlineStr">
        <is>
          <t>W5</t>
        </is>
      </c>
      <c r="J1974" t="inlineStr">
        <is>
          <t>2026_Maj_W5</t>
        </is>
      </c>
    </row>
    <row r="1975">
      <c r="A1975" s="177" t="n">
        <v>46170</v>
      </c>
      <c r="B1975" s="177" t="n">
        <v>46168</v>
      </c>
      <c r="C1975" s="177" t="n">
        <v>46174</v>
      </c>
      <c r="D1975" t="inlineStr">
        <is>
          <t>BW20260526</t>
        </is>
      </c>
      <c r="E1975" t="n">
        <v>2026</v>
      </c>
      <c r="F1975" t="inlineStr">
        <is>
          <t>Maj</t>
        </is>
      </c>
      <c r="G1975" t="inlineStr">
        <is>
          <t>Czw</t>
        </is>
      </c>
      <c r="H1975">
        <f>'Floor Hours Engine'!$E$4</f>
        <v/>
      </c>
      <c r="I1975" t="inlineStr">
        <is>
          <t>W5</t>
        </is>
      </c>
      <c r="J1975" t="inlineStr">
        <is>
          <t>2026_Maj_W5</t>
        </is>
      </c>
    </row>
    <row r="1976">
      <c r="A1976" s="177" t="n">
        <v>46171</v>
      </c>
      <c r="B1976" s="177" t="n">
        <v>46168</v>
      </c>
      <c r="C1976" s="177" t="n">
        <v>46174</v>
      </c>
      <c r="D1976" t="inlineStr">
        <is>
          <t>BW20260526</t>
        </is>
      </c>
      <c r="E1976" t="n">
        <v>2026</v>
      </c>
      <c r="F1976" t="inlineStr">
        <is>
          <t>Maj</t>
        </is>
      </c>
      <c r="G1976" t="inlineStr">
        <is>
          <t>Pt</t>
        </is>
      </c>
      <c r="H1976">
        <f>'Floor Hours Engine'!$E$5</f>
        <v/>
      </c>
      <c r="I1976" t="inlineStr">
        <is>
          <t>W5</t>
        </is>
      </c>
      <c r="J1976" t="inlineStr">
        <is>
          <t>2026_Maj_W5</t>
        </is>
      </c>
    </row>
    <row r="1977">
      <c r="A1977" s="177" t="n">
        <v>46172</v>
      </c>
      <c r="B1977" s="177" t="n">
        <v>46168</v>
      </c>
      <c r="C1977" s="177" t="n">
        <v>46174</v>
      </c>
      <c r="D1977" t="inlineStr">
        <is>
          <t>BW20260526</t>
        </is>
      </c>
      <c r="E1977" t="n">
        <v>2026</v>
      </c>
      <c r="F1977" t="inlineStr">
        <is>
          <t>Maj</t>
        </is>
      </c>
      <c r="G1977" t="inlineStr">
        <is>
          <t>Sob</t>
        </is>
      </c>
      <c r="H1977">
        <f>'Floor Hours Engine'!$E$5</f>
        <v/>
      </c>
      <c r="I1977" t="inlineStr">
        <is>
          <t>W5</t>
        </is>
      </c>
      <c r="J1977" t="inlineStr">
        <is>
          <t>2026_Maj_W5</t>
        </is>
      </c>
    </row>
    <row r="1978">
      <c r="A1978" s="177" t="n">
        <v>46173</v>
      </c>
      <c r="B1978" s="177" t="n">
        <v>46168</v>
      </c>
      <c r="C1978" s="177" t="n">
        <v>46174</v>
      </c>
      <c r="D1978" t="inlineStr">
        <is>
          <t>BW20260526</t>
        </is>
      </c>
      <c r="E1978" t="n">
        <v>2026</v>
      </c>
      <c r="F1978" t="inlineStr">
        <is>
          <t>Maj</t>
        </is>
      </c>
      <c r="G1978" t="inlineStr">
        <is>
          <t>Nd</t>
        </is>
      </c>
      <c r="H1978">
        <f>'Floor Hours Engine'!$E$6</f>
        <v/>
      </c>
      <c r="I1978" t="inlineStr">
        <is>
          <t>W5</t>
        </is>
      </c>
      <c r="J1978" t="inlineStr">
        <is>
          <t>2026_Maj_W5</t>
        </is>
      </c>
    </row>
    <row r="1979">
      <c r="A1979" s="177" t="n">
        <v>46174</v>
      </c>
      <c r="B1979" s="177" t="n">
        <v>46168</v>
      </c>
      <c r="C1979" s="177" t="n">
        <v>46174</v>
      </c>
      <c r="D1979" t="inlineStr">
        <is>
          <t>BW20260526</t>
        </is>
      </c>
      <c r="E1979" t="n">
        <v>2026</v>
      </c>
      <c r="F1979" t="inlineStr">
        <is>
          <t>Czerwiec</t>
        </is>
      </c>
      <c r="G1979" t="inlineStr">
        <is>
          <t>Pn</t>
        </is>
      </c>
      <c r="H1979">
        <f>'Floor Hours Engine'!$E$4</f>
        <v/>
      </c>
      <c r="I1979" t="inlineStr">
        <is>
          <t>W1</t>
        </is>
      </c>
      <c r="J1979" t="inlineStr">
        <is>
          <t>2026_Czerwiec_W1</t>
        </is>
      </c>
    </row>
    <row r="1980">
      <c r="A1980" s="177" t="n">
        <v>46175</v>
      </c>
      <c r="B1980" s="177" t="n">
        <v>46175</v>
      </c>
      <c r="C1980" s="177" t="n">
        <v>46181</v>
      </c>
      <c r="D1980" t="inlineStr">
        <is>
          <t>BW20260602</t>
        </is>
      </c>
      <c r="E1980" t="n">
        <v>2026</v>
      </c>
      <c r="F1980" t="inlineStr">
        <is>
          <t>Czerwiec</t>
        </is>
      </c>
      <c r="G1980" t="inlineStr">
        <is>
          <t>Wt</t>
        </is>
      </c>
      <c r="H1980">
        <f>'Floor Hours Engine'!$E$4</f>
        <v/>
      </c>
      <c r="I1980" t="inlineStr">
        <is>
          <t>W2</t>
        </is>
      </c>
      <c r="J1980" t="inlineStr">
        <is>
          <t>2026_Czerwiec_W2</t>
        </is>
      </c>
    </row>
    <row r="1981">
      <c r="A1981" s="177" t="n">
        <v>46176</v>
      </c>
      <c r="B1981" s="177" t="n">
        <v>46175</v>
      </c>
      <c r="C1981" s="177" t="n">
        <v>46181</v>
      </c>
      <c r="D1981" t="inlineStr">
        <is>
          <t>BW20260602</t>
        </is>
      </c>
      <c r="E1981" t="n">
        <v>2026</v>
      </c>
      <c r="F1981" t="inlineStr">
        <is>
          <t>Czerwiec</t>
        </is>
      </c>
      <c r="G1981" t="inlineStr">
        <is>
          <t>Śr</t>
        </is>
      </c>
      <c r="H1981">
        <f>'Floor Hours Engine'!$E$4</f>
        <v/>
      </c>
      <c r="I1981" t="inlineStr">
        <is>
          <t>W2</t>
        </is>
      </c>
      <c r="J1981" t="inlineStr">
        <is>
          <t>2026_Czerwiec_W2</t>
        </is>
      </c>
    </row>
    <row r="1982">
      <c r="A1982" s="177" t="n">
        <v>46177</v>
      </c>
      <c r="B1982" s="177" t="n">
        <v>46175</v>
      </c>
      <c r="C1982" s="177" t="n">
        <v>46181</v>
      </c>
      <c r="D1982" t="inlineStr">
        <is>
          <t>BW20260602</t>
        </is>
      </c>
      <c r="E1982" t="n">
        <v>2026</v>
      </c>
      <c r="F1982" t="inlineStr">
        <is>
          <t>Czerwiec</t>
        </is>
      </c>
      <c r="G1982" t="inlineStr">
        <is>
          <t>Czw</t>
        </is>
      </c>
      <c r="H1982">
        <f>'Floor Hours Engine'!$E$4</f>
        <v/>
      </c>
      <c r="I1982" t="inlineStr">
        <is>
          <t>W2</t>
        </is>
      </c>
      <c r="J1982" t="inlineStr">
        <is>
          <t>2026_Czerwiec_W2</t>
        </is>
      </c>
    </row>
    <row r="1983">
      <c r="A1983" s="177" t="n">
        <v>46178</v>
      </c>
      <c r="B1983" s="177" t="n">
        <v>46175</v>
      </c>
      <c r="C1983" s="177" t="n">
        <v>46181</v>
      </c>
      <c r="D1983" t="inlineStr">
        <is>
          <t>BW20260602</t>
        </is>
      </c>
      <c r="E1983" t="n">
        <v>2026</v>
      </c>
      <c r="F1983" t="inlineStr">
        <is>
          <t>Czerwiec</t>
        </is>
      </c>
      <c r="G1983" t="inlineStr">
        <is>
          <t>Pt</t>
        </is>
      </c>
      <c r="H1983">
        <f>'Floor Hours Engine'!$E$5</f>
        <v/>
      </c>
      <c r="I1983" t="inlineStr">
        <is>
          <t>W2</t>
        </is>
      </c>
      <c r="J1983" t="inlineStr">
        <is>
          <t>2026_Czerwiec_W2</t>
        </is>
      </c>
    </row>
    <row r="1984">
      <c r="A1984" s="177" t="n">
        <v>46179</v>
      </c>
      <c r="B1984" s="177" t="n">
        <v>46175</v>
      </c>
      <c r="C1984" s="177" t="n">
        <v>46181</v>
      </c>
      <c r="D1984" t="inlineStr">
        <is>
          <t>BW20260602</t>
        </is>
      </c>
      <c r="E1984" t="n">
        <v>2026</v>
      </c>
      <c r="F1984" t="inlineStr">
        <is>
          <t>Czerwiec</t>
        </is>
      </c>
      <c r="G1984" t="inlineStr">
        <is>
          <t>Sob</t>
        </is>
      </c>
      <c r="H1984">
        <f>'Floor Hours Engine'!$E$5</f>
        <v/>
      </c>
      <c r="I1984" t="inlineStr">
        <is>
          <t>W2</t>
        </is>
      </c>
      <c r="J1984" t="inlineStr">
        <is>
          <t>2026_Czerwiec_W2</t>
        </is>
      </c>
    </row>
    <row r="1985">
      <c r="A1985" s="177" t="n">
        <v>46180</v>
      </c>
      <c r="B1985" s="177" t="n">
        <v>46175</v>
      </c>
      <c r="C1985" s="177" t="n">
        <v>46181</v>
      </c>
      <c r="D1985" t="inlineStr">
        <is>
          <t>BW20260602</t>
        </is>
      </c>
      <c r="E1985" t="n">
        <v>2026</v>
      </c>
      <c r="F1985" t="inlineStr">
        <is>
          <t>Czerwiec</t>
        </is>
      </c>
      <c r="G1985" t="inlineStr">
        <is>
          <t>Nd</t>
        </is>
      </c>
      <c r="H1985">
        <f>'Floor Hours Engine'!$E$6</f>
        <v/>
      </c>
      <c r="I1985" t="inlineStr">
        <is>
          <t>W2</t>
        </is>
      </c>
      <c r="J1985" t="inlineStr">
        <is>
          <t>2026_Czerwiec_W2</t>
        </is>
      </c>
    </row>
    <row r="1986">
      <c r="A1986" s="177" t="n">
        <v>46181</v>
      </c>
      <c r="B1986" s="177" t="n">
        <v>46175</v>
      </c>
      <c r="C1986" s="177" t="n">
        <v>46181</v>
      </c>
      <c r="D1986" t="inlineStr">
        <is>
          <t>BW20260602</t>
        </is>
      </c>
      <c r="E1986" t="n">
        <v>2026</v>
      </c>
      <c r="F1986" t="inlineStr">
        <is>
          <t>Czerwiec</t>
        </is>
      </c>
      <c r="G1986" t="inlineStr">
        <is>
          <t>Pn</t>
        </is>
      </c>
      <c r="H1986">
        <f>'Floor Hours Engine'!$E$4</f>
        <v/>
      </c>
      <c r="I1986" t="inlineStr">
        <is>
          <t>W2</t>
        </is>
      </c>
      <c r="J1986" t="inlineStr">
        <is>
          <t>2026_Czerwiec_W2</t>
        </is>
      </c>
    </row>
    <row r="1987">
      <c r="A1987" s="177" t="n">
        <v>46182</v>
      </c>
      <c r="B1987" s="177" t="n">
        <v>46182</v>
      </c>
      <c r="C1987" s="177" t="n">
        <v>46188</v>
      </c>
      <c r="D1987" t="inlineStr">
        <is>
          <t>BW20260609</t>
        </is>
      </c>
      <c r="E1987" t="n">
        <v>2026</v>
      </c>
      <c r="F1987" t="inlineStr">
        <is>
          <t>Czerwiec</t>
        </is>
      </c>
      <c r="G1987" t="inlineStr">
        <is>
          <t>Wt</t>
        </is>
      </c>
      <c r="H1987">
        <f>'Floor Hours Engine'!$E$4</f>
        <v/>
      </c>
      <c r="I1987" t="inlineStr">
        <is>
          <t>W3</t>
        </is>
      </c>
      <c r="J1987" t="inlineStr">
        <is>
          <t>2026_Czerwiec_W3</t>
        </is>
      </c>
    </row>
    <row r="1988">
      <c r="A1988" s="177" t="n">
        <v>46183</v>
      </c>
      <c r="B1988" s="177" t="n">
        <v>46182</v>
      </c>
      <c r="C1988" s="177" t="n">
        <v>46188</v>
      </c>
      <c r="D1988" t="inlineStr">
        <is>
          <t>BW20260609</t>
        </is>
      </c>
      <c r="E1988" t="n">
        <v>2026</v>
      </c>
      <c r="F1988" t="inlineStr">
        <is>
          <t>Czerwiec</t>
        </is>
      </c>
      <c r="G1988" t="inlineStr">
        <is>
          <t>Śr</t>
        </is>
      </c>
      <c r="H1988">
        <f>'Floor Hours Engine'!$E$4</f>
        <v/>
      </c>
      <c r="I1988" t="inlineStr">
        <is>
          <t>W3</t>
        </is>
      </c>
      <c r="J1988" t="inlineStr">
        <is>
          <t>2026_Czerwiec_W3</t>
        </is>
      </c>
    </row>
    <row r="1989">
      <c r="A1989" s="177" t="n">
        <v>46184</v>
      </c>
      <c r="B1989" s="177" t="n">
        <v>46182</v>
      </c>
      <c r="C1989" s="177" t="n">
        <v>46188</v>
      </c>
      <c r="D1989" t="inlineStr">
        <is>
          <t>BW20260609</t>
        </is>
      </c>
      <c r="E1989" t="n">
        <v>2026</v>
      </c>
      <c r="F1989" t="inlineStr">
        <is>
          <t>Czerwiec</t>
        </is>
      </c>
      <c r="G1989" t="inlineStr">
        <is>
          <t>Czw</t>
        </is>
      </c>
      <c r="H1989">
        <f>'Floor Hours Engine'!$E$4</f>
        <v/>
      </c>
      <c r="I1989" t="inlineStr">
        <is>
          <t>W3</t>
        </is>
      </c>
      <c r="J1989" t="inlineStr">
        <is>
          <t>2026_Czerwiec_W3</t>
        </is>
      </c>
    </row>
    <row r="1990">
      <c r="A1990" s="177" t="n">
        <v>46185</v>
      </c>
      <c r="B1990" s="177" t="n">
        <v>46182</v>
      </c>
      <c r="C1990" s="177" t="n">
        <v>46188</v>
      </c>
      <c r="D1990" t="inlineStr">
        <is>
          <t>BW20260609</t>
        </is>
      </c>
      <c r="E1990" t="n">
        <v>2026</v>
      </c>
      <c r="F1990" t="inlineStr">
        <is>
          <t>Czerwiec</t>
        </is>
      </c>
      <c r="G1990" t="inlineStr">
        <is>
          <t>Pt</t>
        </is>
      </c>
      <c r="H1990">
        <f>'Floor Hours Engine'!$E$5</f>
        <v/>
      </c>
      <c r="I1990" t="inlineStr">
        <is>
          <t>W3</t>
        </is>
      </c>
      <c r="J1990" t="inlineStr">
        <is>
          <t>2026_Czerwiec_W3</t>
        </is>
      </c>
    </row>
    <row r="1991">
      <c r="A1991" s="177" t="n">
        <v>46186</v>
      </c>
      <c r="B1991" s="177" t="n">
        <v>46182</v>
      </c>
      <c r="C1991" s="177" t="n">
        <v>46188</v>
      </c>
      <c r="D1991" t="inlineStr">
        <is>
          <t>BW20260609</t>
        </is>
      </c>
      <c r="E1991" t="n">
        <v>2026</v>
      </c>
      <c r="F1991" t="inlineStr">
        <is>
          <t>Czerwiec</t>
        </is>
      </c>
      <c r="G1991" t="inlineStr">
        <is>
          <t>Sob</t>
        </is>
      </c>
      <c r="H1991">
        <f>'Floor Hours Engine'!$E$5</f>
        <v/>
      </c>
      <c r="I1991" t="inlineStr">
        <is>
          <t>W3</t>
        </is>
      </c>
      <c r="J1991" t="inlineStr">
        <is>
          <t>2026_Czerwiec_W3</t>
        </is>
      </c>
    </row>
    <row r="1992">
      <c r="A1992" s="177" t="n">
        <v>46187</v>
      </c>
      <c r="B1992" s="177" t="n">
        <v>46182</v>
      </c>
      <c r="C1992" s="177" t="n">
        <v>46188</v>
      </c>
      <c r="D1992" t="inlineStr">
        <is>
          <t>BW20260609</t>
        </is>
      </c>
      <c r="E1992" t="n">
        <v>2026</v>
      </c>
      <c r="F1992" t="inlineStr">
        <is>
          <t>Czerwiec</t>
        </is>
      </c>
      <c r="G1992" t="inlineStr">
        <is>
          <t>Nd</t>
        </is>
      </c>
      <c r="H1992">
        <f>'Floor Hours Engine'!$E$6</f>
        <v/>
      </c>
      <c r="I1992" t="inlineStr">
        <is>
          <t>W3</t>
        </is>
      </c>
      <c r="J1992" t="inlineStr">
        <is>
          <t>2026_Czerwiec_W3</t>
        </is>
      </c>
    </row>
    <row r="1993">
      <c r="A1993" s="177" t="n">
        <v>46188</v>
      </c>
      <c r="B1993" s="177" t="n">
        <v>46182</v>
      </c>
      <c r="C1993" s="177" t="n">
        <v>46188</v>
      </c>
      <c r="D1993" t="inlineStr">
        <is>
          <t>BW20260609</t>
        </is>
      </c>
      <c r="E1993" t="n">
        <v>2026</v>
      </c>
      <c r="F1993" t="inlineStr">
        <is>
          <t>Czerwiec</t>
        </is>
      </c>
      <c r="G1993" t="inlineStr">
        <is>
          <t>Pn</t>
        </is>
      </c>
      <c r="H1993">
        <f>'Floor Hours Engine'!$E$4</f>
        <v/>
      </c>
      <c r="I1993" t="inlineStr">
        <is>
          <t>W3</t>
        </is>
      </c>
      <c r="J1993" t="inlineStr">
        <is>
          <t>2026_Czerwiec_W3</t>
        </is>
      </c>
    </row>
    <row r="1994">
      <c r="A1994" s="177" t="n">
        <v>46189</v>
      </c>
      <c r="B1994" s="177" t="n">
        <v>46189</v>
      </c>
      <c r="C1994" s="177" t="n">
        <v>46195</v>
      </c>
      <c r="D1994" t="inlineStr">
        <is>
          <t>BW20260616</t>
        </is>
      </c>
      <c r="E1994" t="n">
        <v>2026</v>
      </c>
      <c r="F1994" t="inlineStr">
        <is>
          <t>Czerwiec</t>
        </is>
      </c>
      <c r="G1994" t="inlineStr">
        <is>
          <t>Wt</t>
        </is>
      </c>
      <c r="H1994">
        <f>'Floor Hours Engine'!$E$4</f>
        <v/>
      </c>
      <c r="I1994" t="inlineStr">
        <is>
          <t>W4</t>
        </is>
      </c>
      <c r="J1994" t="inlineStr">
        <is>
          <t>2026_Czerwiec_W4</t>
        </is>
      </c>
    </row>
    <row r="1995">
      <c r="A1995" s="177" t="n">
        <v>46190</v>
      </c>
      <c r="B1995" s="177" t="n">
        <v>46189</v>
      </c>
      <c r="C1995" s="177" t="n">
        <v>46195</v>
      </c>
      <c r="D1995" t="inlineStr">
        <is>
          <t>BW20260616</t>
        </is>
      </c>
      <c r="E1995" t="n">
        <v>2026</v>
      </c>
      <c r="F1995" t="inlineStr">
        <is>
          <t>Czerwiec</t>
        </is>
      </c>
      <c r="G1995" t="inlineStr">
        <is>
          <t>Śr</t>
        </is>
      </c>
      <c r="H1995">
        <f>'Floor Hours Engine'!$E$4</f>
        <v/>
      </c>
      <c r="I1995" t="inlineStr">
        <is>
          <t>W4</t>
        </is>
      </c>
      <c r="J1995" t="inlineStr">
        <is>
          <t>2026_Czerwiec_W4</t>
        </is>
      </c>
    </row>
    <row r="1996">
      <c r="A1996" s="177" t="n">
        <v>46191</v>
      </c>
      <c r="B1996" s="177" t="n">
        <v>46189</v>
      </c>
      <c r="C1996" s="177" t="n">
        <v>46195</v>
      </c>
      <c r="D1996" t="inlineStr">
        <is>
          <t>BW20260616</t>
        </is>
      </c>
      <c r="E1996" t="n">
        <v>2026</v>
      </c>
      <c r="F1996" t="inlineStr">
        <is>
          <t>Czerwiec</t>
        </is>
      </c>
      <c r="G1996" t="inlineStr">
        <is>
          <t>Czw</t>
        </is>
      </c>
      <c r="H1996">
        <f>'Floor Hours Engine'!$E$4</f>
        <v/>
      </c>
      <c r="I1996" t="inlineStr">
        <is>
          <t>W4</t>
        </is>
      </c>
      <c r="J1996" t="inlineStr">
        <is>
          <t>2026_Czerwiec_W4</t>
        </is>
      </c>
    </row>
    <row r="1997">
      <c r="A1997" s="177" t="n">
        <v>46192</v>
      </c>
      <c r="B1997" s="177" t="n">
        <v>46189</v>
      </c>
      <c r="C1997" s="177" t="n">
        <v>46195</v>
      </c>
      <c r="D1997" t="inlineStr">
        <is>
          <t>BW20260616</t>
        </is>
      </c>
      <c r="E1997" t="n">
        <v>2026</v>
      </c>
      <c r="F1997" t="inlineStr">
        <is>
          <t>Czerwiec</t>
        </is>
      </c>
      <c r="G1997" t="inlineStr">
        <is>
          <t>Pt</t>
        </is>
      </c>
      <c r="H1997">
        <f>'Floor Hours Engine'!$E$5</f>
        <v/>
      </c>
      <c r="I1997" t="inlineStr">
        <is>
          <t>W4</t>
        </is>
      </c>
      <c r="J1997" t="inlineStr">
        <is>
          <t>2026_Czerwiec_W4</t>
        </is>
      </c>
    </row>
    <row r="1998">
      <c r="A1998" s="177" t="n">
        <v>46193</v>
      </c>
      <c r="B1998" s="177" t="n">
        <v>46189</v>
      </c>
      <c r="C1998" s="177" t="n">
        <v>46195</v>
      </c>
      <c r="D1998" t="inlineStr">
        <is>
          <t>BW20260616</t>
        </is>
      </c>
      <c r="E1998" t="n">
        <v>2026</v>
      </c>
      <c r="F1998" t="inlineStr">
        <is>
          <t>Czerwiec</t>
        </is>
      </c>
      <c r="G1998" t="inlineStr">
        <is>
          <t>Sob</t>
        </is>
      </c>
      <c r="H1998">
        <f>'Floor Hours Engine'!$E$5</f>
        <v/>
      </c>
      <c r="I1998" t="inlineStr">
        <is>
          <t>W4</t>
        </is>
      </c>
      <c r="J1998" t="inlineStr">
        <is>
          <t>2026_Czerwiec_W4</t>
        </is>
      </c>
    </row>
    <row r="1999">
      <c r="A1999" s="177" t="n">
        <v>46194</v>
      </c>
      <c r="B1999" s="177" t="n">
        <v>46189</v>
      </c>
      <c r="C1999" s="177" t="n">
        <v>46195</v>
      </c>
      <c r="D1999" t="inlineStr">
        <is>
          <t>BW20260616</t>
        </is>
      </c>
      <c r="E1999" t="n">
        <v>2026</v>
      </c>
      <c r="F1999" t="inlineStr">
        <is>
          <t>Czerwiec</t>
        </is>
      </c>
      <c r="G1999" t="inlineStr">
        <is>
          <t>Nd</t>
        </is>
      </c>
      <c r="H1999">
        <f>'Floor Hours Engine'!$E$6</f>
        <v/>
      </c>
      <c r="I1999" t="inlineStr">
        <is>
          <t>W4</t>
        </is>
      </c>
      <c r="J1999" t="inlineStr">
        <is>
          <t>2026_Czerwiec_W4</t>
        </is>
      </c>
    </row>
    <row r="2000">
      <c r="A2000" s="177" t="n">
        <v>46195</v>
      </c>
      <c r="B2000" s="177" t="n">
        <v>46189</v>
      </c>
      <c r="C2000" s="177" t="n">
        <v>46195</v>
      </c>
      <c r="D2000" t="inlineStr">
        <is>
          <t>BW20260616</t>
        </is>
      </c>
      <c r="E2000" t="n">
        <v>2026</v>
      </c>
      <c r="F2000" t="inlineStr">
        <is>
          <t>Czerwiec</t>
        </is>
      </c>
      <c r="G2000" t="inlineStr">
        <is>
          <t>Pn</t>
        </is>
      </c>
      <c r="H2000">
        <f>'Floor Hours Engine'!$E$4</f>
        <v/>
      </c>
      <c r="I2000" t="inlineStr">
        <is>
          <t>W4</t>
        </is>
      </c>
      <c r="J2000" t="inlineStr">
        <is>
          <t>2026_Czerwiec_W4</t>
        </is>
      </c>
    </row>
    <row r="2001">
      <c r="A2001" s="177" t="n">
        <v>46196</v>
      </c>
      <c r="B2001" s="177" t="n">
        <v>46196</v>
      </c>
      <c r="C2001" s="177" t="n">
        <v>46202</v>
      </c>
      <c r="D2001" t="inlineStr">
        <is>
          <t>BW20260623</t>
        </is>
      </c>
      <c r="E2001" t="n">
        <v>2026</v>
      </c>
      <c r="F2001" t="inlineStr">
        <is>
          <t>Czerwiec</t>
        </is>
      </c>
      <c r="G2001" t="inlineStr">
        <is>
          <t>Wt</t>
        </is>
      </c>
      <c r="H2001">
        <f>'Floor Hours Engine'!$E$4</f>
        <v/>
      </c>
      <c r="I2001" t="inlineStr">
        <is>
          <t>W5</t>
        </is>
      </c>
      <c r="J2001" t="inlineStr">
        <is>
          <t>2026_Czerwiec_W5</t>
        </is>
      </c>
    </row>
    <row r="2002">
      <c r="A2002" s="177" t="n">
        <v>46197</v>
      </c>
      <c r="B2002" s="177" t="n">
        <v>46196</v>
      </c>
      <c r="C2002" s="177" t="n">
        <v>46202</v>
      </c>
      <c r="D2002" t="inlineStr">
        <is>
          <t>BW20260623</t>
        </is>
      </c>
      <c r="E2002" t="n">
        <v>2026</v>
      </c>
      <c r="F2002" t="inlineStr">
        <is>
          <t>Czerwiec</t>
        </is>
      </c>
      <c r="G2002" t="inlineStr">
        <is>
          <t>Śr</t>
        </is>
      </c>
      <c r="H2002">
        <f>'Floor Hours Engine'!$E$4</f>
        <v/>
      </c>
      <c r="I2002" t="inlineStr">
        <is>
          <t>W5</t>
        </is>
      </c>
      <c r="J2002" t="inlineStr">
        <is>
          <t>2026_Czerwiec_W5</t>
        </is>
      </c>
    </row>
    <row r="2003">
      <c r="A2003" s="177" t="n">
        <v>46198</v>
      </c>
      <c r="B2003" s="177" t="n">
        <v>46196</v>
      </c>
      <c r="C2003" s="177" t="n">
        <v>46202</v>
      </c>
      <c r="D2003" t="inlineStr">
        <is>
          <t>BW20260623</t>
        </is>
      </c>
      <c r="E2003" t="n">
        <v>2026</v>
      </c>
      <c r="F2003" t="inlineStr">
        <is>
          <t>Czerwiec</t>
        </is>
      </c>
      <c r="G2003" t="inlineStr">
        <is>
          <t>Czw</t>
        </is>
      </c>
      <c r="H2003">
        <f>'Floor Hours Engine'!$E$4</f>
        <v/>
      </c>
      <c r="I2003" t="inlineStr">
        <is>
          <t>W5</t>
        </is>
      </c>
      <c r="J2003" t="inlineStr">
        <is>
          <t>2026_Czerwiec_W5</t>
        </is>
      </c>
    </row>
    <row r="2004">
      <c r="A2004" s="177" t="n">
        <v>46199</v>
      </c>
      <c r="B2004" s="177" t="n">
        <v>46196</v>
      </c>
      <c r="C2004" s="177" t="n">
        <v>46202</v>
      </c>
      <c r="D2004" t="inlineStr">
        <is>
          <t>BW20260623</t>
        </is>
      </c>
      <c r="E2004" t="n">
        <v>2026</v>
      </c>
      <c r="F2004" t="inlineStr">
        <is>
          <t>Czerwiec</t>
        </is>
      </c>
      <c r="G2004" t="inlineStr">
        <is>
          <t>Pt</t>
        </is>
      </c>
      <c r="H2004">
        <f>'Floor Hours Engine'!$E$5</f>
        <v/>
      </c>
      <c r="I2004" t="inlineStr">
        <is>
          <t>W5</t>
        </is>
      </c>
      <c r="J2004" t="inlineStr">
        <is>
          <t>2026_Czerwiec_W5</t>
        </is>
      </c>
    </row>
    <row r="2005">
      <c r="A2005" s="177" t="n">
        <v>46200</v>
      </c>
      <c r="B2005" s="177" t="n">
        <v>46196</v>
      </c>
      <c r="C2005" s="177" t="n">
        <v>46202</v>
      </c>
      <c r="D2005" t="inlineStr">
        <is>
          <t>BW20260623</t>
        </is>
      </c>
      <c r="E2005" t="n">
        <v>2026</v>
      </c>
      <c r="F2005" t="inlineStr">
        <is>
          <t>Czerwiec</t>
        </is>
      </c>
      <c r="G2005" t="inlineStr">
        <is>
          <t>Sob</t>
        </is>
      </c>
      <c r="H2005">
        <f>'Floor Hours Engine'!$E$5</f>
        <v/>
      </c>
      <c r="I2005" t="inlineStr">
        <is>
          <t>W5</t>
        </is>
      </c>
      <c r="J2005" t="inlineStr">
        <is>
          <t>2026_Czerwiec_W5</t>
        </is>
      </c>
    </row>
    <row r="2006">
      <c r="A2006" s="177" t="n">
        <v>46201</v>
      </c>
      <c r="B2006" s="177" t="n">
        <v>46196</v>
      </c>
      <c r="C2006" s="177" t="n">
        <v>46202</v>
      </c>
      <c r="D2006" t="inlineStr">
        <is>
          <t>BW20260623</t>
        </is>
      </c>
      <c r="E2006" t="n">
        <v>2026</v>
      </c>
      <c r="F2006" t="inlineStr">
        <is>
          <t>Czerwiec</t>
        </is>
      </c>
      <c r="G2006" t="inlineStr">
        <is>
          <t>Nd</t>
        </is>
      </c>
      <c r="H2006">
        <f>'Floor Hours Engine'!$E$6</f>
        <v/>
      </c>
      <c r="I2006" t="inlineStr">
        <is>
          <t>W5</t>
        </is>
      </c>
      <c r="J2006" t="inlineStr">
        <is>
          <t>2026_Czerwiec_W5</t>
        </is>
      </c>
    </row>
    <row r="2007">
      <c r="A2007" s="177" t="n">
        <v>46202</v>
      </c>
      <c r="B2007" s="177" t="n">
        <v>46196</v>
      </c>
      <c r="C2007" s="177" t="n">
        <v>46202</v>
      </c>
      <c r="D2007" t="inlineStr">
        <is>
          <t>BW20260623</t>
        </is>
      </c>
      <c r="E2007" t="n">
        <v>2026</v>
      </c>
      <c r="F2007" t="inlineStr">
        <is>
          <t>Czerwiec</t>
        </is>
      </c>
      <c r="G2007" t="inlineStr">
        <is>
          <t>Pn</t>
        </is>
      </c>
      <c r="H2007">
        <f>'Floor Hours Engine'!$E$4</f>
        <v/>
      </c>
      <c r="I2007" t="inlineStr">
        <is>
          <t>W5</t>
        </is>
      </c>
      <c r="J2007" t="inlineStr">
        <is>
          <t>2026_Czerwiec_W5</t>
        </is>
      </c>
    </row>
    <row r="2008">
      <c r="A2008" s="177" t="n">
        <v>46203</v>
      </c>
      <c r="B2008" s="177" t="n">
        <v>46203</v>
      </c>
      <c r="C2008" s="177" t="n">
        <v>46209</v>
      </c>
      <c r="D2008" t="inlineStr">
        <is>
          <t>BW20260630</t>
        </is>
      </c>
      <c r="E2008" t="n">
        <v>2026</v>
      </c>
      <c r="F2008" t="inlineStr">
        <is>
          <t>Czerwiec</t>
        </is>
      </c>
      <c r="G2008" t="inlineStr">
        <is>
          <t>Wt</t>
        </is>
      </c>
      <c r="H2008">
        <f>'Floor Hours Engine'!$E$4</f>
        <v/>
      </c>
      <c r="I2008" t="inlineStr">
        <is>
          <t>W6</t>
        </is>
      </c>
      <c r="J2008" t="inlineStr">
        <is>
          <t>2026_Czerwiec_W6</t>
        </is>
      </c>
    </row>
    <row r="2009">
      <c r="A2009" s="177" t="n">
        <v>46204</v>
      </c>
      <c r="B2009" s="177" t="n">
        <v>46203</v>
      </c>
      <c r="C2009" s="177" t="n">
        <v>46209</v>
      </c>
      <c r="D2009" t="inlineStr">
        <is>
          <t>BW20260630</t>
        </is>
      </c>
      <c r="E2009" t="n">
        <v>2026</v>
      </c>
      <c r="F2009" t="inlineStr">
        <is>
          <t>Lipiec</t>
        </is>
      </c>
      <c r="G2009" t="inlineStr">
        <is>
          <t>Śr</t>
        </is>
      </c>
      <c r="H2009">
        <f>'Floor Hours Engine'!$E$4</f>
        <v/>
      </c>
      <c r="I2009" t="inlineStr">
        <is>
          <t>W1</t>
        </is>
      </c>
      <c r="J2009" t="inlineStr">
        <is>
          <t>2026_Lipiec_W1</t>
        </is>
      </c>
    </row>
    <row r="2010">
      <c r="A2010" s="177" t="n">
        <v>46205</v>
      </c>
      <c r="B2010" s="177" t="n">
        <v>46203</v>
      </c>
      <c r="C2010" s="177" t="n">
        <v>46209</v>
      </c>
      <c r="D2010" t="inlineStr">
        <is>
          <t>BW20260630</t>
        </is>
      </c>
      <c r="E2010" t="n">
        <v>2026</v>
      </c>
      <c r="F2010" t="inlineStr">
        <is>
          <t>Lipiec</t>
        </is>
      </c>
      <c r="G2010" t="inlineStr">
        <is>
          <t>Czw</t>
        </is>
      </c>
      <c r="H2010">
        <f>'Floor Hours Engine'!$E$4</f>
        <v/>
      </c>
      <c r="I2010" t="inlineStr">
        <is>
          <t>W1</t>
        </is>
      </c>
      <c r="J2010" t="inlineStr">
        <is>
          <t>2026_Lipiec_W1</t>
        </is>
      </c>
    </row>
    <row r="2011">
      <c r="A2011" s="177" t="n">
        <v>46206</v>
      </c>
      <c r="B2011" s="177" t="n">
        <v>46203</v>
      </c>
      <c r="C2011" s="177" t="n">
        <v>46209</v>
      </c>
      <c r="D2011" t="inlineStr">
        <is>
          <t>BW20260630</t>
        </is>
      </c>
      <c r="E2011" t="n">
        <v>2026</v>
      </c>
      <c r="F2011" t="inlineStr">
        <is>
          <t>Lipiec</t>
        </is>
      </c>
      <c r="G2011" t="inlineStr">
        <is>
          <t>Pt</t>
        </is>
      </c>
      <c r="H2011">
        <f>'Floor Hours Engine'!$E$5</f>
        <v/>
      </c>
      <c r="I2011" t="inlineStr">
        <is>
          <t>W1</t>
        </is>
      </c>
      <c r="J2011" t="inlineStr">
        <is>
          <t>2026_Lipiec_W1</t>
        </is>
      </c>
    </row>
    <row r="2012">
      <c r="A2012" s="177" t="n">
        <v>46207</v>
      </c>
      <c r="B2012" s="177" t="n">
        <v>46203</v>
      </c>
      <c r="C2012" s="177" t="n">
        <v>46209</v>
      </c>
      <c r="D2012" t="inlineStr">
        <is>
          <t>BW20260630</t>
        </is>
      </c>
      <c r="E2012" t="n">
        <v>2026</v>
      </c>
      <c r="F2012" t="inlineStr">
        <is>
          <t>Lipiec</t>
        </is>
      </c>
      <c r="G2012" t="inlineStr">
        <is>
          <t>Sob</t>
        </is>
      </c>
      <c r="H2012">
        <f>'Floor Hours Engine'!$E$5</f>
        <v/>
      </c>
      <c r="I2012" t="inlineStr">
        <is>
          <t>W1</t>
        </is>
      </c>
      <c r="J2012" t="inlineStr">
        <is>
          <t>2026_Lipiec_W1</t>
        </is>
      </c>
    </row>
    <row r="2013">
      <c r="A2013" s="177" t="n">
        <v>46208</v>
      </c>
      <c r="B2013" s="177" t="n">
        <v>46203</v>
      </c>
      <c r="C2013" s="177" t="n">
        <v>46209</v>
      </c>
      <c r="D2013" t="inlineStr">
        <is>
          <t>BW20260630</t>
        </is>
      </c>
      <c r="E2013" t="n">
        <v>2026</v>
      </c>
      <c r="F2013" t="inlineStr">
        <is>
          <t>Lipiec</t>
        </is>
      </c>
      <c r="G2013" t="inlineStr">
        <is>
          <t>Nd</t>
        </is>
      </c>
      <c r="H2013">
        <f>'Floor Hours Engine'!$E$6</f>
        <v/>
      </c>
      <c r="I2013" t="inlineStr">
        <is>
          <t>W1</t>
        </is>
      </c>
      <c r="J2013" t="inlineStr">
        <is>
          <t>2026_Lipiec_W1</t>
        </is>
      </c>
    </row>
    <row r="2014">
      <c r="A2014" s="177" t="n">
        <v>46209</v>
      </c>
      <c r="B2014" s="177" t="n">
        <v>46203</v>
      </c>
      <c r="C2014" s="177" t="n">
        <v>46209</v>
      </c>
      <c r="D2014" t="inlineStr">
        <is>
          <t>BW20260630</t>
        </is>
      </c>
      <c r="E2014" t="n">
        <v>2026</v>
      </c>
      <c r="F2014" t="inlineStr">
        <is>
          <t>Lipiec</t>
        </is>
      </c>
      <c r="G2014" t="inlineStr">
        <is>
          <t>Pn</t>
        </is>
      </c>
      <c r="H2014">
        <f>'Floor Hours Engine'!$E$4</f>
        <v/>
      </c>
      <c r="I2014" t="inlineStr">
        <is>
          <t>W1</t>
        </is>
      </c>
      <c r="J2014" t="inlineStr">
        <is>
          <t>2026_Lipiec_W1</t>
        </is>
      </c>
    </row>
    <row r="2015">
      <c r="A2015" s="177" t="n">
        <v>46210</v>
      </c>
      <c r="B2015" s="177" t="n">
        <v>46210</v>
      </c>
      <c r="C2015" s="177" t="n">
        <v>46216</v>
      </c>
      <c r="D2015" t="inlineStr">
        <is>
          <t>BW20260707</t>
        </is>
      </c>
      <c r="E2015" t="n">
        <v>2026</v>
      </c>
      <c r="F2015" t="inlineStr">
        <is>
          <t>Lipiec</t>
        </is>
      </c>
      <c r="G2015" t="inlineStr">
        <is>
          <t>Wt</t>
        </is>
      </c>
      <c r="H2015">
        <f>'Floor Hours Engine'!$E$4</f>
        <v/>
      </c>
      <c r="I2015" t="inlineStr">
        <is>
          <t>W2</t>
        </is>
      </c>
      <c r="J2015" t="inlineStr">
        <is>
          <t>2026_Lipiec_W2</t>
        </is>
      </c>
    </row>
    <row r="2016">
      <c r="A2016" s="177" t="n">
        <v>46211</v>
      </c>
      <c r="B2016" s="177" t="n">
        <v>46210</v>
      </c>
      <c r="C2016" s="177" t="n">
        <v>46216</v>
      </c>
      <c r="D2016" t="inlineStr">
        <is>
          <t>BW20260707</t>
        </is>
      </c>
      <c r="E2016" t="n">
        <v>2026</v>
      </c>
      <c r="F2016" t="inlineStr">
        <is>
          <t>Lipiec</t>
        </is>
      </c>
      <c r="G2016" t="inlineStr">
        <is>
          <t>Śr</t>
        </is>
      </c>
      <c r="H2016">
        <f>'Floor Hours Engine'!$E$4</f>
        <v/>
      </c>
      <c r="I2016" t="inlineStr">
        <is>
          <t>W2</t>
        </is>
      </c>
      <c r="J2016" t="inlineStr">
        <is>
          <t>2026_Lipiec_W2</t>
        </is>
      </c>
    </row>
    <row r="2017">
      <c r="A2017" s="177" t="n">
        <v>46212</v>
      </c>
      <c r="B2017" s="177" t="n">
        <v>46210</v>
      </c>
      <c r="C2017" s="177" t="n">
        <v>46216</v>
      </c>
      <c r="D2017" t="inlineStr">
        <is>
          <t>BW20260707</t>
        </is>
      </c>
      <c r="E2017" t="n">
        <v>2026</v>
      </c>
      <c r="F2017" t="inlineStr">
        <is>
          <t>Lipiec</t>
        </is>
      </c>
      <c r="G2017" t="inlineStr">
        <is>
          <t>Czw</t>
        </is>
      </c>
      <c r="H2017">
        <f>'Floor Hours Engine'!$E$4</f>
        <v/>
      </c>
      <c r="I2017" t="inlineStr">
        <is>
          <t>W2</t>
        </is>
      </c>
      <c r="J2017" t="inlineStr">
        <is>
          <t>2026_Lipiec_W2</t>
        </is>
      </c>
    </row>
    <row r="2018">
      <c r="A2018" s="177" t="n">
        <v>46213</v>
      </c>
      <c r="B2018" s="177" t="n">
        <v>46210</v>
      </c>
      <c r="C2018" s="177" t="n">
        <v>46216</v>
      </c>
      <c r="D2018" t="inlineStr">
        <is>
          <t>BW20260707</t>
        </is>
      </c>
      <c r="E2018" t="n">
        <v>2026</v>
      </c>
      <c r="F2018" t="inlineStr">
        <is>
          <t>Lipiec</t>
        </is>
      </c>
      <c r="G2018" t="inlineStr">
        <is>
          <t>Pt</t>
        </is>
      </c>
      <c r="H2018">
        <f>'Floor Hours Engine'!$E$5</f>
        <v/>
      </c>
      <c r="I2018" t="inlineStr">
        <is>
          <t>W2</t>
        </is>
      </c>
      <c r="J2018" t="inlineStr">
        <is>
          <t>2026_Lipiec_W2</t>
        </is>
      </c>
    </row>
    <row r="2019">
      <c r="A2019" s="177" t="n">
        <v>46214</v>
      </c>
      <c r="B2019" s="177" t="n">
        <v>46210</v>
      </c>
      <c r="C2019" s="177" t="n">
        <v>46216</v>
      </c>
      <c r="D2019" t="inlineStr">
        <is>
          <t>BW20260707</t>
        </is>
      </c>
      <c r="E2019" t="n">
        <v>2026</v>
      </c>
      <c r="F2019" t="inlineStr">
        <is>
          <t>Lipiec</t>
        </is>
      </c>
      <c r="G2019" t="inlineStr">
        <is>
          <t>Sob</t>
        </is>
      </c>
      <c r="H2019">
        <f>'Floor Hours Engine'!$E$5</f>
        <v/>
      </c>
      <c r="I2019" t="inlineStr">
        <is>
          <t>W2</t>
        </is>
      </c>
      <c r="J2019" t="inlineStr">
        <is>
          <t>2026_Lipiec_W2</t>
        </is>
      </c>
    </row>
    <row r="2020">
      <c r="A2020" s="177" t="n">
        <v>46215</v>
      </c>
      <c r="B2020" s="177" t="n">
        <v>46210</v>
      </c>
      <c r="C2020" s="177" t="n">
        <v>46216</v>
      </c>
      <c r="D2020" t="inlineStr">
        <is>
          <t>BW20260707</t>
        </is>
      </c>
      <c r="E2020" t="n">
        <v>2026</v>
      </c>
      <c r="F2020" t="inlineStr">
        <is>
          <t>Lipiec</t>
        </is>
      </c>
      <c r="G2020" t="inlineStr">
        <is>
          <t>Nd</t>
        </is>
      </c>
      <c r="H2020">
        <f>'Floor Hours Engine'!$E$6</f>
        <v/>
      </c>
      <c r="I2020" t="inlineStr">
        <is>
          <t>W2</t>
        </is>
      </c>
      <c r="J2020" t="inlineStr">
        <is>
          <t>2026_Lipiec_W2</t>
        </is>
      </c>
    </row>
    <row r="2021">
      <c r="A2021" s="177" t="n">
        <v>46216</v>
      </c>
      <c r="B2021" s="177" t="n">
        <v>46210</v>
      </c>
      <c r="C2021" s="177" t="n">
        <v>46216</v>
      </c>
      <c r="D2021" t="inlineStr">
        <is>
          <t>BW20260707</t>
        </is>
      </c>
      <c r="E2021" t="n">
        <v>2026</v>
      </c>
      <c r="F2021" t="inlineStr">
        <is>
          <t>Lipiec</t>
        </is>
      </c>
      <c r="G2021" t="inlineStr">
        <is>
          <t>Pn</t>
        </is>
      </c>
      <c r="H2021">
        <f>'Floor Hours Engine'!$E$4</f>
        <v/>
      </c>
      <c r="I2021" t="inlineStr">
        <is>
          <t>W2</t>
        </is>
      </c>
      <c r="J2021" t="inlineStr">
        <is>
          <t>2026_Lipiec_W2</t>
        </is>
      </c>
    </row>
    <row r="2022">
      <c r="A2022" s="177" t="n">
        <v>46217</v>
      </c>
      <c r="B2022" s="177" t="n">
        <v>46217</v>
      </c>
      <c r="C2022" s="177" t="n">
        <v>46223</v>
      </c>
      <c r="D2022" t="inlineStr">
        <is>
          <t>BW20260714</t>
        </is>
      </c>
      <c r="E2022" t="n">
        <v>2026</v>
      </c>
      <c r="F2022" t="inlineStr">
        <is>
          <t>Lipiec</t>
        </is>
      </c>
      <c r="G2022" t="inlineStr">
        <is>
          <t>Wt</t>
        </is>
      </c>
      <c r="H2022">
        <f>'Floor Hours Engine'!$E$4</f>
        <v/>
      </c>
      <c r="I2022" t="inlineStr">
        <is>
          <t>W3</t>
        </is>
      </c>
      <c r="J2022" t="inlineStr">
        <is>
          <t>2026_Lipiec_W3</t>
        </is>
      </c>
    </row>
    <row r="2023">
      <c r="A2023" s="177" t="n">
        <v>46218</v>
      </c>
      <c r="B2023" s="177" t="n">
        <v>46217</v>
      </c>
      <c r="C2023" s="177" t="n">
        <v>46223</v>
      </c>
      <c r="D2023" t="inlineStr">
        <is>
          <t>BW20260714</t>
        </is>
      </c>
      <c r="E2023" t="n">
        <v>2026</v>
      </c>
      <c r="F2023" t="inlineStr">
        <is>
          <t>Lipiec</t>
        </is>
      </c>
      <c r="G2023" t="inlineStr">
        <is>
          <t>Śr</t>
        </is>
      </c>
      <c r="H2023">
        <f>'Floor Hours Engine'!$E$4</f>
        <v/>
      </c>
      <c r="I2023" t="inlineStr">
        <is>
          <t>W3</t>
        </is>
      </c>
      <c r="J2023" t="inlineStr">
        <is>
          <t>2026_Lipiec_W3</t>
        </is>
      </c>
    </row>
    <row r="2024">
      <c r="A2024" s="177" t="n">
        <v>46219</v>
      </c>
      <c r="B2024" s="177" t="n">
        <v>46217</v>
      </c>
      <c r="C2024" s="177" t="n">
        <v>46223</v>
      </c>
      <c r="D2024" t="inlineStr">
        <is>
          <t>BW20260714</t>
        </is>
      </c>
      <c r="E2024" t="n">
        <v>2026</v>
      </c>
      <c r="F2024" t="inlineStr">
        <is>
          <t>Lipiec</t>
        </is>
      </c>
      <c r="G2024" t="inlineStr">
        <is>
          <t>Czw</t>
        </is>
      </c>
      <c r="H2024">
        <f>'Floor Hours Engine'!$E$4</f>
        <v/>
      </c>
      <c r="I2024" t="inlineStr">
        <is>
          <t>W3</t>
        </is>
      </c>
      <c r="J2024" t="inlineStr">
        <is>
          <t>2026_Lipiec_W3</t>
        </is>
      </c>
    </row>
    <row r="2025">
      <c r="A2025" s="177" t="n">
        <v>46220</v>
      </c>
      <c r="B2025" s="177" t="n">
        <v>46217</v>
      </c>
      <c r="C2025" s="177" t="n">
        <v>46223</v>
      </c>
      <c r="D2025" t="inlineStr">
        <is>
          <t>BW20260714</t>
        </is>
      </c>
      <c r="E2025" t="n">
        <v>2026</v>
      </c>
      <c r="F2025" t="inlineStr">
        <is>
          <t>Lipiec</t>
        </is>
      </c>
      <c r="G2025" t="inlineStr">
        <is>
          <t>Pt</t>
        </is>
      </c>
      <c r="H2025">
        <f>'Floor Hours Engine'!$E$5</f>
        <v/>
      </c>
      <c r="I2025" t="inlineStr">
        <is>
          <t>W3</t>
        </is>
      </c>
      <c r="J2025" t="inlineStr">
        <is>
          <t>2026_Lipiec_W3</t>
        </is>
      </c>
    </row>
    <row r="2026">
      <c r="A2026" s="177" t="n">
        <v>46221</v>
      </c>
      <c r="B2026" s="177" t="n">
        <v>46217</v>
      </c>
      <c r="C2026" s="177" t="n">
        <v>46223</v>
      </c>
      <c r="D2026" t="inlineStr">
        <is>
          <t>BW20260714</t>
        </is>
      </c>
      <c r="E2026" t="n">
        <v>2026</v>
      </c>
      <c r="F2026" t="inlineStr">
        <is>
          <t>Lipiec</t>
        </is>
      </c>
      <c r="G2026" t="inlineStr">
        <is>
          <t>Sob</t>
        </is>
      </c>
      <c r="H2026">
        <f>'Floor Hours Engine'!$E$5</f>
        <v/>
      </c>
      <c r="I2026" t="inlineStr">
        <is>
          <t>W3</t>
        </is>
      </c>
      <c r="J2026" t="inlineStr">
        <is>
          <t>2026_Lipiec_W3</t>
        </is>
      </c>
    </row>
    <row r="2027">
      <c r="A2027" s="177" t="n">
        <v>46222</v>
      </c>
      <c r="B2027" s="177" t="n">
        <v>46217</v>
      </c>
      <c r="C2027" s="177" t="n">
        <v>46223</v>
      </c>
      <c r="D2027" t="inlineStr">
        <is>
          <t>BW20260714</t>
        </is>
      </c>
      <c r="E2027" t="n">
        <v>2026</v>
      </c>
      <c r="F2027" t="inlineStr">
        <is>
          <t>Lipiec</t>
        </is>
      </c>
      <c r="G2027" t="inlineStr">
        <is>
          <t>Nd</t>
        </is>
      </c>
      <c r="H2027">
        <f>'Floor Hours Engine'!$E$6</f>
        <v/>
      </c>
      <c r="I2027" t="inlineStr">
        <is>
          <t>W3</t>
        </is>
      </c>
      <c r="J2027" t="inlineStr">
        <is>
          <t>2026_Lipiec_W3</t>
        </is>
      </c>
    </row>
    <row r="2028">
      <c r="A2028" s="177" t="n">
        <v>46223</v>
      </c>
      <c r="B2028" s="177" t="n">
        <v>46217</v>
      </c>
      <c r="C2028" s="177" t="n">
        <v>46223</v>
      </c>
      <c r="D2028" t="inlineStr">
        <is>
          <t>BW20260714</t>
        </is>
      </c>
      <c r="E2028" t="n">
        <v>2026</v>
      </c>
      <c r="F2028" t="inlineStr">
        <is>
          <t>Lipiec</t>
        </is>
      </c>
      <c r="G2028" t="inlineStr">
        <is>
          <t>Pn</t>
        </is>
      </c>
      <c r="H2028">
        <f>'Floor Hours Engine'!$E$4</f>
        <v/>
      </c>
      <c r="I2028" t="inlineStr">
        <is>
          <t>W3</t>
        </is>
      </c>
      <c r="J2028" t="inlineStr">
        <is>
          <t>2026_Lipiec_W3</t>
        </is>
      </c>
    </row>
    <row r="2029">
      <c r="A2029" s="177" t="n">
        <v>46224</v>
      </c>
      <c r="B2029" s="177" t="n">
        <v>46224</v>
      </c>
      <c r="C2029" s="177" t="n">
        <v>46230</v>
      </c>
      <c r="D2029" t="inlineStr">
        <is>
          <t>BW20260721</t>
        </is>
      </c>
      <c r="E2029" t="n">
        <v>2026</v>
      </c>
      <c r="F2029" t="inlineStr">
        <is>
          <t>Lipiec</t>
        </is>
      </c>
      <c r="G2029" t="inlineStr">
        <is>
          <t>Wt</t>
        </is>
      </c>
      <c r="H2029">
        <f>'Floor Hours Engine'!$E$4</f>
        <v/>
      </c>
      <c r="I2029" t="inlineStr">
        <is>
          <t>W4</t>
        </is>
      </c>
      <c r="J2029" t="inlineStr">
        <is>
          <t>2026_Lipiec_W4</t>
        </is>
      </c>
    </row>
    <row r="2030">
      <c r="A2030" s="177" t="n">
        <v>46225</v>
      </c>
      <c r="B2030" s="177" t="n">
        <v>46224</v>
      </c>
      <c r="C2030" s="177" t="n">
        <v>46230</v>
      </c>
      <c r="D2030" t="inlineStr">
        <is>
          <t>BW20260721</t>
        </is>
      </c>
      <c r="E2030" t="n">
        <v>2026</v>
      </c>
      <c r="F2030" t="inlineStr">
        <is>
          <t>Lipiec</t>
        </is>
      </c>
      <c r="G2030" t="inlineStr">
        <is>
          <t>Śr</t>
        </is>
      </c>
      <c r="H2030">
        <f>'Floor Hours Engine'!$E$4</f>
        <v/>
      </c>
      <c r="I2030" t="inlineStr">
        <is>
          <t>W4</t>
        </is>
      </c>
      <c r="J2030" t="inlineStr">
        <is>
          <t>2026_Lipiec_W4</t>
        </is>
      </c>
    </row>
    <row r="2031">
      <c r="A2031" s="177" t="n">
        <v>46226</v>
      </c>
      <c r="B2031" s="177" t="n">
        <v>46224</v>
      </c>
      <c r="C2031" s="177" t="n">
        <v>46230</v>
      </c>
      <c r="D2031" t="inlineStr">
        <is>
          <t>BW20260721</t>
        </is>
      </c>
      <c r="E2031" t="n">
        <v>2026</v>
      </c>
      <c r="F2031" t="inlineStr">
        <is>
          <t>Lipiec</t>
        </is>
      </c>
      <c r="G2031" t="inlineStr">
        <is>
          <t>Czw</t>
        </is>
      </c>
      <c r="H2031">
        <f>'Floor Hours Engine'!$E$4</f>
        <v/>
      </c>
      <c r="I2031" t="inlineStr">
        <is>
          <t>W4</t>
        </is>
      </c>
      <c r="J2031" t="inlineStr">
        <is>
          <t>2026_Lipiec_W4</t>
        </is>
      </c>
    </row>
    <row r="2032">
      <c r="A2032" s="177" t="n">
        <v>46227</v>
      </c>
      <c r="B2032" s="177" t="n">
        <v>46224</v>
      </c>
      <c r="C2032" s="177" t="n">
        <v>46230</v>
      </c>
      <c r="D2032" t="inlineStr">
        <is>
          <t>BW20260721</t>
        </is>
      </c>
      <c r="E2032" t="n">
        <v>2026</v>
      </c>
      <c r="F2032" t="inlineStr">
        <is>
          <t>Lipiec</t>
        </is>
      </c>
      <c r="G2032" t="inlineStr">
        <is>
          <t>Pt</t>
        </is>
      </c>
      <c r="H2032">
        <f>'Floor Hours Engine'!$E$5</f>
        <v/>
      </c>
      <c r="I2032" t="inlineStr">
        <is>
          <t>W4</t>
        </is>
      </c>
      <c r="J2032" t="inlineStr">
        <is>
          <t>2026_Lipiec_W4</t>
        </is>
      </c>
    </row>
    <row r="2033">
      <c r="A2033" s="177" t="n">
        <v>46228</v>
      </c>
      <c r="B2033" s="177" t="n">
        <v>46224</v>
      </c>
      <c r="C2033" s="177" t="n">
        <v>46230</v>
      </c>
      <c r="D2033" t="inlineStr">
        <is>
          <t>BW20260721</t>
        </is>
      </c>
      <c r="E2033" t="n">
        <v>2026</v>
      </c>
      <c r="F2033" t="inlineStr">
        <is>
          <t>Lipiec</t>
        </is>
      </c>
      <c r="G2033" t="inlineStr">
        <is>
          <t>Sob</t>
        </is>
      </c>
      <c r="H2033">
        <f>'Floor Hours Engine'!$E$5</f>
        <v/>
      </c>
      <c r="I2033" t="inlineStr">
        <is>
          <t>W4</t>
        </is>
      </c>
      <c r="J2033" t="inlineStr">
        <is>
          <t>2026_Lipiec_W4</t>
        </is>
      </c>
    </row>
    <row r="2034">
      <c r="A2034" s="177" t="n">
        <v>46229</v>
      </c>
      <c r="B2034" s="177" t="n">
        <v>46224</v>
      </c>
      <c r="C2034" s="177" t="n">
        <v>46230</v>
      </c>
      <c r="D2034" t="inlineStr">
        <is>
          <t>BW20260721</t>
        </is>
      </c>
      <c r="E2034" t="n">
        <v>2026</v>
      </c>
      <c r="F2034" t="inlineStr">
        <is>
          <t>Lipiec</t>
        </is>
      </c>
      <c r="G2034" t="inlineStr">
        <is>
          <t>Nd</t>
        </is>
      </c>
      <c r="H2034">
        <f>'Floor Hours Engine'!$E$6</f>
        <v/>
      </c>
      <c r="I2034" t="inlineStr">
        <is>
          <t>W4</t>
        </is>
      </c>
      <c r="J2034" t="inlineStr">
        <is>
          <t>2026_Lipiec_W4</t>
        </is>
      </c>
    </row>
    <row r="2035">
      <c r="A2035" s="177" t="n">
        <v>46230</v>
      </c>
      <c r="B2035" s="177" t="n">
        <v>46224</v>
      </c>
      <c r="C2035" s="177" t="n">
        <v>46230</v>
      </c>
      <c r="D2035" t="inlineStr">
        <is>
          <t>BW20260721</t>
        </is>
      </c>
      <c r="E2035" t="n">
        <v>2026</v>
      </c>
      <c r="F2035" t="inlineStr">
        <is>
          <t>Lipiec</t>
        </is>
      </c>
      <c r="G2035" t="inlineStr">
        <is>
          <t>Pn</t>
        </is>
      </c>
      <c r="H2035">
        <f>'Floor Hours Engine'!$E$4</f>
        <v/>
      </c>
      <c r="I2035" t="inlineStr">
        <is>
          <t>W4</t>
        </is>
      </c>
      <c r="J2035" t="inlineStr">
        <is>
          <t>2026_Lipiec_W4</t>
        </is>
      </c>
    </row>
    <row r="2036">
      <c r="A2036" s="177" t="n">
        <v>46231</v>
      </c>
      <c r="B2036" s="177" t="n">
        <v>46231</v>
      </c>
      <c r="C2036" s="177" t="n">
        <v>46237</v>
      </c>
      <c r="D2036" t="inlineStr">
        <is>
          <t>BW20260728</t>
        </is>
      </c>
      <c r="E2036" t="n">
        <v>2026</v>
      </c>
      <c r="F2036" t="inlineStr">
        <is>
          <t>Lipiec</t>
        </is>
      </c>
      <c r="G2036" t="inlineStr">
        <is>
          <t>Wt</t>
        </is>
      </c>
      <c r="H2036">
        <f>'Floor Hours Engine'!$E$4</f>
        <v/>
      </c>
      <c r="I2036" t="inlineStr">
        <is>
          <t>W5</t>
        </is>
      </c>
      <c r="J2036" t="inlineStr">
        <is>
          <t>2026_Lipiec_W5</t>
        </is>
      </c>
    </row>
    <row r="2037">
      <c r="A2037" s="177" t="n">
        <v>46232</v>
      </c>
      <c r="B2037" s="177" t="n">
        <v>46231</v>
      </c>
      <c r="C2037" s="177" t="n">
        <v>46237</v>
      </c>
      <c r="D2037" t="inlineStr">
        <is>
          <t>BW20260728</t>
        </is>
      </c>
      <c r="E2037" t="n">
        <v>2026</v>
      </c>
      <c r="F2037" t="inlineStr">
        <is>
          <t>Lipiec</t>
        </is>
      </c>
      <c r="G2037" t="inlineStr">
        <is>
          <t>Śr</t>
        </is>
      </c>
      <c r="H2037">
        <f>'Floor Hours Engine'!$E$4</f>
        <v/>
      </c>
      <c r="I2037" t="inlineStr">
        <is>
          <t>W5</t>
        </is>
      </c>
      <c r="J2037" t="inlineStr">
        <is>
          <t>2026_Lipiec_W5</t>
        </is>
      </c>
    </row>
    <row r="2038">
      <c r="A2038" s="177" t="n">
        <v>46233</v>
      </c>
      <c r="B2038" s="177" t="n">
        <v>46231</v>
      </c>
      <c r="C2038" s="177" t="n">
        <v>46237</v>
      </c>
      <c r="D2038" t="inlineStr">
        <is>
          <t>BW20260728</t>
        </is>
      </c>
      <c r="E2038" t="n">
        <v>2026</v>
      </c>
      <c r="F2038" t="inlineStr">
        <is>
          <t>Lipiec</t>
        </is>
      </c>
      <c r="G2038" t="inlineStr">
        <is>
          <t>Czw</t>
        </is>
      </c>
      <c r="H2038">
        <f>'Floor Hours Engine'!$E$4</f>
        <v/>
      </c>
      <c r="I2038" t="inlineStr">
        <is>
          <t>W5</t>
        </is>
      </c>
      <c r="J2038" t="inlineStr">
        <is>
          <t>2026_Lipiec_W5</t>
        </is>
      </c>
    </row>
    <row r="2039">
      <c r="A2039" s="177" t="n">
        <v>46234</v>
      </c>
      <c r="B2039" s="177" t="n">
        <v>46231</v>
      </c>
      <c r="C2039" s="177" t="n">
        <v>46237</v>
      </c>
      <c r="D2039" t="inlineStr">
        <is>
          <t>BW20260728</t>
        </is>
      </c>
      <c r="E2039" t="n">
        <v>2026</v>
      </c>
      <c r="F2039" t="inlineStr">
        <is>
          <t>Lipiec</t>
        </is>
      </c>
      <c r="G2039" t="inlineStr">
        <is>
          <t>Pt</t>
        </is>
      </c>
      <c r="H2039">
        <f>'Floor Hours Engine'!$E$5</f>
        <v/>
      </c>
      <c r="I2039" t="inlineStr">
        <is>
          <t>W5</t>
        </is>
      </c>
      <c r="J2039" t="inlineStr">
        <is>
          <t>2026_Lipiec_W5</t>
        </is>
      </c>
    </row>
    <row r="2040">
      <c r="A2040" s="177" t="n">
        <v>46235</v>
      </c>
      <c r="B2040" s="177" t="n">
        <v>46231</v>
      </c>
      <c r="C2040" s="177" t="n">
        <v>46237</v>
      </c>
      <c r="D2040" t="inlineStr">
        <is>
          <t>BW20260728</t>
        </is>
      </c>
      <c r="E2040" t="n">
        <v>2026</v>
      </c>
      <c r="F2040" t="inlineStr">
        <is>
          <t>Sierpień</t>
        </is>
      </c>
      <c r="G2040" t="inlineStr">
        <is>
          <t>Sob</t>
        </is>
      </c>
      <c r="H2040">
        <f>'Floor Hours Engine'!$E$5</f>
        <v/>
      </c>
      <c r="I2040" t="inlineStr">
        <is>
          <t>W1</t>
        </is>
      </c>
      <c r="J2040" t="inlineStr">
        <is>
          <t>2026_Sierpień_W1</t>
        </is>
      </c>
    </row>
    <row r="2041">
      <c r="A2041" s="177" t="n">
        <v>46236</v>
      </c>
      <c r="B2041" s="177" t="n">
        <v>46231</v>
      </c>
      <c r="C2041" s="177" t="n">
        <v>46237</v>
      </c>
      <c r="D2041" t="inlineStr">
        <is>
          <t>BW20260728</t>
        </is>
      </c>
      <c r="E2041" t="n">
        <v>2026</v>
      </c>
      <c r="F2041" t="inlineStr">
        <is>
          <t>Sierpień</t>
        </is>
      </c>
      <c r="G2041" t="inlineStr">
        <is>
          <t>Nd</t>
        </is>
      </c>
      <c r="H2041">
        <f>'Floor Hours Engine'!$E$6</f>
        <v/>
      </c>
      <c r="I2041" t="inlineStr">
        <is>
          <t>W1</t>
        </is>
      </c>
      <c r="J2041" t="inlineStr">
        <is>
          <t>2026_Sierpień_W1</t>
        </is>
      </c>
    </row>
    <row r="2042">
      <c r="A2042" s="177" t="n">
        <v>46237</v>
      </c>
      <c r="B2042" s="177" t="n">
        <v>46231</v>
      </c>
      <c r="C2042" s="177" t="n">
        <v>46237</v>
      </c>
      <c r="D2042" t="inlineStr">
        <is>
          <t>BW20260728</t>
        </is>
      </c>
      <c r="E2042" t="n">
        <v>2026</v>
      </c>
      <c r="F2042" t="inlineStr">
        <is>
          <t>Sierpień</t>
        </is>
      </c>
      <c r="G2042" t="inlineStr">
        <is>
          <t>Pn</t>
        </is>
      </c>
      <c r="H2042">
        <f>'Floor Hours Engine'!$E$4</f>
        <v/>
      </c>
      <c r="I2042" t="inlineStr">
        <is>
          <t>W1</t>
        </is>
      </c>
      <c r="J2042" t="inlineStr">
        <is>
          <t>2026_Sierpień_W1</t>
        </is>
      </c>
    </row>
    <row r="2043">
      <c r="A2043" s="177" t="n">
        <v>46238</v>
      </c>
      <c r="B2043" s="177" t="n">
        <v>46238</v>
      </c>
      <c r="C2043" s="177" t="n">
        <v>46244</v>
      </c>
      <c r="D2043" t="inlineStr">
        <is>
          <t>BW20260804</t>
        </is>
      </c>
      <c r="E2043" t="n">
        <v>2026</v>
      </c>
      <c r="F2043" t="inlineStr">
        <is>
          <t>Sierpień</t>
        </is>
      </c>
      <c r="G2043" t="inlineStr">
        <is>
          <t>Wt</t>
        </is>
      </c>
      <c r="H2043">
        <f>'Floor Hours Engine'!$E$4</f>
        <v/>
      </c>
      <c r="I2043" t="inlineStr">
        <is>
          <t>W2</t>
        </is>
      </c>
      <c r="J2043" t="inlineStr">
        <is>
          <t>2026_Sierpień_W2</t>
        </is>
      </c>
    </row>
    <row r="2044">
      <c r="A2044" s="177" t="n">
        <v>46239</v>
      </c>
      <c r="B2044" s="177" t="n">
        <v>46238</v>
      </c>
      <c r="C2044" s="177" t="n">
        <v>46244</v>
      </c>
      <c r="D2044" t="inlineStr">
        <is>
          <t>BW20260804</t>
        </is>
      </c>
      <c r="E2044" t="n">
        <v>2026</v>
      </c>
      <c r="F2044" t="inlineStr">
        <is>
          <t>Sierpień</t>
        </is>
      </c>
      <c r="G2044" t="inlineStr">
        <is>
          <t>Śr</t>
        </is>
      </c>
      <c r="H2044">
        <f>'Floor Hours Engine'!$E$4</f>
        <v/>
      </c>
      <c r="I2044" t="inlineStr">
        <is>
          <t>W2</t>
        </is>
      </c>
      <c r="J2044" t="inlineStr">
        <is>
          <t>2026_Sierpień_W2</t>
        </is>
      </c>
    </row>
    <row r="2045">
      <c r="A2045" s="177" t="n">
        <v>46240</v>
      </c>
      <c r="B2045" s="177" t="n">
        <v>46238</v>
      </c>
      <c r="C2045" s="177" t="n">
        <v>46244</v>
      </c>
      <c r="D2045" t="inlineStr">
        <is>
          <t>BW20260804</t>
        </is>
      </c>
      <c r="E2045" t="n">
        <v>2026</v>
      </c>
      <c r="F2045" t="inlineStr">
        <is>
          <t>Sierpień</t>
        </is>
      </c>
      <c r="G2045" t="inlineStr">
        <is>
          <t>Czw</t>
        </is>
      </c>
      <c r="H2045">
        <f>'Floor Hours Engine'!$E$4</f>
        <v/>
      </c>
      <c r="I2045" t="inlineStr">
        <is>
          <t>W2</t>
        </is>
      </c>
      <c r="J2045" t="inlineStr">
        <is>
          <t>2026_Sierpień_W2</t>
        </is>
      </c>
    </row>
    <row r="2046">
      <c r="A2046" s="177" t="n">
        <v>46241</v>
      </c>
      <c r="B2046" s="177" t="n">
        <v>46238</v>
      </c>
      <c r="C2046" s="177" t="n">
        <v>46244</v>
      </c>
      <c r="D2046" t="inlineStr">
        <is>
          <t>BW20260804</t>
        </is>
      </c>
      <c r="E2046" t="n">
        <v>2026</v>
      </c>
      <c r="F2046" t="inlineStr">
        <is>
          <t>Sierpień</t>
        </is>
      </c>
      <c r="G2046" t="inlineStr">
        <is>
          <t>Pt</t>
        </is>
      </c>
      <c r="H2046">
        <f>'Floor Hours Engine'!$E$5</f>
        <v/>
      </c>
      <c r="I2046" t="inlineStr">
        <is>
          <t>W2</t>
        </is>
      </c>
      <c r="J2046" t="inlineStr">
        <is>
          <t>2026_Sierpień_W2</t>
        </is>
      </c>
    </row>
    <row r="2047">
      <c r="A2047" s="177" t="n">
        <v>46242</v>
      </c>
      <c r="B2047" s="177" t="n">
        <v>46238</v>
      </c>
      <c r="C2047" s="177" t="n">
        <v>46244</v>
      </c>
      <c r="D2047" t="inlineStr">
        <is>
          <t>BW20260804</t>
        </is>
      </c>
      <c r="E2047" t="n">
        <v>2026</v>
      </c>
      <c r="F2047" t="inlineStr">
        <is>
          <t>Sierpień</t>
        </is>
      </c>
      <c r="G2047" t="inlineStr">
        <is>
          <t>Sob</t>
        </is>
      </c>
      <c r="H2047">
        <f>'Floor Hours Engine'!$E$5</f>
        <v/>
      </c>
      <c r="I2047" t="inlineStr">
        <is>
          <t>W2</t>
        </is>
      </c>
      <c r="J2047" t="inlineStr">
        <is>
          <t>2026_Sierpień_W2</t>
        </is>
      </c>
    </row>
    <row r="2048">
      <c r="A2048" s="177" t="n">
        <v>46243</v>
      </c>
      <c r="B2048" s="177" t="n">
        <v>46238</v>
      </c>
      <c r="C2048" s="177" t="n">
        <v>46244</v>
      </c>
      <c r="D2048" t="inlineStr">
        <is>
          <t>BW20260804</t>
        </is>
      </c>
      <c r="E2048" t="n">
        <v>2026</v>
      </c>
      <c r="F2048" t="inlineStr">
        <is>
          <t>Sierpień</t>
        </is>
      </c>
      <c r="G2048" t="inlineStr">
        <is>
          <t>Nd</t>
        </is>
      </c>
      <c r="H2048">
        <f>'Floor Hours Engine'!$E$6</f>
        <v/>
      </c>
      <c r="I2048" t="inlineStr">
        <is>
          <t>W2</t>
        </is>
      </c>
      <c r="J2048" t="inlineStr">
        <is>
          <t>2026_Sierpień_W2</t>
        </is>
      </c>
    </row>
    <row r="2049">
      <c r="A2049" s="177" t="n">
        <v>46244</v>
      </c>
      <c r="B2049" s="177" t="n">
        <v>46238</v>
      </c>
      <c r="C2049" s="177" t="n">
        <v>46244</v>
      </c>
      <c r="D2049" t="inlineStr">
        <is>
          <t>BW20260804</t>
        </is>
      </c>
      <c r="E2049" t="n">
        <v>2026</v>
      </c>
      <c r="F2049" t="inlineStr">
        <is>
          <t>Sierpień</t>
        </is>
      </c>
      <c r="G2049" t="inlineStr">
        <is>
          <t>Pn</t>
        </is>
      </c>
      <c r="H2049">
        <f>'Floor Hours Engine'!$E$4</f>
        <v/>
      </c>
      <c r="I2049" t="inlineStr">
        <is>
          <t>W2</t>
        </is>
      </c>
      <c r="J2049" t="inlineStr">
        <is>
          <t>2026_Sierpień_W2</t>
        </is>
      </c>
    </row>
    <row r="2050">
      <c r="A2050" s="177" t="n">
        <v>46245</v>
      </c>
      <c r="B2050" s="177" t="n">
        <v>46245</v>
      </c>
      <c r="C2050" s="177" t="n">
        <v>46251</v>
      </c>
      <c r="D2050" t="inlineStr">
        <is>
          <t>BW20260811</t>
        </is>
      </c>
      <c r="E2050" t="n">
        <v>2026</v>
      </c>
      <c r="F2050" t="inlineStr">
        <is>
          <t>Sierpień</t>
        </is>
      </c>
      <c r="G2050" t="inlineStr">
        <is>
          <t>Wt</t>
        </is>
      </c>
      <c r="H2050">
        <f>'Floor Hours Engine'!$E$4</f>
        <v/>
      </c>
      <c r="I2050" t="inlineStr">
        <is>
          <t>W3</t>
        </is>
      </c>
      <c r="J2050" t="inlineStr">
        <is>
          <t>2026_Sierpień_W3</t>
        </is>
      </c>
    </row>
    <row r="2051">
      <c r="A2051" s="177" t="n">
        <v>46246</v>
      </c>
      <c r="B2051" s="177" t="n">
        <v>46245</v>
      </c>
      <c r="C2051" s="177" t="n">
        <v>46251</v>
      </c>
      <c r="D2051" t="inlineStr">
        <is>
          <t>BW20260811</t>
        </is>
      </c>
      <c r="E2051" t="n">
        <v>2026</v>
      </c>
      <c r="F2051" t="inlineStr">
        <is>
          <t>Sierpień</t>
        </is>
      </c>
      <c r="G2051" t="inlineStr">
        <is>
          <t>Śr</t>
        </is>
      </c>
      <c r="H2051">
        <f>'Floor Hours Engine'!$E$4</f>
        <v/>
      </c>
      <c r="I2051" t="inlineStr">
        <is>
          <t>W3</t>
        </is>
      </c>
      <c r="J2051" t="inlineStr">
        <is>
          <t>2026_Sierpień_W3</t>
        </is>
      </c>
    </row>
    <row r="2052">
      <c r="A2052" s="177" t="n">
        <v>46247</v>
      </c>
      <c r="B2052" s="177" t="n">
        <v>46245</v>
      </c>
      <c r="C2052" s="177" t="n">
        <v>46251</v>
      </c>
      <c r="D2052" t="inlineStr">
        <is>
          <t>BW20260811</t>
        </is>
      </c>
      <c r="E2052" t="n">
        <v>2026</v>
      </c>
      <c r="F2052" t="inlineStr">
        <is>
          <t>Sierpień</t>
        </is>
      </c>
      <c r="G2052" t="inlineStr">
        <is>
          <t>Czw</t>
        </is>
      </c>
      <c r="H2052">
        <f>'Floor Hours Engine'!$E$4</f>
        <v/>
      </c>
      <c r="I2052" t="inlineStr">
        <is>
          <t>W3</t>
        </is>
      </c>
      <c r="J2052" t="inlineStr">
        <is>
          <t>2026_Sierpień_W3</t>
        </is>
      </c>
    </row>
    <row r="2053">
      <c r="A2053" s="177" t="n">
        <v>46248</v>
      </c>
      <c r="B2053" s="177" t="n">
        <v>46245</v>
      </c>
      <c r="C2053" s="177" t="n">
        <v>46251</v>
      </c>
      <c r="D2053" t="inlineStr">
        <is>
          <t>BW20260811</t>
        </is>
      </c>
      <c r="E2053" t="n">
        <v>2026</v>
      </c>
      <c r="F2053" t="inlineStr">
        <is>
          <t>Sierpień</t>
        </is>
      </c>
      <c r="G2053" t="inlineStr">
        <is>
          <t>Pt</t>
        </is>
      </c>
      <c r="H2053">
        <f>'Floor Hours Engine'!$E$5</f>
        <v/>
      </c>
      <c r="I2053" t="inlineStr">
        <is>
          <t>W3</t>
        </is>
      </c>
      <c r="J2053" t="inlineStr">
        <is>
          <t>2026_Sierpień_W3</t>
        </is>
      </c>
    </row>
    <row r="2054">
      <c r="A2054" s="177" t="n">
        <v>46249</v>
      </c>
      <c r="B2054" s="177" t="n">
        <v>46245</v>
      </c>
      <c r="C2054" s="177" t="n">
        <v>46251</v>
      </c>
      <c r="D2054" t="inlineStr">
        <is>
          <t>BW20260811</t>
        </is>
      </c>
      <c r="E2054" t="n">
        <v>2026</v>
      </c>
      <c r="F2054" t="inlineStr">
        <is>
          <t>Sierpień</t>
        </is>
      </c>
      <c r="G2054" t="inlineStr">
        <is>
          <t>Sob</t>
        </is>
      </c>
      <c r="H2054">
        <f>'Floor Hours Engine'!$E$5</f>
        <v/>
      </c>
      <c r="I2054" t="inlineStr">
        <is>
          <t>W3</t>
        </is>
      </c>
      <c r="J2054" t="inlineStr">
        <is>
          <t>2026_Sierpień_W3</t>
        </is>
      </c>
    </row>
    <row r="2055">
      <c r="A2055" s="177" t="n">
        <v>46250</v>
      </c>
      <c r="B2055" s="177" t="n">
        <v>46245</v>
      </c>
      <c r="C2055" s="177" t="n">
        <v>46251</v>
      </c>
      <c r="D2055" t="inlineStr">
        <is>
          <t>BW20260811</t>
        </is>
      </c>
      <c r="E2055" t="n">
        <v>2026</v>
      </c>
      <c r="F2055" t="inlineStr">
        <is>
          <t>Sierpień</t>
        </is>
      </c>
      <c r="G2055" t="inlineStr">
        <is>
          <t>Nd</t>
        </is>
      </c>
      <c r="H2055">
        <f>'Floor Hours Engine'!$E$6</f>
        <v/>
      </c>
      <c r="I2055" t="inlineStr">
        <is>
          <t>W3</t>
        </is>
      </c>
      <c r="J2055" t="inlineStr">
        <is>
          <t>2026_Sierpień_W3</t>
        </is>
      </c>
    </row>
    <row r="2056">
      <c r="A2056" s="177" t="n">
        <v>46251</v>
      </c>
      <c r="B2056" s="177" t="n">
        <v>46245</v>
      </c>
      <c r="C2056" s="177" t="n">
        <v>46251</v>
      </c>
      <c r="D2056" t="inlineStr">
        <is>
          <t>BW20260811</t>
        </is>
      </c>
      <c r="E2056" t="n">
        <v>2026</v>
      </c>
      <c r="F2056" t="inlineStr">
        <is>
          <t>Sierpień</t>
        </is>
      </c>
      <c r="G2056" t="inlineStr">
        <is>
          <t>Pn</t>
        </is>
      </c>
      <c r="H2056">
        <f>'Floor Hours Engine'!$E$4</f>
        <v/>
      </c>
      <c r="I2056" t="inlineStr">
        <is>
          <t>W3</t>
        </is>
      </c>
      <c r="J2056" t="inlineStr">
        <is>
          <t>2026_Sierpień_W3</t>
        </is>
      </c>
    </row>
    <row r="2057">
      <c r="A2057" s="177" t="n">
        <v>46252</v>
      </c>
      <c r="B2057" s="177" t="n">
        <v>46252</v>
      </c>
      <c r="C2057" s="177" t="n">
        <v>46258</v>
      </c>
      <c r="D2057" t="inlineStr">
        <is>
          <t>BW20260818</t>
        </is>
      </c>
      <c r="E2057" t="n">
        <v>2026</v>
      </c>
      <c r="F2057" t="inlineStr">
        <is>
          <t>Sierpień</t>
        </is>
      </c>
      <c r="G2057" t="inlineStr">
        <is>
          <t>Wt</t>
        </is>
      </c>
      <c r="H2057">
        <f>'Floor Hours Engine'!$E$4</f>
        <v/>
      </c>
      <c r="I2057" t="inlineStr">
        <is>
          <t>W4</t>
        </is>
      </c>
      <c r="J2057" t="inlineStr">
        <is>
          <t>2026_Sierpień_W4</t>
        </is>
      </c>
    </row>
    <row r="2058">
      <c r="A2058" s="177" t="n">
        <v>46253</v>
      </c>
      <c r="B2058" s="177" t="n">
        <v>46252</v>
      </c>
      <c r="C2058" s="177" t="n">
        <v>46258</v>
      </c>
      <c r="D2058" t="inlineStr">
        <is>
          <t>BW20260818</t>
        </is>
      </c>
      <c r="E2058" t="n">
        <v>2026</v>
      </c>
      <c r="F2058" t="inlineStr">
        <is>
          <t>Sierpień</t>
        </is>
      </c>
      <c r="G2058" t="inlineStr">
        <is>
          <t>Śr</t>
        </is>
      </c>
      <c r="H2058">
        <f>'Floor Hours Engine'!$E$4</f>
        <v/>
      </c>
      <c r="I2058" t="inlineStr">
        <is>
          <t>W4</t>
        </is>
      </c>
      <c r="J2058" t="inlineStr">
        <is>
          <t>2026_Sierpień_W4</t>
        </is>
      </c>
    </row>
    <row r="2059">
      <c r="A2059" s="177" t="n">
        <v>46254</v>
      </c>
      <c r="B2059" s="177" t="n">
        <v>46252</v>
      </c>
      <c r="C2059" s="177" t="n">
        <v>46258</v>
      </c>
      <c r="D2059" t="inlineStr">
        <is>
          <t>BW20260818</t>
        </is>
      </c>
      <c r="E2059" t="n">
        <v>2026</v>
      </c>
      <c r="F2059" t="inlineStr">
        <is>
          <t>Sierpień</t>
        </is>
      </c>
      <c r="G2059" t="inlineStr">
        <is>
          <t>Czw</t>
        </is>
      </c>
      <c r="H2059">
        <f>'Floor Hours Engine'!$E$4</f>
        <v/>
      </c>
      <c r="I2059" t="inlineStr">
        <is>
          <t>W4</t>
        </is>
      </c>
      <c r="J2059" t="inlineStr">
        <is>
          <t>2026_Sierpień_W4</t>
        </is>
      </c>
    </row>
    <row r="2060">
      <c r="A2060" s="177" t="n">
        <v>46255</v>
      </c>
      <c r="B2060" s="177" t="n">
        <v>46252</v>
      </c>
      <c r="C2060" s="177" t="n">
        <v>46258</v>
      </c>
      <c r="D2060" t="inlineStr">
        <is>
          <t>BW20260818</t>
        </is>
      </c>
      <c r="E2060" t="n">
        <v>2026</v>
      </c>
      <c r="F2060" t="inlineStr">
        <is>
          <t>Sierpień</t>
        </is>
      </c>
      <c r="G2060" t="inlineStr">
        <is>
          <t>Pt</t>
        </is>
      </c>
      <c r="H2060">
        <f>'Floor Hours Engine'!$E$5</f>
        <v/>
      </c>
      <c r="I2060" t="inlineStr">
        <is>
          <t>W4</t>
        </is>
      </c>
      <c r="J2060" t="inlineStr">
        <is>
          <t>2026_Sierpień_W4</t>
        </is>
      </c>
    </row>
    <row r="2061">
      <c r="A2061" s="177" t="n">
        <v>46256</v>
      </c>
      <c r="B2061" s="177" t="n">
        <v>46252</v>
      </c>
      <c r="C2061" s="177" t="n">
        <v>46258</v>
      </c>
      <c r="D2061" t="inlineStr">
        <is>
          <t>BW20260818</t>
        </is>
      </c>
      <c r="E2061" t="n">
        <v>2026</v>
      </c>
      <c r="F2061" t="inlineStr">
        <is>
          <t>Sierpień</t>
        </is>
      </c>
      <c r="G2061" t="inlineStr">
        <is>
          <t>Sob</t>
        </is>
      </c>
      <c r="H2061">
        <f>'Floor Hours Engine'!$E$5</f>
        <v/>
      </c>
      <c r="I2061" t="inlineStr">
        <is>
          <t>W4</t>
        </is>
      </c>
      <c r="J2061" t="inlineStr">
        <is>
          <t>2026_Sierpień_W4</t>
        </is>
      </c>
    </row>
    <row r="2062">
      <c r="A2062" s="177" t="n">
        <v>46257</v>
      </c>
      <c r="B2062" s="177" t="n">
        <v>46252</v>
      </c>
      <c r="C2062" s="177" t="n">
        <v>46258</v>
      </c>
      <c r="D2062" t="inlineStr">
        <is>
          <t>BW20260818</t>
        </is>
      </c>
      <c r="E2062" t="n">
        <v>2026</v>
      </c>
      <c r="F2062" t="inlineStr">
        <is>
          <t>Sierpień</t>
        </is>
      </c>
      <c r="G2062" t="inlineStr">
        <is>
          <t>Nd</t>
        </is>
      </c>
      <c r="H2062">
        <f>'Floor Hours Engine'!$E$6</f>
        <v/>
      </c>
      <c r="I2062" t="inlineStr">
        <is>
          <t>W4</t>
        </is>
      </c>
      <c r="J2062" t="inlineStr">
        <is>
          <t>2026_Sierpień_W4</t>
        </is>
      </c>
    </row>
    <row r="2063">
      <c r="A2063" s="177" t="n">
        <v>46258</v>
      </c>
      <c r="B2063" s="177" t="n">
        <v>46252</v>
      </c>
      <c r="C2063" s="177" t="n">
        <v>46258</v>
      </c>
      <c r="D2063" t="inlineStr">
        <is>
          <t>BW20260818</t>
        </is>
      </c>
      <c r="E2063" t="n">
        <v>2026</v>
      </c>
      <c r="F2063" t="inlineStr">
        <is>
          <t>Sierpień</t>
        </is>
      </c>
      <c r="G2063" t="inlineStr">
        <is>
          <t>Pn</t>
        </is>
      </c>
      <c r="H2063">
        <f>'Floor Hours Engine'!$E$4</f>
        <v/>
      </c>
      <c r="I2063" t="inlineStr">
        <is>
          <t>W4</t>
        </is>
      </c>
      <c r="J2063" t="inlineStr">
        <is>
          <t>2026_Sierpień_W4</t>
        </is>
      </c>
    </row>
    <row r="2064">
      <c r="A2064" s="177" t="n">
        <v>46259</v>
      </c>
      <c r="B2064" s="177" t="n">
        <v>46259</v>
      </c>
      <c r="C2064" s="177" t="n">
        <v>46265</v>
      </c>
      <c r="D2064" t="inlineStr">
        <is>
          <t>BW20260825</t>
        </is>
      </c>
      <c r="E2064" t="n">
        <v>2026</v>
      </c>
      <c r="F2064" t="inlineStr">
        <is>
          <t>Sierpień</t>
        </is>
      </c>
      <c r="G2064" t="inlineStr">
        <is>
          <t>Wt</t>
        </is>
      </c>
      <c r="H2064">
        <f>'Floor Hours Engine'!$E$4</f>
        <v/>
      </c>
      <c r="I2064" t="inlineStr">
        <is>
          <t>W5</t>
        </is>
      </c>
      <c r="J2064" t="inlineStr">
        <is>
          <t>2026_Sierpień_W5</t>
        </is>
      </c>
    </row>
    <row r="2065">
      <c r="A2065" s="177" t="n">
        <v>46260</v>
      </c>
      <c r="B2065" s="177" t="n">
        <v>46259</v>
      </c>
      <c r="C2065" s="177" t="n">
        <v>46265</v>
      </c>
      <c r="D2065" t="inlineStr">
        <is>
          <t>BW20260825</t>
        </is>
      </c>
      <c r="E2065" t="n">
        <v>2026</v>
      </c>
      <c r="F2065" t="inlineStr">
        <is>
          <t>Sierpień</t>
        </is>
      </c>
      <c r="G2065" t="inlineStr">
        <is>
          <t>Śr</t>
        </is>
      </c>
      <c r="H2065">
        <f>'Floor Hours Engine'!$E$4</f>
        <v/>
      </c>
      <c r="I2065" t="inlineStr">
        <is>
          <t>W5</t>
        </is>
      </c>
      <c r="J2065" t="inlineStr">
        <is>
          <t>2026_Sierpień_W5</t>
        </is>
      </c>
    </row>
    <row r="2066">
      <c r="A2066" s="177" t="n">
        <v>46261</v>
      </c>
      <c r="B2066" s="177" t="n">
        <v>46259</v>
      </c>
      <c r="C2066" s="177" t="n">
        <v>46265</v>
      </c>
      <c r="D2066" t="inlineStr">
        <is>
          <t>BW20260825</t>
        </is>
      </c>
      <c r="E2066" t="n">
        <v>2026</v>
      </c>
      <c r="F2066" t="inlineStr">
        <is>
          <t>Sierpień</t>
        </is>
      </c>
      <c r="G2066" t="inlineStr">
        <is>
          <t>Czw</t>
        </is>
      </c>
      <c r="H2066">
        <f>'Floor Hours Engine'!$E$4</f>
        <v/>
      </c>
      <c r="I2066" t="inlineStr">
        <is>
          <t>W5</t>
        </is>
      </c>
      <c r="J2066" t="inlineStr">
        <is>
          <t>2026_Sierpień_W5</t>
        </is>
      </c>
    </row>
    <row r="2067">
      <c r="A2067" s="177" t="n">
        <v>46262</v>
      </c>
      <c r="B2067" s="177" t="n">
        <v>46259</v>
      </c>
      <c r="C2067" s="177" t="n">
        <v>46265</v>
      </c>
      <c r="D2067" t="inlineStr">
        <is>
          <t>BW20260825</t>
        </is>
      </c>
      <c r="E2067" t="n">
        <v>2026</v>
      </c>
      <c r="F2067" t="inlineStr">
        <is>
          <t>Sierpień</t>
        </is>
      </c>
      <c r="G2067" t="inlineStr">
        <is>
          <t>Pt</t>
        </is>
      </c>
      <c r="H2067">
        <f>'Floor Hours Engine'!$E$5</f>
        <v/>
      </c>
      <c r="I2067" t="inlineStr">
        <is>
          <t>W5</t>
        </is>
      </c>
      <c r="J2067" t="inlineStr">
        <is>
          <t>2026_Sierpień_W5</t>
        </is>
      </c>
    </row>
    <row r="2068">
      <c r="A2068" s="177" t="n">
        <v>46263</v>
      </c>
      <c r="B2068" s="177" t="n">
        <v>46259</v>
      </c>
      <c r="C2068" s="177" t="n">
        <v>46265</v>
      </c>
      <c r="D2068" t="inlineStr">
        <is>
          <t>BW20260825</t>
        </is>
      </c>
      <c r="E2068" t="n">
        <v>2026</v>
      </c>
      <c r="F2068" t="inlineStr">
        <is>
          <t>Sierpień</t>
        </is>
      </c>
      <c r="G2068" t="inlineStr">
        <is>
          <t>Sob</t>
        </is>
      </c>
      <c r="H2068">
        <f>'Floor Hours Engine'!$E$5</f>
        <v/>
      </c>
      <c r="I2068" t="inlineStr">
        <is>
          <t>W5</t>
        </is>
      </c>
      <c r="J2068" t="inlineStr">
        <is>
          <t>2026_Sierpień_W5</t>
        </is>
      </c>
    </row>
    <row r="2069">
      <c r="A2069" s="177" t="n">
        <v>46264</v>
      </c>
      <c r="B2069" s="177" t="n">
        <v>46259</v>
      </c>
      <c r="C2069" s="177" t="n">
        <v>46265</v>
      </c>
      <c r="D2069" t="inlineStr">
        <is>
          <t>BW20260825</t>
        </is>
      </c>
      <c r="E2069" t="n">
        <v>2026</v>
      </c>
      <c r="F2069" t="inlineStr">
        <is>
          <t>Sierpień</t>
        </is>
      </c>
      <c r="G2069" t="inlineStr">
        <is>
          <t>Nd</t>
        </is>
      </c>
      <c r="H2069">
        <f>'Floor Hours Engine'!$E$6</f>
        <v/>
      </c>
      <c r="I2069" t="inlineStr">
        <is>
          <t>W5</t>
        </is>
      </c>
      <c r="J2069" t="inlineStr">
        <is>
          <t>2026_Sierpień_W5</t>
        </is>
      </c>
    </row>
    <row r="2070">
      <c r="A2070" s="177" t="n">
        <v>46265</v>
      </c>
      <c r="B2070" s="177" t="n">
        <v>46259</v>
      </c>
      <c r="C2070" s="177" t="n">
        <v>46265</v>
      </c>
      <c r="D2070" t="inlineStr">
        <is>
          <t>BW20260825</t>
        </is>
      </c>
      <c r="E2070" t="n">
        <v>2026</v>
      </c>
      <c r="F2070" t="inlineStr">
        <is>
          <t>Sierpień</t>
        </is>
      </c>
      <c r="G2070" t="inlineStr">
        <is>
          <t>Pn</t>
        </is>
      </c>
      <c r="H2070">
        <f>'Floor Hours Engine'!$E$4</f>
        <v/>
      </c>
      <c r="I2070" t="inlineStr">
        <is>
          <t>W5</t>
        </is>
      </c>
      <c r="J2070" t="inlineStr">
        <is>
          <t>2026_Sierpień_W5</t>
        </is>
      </c>
    </row>
    <row r="2071">
      <c r="A2071" s="177" t="n">
        <v>46266</v>
      </c>
      <c r="B2071" s="177" t="n">
        <v>46266</v>
      </c>
      <c r="C2071" s="177" t="n">
        <v>46272</v>
      </c>
      <c r="D2071" t="inlineStr">
        <is>
          <t>BW20260901</t>
        </is>
      </c>
      <c r="E2071" t="n">
        <v>2026</v>
      </c>
      <c r="F2071" t="inlineStr">
        <is>
          <t>Wrzesień</t>
        </is>
      </c>
      <c r="G2071" t="inlineStr">
        <is>
          <t>Wt</t>
        </is>
      </c>
      <c r="H2071">
        <f>'Floor Hours Engine'!$E$4</f>
        <v/>
      </c>
      <c r="I2071" t="inlineStr">
        <is>
          <t>W1</t>
        </is>
      </c>
      <c r="J2071" t="inlineStr">
        <is>
          <t>2026_Wrzesień_W1</t>
        </is>
      </c>
    </row>
    <row r="2072">
      <c r="A2072" s="177" t="n">
        <v>46267</v>
      </c>
      <c r="B2072" s="177" t="n">
        <v>46266</v>
      </c>
      <c r="C2072" s="177" t="n">
        <v>46272</v>
      </c>
      <c r="D2072" t="inlineStr">
        <is>
          <t>BW20260901</t>
        </is>
      </c>
      <c r="E2072" t="n">
        <v>2026</v>
      </c>
      <c r="F2072" t="inlineStr">
        <is>
          <t>Wrzesień</t>
        </is>
      </c>
      <c r="G2072" t="inlineStr">
        <is>
          <t>Śr</t>
        </is>
      </c>
      <c r="H2072">
        <f>'Floor Hours Engine'!$E$4</f>
        <v/>
      </c>
      <c r="I2072" t="inlineStr">
        <is>
          <t>W1</t>
        </is>
      </c>
      <c r="J2072" t="inlineStr">
        <is>
          <t>2026_Wrzesień_W1</t>
        </is>
      </c>
    </row>
    <row r="2073">
      <c r="A2073" s="177" t="n">
        <v>46268</v>
      </c>
      <c r="B2073" s="177" t="n">
        <v>46266</v>
      </c>
      <c r="C2073" s="177" t="n">
        <v>46272</v>
      </c>
      <c r="D2073" t="inlineStr">
        <is>
          <t>BW20260901</t>
        </is>
      </c>
      <c r="E2073" t="n">
        <v>2026</v>
      </c>
      <c r="F2073" t="inlineStr">
        <is>
          <t>Wrzesień</t>
        </is>
      </c>
      <c r="G2073" t="inlineStr">
        <is>
          <t>Czw</t>
        </is>
      </c>
      <c r="H2073">
        <f>'Floor Hours Engine'!$E$4</f>
        <v/>
      </c>
      <c r="I2073" t="inlineStr">
        <is>
          <t>W1</t>
        </is>
      </c>
      <c r="J2073" t="inlineStr">
        <is>
          <t>2026_Wrzesień_W1</t>
        </is>
      </c>
    </row>
    <row r="2074">
      <c r="A2074" s="177" t="n">
        <v>46269</v>
      </c>
      <c r="B2074" s="177" t="n">
        <v>46266</v>
      </c>
      <c r="C2074" s="177" t="n">
        <v>46272</v>
      </c>
      <c r="D2074" t="inlineStr">
        <is>
          <t>BW20260901</t>
        </is>
      </c>
      <c r="E2074" t="n">
        <v>2026</v>
      </c>
      <c r="F2074" t="inlineStr">
        <is>
          <t>Wrzesień</t>
        </is>
      </c>
      <c r="G2074" t="inlineStr">
        <is>
          <t>Pt</t>
        </is>
      </c>
      <c r="H2074">
        <f>'Floor Hours Engine'!$E$5</f>
        <v/>
      </c>
      <c r="I2074" t="inlineStr">
        <is>
          <t>W1</t>
        </is>
      </c>
      <c r="J2074" t="inlineStr">
        <is>
          <t>2026_Wrzesień_W1</t>
        </is>
      </c>
    </row>
    <row r="2075">
      <c r="A2075" s="177" t="n">
        <v>46270</v>
      </c>
      <c r="B2075" s="177" t="n">
        <v>46266</v>
      </c>
      <c r="C2075" s="177" t="n">
        <v>46272</v>
      </c>
      <c r="D2075" t="inlineStr">
        <is>
          <t>BW20260901</t>
        </is>
      </c>
      <c r="E2075" t="n">
        <v>2026</v>
      </c>
      <c r="F2075" t="inlineStr">
        <is>
          <t>Wrzesień</t>
        </is>
      </c>
      <c r="G2075" t="inlineStr">
        <is>
          <t>Sob</t>
        </is>
      </c>
      <c r="H2075">
        <f>'Floor Hours Engine'!$E$5</f>
        <v/>
      </c>
      <c r="I2075" t="inlineStr">
        <is>
          <t>W1</t>
        </is>
      </c>
      <c r="J2075" t="inlineStr">
        <is>
          <t>2026_Wrzesień_W1</t>
        </is>
      </c>
    </row>
    <row r="2076">
      <c r="A2076" s="177" t="n">
        <v>46271</v>
      </c>
      <c r="B2076" s="177" t="n">
        <v>46266</v>
      </c>
      <c r="C2076" s="177" t="n">
        <v>46272</v>
      </c>
      <c r="D2076" t="inlineStr">
        <is>
          <t>BW20260901</t>
        </is>
      </c>
      <c r="E2076" t="n">
        <v>2026</v>
      </c>
      <c r="F2076" t="inlineStr">
        <is>
          <t>Wrzesień</t>
        </is>
      </c>
      <c r="G2076" t="inlineStr">
        <is>
          <t>Nd</t>
        </is>
      </c>
      <c r="H2076">
        <f>'Floor Hours Engine'!$E$6</f>
        <v/>
      </c>
      <c r="I2076" t="inlineStr">
        <is>
          <t>W1</t>
        </is>
      </c>
      <c r="J2076" t="inlineStr">
        <is>
          <t>2026_Wrzesień_W1</t>
        </is>
      </c>
    </row>
    <row r="2077">
      <c r="A2077" s="177" t="n">
        <v>46272</v>
      </c>
      <c r="B2077" s="177" t="n">
        <v>46266</v>
      </c>
      <c r="C2077" s="177" t="n">
        <v>46272</v>
      </c>
      <c r="D2077" t="inlineStr">
        <is>
          <t>BW20260901</t>
        </is>
      </c>
      <c r="E2077" t="n">
        <v>2026</v>
      </c>
      <c r="F2077" t="inlineStr">
        <is>
          <t>Wrzesień</t>
        </is>
      </c>
      <c r="G2077" t="inlineStr">
        <is>
          <t>Pn</t>
        </is>
      </c>
      <c r="H2077">
        <f>'Floor Hours Engine'!$E$4</f>
        <v/>
      </c>
      <c r="I2077" t="inlineStr">
        <is>
          <t>W1</t>
        </is>
      </c>
      <c r="J2077" t="inlineStr">
        <is>
          <t>2026_Wrzesień_W1</t>
        </is>
      </c>
    </row>
    <row r="2078">
      <c r="A2078" s="177" t="n">
        <v>46273</v>
      </c>
      <c r="B2078" s="177" t="n">
        <v>46273</v>
      </c>
      <c r="C2078" s="177" t="n">
        <v>46279</v>
      </c>
      <c r="D2078" t="inlineStr">
        <is>
          <t>BW20260908</t>
        </is>
      </c>
      <c r="E2078" t="n">
        <v>2026</v>
      </c>
      <c r="F2078" t="inlineStr">
        <is>
          <t>Wrzesień</t>
        </is>
      </c>
      <c r="G2078" t="inlineStr">
        <is>
          <t>Wt</t>
        </is>
      </c>
      <c r="H2078">
        <f>'Floor Hours Engine'!$E$4</f>
        <v/>
      </c>
      <c r="I2078" t="inlineStr">
        <is>
          <t>W2</t>
        </is>
      </c>
      <c r="J2078" t="inlineStr">
        <is>
          <t>2026_Wrzesień_W2</t>
        </is>
      </c>
    </row>
    <row r="2079">
      <c r="A2079" s="177" t="n">
        <v>46274</v>
      </c>
      <c r="B2079" s="177" t="n">
        <v>46273</v>
      </c>
      <c r="C2079" s="177" t="n">
        <v>46279</v>
      </c>
      <c r="D2079" t="inlineStr">
        <is>
          <t>BW20260908</t>
        </is>
      </c>
      <c r="E2079" t="n">
        <v>2026</v>
      </c>
      <c r="F2079" t="inlineStr">
        <is>
          <t>Wrzesień</t>
        </is>
      </c>
      <c r="G2079" t="inlineStr">
        <is>
          <t>Śr</t>
        </is>
      </c>
      <c r="H2079">
        <f>'Floor Hours Engine'!$E$4</f>
        <v/>
      </c>
      <c r="I2079" t="inlineStr">
        <is>
          <t>W2</t>
        </is>
      </c>
      <c r="J2079" t="inlineStr">
        <is>
          <t>2026_Wrzesień_W2</t>
        </is>
      </c>
    </row>
    <row r="2080">
      <c r="A2080" s="177" t="n">
        <v>46275</v>
      </c>
      <c r="B2080" s="177" t="n">
        <v>46273</v>
      </c>
      <c r="C2080" s="177" t="n">
        <v>46279</v>
      </c>
      <c r="D2080" t="inlineStr">
        <is>
          <t>BW20260908</t>
        </is>
      </c>
      <c r="E2080" t="n">
        <v>2026</v>
      </c>
      <c r="F2080" t="inlineStr">
        <is>
          <t>Wrzesień</t>
        </is>
      </c>
      <c r="G2080" t="inlineStr">
        <is>
          <t>Czw</t>
        </is>
      </c>
      <c r="H2080">
        <f>'Floor Hours Engine'!$E$4</f>
        <v/>
      </c>
      <c r="I2080" t="inlineStr">
        <is>
          <t>W2</t>
        </is>
      </c>
      <c r="J2080" t="inlineStr">
        <is>
          <t>2026_Wrzesień_W2</t>
        </is>
      </c>
    </row>
    <row r="2081">
      <c r="A2081" s="177" t="n">
        <v>46276</v>
      </c>
      <c r="B2081" s="177" t="n">
        <v>46273</v>
      </c>
      <c r="C2081" s="177" t="n">
        <v>46279</v>
      </c>
      <c r="D2081" t="inlineStr">
        <is>
          <t>BW20260908</t>
        </is>
      </c>
      <c r="E2081" t="n">
        <v>2026</v>
      </c>
      <c r="F2081" t="inlineStr">
        <is>
          <t>Wrzesień</t>
        </is>
      </c>
      <c r="G2081" t="inlineStr">
        <is>
          <t>Pt</t>
        </is>
      </c>
      <c r="H2081">
        <f>'Floor Hours Engine'!$E$5</f>
        <v/>
      </c>
      <c r="I2081" t="inlineStr">
        <is>
          <t>W2</t>
        </is>
      </c>
      <c r="J2081" t="inlineStr">
        <is>
          <t>2026_Wrzesień_W2</t>
        </is>
      </c>
    </row>
    <row r="2082">
      <c r="A2082" s="177" t="n">
        <v>46277</v>
      </c>
      <c r="B2082" s="177" t="n">
        <v>46273</v>
      </c>
      <c r="C2082" s="177" t="n">
        <v>46279</v>
      </c>
      <c r="D2082" t="inlineStr">
        <is>
          <t>BW20260908</t>
        </is>
      </c>
      <c r="E2082" t="n">
        <v>2026</v>
      </c>
      <c r="F2082" t="inlineStr">
        <is>
          <t>Wrzesień</t>
        </is>
      </c>
      <c r="G2082" t="inlineStr">
        <is>
          <t>Sob</t>
        </is>
      </c>
      <c r="H2082">
        <f>'Floor Hours Engine'!$E$5</f>
        <v/>
      </c>
      <c r="I2082" t="inlineStr">
        <is>
          <t>W2</t>
        </is>
      </c>
      <c r="J2082" t="inlineStr">
        <is>
          <t>2026_Wrzesień_W2</t>
        </is>
      </c>
    </row>
    <row r="2083">
      <c r="A2083" s="177" t="n">
        <v>46278</v>
      </c>
      <c r="B2083" s="177" t="n">
        <v>46273</v>
      </c>
      <c r="C2083" s="177" t="n">
        <v>46279</v>
      </c>
      <c r="D2083" t="inlineStr">
        <is>
          <t>BW20260908</t>
        </is>
      </c>
      <c r="E2083" t="n">
        <v>2026</v>
      </c>
      <c r="F2083" t="inlineStr">
        <is>
          <t>Wrzesień</t>
        </is>
      </c>
      <c r="G2083" t="inlineStr">
        <is>
          <t>Nd</t>
        </is>
      </c>
      <c r="H2083">
        <f>'Floor Hours Engine'!$E$6</f>
        <v/>
      </c>
      <c r="I2083" t="inlineStr">
        <is>
          <t>W2</t>
        </is>
      </c>
      <c r="J2083" t="inlineStr">
        <is>
          <t>2026_Wrzesień_W2</t>
        </is>
      </c>
    </row>
    <row r="2084">
      <c r="A2084" s="177" t="n">
        <v>46279</v>
      </c>
      <c r="B2084" s="177" t="n">
        <v>46273</v>
      </c>
      <c r="C2084" s="177" t="n">
        <v>46279</v>
      </c>
      <c r="D2084" t="inlineStr">
        <is>
          <t>BW20260908</t>
        </is>
      </c>
      <c r="E2084" t="n">
        <v>2026</v>
      </c>
      <c r="F2084" t="inlineStr">
        <is>
          <t>Wrzesień</t>
        </is>
      </c>
      <c r="G2084" t="inlineStr">
        <is>
          <t>Pn</t>
        </is>
      </c>
      <c r="H2084">
        <f>'Floor Hours Engine'!$E$4</f>
        <v/>
      </c>
      <c r="I2084" t="inlineStr">
        <is>
          <t>W2</t>
        </is>
      </c>
      <c r="J2084" t="inlineStr">
        <is>
          <t>2026_Wrzesień_W2</t>
        </is>
      </c>
    </row>
    <row r="2085">
      <c r="A2085" s="177" t="n">
        <v>46280</v>
      </c>
      <c r="B2085" s="177" t="n">
        <v>46280</v>
      </c>
      <c r="C2085" s="177" t="n">
        <v>46286</v>
      </c>
      <c r="D2085" t="inlineStr">
        <is>
          <t>BW20260915</t>
        </is>
      </c>
      <c r="E2085" t="n">
        <v>2026</v>
      </c>
      <c r="F2085" t="inlineStr">
        <is>
          <t>Wrzesień</t>
        </is>
      </c>
      <c r="G2085" t="inlineStr">
        <is>
          <t>Wt</t>
        </is>
      </c>
      <c r="H2085">
        <f>'Floor Hours Engine'!$E$4</f>
        <v/>
      </c>
      <c r="I2085" t="inlineStr">
        <is>
          <t>W3</t>
        </is>
      </c>
      <c r="J2085" t="inlineStr">
        <is>
          <t>2026_Wrzesień_W3</t>
        </is>
      </c>
    </row>
    <row r="2086">
      <c r="A2086" s="177" t="n">
        <v>46281</v>
      </c>
      <c r="B2086" s="177" t="n">
        <v>46280</v>
      </c>
      <c r="C2086" s="177" t="n">
        <v>46286</v>
      </c>
      <c r="D2086" t="inlineStr">
        <is>
          <t>BW20260915</t>
        </is>
      </c>
      <c r="E2086" t="n">
        <v>2026</v>
      </c>
      <c r="F2086" t="inlineStr">
        <is>
          <t>Wrzesień</t>
        </is>
      </c>
      <c r="G2086" t="inlineStr">
        <is>
          <t>Śr</t>
        </is>
      </c>
      <c r="H2086">
        <f>'Floor Hours Engine'!$E$4</f>
        <v/>
      </c>
      <c r="I2086" t="inlineStr">
        <is>
          <t>W3</t>
        </is>
      </c>
      <c r="J2086" t="inlineStr">
        <is>
          <t>2026_Wrzesień_W3</t>
        </is>
      </c>
    </row>
    <row r="2087">
      <c r="A2087" s="177" t="n">
        <v>46282</v>
      </c>
      <c r="B2087" s="177" t="n">
        <v>46280</v>
      </c>
      <c r="C2087" s="177" t="n">
        <v>46286</v>
      </c>
      <c r="D2087" t="inlineStr">
        <is>
          <t>BW20260915</t>
        </is>
      </c>
      <c r="E2087" t="n">
        <v>2026</v>
      </c>
      <c r="F2087" t="inlineStr">
        <is>
          <t>Wrzesień</t>
        </is>
      </c>
      <c r="G2087" t="inlineStr">
        <is>
          <t>Czw</t>
        </is>
      </c>
      <c r="H2087">
        <f>'Floor Hours Engine'!$E$4</f>
        <v/>
      </c>
      <c r="I2087" t="inlineStr">
        <is>
          <t>W3</t>
        </is>
      </c>
      <c r="J2087" t="inlineStr">
        <is>
          <t>2026_Wrzesień_W3</t>
        </is>
      </c>
    </row>
    <row r="2088">
      <c r="A2088" s="177" t="n">
        <v>46283</v>
      </c>
      <c r="B2088" s="177" t="n">
        <v>46280</v>
      </c>
      <c r="C2088" s="177" t="n">
        <v>46286</v>
      </c>
      <c r="D2088" t="inlineStr">
        <is>
          <t>BW20260915</t>
        </is>
      </c>
      <c r="E2088" t="n">
        <v>2026</v>
      </c>
      <c r="F2088" t="inlineStr">
        <is>
          <t>Wrzesień</t>
        </is>
      </c>
      <c r="G2088" t="inlineStr">
        <is>
          <t>Pt</t>
        </is>
      </c>
      <c r="H2088">
        <f>'Floor Hours Engine'!$E$5</f>
        <v/>
      </c>
      <c r="I2088" t="inlineStr">
        <is>
          <t>W3</t>
        </is>
      </c>
      <c r="J2088" t="inlineStr">
        <is>
          <t>2026_Wrzesień_W3</t>
        </is>
      </c>
    </row>
    <row r="2089">
      <c r="A2089" s="177" t="n">
        <v>46284</v>
      </c>
      <c r="B2089" s="177" t="n">
        <v>46280</v>
      </c>
      <c r="C2089" s="177" t="n">
        <v>46286</v>
      </c>
      <c r="D2089" t="inlineStr">
        <is>
          <t>BW20260915</t>
        </is>
      </c>
      <c r="E2089" t="n">
        <v>2026</v>
      </c>
      <c r="F2089" t="inlineStr">
        <is>
          <t>Wrzesień</t>
        </is>
      </c>
      <c r="G2089" t="inlineStr">
        <is>
          <t>Sob</t>
        </is>
      </c>
      <c r="H2089">
        <f>'Floor Hours Engine'!$E$5</f>
        <v/>
      </c>
      <c r="I2089" t="inlineStr">
        <is>
          <t>W3</t>
        </is>
      </c>
      <c r="J2089" t="inlineStr">
        <is>
          <t>2026_Wrzesień_W3</t>
        </is>
      </c>
    </row>
    <row r="2090">
      <c r="A2090" s="177" t="n">
        <v>46285</v>
      </c>
      <c r="B2090" s="177" t="n">
        <v>46280</v>
      </c>
      <c r="C2090" s="177" t="n">
        <v>46286</v>
      </c>
      <c r="D2090" t="inlineStr">
        <is>
          <t>BW20260915</t>
        </is>
      </c>
      <c r="E2090" t="n">
        <v>2026</v>
      </c>
      <c r="F2090" t="inlineStr">
        <is>
          <t>Wrzesień</t>
        </is>
      </c>
      <c r="G2090" t="inlineStr">
        <is>
          <t>Nd</t>
        </is>
      </c>
      <c r="H2090">
        <f>'Floor Hours Engine'!$E$6</f>
        <v/>
      </c>
      <c r="I2090" t="inlineStr">
        <is>
          <t>W3</t>
        </is>
      </c>
      <c r="J2090" t="inlineStr">
        <is>
          <t>2026_Wrzesień_W3</t>
        </is>
      </c>
    </row>
    <row r="2091">
      <c r="A2091" s="177" t="n">
        <v>46286</v>
      </c>
      <c r="B2091" s="177" t="n">
        <v>46280</v>
      </c>
      <c r="C2091" s="177" t="n">
        <v>46286</v>
      </c>
      <c r="D2091" t="inlineStr">
        <is>
          <t>BW20260915</t>
        </is>
      </c>
      <c r="E2091" t="n">
        <v>2026</v>
      </c>
      <c r="F2091" t="inlineStr">
        <is>
          <t>Wrzesień</t>
        </is>
      </c>
      <c r="G2091" t="inlineStr">
        <is>
          <t>Pn</t>
        </is>
      </c>
      <c r="H2091">
        <f>'Floor Hours Engine'!$E$4</f>
        <v/>
      </c>
      <c r="I2091" t="inlineStr">
        <is>
          <t>W3</t>
        </is>
      </c>
      <c r="J2091" t="inlineStr">
        <is>
          <t>2026_Wrzesień_W3</t>
        </is>
      </c>
    </row>
    <row r="2092">
      <c r="A2092" s="177" t="n">
        <v>46287</v>
      </c>
      <c r="B2092" s="177" t="n">
        <v>46287</v>
      </c>
      <c r="C2092" s="177" t="n">
        <v>46293</v>
      </c>
      <c r="D2092" t="inlineStr">
        <is>
          <t>BW20260922</t>
        </is>
      </c>
      <c r="E2092" t="n">
        <v>2026</v>
      </c>
      <c r="F2092" t="inlineStr">
        <is>
          <t>Wrzesień</t>
        </is>
      </c>
      <c r="G2092" t="inlineStr">
        <is>
          <t>Wt</t>
        </is>
      </c>
      <c r="H2092">
        <f>'Floor Hours Engine'!$E$4</f>
        <v/>
      </c>
      <c r="I2092" t="inlineStr">
        <is>
          <t>W4</t>
        </is>
      </c>
      <c r="J2092" t="inlineStr">
        <is>
          <t>2026_Wrzesień_W4</t>
        </is>
      </c>
    </row>
    <row r="2093">
      <c r="A2093" s="177" t="n">
        <v>46288</v>
      </c>
      <c r="B2093" s="177" t="n">
        <v>46287</v>
      </c>
      <c r="C2093" s="177" t="n">
        <v>46293</v>
      </c>
      <c r="D2093" t="inlineStr">
        <is>
          <t>BW20260922</t>
        </is>
      </c>
      <c r="E2093" t="n">
        <v>2026</v>
      </c>
      <c r="F2093" t="inlineStr">
        <is>
          <t>Wrzesień</t>
        </is>
      </c>
      <c r="G2093" t="inlineStr">
        <is>
          <t>Śr</t>
        </is>
      </c>
      <c r="H2093">
        <f>'Floor Hours Engine'!$E$4</f>
        <v/>
      </c>
      <c r="I2093" t="inlineStr">
        <is>
          <t>W4</t>
        </is>
      </c>
      <c r="J2093" t="inlineStr">
        <is>
          <t>2026_Wrzesień_W4</t>
        </is>
      </c>
    </row>
    <row r="2094">
      <c r="A2094" s="177" t="n">
        <v>46289</v>
      </c>
      <c r="B2094" s="177" t="n">
        <v>46287</v>
      </c>
      <c r="C2094" s="177" t="n">
        <v>46293</v>
      </c>
      <c r="D2094" t="inlineStr">
        <is>
          <t>BW20260922</t>
        </is>
      </c>
      <c r="E2094" t="n">
        <v>2026</v>
      </c>
      <c r="F2094" t="inlineStr">
        <is>
          <t>Wrzesień</t>
        </is>
      </c>
      <c r="G2094" t="inlineStr">
        <is>
          <t>Czw</t>
        </is>
      </c>
      <c r="H2094">
        <f>'Floor Hours Engine'!$E$4</f>
        <v/>
      </c>
      <c r="I2094" t="inlineStr">
        <is>
          <t>W4</t>
        </is>
      </c>
      <c r="J2094" t="inlineStr">
        <is>
          <t>2026_Wrzesień_W4</t>
        </is>
      </c>
    </row>
    <row r="2095">
      <c r="A2095" s="177" t="n">
        <v>46290</v>
      </c>
      <c r="B2095" s="177" t="n">
        <v>46287</v>
      </c>
      <c r="C2095" s="177" t="n">
        <v>46293</v>
      </c>
      <c r="D2095" t="inlineStr">
        <is>
          <t>BW20260922</t>
        </is>
      </c>
      <c r="E2095" t="n">
        <v>2026</v>
      </c>
      <c r="F2095" t="inlineStr">
        <is>
          <t>Wrzesień</t>
        </is>
      </c>
      <c r="G2095" t="inlineStr">
        <is>
          <t>Pt</t>
        </is>
      </c>
      <c r="H2095">
        <f>'Floor Hours Engine'!$E$5</f>
        <v/>
      </c>
      <c r="I2095" t="inlineStr">
        <is>
          <t>W4</t>
        </is>
      </c>
      <c r="J2095" t="inlineStr">
        <is>
          <t>2026_Wrzesień_W4</t>
        </is>
      </c>
    </row>
    <row r="2096">
      <c r="A2096" s="177" t="n">
        <v>46291</v>
      </c>
      <c r="B2096" s="177" t="n">
        <v>46287</v>
      </c>
      <c r="C2096" s="177" t="n">
        <v>46293</v>
      </c>
      <c r="D2096" t="inlineStr">
        <is>
          <t>BW20260922</t>
        </is>
      </c>
      <c r="E2096" t="n">
        <v>2026</v>
      </c>
      <c r="F2096" t="inlineStr">
        <is>
          <t>Wrzesień</t>
        </is>
      </c>
      <c r="G2096" t="inlineStr">
        <is>
          <t>Sob</t>
        </is>
      </c>
      <c r="H2096">
        <f>'Floor Hours Engine'!$E$5</f>
        <v/>
      </c>
      <c r="I2096" t="inlineStr">
        <is>
          <t>W4</t>
        </is>
      </c>
      <c r="J2096" t="inlineStr">
        <is>
          <t>2026_Wrzesień_W4</t>
        </is>
      </c>
    </row>
    <row r="2097">
      <c r="A2097" s="177" t="n">
        <v>46292</v>
      </c>
      <c r="B2097" s="177" t="n">
        <v>46287</v>
      </c>
      <c r="C2097" s="177" t="n">
        <v>46293</v>
      </c>
      <c r="D2097" t="inlineStr">
        <is>
          <t>BW20260922</t>
        </is>
      </c>
      <c r="E2097" t="n">
        <v>2026</v>
      </c>
      <c r="F2097" t="inlineStr">
        <is>
          <t>Wrzesień</t>
        </is>
      </c>
      <c r="G2097" t="inlineStr">
        <is>
          <t>Nd</t>
        </is>
      </c>
      <c r="H2097">
        <f>'Floor Hours Engine'!$E$6</f>
        <v/>
      </c>
      <c r="I2097" t="inlineStr">
        <is>
          <t>W4</t>
        </is>
      </c>
      <c r="J2097" t="inlineStr">
        <is>
          <t>2026_Wrzesień_W4</t>
        </is>
      </c>
    </row>
    <row r="2098">
      <c r="A2098" s="177" t="n">
        <v>46293</v>
      </c>
      <c r="B2098" s="177" t="n">
        <v>46287</v>
      </c>
      <c r="C2098" s="177" t="n">
        <v>46293</v>
      </c>
      <c r="D2098" t="inlineStr">
        <is>
          <t>BW20260922</t>
        </is>
      </c>
      <c r="E2098" t="n">
        <v>2026</v>
      </c>
      <c r="F2098" t="inlineStr">
        <is>
          <t>Wrzesień</t>
        </is>
      </c>
      <c r="G2098" t="inlineStr">
        <is>
          <t>Pn</t>
        </is>
      </c>
      <c r="H2098">
        <f>'Floor Hours Engine'!$E$4</f>
        <v/>
      </c>
      <c r="I2098" t="inlineStr">
        <is>
          <t>W4</t>
        </is>
      </c>
      <c r="J2098" t="inlineStr">
        <is>
          <t>2026_Wrzesień_W4</t>
        </is>
      </c>
    </row>
    <row r="2099">
      <c r="A2099" s="177" t="n">
        <v>46294</v>
      </c>
      <c r="B2099" s="177" t="n">
        <v>46294</v>
      </c>
      <c r="C2099" s="177" t="n">
        <v>46300</v>
      </c>
      <c r="D2099" t="inlineStr">
        <is>
          <t>BW20260929</t>
        </is>
      </c>
      <c r="E2099" t="n">
        <v>2026</v>
      </c>
      <c r="F2099" t="inlineStr">
        <is>
          <t>Wrzesień</t>
        </is>
      </c>
      <c r="G2099" t="inlineStr">
        <is>
          <t>Wt</t>
        </is>
      </c>
      <c r="H2099">
        <f>'Floor Hours Engine'!$E$4</f>
        <v/>
      </c>
      <c r="I2099" t="inlineStr">
        <is>
          <t>W5</t>
        </is>
      </c>
      <c r="J2099" t="inlineStr">
        <is>
          <t>2026_Wrzesień_W5</t>
        </is>
      </c>
    </row>
    <row r="2100">
      <c r="A2100" s="177" t="n">
        <v>46295</v>
      </c>
      <c r="B2100" s="177" t="n">
        <v>46294</v>
      </c>
      <c r="C2100" s="177" t="n">
        <v>46300</v>
      </c>
      <c r="D2100" t="inlineStr">
        <is>
          <t>BW20260929</t>
        </is>
      </c>
      <c r="E2100" t="n">
        <v>2026</v>
      </c>
      <c r="F2100" t="inlineStr">
        <is>
          <t>Wrzesień</t>
        </is>
      </c>
      <c r="G2100" t="inlineStr">
        <is>
          <t>Śr</t>
        </is>
      </c>
      <c r="H2100">
        <f>'Floor Hours Engine'!$E$4</f>
        <v/>
      </c>
      <c r="I2100" t="inlineStr">
        <is>
          <t>W5</t>
        </is>
      </c>
      <c r="J2100" t="inlineStr">
        <is>
          <t>2026_Wrzesień_W5</t>
        </is>
      </c>
    </row>
    <row r="2101">
      <c r="A2101" s="177" t="n">
        <v>46296</v>
      </c>
      <c r="B2101" s="177" t="n">
        <v>46294</v>
      </c>
      <c r="C2101" s="177" t="n">
        <v>46300</v>
      </c>
      <c r="D2101" t="inlineStr">
        <is>
          <t>BW20260929</t>
        </is>
      </c>
      <c r="E2101" t="n">
        <v>2026</v>
      </c>
      <c r="F2101" t="inlineStr">
        <is>
          <t>Październik</t>
        </is>
      </c>
      <c r="G2101" t="inlineStr">
        <is>
          <t>Czw</t>
        </is>
      </c>
      <c r="H2101">
        <f>'Floor Hours Engine'!$E$4</f>
        <v/>
      </c>
      <c r="I2101" t="inlineStr">
        <is>
          <t>W1</t>
        </is>
      </c>
      <c r="J2101" t="inlineStr">
        <is>
          <t>2026_Październik_W1</t>
        </is>
      </c>
    </row>
    <row r="2102">
      <c r="A2102" s="177" t="n">
        <v>46297</v>
      </c>
      <c r="B2102" s="177" t="n">
        <v>46294</v>
      </c>
      <c r="C2102" s="177" t="n">
        <v>46300</v>
      </c>
      <c r="D2102" t="inlineStr">
        <is>
          <t>BW20260929</t>
        </is>
      </c>
      <c r="E2102" t="n">
        <v>2026</v>
      </c>
      <c r="F2102" t="inlineStr">
        <is>
          <t>Październik</t>
        </is>
      </c>
      <c r="G2102" t="inlineStr">
        <is>
          <t>Pt</t>
        </is>
      </c>
      <c r="H2102">
        <f>'Floor Hours Engine'!$E$5</f>
        <v/>
      </c>
      <c r="I2102" t="inlineStr">
        <is>
          <t>W1</t>
        </is>
      </c>
      <c r="J2102" t="inlineStr">
        <is>
          <t>2026_Październik_W1</t>
        </is>
      </c>
    </row>
    <row r="2103">
      <c r="A2103" s="177" t="n">
        <v>46298</v>
      </c>
      <c r="B2103" s="177" t="n">
        <v>46294</v>
      </c>
      <c r="C2103" s="177" t="n">
        <v>46300</v>
      </c>
      <c r="D2103" t="inlineStr">
        <is>
          <t>BW20260929</t>
        </is>
      </c>
      <c r="E2103" t="n">
        <v>2026</v>
      </c>
      <c r="F2103" t="inlineStr">
        <is>
          <t>Październik</t>
        </is>
      </c>
      <c r="G2103" t="inlineStr">
        <is>
          <t>Sob</t>
        </is>
      </c>
      <c r="H2103">
        <f>'Floor Hours Engine'!$E$5</f>
        <v/>
      </c>
      <c r="I2103" t="inlineStr">
        <is>
          <t>W1</t>
        </is>
      </c>
      <c r="J2103" t="inlineStr">
        <is>
          <t>2026_Październik_W1</t>
        </is>
      </c>
    </row>
    <row r="2104">
      <c r="A2104" s="177" t="n">
        <v>46299</v>
      </c>
      <c r="B2104" s="177" t="n">
        <v>46294</v>
      </c>
      <c r="C2104" s="177" t="n">
        <v>46300</v>
      </c>
      <c r="D2104" t="inlineStr">
        <is>
          <t>BW20260929</t>
        </is>
      </c>
      <c r="E2104" t="n">
        <v>2026</v>
      </c>
      <c r="F2104" t="inlineStr">
        <is>
          <t>Październik</t>
        </is>
      </c>
      <c r="G2104" t="inlineStr">
        <is>
          <t>Nd</t>
        </is>
      </c>
      <c r="H2104">
        <f>'Floor Hours Engine'!$E$6</f>
        <v/>
      </c>
      <c r="I2104" t="inlineStr">
        <is>
          <t>W1</t>
        </is>
      </c>
      <c r="J2104" t="inlineStr">
        <is>
          <t>2026_Październik_W1</t>
        </is>
      </c>
    </row>
    <row r="2105">
      <c r="A2105" s="177" t="n">
        <v>46300</v>
      </c>
      <c r="B2105" s="177" t="n">
        <v>46294</v>
      </c>
      <c r="C2105" s="177" t="n">
        <v>46300</v>
      </c>
      <c r="D2105" t="inlineStr">
        <is>
          <t>BW20260929</t>
        </is>
      </c>
      <c r="E2105" t="n">
        <v>2026</v>
      </c>
      <c r="F2105" t="inlineStr">
        <is>
          <t>Październik</t>
        </is>
      </c>
      <c r="G2105" t="inlineStr">
        <is>
          <t>Pn</t>
        </is>
      </c>
      <c r="H2105">
        <f>'Floor Hours Engine'!$E$4</f>
        <v/>
      </c>
      <c r="I2105" t="inlineStr">
        <is>
          <t>W1</t>
        </is>
      </c>
      <c r="J2105" t="inlineStr">
        <is>
          <t>2026_Październik_W1</t>
        </is>
      </c>
    </row>
    <row r="2106">
      <c r="A2106" s="177" t="n">
        <v>46301</v>
      </c>
      <c r="B2106" s="177" t="n">
        <v>46301</v>
      </c>
      <c r="C2106" s="177" t="n">
        <v>46307</v>
      </c>
      <c r="D2106" t="inlineStr">
        <is>
          <t>BW20261006</t>
        </is>
      </c>
      <c r="E2106" t="n">
        <v>2026</v>
      </c>
      <c r="F2106" t="inlineStr">
        <is>
          <t>Październik</t>
        </is>
      </c>
      <c r="G2106" t="inlineStr">
        <is>
          <t>Wt</t>
        </is>
      </c>
      <c r="H2106">
        <f>'Floor Hours Engine'!$E$4</f>
        <v/>
      </c>
      <c r="I2106" t="inlineStr">
        <is>
          <t>W2</t>
        </is>
      </c>
      <c r="J2106" t="inlineStr">
        <is>
          <t>2026_Październik_W2</t>
        </is>
      </c>
    </row>
    <row r="2107">
      <c r="A2107" s="177" t="n">
        <v>46302</v>
      </c>
      <c r="B2107" s="177" t="n">
        <v>46301</v>
      </c>
      <c r="C2107" s="177" t="n">
        <v>46307</v>
      </c>
      <c r="D2107" t="inlineStr">
        <is>
          <t>BW20261006</t>
        </is>
      </c>
      <c r="E2107" t="n">
        <v>2026</v>
      </c>
      <c r="F2107" t="inlineStr">
        <is>
          <t>Październik</t>
        </is>
      </c>
      <c r="G2107" t="inlineStr">
        <is>
          <t>Śr</t>
        </is>
      </c>
      <c r="H2107">
        <f>'Floor Hours Engine'!$E$4</f>
        <v/>
      </c>
      <c r="I2107" t="inlineStr">
        <is>
          <t>W2</t>
        </is>
      </c>
      <c r="J2107" t="inlineStr">
        <is>
          <t>2026_Październik_W2</t>
        </is>
      </c>
    </row>
    <row r="2108">
      <c r="A2108" s="177" t="n">
        <v>46303</v>
      </c>
      <c r="B2108" s="177" t="n">
        <v>46301</v>
      </c>
      <c r="C2108" s="177" t="n">
        <v>46307</v>
      </c>
      <c r="D2108" t="inlineStr">
        <is>
          <t>BW20261006</t>
        </is>
      </c>
      <c r="E2108" t="n">
        <v>2026</v>
      </c>
      <c r="F2108" t="inlineStr">
        <is>
          <t>Październik</t>
        </is>
      </c>
      <c r="G2108" t="inlineStr">
        <is>
          <t>Czw</t>
        </is>
      </c>
      <c r="H2108">
        <f>'Floor Hours Engine'!$E$4</f>
        <v/>
      </c>
      <c r="I2108" t="inlineStr">
        <is>
          <t>W2</t>
        </is>
      </c>
      <c r="J2108" t="inlineStr">
        <is>
          <t>2026_Październik_W2</t>
        </is>
      </c>
    </row>
    <row r="2109">
      <c r="A2109" s="177" t="n">
        <v>46304</v>
      </c>
      <c r="B2109" s="177" t="n">
        <v>46301</v>
      </c>
      <c r="C2109" s="177" t="n">
        <v>46307</v>
      </c>
      <c r="D2109" t="inlineStr">
        <is>
          <t>BW20261006</t>
        </is>
      </c>
      <c r="E2109" t="n">
        <v>2026</v>
      </c>
      <c r="F2109" t="inlineStr">
        <is>
          <t>Październik</t>
        </is>
      </c>
      <c r="G2109" t="inlineStr">
        <is>
          <t>Pt</t>
        </is>
      </c>
      <c r="H2109">
        <f>'Floor Hours Engine'!$E$5</f>
        <v/>
      </c>
      <c r="I2109" t="inlineStr">
        <is>
          <t>W2</t>
        </is>
      </c>
      <c r="J2109" t="inlineStr">
        <is>
          <t>2026_Październik_W2</t>
        </is>
      </c>
    </row>
    <row r="2110">
      <c r="A2110" s="177" t="n">
        <v>46305</v>
      </c>
      <c r="B2110" s="177" t="n">
        <v>46301</v>
      </c>
      <c r="C2110" s="177" t="n">
        <v>46307</v>
      </c>
      <c r="D2110" t="inlineStr">
        <is>
          <t>BW20261006</t>
        </is>
      </c>
      <c r="E2110" t="n">
        <v>2026</v>
      </c>
      <c r="F2110" t="inlineStr">
        <is>
          <t>Październik</t>
        </is>
      </c>
      <c r="G2110" t="inlineStr">
        <is>
          <t>Sob</t>
        </is>
      </c>
      <c r="H2110">
        <f>'Floor Hours Engine'!$E$5</f>
        <v/>
      </c>
      <c r="I2110" t="inlineStr">
        <is>
          <t>W2</t>
        </is>
      </c>
      <c r="J2110" t="inlineStr">
        <is>
          <t>2026_Październik_W2</t>
        </is>
      </c>
    </row>
    <row r="2111">
      <c r="A2111" s="177" t="n">
        <v>46306</v>
      </c>
      <c r="B2111" s="177" t="n">
        <v>46301</v>
      </c>
      <c r="C2111" s="177" t="n">
        <v>46307</v>
      </c>
      <c r="D2111" t="inlineStr">
        <is>
          <t>BW20261006</t>
        </is>
      </c>
      <c r="E2111" t="n">
        <v>2026</v>
      </c>
      <c r="F2111" t="inlineStr">
        <is>
          <t>Październik</t>
        </is>
      </c>
      <c r="G2111" t="inlineStr">
        <is>
          <t>Nd</t>
        </is>
      </c>
      <c r="H2111">
        <f>'Floor Hours Engine'!$E$6</f>
        <v/>
      </c>
      <c r="I2111" t="inlineStr">
        <is>
          <t>W2</t>
        </is>
      </c>
      <c r="J2111" t="inlineStr">
        <is>
          <t>2026_Październik_W2</t>
        </is>
      </c>
    </row>
    <row r="2112">
      <c r="A2112" s="177" t="n">
        <v>46307</v>
      </c>
      <c r="B2112" s="177" t="n">
        <v>46301</v>
      </c>
      <c r="C2112" s="177" t="n">
        <v>46307</v>
      </c>
      <c r="D2112" t="inlineStr">
        <is>
          <t>BW20261006</t>
        </is>
      </c>
      <c r="E2112" t="n">
        <v>2026</v>
      </c>
      <c r="F2112" t="inlineStr">
        <is>
          <t>Październik</t>
        </is>
      </c>
      <c r="G2112" t="inlineStr">
        <is>
          <t>Pn</t>
        </is>
      </c>
      <c r="H2112">
        <f>'Floor Hours Engine'!$E$4</f>
        <v/>
      </c>
      <c r="I2112" t="inlineStr">
        <is>
          <t>W2</t>
        </is>
      </c>
      <c r="J2112" t="inlineStr">
        <is>
          <t>2026_Październik_W2</t>
        </is>
      </c>
    </row>
    <row r="2113">
      <c r="A2113" s="177" t="n">
        <v>46308</v>
      </c>
      <c r="B2113" s="177" t="n">
        <v>46308</v>
      </c>
      <c r="C2113" s="177" t="n">
        <v>46314</v>
      </c>
      <c r="D2113" t="inlineStr">
        <is>
          <t>BW20261013</t>
        </is>
      </c>
      <c r="E2113" t="n">
        <v>2026</v>
      </c>
      <c r="F2113" t="inlineStr">
        <is>
          <t>Październik</t>
        </is>
      </c>
      <c r="G2113" t="inlineStr">
        <is>
          <t>Wt</t>
        </is>
      </c>
      <c r="H2113">
        <f>'Floor Hours Engine'!$E$4</f>
        <v/>
      </c>
      <c r="I2113" t="inlineStr">
        <is>
          <t>W3</t>
        </is>
      </c>
      <c r="J2113" t="inlineStr">
        <is>
          <t>2026_Październik_W3</t>
        </is>
      </c>
    </row>
    <row r="2114">
      <c r="A2114" s="177" t="n">
        <v>46309</v>
      </c>
      <c r="B2114" s="177" t="n">
        <v>46308</v>
      </c>
      <c r="C2114" s="177" t="n">
        <v>46314</v>
      </c>
      <c r="D2114" t="inlineStr">
        <is>
          <t>BW20261013</t>
        </is>
      </c>
      <c r="E2114" t="n">
        <v>2026</v>
      </c>
      <c r="F2114" t="inlineStr">
        <is>
          <t>Październik</t>
        </is>
      </c>
      <c r="G2114" t="inlineStr">
        <is>
          <t>Śr</t>
        </is>
      </c>
      <c r="H2114">
        <f>'Floor Hours Engine'!$E$4</f>
        <v/>
      </c>
      <c r="I2114" t="inlineStr">
        <is>
          <t>W3</t>
        </is>
      </c>
      <c r="J2114" t="inlineStr">
        <is>
          <t>2026_Październik_W3</t>
        </is>
      </c>
    </row>
    <row r="2115">
      <c r="A2115" s="177" t="n">
        <v>46310</v>
      </c>
      <c r="B2115" s="177" t="n">
        <v>46308</v>
      </c>
      <c r="C2115" s="177" t="n">
        <v>46314</v>
      </c>
      <c r="D2115" t="inlineStr">
        <is>
          <t>BW20261013</t>
        </is>
      </c>
      <c r="E2115" t="n">
        <v>2026</v>
      </c>
      <c r="F2115" t="inlineStr">
        <is>
          <t>Październik</t>
        </is>
      </c>
      <c r="G2115" t="inlineStr">
        <is>
          <t>Czw</t>
        </is>
      </c>
      <c r="H2115">
        <f>'Floor Hours Engine'!$E$4</f>
        <v/>
      </c>
      <c r="I2115" t="inlineStr">
        <is>
          <t>W3</t>
        </is>
      </c>
      <c r="J2115" t="inlineStr">
        <is>
          <t>2026_Październik_W3</t>
        </is>
      </c>
    </row>
    <row r="2116">
      <c r="A2116" s="177" t="n">
        <v>46311</v>
      </c>
      <c r="B2116" s="177" t="n">
        <v>46308</v>
      </c>
      <c r="C2116" s="177" t="n">
        <v>46314</v>
      </c>
      <c r="D2116" t="inlineStr">
        <is>
          <t>BW20261013</t>
        </is>
      </c>
      <c r="E2116" t="n">
        <v>2026</v>
      </c>
      <c r="F2116" t="inlineStr">
        <is>
          <t>Październik</t>
        </is>
      </c>
      <c r="G2116" t="inlineStr">
        <is>
          <t>Pt</t>
        </is>
      </c>
      <c r="H2116">
        <f>'Floor Hours Engine'!$E$5</f>
        <v/>
      </c>
      <c r="I2116" t="inlineStr">
        <is>
          <t>W3</t>
        </is>
      </c>
      <c r="J2116" t="inlineStr">
        <is>
          <t>2026_Październik_W3</t>
        </is>
      </c>
    </row>
    <row r="2117">
      <c r="A2117" s="177" t="n">
        <v>46312</v>
      </c>
      <c r="B2117" s="177" t="n">
        <v>46308</v>
      </c>
      <c r="C2117" s="177" t="n">
        <v>46314</v>
      </c>
      <c r="D2117" t="inlineStr">
        <is>
          <t>BW20261013</t>
        </is>
      </c>
      <c r="E2117" t="n">
        <v>2026</v>
      </c>
      <c r="F2117" t="inlineStr">
        <is>
          <t>Październik</t>
        </is>
      </c>
      <c r="G2117" t="inlineStr">
        <is>
          <t>Sob</t>
        </is>
      </c>
      <c r="H2117">
        <f>'Floor Hours Engine'!$E$5</f>
        <v/>
      </c>
      <c r="I2117" t="inlineStr">
        <is>
          <t>W3</t>
        </is>
      </c>
      <c r="J2117" t="inlineStr">
        <is>
          <t>2026_Październik_W3</t>
        </is>
      </c>
    </row>
    <row r="2118">
      <c r="A2118" s="177" t="n">
        <v>46313</v>
      </c>
      <c r="B2118" s="177" t="n">
        <v>46308</v>
      </c>
      <c r="C2118" s="177" t="n">
        <v>46314</v>
      </c>
      <c r="D2118" t="inlineStr">
        <is>
          <t>BW20261013</t>
        </is>
      </c>
      <c r="E2118" t="n">
        <v>2026</v>
      </c>
      <c r="F2118" t="inlineStr">
        <is>
          <t>Październik</t>
        </is>
      </c>
      <c r="G2118" t="inlineStr">
        <is>
          <t>Nd</t>
        </is>
      </c>
      <c r="H2118">
        <f>'Floor Hours Engine'!$E$6</f>
        <v/>
      </c>
      <c r="I2118" t="inlineStr">
        <is>
          <t>W3</t>
        </is>
      </c>
      <c r="J2118" t="inlineStr">
        <is>
          <t>2026_Październik_W3</t>
        </is>
      </c>
    </row>
    <row r="2119">
      <c r="A2119" s="177" t="n">
        <v>46314</v>
      </c>
      <c r="B2119" s="177" t="n">
        <v>46308</v>
      </c>
      <c r="C2119" s="177" t="n">
        <v>46314</v>
      </c>
      <c r="D2119" t="inlineStr">
        <is>
          <t>BW20261013</t>
        </is>
      </c>
      <c r="E2119" t="n">
        <v>2026</v>
      </c>
      <c r="F2119" t="inlineStr">
        <is>
          <t>Październik</t>
        </is>
      </c>
      <c r="G2119" t="inlineStr">
        <is>
          <t>Pn</t>
        </is>
      </c>
      <c r="H2119">
        <f>'Floor Hours Engine'!$E$4</f>
        <v/>
      </c>
      <c r="I2119" t="inlineStr">
        <is>
          <t>W3</t>
        </is>
      </c>
      <c r="J2119" t="inlineStr">
        <is>
          <t>2026_Październik_W3</t>
        </is>
      </c>
    </row>
    <row r="2120">
      <c r="A2120" s="177" t="n">
        <v>46315</v>
      </c>
      <c r="B2120" s="177" t="n">
        <v>46315</v>
      </c>
      <c r="C2120" s="177" t="n">
        <v>46321</v>
      </c>
      <c r="D2120" t="inlineStr">
        <is>
          <t>BW20261020</t>
        </is>
      </c>
      <c r="E2120" t="n">
        <v>2026</v>
      </c>
      <c r="F2120" t="inlineStr">
        <is>
          <t>Październik</t>
        </is>
      </c>
      <c r="G2120" t="inlineStr">
        <is>
          <t>Wt</t>
        </is>
      </c>
      <c r="H2120">
        <f>'Floor Hours Engine'!$E$4</f>
        <v/>
      </c>
      <c r="I2120" t="inlineStr">
        <is>
          <t>W4</t>
        </is>
      </c>
      <c r="J2120" t="inlineStr">
        <is>
          <t>2026_Październik_W4</t>
        </is>
      </c>
    </row>
    <row r="2121">
      <c r="A2121" s="177" t="n">
        <v>46316</v>
      </c>
      <c r="B2121" s="177" t="n">
        <v>46315</v>
      </c>
      <c r="C2121" s="177" t="n">
        <v>46321</v>
      </c>
      <c r="D2121" t="inlineStr">
        <is>
          <t>BW20261020</t>
        </is>
      </c>
      <c r="E2121" t="n">
        <v>2026</v>
      </c>
      <c r="F2121" t="inlineStr">
        <is>
          <t>Październik</t>
        </is>
      </c>
      <c r="G2121" t="inlineStr">
        <is>
          <t>Śr</t>
        </is>
      </c>
      <c r="H2121">
        <f>'Floor Hours Engine'!$E$4</f>
        <v/>
      </c>
      <c r="I2121" t="inlineStr">
        <is>
          <t>W4</t>
        </is>
      </c>
      <c r="J2121" t="inlineStr">
        <is>
          <t>2026_Październik_W4</t>
        </is>
      </c>
    </row>
    <row r="2122">
      <c r="A2122" s="177" t="n">
        <v>46317</v>
      </c>
      <c r="B2122" s="177" t="n">
        <v>46315</v>
      </c>
      <c r="C2122" s="177" t="n">
        <v>46321</v>
      </c>
      <c r="D2122" t="inlineStr">
        <is>
          <t>BW20261020</t>
        </is>
      </c>
      <c r="E2122" t="n">
        <v>2026</v>
      </c>
      <c r="F2122" t="inlineStr">
        <is>
          <t>Październik</t>
        </is>
      </c>
      <c r="G2122" t="inlineStr">
        <is>
          <t>Czw</t>
        </is>
      </c>
      <c r="H2122">
        <f>'Floor Hours Engine'!$E$4</f>
        <v/>
      </c>
      <c r="I2122" t="inlineStr">
        <is>
          <t>W4</t>
        </is>
      </c>
      <c r="J2122" t="inlineStr">
        <is>
          <t>2026_Październik_W4</t>
        </is>
      </c>
    </row>
    <row r="2123">
      <c r="A2123" s="177" t="n">
        <v>46318</v>
      </c>
      <c r="B2123" s="177" t="n">
        <v>46315</v>
      </c>
      <c r="C2123" s="177" t="n">
        <v>46321</v>
      </c>
      <c r="D2123" t="inlineStr">
        <is>
          <t>BW20261020</t>
        </is>
      </c>
      <c r="E2123" t="n">
        <v>2026</v>
      </c>
      <c r="F2123" t="inlineStr">
        <is>
          <t>Październik</t>
        </is>
      </c>
      <c r="G2123" t="inlineStr">
        <is>
          <t>Pt</t>
        </is>
      </c>
      <c r="H2123">
        <f>'Floor Hours Engine'!$E$5</f>
        <v/>
      </c>
      <c r="I2123" t="inlineStr">
        <is>
          <t>W4</t>
        </is>
      </c>
      <c r="J2123" t="inlineStr">
        <is>
          <t>2026_Październik_W4</t>
        </is>
      </c>
    </row>
    <row r="2124">
      <c r="A2124" s="177" t="n">
        <v>46319</v>
      </c>
      <c r="B2124" s="177" t="n">
        <v>46315</v>
      </c>
      <c r="C2124" s="177" t="n">
        <v>46321</v>
      </c>
      <c r="D2124" t="inlineStr">
        <is>
          <t>BW20261020</t>
        </is>
      </c>
      <c r="E2124" t="n">
        <v>2026</v>
      </c>
      <c r="F2124" t="inlineStr">
        <is>
          <t>Październik</t>
        </is>
      </c>
      <c r="G2124" t="inlineStr">
        <is>
          <t>Sob</t>
        </is>
      </c>
      <c r="H2124">
        <f>'Floor Hours Engine'!$E$5</f>
        <v/>
      </c>
      <c r="I2124" t="inlineStr">
        <is>
          <t>W4</t>
        </is>
      </c>
      <c r="J2124" t="inlineStr">
        <is>
          <t>2026_Październik_W4</t>
        </is>
      </c>
    </row>
    <row r="2125">
      <c r="A2125" s="177" t="n">
        <v>46320</v>
      </c>
      <c r="B2125" s="177" t="n">
        <v>46315</v>
      </c>
      <c r="C2125" s="177" t="n">
        <v>46321</v>
      </c>
      <c r="D2125" t="inlineStr">
        <is>
          <t>BW20261020</t>
        </is>
      </c>
      <c r="E2125" t="n">
        <v>2026</v>
      </c>
      <c r="F2125" t="inlineStr">
        <is>
          <t>Październik</t>
        </is>
      </c>
      <c r="G2125" t="inlineStr">
        <is>
          <t>Nd</t>
        </is>
      </c>
      <c r="H2125">
        <f>'Floor Hours Engine'!$E$6</f>
        <v/>
      </c>
      <c r="I2125" t="inlineStr">
        <is>
          <t>W4</t>
        </is>
      </c>
      <c r="J2125" t="inlineStr">
        <is>
          <t>2026_Październik_W4</t>
        </is>
      </c>
    </row>
    <row r="2126">
      <c r="A2126" s="177" t="n">
        <v>46321</v>
      </c>
      <c r="B2126" s="177" t="n">
        <v>46315</v>
      </c>
      <c r="C2126" s="177" t="n">
        <v>46321</v>
      </c>
      <c r="D2126" t="inlineStr">
        <is>
          <t>BW20261020</t>
        </is>
      </c>
      <c r="E2126" t="n">
        <v>2026</v>
      </c>
      <c r="F2126" t="inlineStr">
        <is>
          <t>Październik</t>
        </is>
      </c>
      <c r="G2126" t="inlineStr">
        <is>
          <t>Pn</t>
        </is>
      </c>
      <c r="H2126">
        <f>'Floor Hours Engine'!$E$4</f>
        <v/>
      </c>
      <c r="I2126" t="inlineStr">
        <is>
          <t>W4</t>
        </is>
      </c>
      <c r="J2126" t="inlineStr">
        <is>
          <t>2026_Październik_W4</t>
        </is>
      </c>
    </row>
    <row r="2127">
      <c r="A2127" s="177" t="n">
        <v>46322</v>
      </c>
      <c r="B2127" s="177" t="n">
        <v>46322</v>
      </c>
      <c r="C2127" s="177" t="n">
        <v>46328</v>
      </c>
      <c r="D2127" t="inlineStr">
        <is>
          <t>BW20261027</t>
        </is>
      </c>
      <c r="E2127" t="n">
        <v>2026</v>
      </c>
      <c r="F2127" t="inlineStr">
        <is>
          <t>Październik</t>
        </is>
      </c>
      <c r="G2127" t="inlineStr">
        <is>
          <t>Wt</t>
        </is>
      </c>
      <c r="H2127">
        <f>'Floor Hours Engine'!$E$4</f>
        <v/>
      </c>
      <c r="I2127" t="inlineStr">
        <is>
          <t>W5</t>
        </is>
      </c>
      <c r="J2127" t="inlineStr">
        <is>
          <t>2026_Październik_W5</t>
        </is>
      </c>
    </row>
    <row r="2128">
      <c r="A2128" s="177" t="n">
        <v>46323</v>
      </c>
      <c r="B2128" s="177" t="n">
        <v>46322</v>
      </c>
      <c r="C2128" s="177" t="n">
        <v>46328</v>
      </c>
      <c r="D2128" t="inlineStr">
        <is>
          <t>BW20261027</t>
        </is>
      </c>
      <c r="E2128" t="n">
        <v>2026</v>
      </c>
      <c r="F2128" t="inlineStr">
        <is>
          <t>Październik</t>
        </is>
      </c>
      <c r="G2128" t="inlineStr">
        <is>
          <t>Śr</t>
        </is>
      </c>
      <c r="H2128">
        <f>'Floor Hours Engine'!$E$4</f>
        <v/>
      </c>
      <c r="I2128" t="inlineStr">
        <is>
          <t>W5</t>
        </is>
      </c>
      <c r="J2128" t="inlineStr">
        <is>
          <t>2026_Październik_W5</t>
        </is>
      </c>
    </row>
    <row r="2129">
      <c r="A2129" s="177" t="n">
        <v>46324</v>
      </c>
      <c r="B2129" s="177" t="n">
        <v>46322</v>
      </c>
      <c r="C2129" s="177" t="n">
        <v>46328</v>
      </c>
      <c r="D2129" t="inlineStr">
        <is>
          <t>BW20261027</t>
        </is>
      </c>
      <c r="E2129" t="n">
        <v>2026</v>
      </c>
      <c r="F2129" t="inlineStr">
        <is>
          <t>Październik</t>
        </is>
      </c>
      <c r="G2129" t="inlineStr">
        <is>
          <t>Czw</t>
        </is>
      </c>
      <c r="H2129">
        <f>'Floor Hours Engine'!$E$4</f>
        <v/>
      </c>
      <c r="I2129" t="inlineStr">
        <is>
          <t>W5</t>
        </is>
      </c>
      <c r="J2129" t="inlineStr">
        <is>
          <t>2026_Październik_W5</t>
        </is>
      </c>
    </row>
    <row r="2130">
      <c r="A2130" s="177" t="n">
        <v>46325</v>
      </c>
      <c r="B2130" s="177" t="n">
        <v>46322</v>
      </c>
      <c r="C2130" s="177" t="n">
        <v>46328</v>
      </c>
      <c r="D2130" t="inlineStr">
        <is>
          <t>BW20261027</t>
        </is>
      </c>
      <c r="E2130" t="n">
        <v>2026</v>
      </c>
      <c r="F2130" t="inlineStr">
        <is>
          <t>Październik</t>
        </is>
      </c>
      <c r="G2130" t="inlineStr">
        <is>
          <t>Pt</t>
        </is>
      </c>
      <c r="H2130">
        <f>'Floor Hours Engine'!$E$5</f>
        <v/>
      </c>
      <c r="I2130" t="inlineStr">
        <is>
          <t>W5</t>
        </is>
      </c>
      <c r="J2130" t="inlineStr">
        <is>
          <t>2026_Październik_W5</t>
        </is>
      </c>
    </row>
    <row r="2131">
      <c r="A2131" s="177" t="n">
        <v>46326</v>
      </c>
      <c r="B2131" s="177" t="n">
        <v>46322</v>
      </c>
      <c r="C2131" s="177" t="n">
        <v>46328</v>
      </c>
      <c r="D2131" t="inlineStr">
        <is>
          <t>BW20261027</t>
        </is>
      </c>
      <c r="E2131" t="n">
        <v>2026</v>
      </c>
      <c r="F2131" t="inlineStr">
        <is>
          <t>Październik</t>
        </is>
      </c>
      <c r="G2131" t="inlineStr">
        <is>
          <t>Sob</t>
        </is>
      </c>
      <c r="H2131">
        <f>'Floor Hours Engine'!$E$5</f>
        <v/>
      </c>
      <c r="I2131" t="inlineStr">
        <is>
          <t>W5</t>
        </is>
      </c>
      <c r="J2131" t="inlineStr">
        <is>
          <t>2026_Październik_W5</t>
        </is>
      </c>
    </row>
    <row r="2132">
      <c r="A2132" s="177" t="n">
        <v>46327</v>
      </c>
      <c r="B2132" s="177" t="n">
        <v>46322</v>
      </c>
      <c r="C2132" s="177" t="n">
        <v>46328</v>
      </c>
      <c r="D2132" t="inlineStr">
        <is>
          <t>BW20261027</t>
        </is>
      </c>
      <c r="E2132" t="n">
        <v>2026</v>
      </c>
      <c r="F2132" t="inlineStr">
        <is>
          <t>Listopad</t>
        </is>
      </c>
      <c r="G2132" t="inlineStr">
        <is>
          <t>Nd</t>
        </is>
      </c>
      <c r="H2132">
        <f>'Floor Hours Engine'!$E$6</f>
        <v/>
      </c>
      <c r="I2132" t="inlineStr">
        <is>
          <t>W1</t>
        </is>
      </c>
      <c r="J2132" t="inlineStr">
        <is>
          <t>2026_Listopad_W1</t>
        </is>
      </c>
    </row>
    <row r="2133">
      <c r="A2133" s="177" t="n">
        <v>46328</v>
      </c>
      <c r="B2133" s="177" t="n">
        <v>46322</v>
      </c>
      <c r="C2133" s="177" t="n">
        <v>46328</v>
      </c>
      <c r="D2133" t="inlineStr">
        <is>
          <t>BW20261027</t>
        </is>
      </c>
      <c r="E2133" t="n">
        <v>2026</v>
      </c>
      <c r="F2133" t="inlineStr">
        <is>
          <t>Listopad</t>
        </is>
      </c>
      <c r="G2133" t="inlineStr">
        <is>
          <t>Pn</t>
        </is>
      </c>
      <c r="H2133">
        <f>'Floor Hours Engine'!$E$4</f>
        <v/>
      </c>
      <c r="I2133" t="inlineStr">
        <is>
          <t>W1</t>
        </is>
      </c>
      <c r="J2133" t="inlineStr">
        <is>
          <t>2026_Listopad_W1</t>
        </is>
      </c>
    </row>
    <row r="2134">
      <c r="A2134" s="177" t="n">
        <v>46329</v>
      </c>
      <c r="B2134" s="177" t="n">
        <v>46329</v>
      </c>
      <c r="C2134" s="177" t="n">
        <v>46335</v>
      </c>
      <c r="D2134" t="inlineStr">
        <is>
          <t>BW20261103</t>
        </is>
      </c>
      <c r="E2134" t="n">
        <v>2026</v>
      </c>
      <c r="F2134" t="inlineStr">
        <is>
          <t>Listopad</t>
        </is>
      </c>
      <c r="G2134" t="inlineStr">
        <is>
          <t>Wt</t>
        </is>
      </c>
      <c r="H2134">
        <f>'Floor Hours Engine'!$E$4</f>
        <v/>
      </c>
      <c r="I2134" t="inlineStr">
        <is>
          <t>W2</t>
        </is>
      </c>
      <c r="J2134" t="inlineStr">
        <is>
          <t>2026_Listopad_W2</t>
        </is>
      </c>
    </row>
    <row r="2135">
      <c r="A2135" s="177" t="n">
        <v>46330</v>
      </c>
      <c r="B2135" s="177" t="n">
        <v>46329</v>
      </c>
      <c r="C2135" s="177" t="n">
        <v>46335</v>
      </c>
      <c r="D2135" t="inlineStr">
        <is>
          <t>BW20261103</t>
        </is>
      </c>
      <c r="E2135" t="n">
        <v>2026</v>
      </c>
      <c r="F2135" t="inlineStr">
        <is>
          <t>Listopad</t>
        </is>
      </c>
      <c r="G2135" t="inlineStr">
        <is>
          <t>Śr</t>
        </is>
      </c>
      <c r="H2135">
        <f>'Floor Hours Engine'!$E$4</f>
        <v/>
      </c>
      <c r="I2135" t="inlineStr">
        <is>
          <t>W2</t>
        </is>
      </c>
      <c r="J2135" t="inlineStr">
        <is>
          <t>2026_Listopad_W2</t>
        </is>
      </c>
    </row>
    <row r="2136">
      <c r="A2136" s="177" t="n">
        <v>46331</v>
      </c>
      <c r="B2136" s="177" t="n">
        <v>46329</v>
      </c>
      <c r="C2136" s="177" t="n">
        <v>46335</v>
      </c>
      <c r="D2136" t="inlineStr">
        <is>
          <t>BW20261103</t>
        </is>
      </c>
      <c r="E2136" t="n">
        <v>2026</v>
      </c>
      <c r="F2136" t="inlineStr">
        <is>
          <t>Listopad</t>
        </is>
      </c>
      <c r="G2136" t="inlineStr">
        <is>
          <t>Czw</t>
        </is>
      </c>
      <c r="H2136">
        <f>'Floor Hours Engine'!$E$4</f>
        <v/>
      </c>
      <c r="I2136" t="inlineStr">
        <is>
          <t>W2</t>
        </is>
      </c>
      <c r="J2136" t="inlineStr">
        <is>
          <t>2026_Listopad_W2</t>
        </is>
      </c>
    </row>
    <row r="2137">
      <c r="A2137" s="177" t="n">
        <v>46332</v>
      </c>
      <c r="B2137" s="177" t="n">
        <v>46329</v>
      </c>
      <c r="C2137" s="177" t="n">
        <v>46335</v>
      </c>
      <c r="D2137" t="inlineStr">
        <is>
          <t>BW20261103</t>
        </is>
      </c>
      <c r="E2137" t="n">
        <v>2026</v>
      </c>
      <c r="F2137" t="inlineStr">
        <is>
          <t>Listopad</t>
        </is>
      </c>
      <c r="G2137" t="inlineStr">
        <is>
          <t>Pt</t>
        </is>
      </c>
      <c r="H2137">
        <f>'Floor Hours Engine'!$E$5</f>
        <v/>
      </c>
      <c r="I2137" t="inlineStr">
        <is>
          <t>W2</t>
        </is>
      </c>
      <c r="J2137" t="inlineStr">
        <is>
          <t>2026_Listopad_W2</t>
        </is>
      </c>
    </row>
    <row r="2138">
      <c r="A2138" s="177" t="n">
        <v>46333</v>
      </c>
      <c r="B2138" s="177" t="n">
        <v>46329</v>
      </c>
      <c r="C2138" s="177" t="n">
        <v>46335</v>
      </c>
      <c r="D2138" t="inlineStr">
        <is>
          <t>BW20261103</t>
        </is>
      </c>
      <c r="E2138" t="n">
        <v>2026</v>
      </c>
      <c r="F2138" t="inlineStr">
        <is>
          <t>Listopad</t>
        </is>
      </c>
      <c r="G2138" t="inlineStr">
        <is>
          <t>Sob</t>
        </is>
      </c>
      <c r="H2138">
        <f>'Floor Hours Engine'!$E$5</f>
        <v/>
      </c>
      <c r="I2138" t="inlineStr">
        <is>
          <t>W2</t>
        </is>
      </c>
      <c r="J2138" t="inlineStr">
        <is>
          <t>2026_Listopad_W2</t>
        </is>
      </c>
    </row>
    <row r="2139">
      <c r="A2139" s="177" t="n">
        <v>46334</v>
      </c>
      <c r="B2139" s="177" t="n">
        <v>46329</v>
      </c>
      <c r="C2139" s="177" t="n">
        <v>46335</v>
      </c>
      <c r="D2139" t="inlineStr">
        <is>
          <t>BW20261103</t>
        </is>
      </c>
      <c r="E2139" t="n">
        <v>2026</v>
      </c>
      <c r="F2139" t="inlineStr">
        <is>
          <t>Listopad</t>
        </is>
      </c>
      <c r="G2139" t="inlineStr">
        <is>
          <t>Nd</t>
        </is>
      </c>
      <c r="H2139">
        <f>'Floor Hours Engine'!$E$6</f>
        <v/>
      </c>
      <c r="I2139" t="inlineStr">
        <is>
          <t>W2</t>
        </is>
      </c>
      <c r="J2139" t="inlineStr">
        <is>
          <t>2026_Listopad_W2</t>
        </is>
      </c>
    </row>
    <row r="2140">
      <c r="A2140" s="177" t="n">
        <v>46335</v>
      </c>
      <c r="B2140" s="177" t="n">
        <v>46329</v>
      </c>
      <c r="C2140" s="177" t="n">
        <v>46335</v>
      </c>
      <c r="D2140" t="inlineStr">
        <is>
          <t>BW20261103</t>
        </is>
      </c>
      <c r="E2140" t="n">
        <v>2026</v>
      </c>
      <c r="F2140" t="inlineStr">
        <is>
          <t>Listopad</t>
        </is>
      </c>
      <c r="G2140" t="inlineStr">
        <is>
          <t>Pn</t>
        </is>
      </c>
      <c r="H2140">
        <f>'Floor Hours Engine'!$E$4</f>
        <v/>
      </c>
      <c r="I2140" t="inlineStr">
        <is>
          <t>W2</t>
        </is>
      </c>
      <c r="J2140" t="inlineStr">
        <is>
          <t>2026_Listopad_W2</t>
        </is>
      </c>
    </row>
    <row r="2141">
      <c r="A2141" s="177" t="n">
        <v>46336</v>
      </c>
      <c r="B2141" s="177" t="n">
        <v>46336</v>
      </c>
      <c r="C2141" s="177" t="n">
        <v>46342</v>
      </c>
      <c r="D2141" t="inlineStr">
        <is>
          <t>BW20261110</t>
        </is>
      </c>
      <c r="E2141" t="n">
        <v>2026</v>
      </c>
      <c r="F2141" t="inlineStr">
        <is>
          <t>Listopad</t>
        </is>
      </c>
      <c r="G2141" t="inlineStr">
        <is>
          <t>Wt</t>
        </is>
      </c>
      <c r="H2141">
        <f>'Floor Hours Engine'!$E$4</f>
        <v/>
      </c>
      <c r="I2141" t="inlineStr">
        <is>
          <t>W3</t>
        </is>
      </c>
      <c r="J2141" t="inlineStr">
        <is>
          <t>2026_Listopad_W3</t>
        </is>
      </c>
    </row>
    <row r="2142">
      <c r="A2142" s="177" t="n">
        <v>46337</v>
      </c>
      <c r="B2142" s="177" t="n">
        <v>46336</v>
      </c>
      <c r="C2142" s="177" t="n">
        <v>46342</v>
      </c>
      <c r="D2142" t="inlineStr">
        <is>
          <t>BW20261110</t>
        </is>
      </c>
      <c r="E2142" t="n">
        <v>2026</v>
      </c>
      <c r="F2142" t="inlineStr">
        <is>
          <t>Listopad</t>
        </is>
      </c>
      <c r="G2142" t="inlineStr">
        <is>
          <t>Śr</t>
        </is>
      </c>
      <c r="H2142">
        <f>'Floor Hours Engine'!$E$4</f>
        <v/>
      </c>
      <c r="I2142" t="inlineStr">
        <is>
          <t>W3</t>
        </is>
      </c>
      <c r="J2142" t="inlineStr">
        <is>
          <t>2026_Listopad_W3</t>
        </is>
      </c>
    </row>
    <row r="2143">
      <c r="A2143" s="177" t="n">
        <v>46338</v>
      </c>
      <c r="B2143" s="177" t="n">
        <v>46336</v>
      </c>
      <c r="C2143" s="177" t="n">
        <v>46342</v>
      </c>
      <c r="D2143" t="inlineStr">
        <is>
          <t>BW20261110</t>
        </is>
      </c>
      <c r="E2143" t="n">
        <v>2026</v>
      </c>
      <c r="F2143" t="inlineStr">
        <is>
          <t>Listopad</t>
        </is>
      </c>
      <c r="G2143" t="inlineStr">
        <is>
          <t>Czw</t>
        </is>
      </c>
      <c r="H2143">
        <f>'Floor Hours Engine'!$E$4</f>
        <v/>
      </c>
      <c r="I2143" t="inlineStr">
        <is>
          <t>W3</t>
        </is>
      </c>
      <c r="J2143" t="inlineStr">
        <is>
          <t>2026_Listopad_W3</t>
        </is>
      </c>
    </row>
    <row r="2144">
      <c r="A2144" s="177" t="n">
        <v>46339</v>
      </c>
      <c r="B2144" s="177" t="n">
        <v>46336</v>
      </c>
      <c r="C2144" s="177" t="n">
        <v>46342</v>
      </c>
      <c r="D2144" t="inlineStr">
        <is>
          <t>BW20261110</t>
        </is>
      </c>
      <c r="E2144" t="n">
        <v>2026</v>
      </c>
      <c r="F2144" t="inlineStr">
        <is>
          <t>Listopad</t>
        </is>
      </c>
      <c r="G2144" t="inlineStr">
        <is>
          <t>Pt</t>
        </is>
      </c>
      <c r="H2144">
        <f>'Floor Hours Engine'!$E$5</f>
        <v/>
      </c>
      <c r="I2144" t="inlineStr">
        <is>
          <t>W3</t>
        </is>
      </c>
      <c r="J2144" t="inlineStr">
        <is>
          <t>2026_Listopad_W3</t>
        </is>
      </c>
    </row>
    <row r="2145">
      <c r="A2145" s="177" t="n">
        <v>46340</v>
      </c>
      <c r="B2145" s="177" t="n">
        <v>46336</v>
      </c>
      <c r="C2145" s="177" t="n">
        <v>46342</v>
      </c>
      <c r="D2145" t="inlineStr">
        <is>
          <t>BW20261110</t>
        </is>
      </c>
      <c r="E2145" t="n">
        <v>2026</v>
      </c>
      <c r="F2145" t="inlineStr">
        <is>
          <t>Listopad</t>
        </is>
      </c>
      <c r="G2145" t="inlineStr">
        <is>
          <t>Sob</t>
        </is>
      </c>
      <c r="H2145">
        <f>'Floor Hours Engine'!$E$5</f>
        <v/>
      </c>
      <c r="I2145" t="inlineStr">
        <is>
          <t>W3</t>
        </is>
      </c>
      <c r="J2145" t="inlineStr">
        <is>
          <t>2026_Listopad_W3</t>
        </is>
      </c>
    </row>
    <row r="2146">
      <c r="A2146" s="177" t="n">
        <v>46341</v>
      </c>
      <c r="B2146" s="177" t="n">
        <v>46336</v>
      </c>
      <c r="C2146" s="177" t="n">
        <v>46342</v>
      </c>
      <c r="D2146" t="inlineStr">
        <is>
          <t>BW20261110</t>
        </is>
      </c>
      <c r="E2146" t="n">
        <v>2026</v>
      </c>
      <c r="F2146" t="inlineStr">
        <is>
          <t>Listopad</t>
        </is>
      </c>
      <c r="G2146" t="inlineStr">
        <is>
          <t>Nd</t>
        </is>
      </c>
      <c r="H2146">
        <f>'Floor Hours Engine'!$E$6</f>
        <v/>
      </c>
      <c r="I2146" t="inlineStr">
        <is>
          <t>W3</t>
        </is>
      </c>
      <c r="J2146" t="inlineStr">
        <is>
          <t>2026_Listopad_W3</t>
        </is>
      </c>
    </row>
    <row r="2147">
      <c r="A2147" s="177" t="n">
        <v>46342</v>
      </c>
      <c r="B2147" s="177" t="n">
        <v>46336</v>
      </c>
      <c r="C2147" s="177" t="n">
        <v>46342</v>
      </c>
      <c r="D2147" t="inlineStr">
        <is>
          <t>BW20261110</t>
        </is>
      </c>
      <c r="E2147" t="n">
        <v>2026</v>
      </c>
      <c r="F2147" t="inlineStr">
        <is>
          <t>Listopad</t>
        </is>
      </c>
      <c r="G2147" t="inlineStr">
        <is>
          <t>Pn</t>
        </is>
      </c>
      <c r="H2147">
        <f>'Floor Hours Engine'!$E$4</f>
        <v/>
      </c>
      <c r="I2147" t="inlineStr">
        <is>
          <t>W3</t>
        </is>
      </c>
      <c r="J2147" t="inlineStr">
        <is>
          <t>2026_Listopad_W3</t>
        </is>
      </c>
    </row>
    <row r="2148">
      <c r="A2148" s="177" t="n">
        <v>46343</v>
      </c>
      <c r="B2148" s="177" t="n">
        <v>46343</v>
      </c>
      <c r="C2148" s="177" t="n">
        <v>46349</v>
      </c>
      <c r="D2148" t="inlineStr">
        <is>
          <t>BW20261117</t>
        </is>
      </c>
      <c r="E2148" t="n">
        <v>2026</v>
      </c>
      <c r="F2148" t="inlineStr">
        <is>
          <t>Listopad</t>
        </is>
      </c>
      <c r="G2148" t="inlineStr">
        <is>
          <t>Wt</t>
        </is>
      </c>
      <c r="H2148">
        <f>'Floor Hours Engine'!$E$4</f>
        <v/>
      </c>
      <c r="I2148" t="inlineStr">
        <is>
          <t>W4</t>
        </is>
      </c>
      <c r="J2148" t="inlineStr">
        <is>
          <t>2026_Listopad_W4</t>
        </is>
      </c>
    </row>
    <row r="2149">
      <c r="A2149" s="177" t="n">
        <v>46344</v>
      </c>
      <c r="B2149" s="177" t="n">
        <v>46343</v>
      </c>
      <c r="C2149" s="177" t="n">
        <v>46349</v>
      </c>
      <c r="D2149" t="inlineStr">
        <is>
          <t>BW20261117</t>
        </is>
      </c>
      <c r="E2149" t="n">
        <v>2026</v>
      </c>
      <c r="F2149" t="inlineStr">
        <is>
          <t>Listopad</t>
        </is>
      </c>
      <c r="G2149" t="inlineStr">
        <is>
          <t>Śr</t>
        </is>
      </c>
      <c r="H2149">
        <f>'Floor Hours Engine'!$E$4</f>
        <v/>
      </c>
      <c r="I2149" t="inlineStr">
        <is>
          <t>W4</t>
        </is>
      </c>
      <c r="J2149" t="inlineStr">
        <is>
          <t>2026_Listopad_W4</t>
        </is>
      </c>
    </row>
    <row r="2150">
      <c r="A2150" s="177" t="n">
        <v>46345</v>
      </c>
      <c r="B2150" s="177" t="n">
        <v>46343</v>
      </c>
      <c r="C2150" s="177" t="n">
        <v>46349</v>
      </c>
      <c r="D2150" t="inlineStr">
        <is>
          <t>BW20261117</t>
        </is>
      </c>
      <c r="E2150" t="n">
        <v>2026</v>
      </c>
      <c r="F2150" t="inlineStr">
        <is>
          <t>Listopad</t>
        </is>
      </c>
      <c r="G2150" t="inlineStr">
        <is>
          <t>Czw</t>
        </is>
      </c>
      <c r="H2150">
        <f>'Floor Hours Engine'!$E$4</f>
        <v/>
      </c>
      <c r="I2150" t="inlineStr">
        <is>
          <t>W4</t>
        </is>
      </c>
      <c r="J2150" t="inlineStr">
        <is>
          <t>2026_Listopad_W4</t>
        </is>
      </c>
    </row>
    <row r="2151">
      <c r="A2151" s="177" t="n">
        <v>46346</v>
      </c>
      <c r="B2151" s="177" t="n">
        <v>46343</v>
      </c>
      <c r="C2151" s="177" t="n">
        <v>46349</v>
      </c>
      <c r="D2151" t="inlineStr">
        <is>
          <t>BW20261117</t>
        </is>
      </c>
      <c r="E2151" t="n">
        <v>2026</v>
      </c>
      <c r="F2151" t="inlineStr">
        <is>
          <t>Listopad</t>
        </is>
      </c>
      <c r="G2151" t="inlineStr">
        <is>
          <t>Pt</t>
        </is>
      </c>
      <c r="H2151">
        <f>'Floor Hours Engine'!$E$5</f>
        <v/>
      </c>
      <c r="I2151" t="inlineStr">
        <is>
          <t>W4</t>
        </is>
      </c>
      <c r="J2151" t="inlineStr">
        <is>
          <t>2026_Listopad_W4</t>
        </is>
      </c>
    </row>
    <row r="2152">
      <c r="A2152" s="177" t="n">
        <v>46347</v>
      </c>
      <c r="B2152" s="177" t="n">
        <v>46343</v>
      </c>
      <c r="C2152" s="177" t="n">
        <v>46349</v>
      </c>
      <c r="D2152" t="inlineStr">
        <is>
          <t>BW20261117</t>
        </is>
      </c>
      <c r="E2152" t="n">
        <v>2026</v>
      </c>
      <c r="F2152" t="inlineStr">
        <is>
          <t>Listopad</t>
        </is>
      </c>
      <c r="G2152" t="inlineStr">
        <is>
          <t>Sob</t>
        </is>
      </c>
      <c r="H2152">
        <f>'Floor Hours Engine'!$E$5</f>
        <v/>
      </c>
      <c r="I2152" t="inlineStr">
        <is>
          <t>W4</t>
        </is>
      </c>
      <c r="J2152" t="inlineStr">
        <is>
          <t>2026_Listopad_W4</t>
        </is>
      </c>
    </row>
    <row r="2153">
      <c r="A2153" s="177" t="n">
        <v>46348</v>
      </c>
      <c r="B2153" s="177" t="n">
        <v>46343</v>
      </c>
      <c r="C2153" s="177" t="n">
        <v>46349</v>
      </c>
      <c r="D2153" t="inlineStr">
        <is>
          <t>BW20261117</t>
        </is>
      </c>
      <c r="E2153" t="n">
        <v>2026</v>
      </c>
      <c r="F2153" t="inlineStr">
        <is>
          <t>Listopad</t>
        </is>
      </c>
      <c r="G2153" t="inlineStr">
        <is>
          <t>Nd</t>
        </is>
      </c>
      <c r="H2153">
        <f>'Floor Hours Engine'!$E$6</f>
        <v/>
      </c>
      <c r="I2153" t="inlineStr">
        <is>
          <t>W4</t>
        </is>
      </c>
      <c r="J2153" t="inlineStr">
        <is>
          <t>2026_Listopad_W4</t>
        </is>
      </c>
    </row>
    <row r="2154">
      <c r="A2154" s="177" t="n">
        <v>46349</v>
      </c>
      <c r="B2154" s="177" t="n">
        <v>46343</v>
      </c>
      <c r="C2154" s="177" t="n">
        <v>46349</v>
      </c>
      <c r="D2154" t="inlineStr">
        <is>
          <t>BW20261117</t>
        </is>
      </c>
      <c r="E2154" t="n">
        <v>2026</v>
      </c>
      <c r="F2154" t="inlineStr">
        <is>
          <t>Listopad</t>
        </is>
      </c>
      <c r="G2154" t="inlineStr">
        <is>
          <t>Pn</t>
        </is>
      </c>
      <c r="H2154">
        <f>'Floor Hours Engine'!$E$4</f>
        <v/>
      </c>
      <c r="I2154" t="inlineStr">
        <is>
          <t>W4</t>
        </is>
      </c>
      <c r="J2154" t="inlineStr">
        <is>
          <t>2026_Listopad_W4</t>
        </is>
      </c>
    </row>
    <row r="2155">
      <c r="A2155" s="177" t="n">
        <v>46350</v>
      </c>
      <c r="B2155" s="177" t="n">
        <v>46350</v>
      </c>
      <c r="C2155" s="177" t="n">
        <v>46356</v>
      </c>
      <c r="D2155" t="inlineStr">
        <is>
          <t>BW20261124</t>
        </is>
      </c>
      <c r="E2155" t="n">
        <v>2026</v>
      </c>
      <c r="F2155" t="inlineStr">
        <is>
          <t>Listopad</t>
        </is>
      </c>
      <c r="G2155" t="inlineStr">
        <is>
          <t>Wt</t>
        </is>
      </c>
      <c r="H2155">
        <f>'Floor Hours Engine'!$E$4</f>
        <v/>
      </c>
      <c r="I2155" t="inlineStr">
        <is>
          <t>W5</t>
        </is>
      </c>
      <c r="J2155" t="inlineStr">
        <is>
          <t>2026_Listopad_W5</t>
        </is>
      </c>
    </row>
    <row r="2156">
      <c r="A2156" s="177" t="n">
        <v>46351</v>
      </c>
      <c r="B2156" s="177" t="n">
        <v>46350</v>
      </c>
      <c r="C2156" s="177" t="n">
        <v>46356</v>
      </c>
      <c r="D2156" t="inlineStr">
        <is>
          <t>BW20261124</t>
        </is>
      </c>
      <c r="E2156" t="n">
        <v>2026</v>
      </c>
      <c r="F2156" t="inlineStr">
        <is>
          <t>Listopad</t>
        </is>
      </c>
      <c r="G2156" t="inlineStr">
        <is>
          <t>Śr</t>
        </is>
      </c>
      <c r="H2156">
        <f>'Floor Hours Engine'!$E$4</f>
        <v/>
      </c>
      <c r="I2156" t="inlineStr">
        <is>
          <t>W5</t>
        </is>
      </c>
      <c r="J2156" t="inlineStr">
        <is>
          <t>2026_Listopad_W5</t>
        </is>
      </c>
    </row>
    <row r="2157">
      <c r="A2157" s="177" t="n">
        <v>46352</v>
      </c>
      <c r="B2157" s="177" t="n">
        <v>46350</v>
      </c>
      <c r="C2157" s="177" t="n">
        <v>46356</v>
      </c>
      <c r="D2157" t="inlineStr">
        <is>
          <t>BW20261124</t>
        </is>
      </c>
      <c r="E2157" t="n">
        <v>2026</v>
      </c>
      <c r="F2157" t="inlineStr">
        <is>
          <t>Listopad</t>
        </is>
      </c>
      <c r="G2157" t="inlineStr">
        <is>
          <t>Czw</t>
        </is>
      </c>
      <c r="H2157">
        <f>'Floor Hours Engine'!$E$4</f>
        <v/>
      </c>
      <c r="I2157" t="inlineStr">
        <is>
          <t>W5</t>
        </is>
      </c>
      <c r="J2157" t="inlineStr">
        <is>
          <t>2026_Listopad_W5</t>
        </is>
      </c>
    </row>
    <row r="2158">
      <c r="A2158" s="177" t="n">
        <v>46353</v>
      </c>
      <c r="B2158" s="177" t="n">
        <v>46350</v>
      </c>
      <c r="C2158" s="177" t="n">
        <v>46356</v>
      </c>
      <c r="D2158" t="inlineStr">
        <is>
          <t>BW20261124</t>
        </is>
      </c>
      <c r="E2158" t="n">
        <v>2026</v>
      </c>
      <c r="F2158" t="inlineStr">
        <is>
          <t>Listopad</t>
        </is>
      </c>
      <c r="G2158" t="inlineStr">
        <is>
          <t>Pt</t>
        </is>
      </c>
      <c r="H2158">
        <f>'Floor Hours Engine'!$E$5</f>
        <v/>
      </c>
      <c r="I2158" t="inlineStr">
        <is>
          <t>W5</t>
        </is>
      </c>
      <c r="J2158" t="inlineStr">
        <is>
          <t>2026_Listopad_W5</t>
        </is>
      </c>
    </row>
    <row r="2159">
      <c r="A2159" s="177" t="n">
        <v>46354</v>
      </c>
      <c r="B2159" s="177" t="n">
        <v>46350</v>
      </c>
      <c r="C2159" s="177" t="n">
        <v>46356</v>
      </c>
      <c r="D2159" t="inlineStr">
        <is>
          <t>BW20261124</t>
        </is>
      </c>
      <c r="E2159" t="n">
        <v>2026</v>
      </c>
      <c r="F2159" t="inlineStr">
        <is>
          <t>Listopad</t>
        </is>
      </c>
      <c r="G2159" t="inlineStr">
        <is>
          <t>Sob</t>
        </is>
      </c>
      <c r="H2159">
        <f>'Floor Hours Engine'!$E$5</f>
        <v/>
      </c>
      <c r="I2159" t="inlineStr">
        <is>
          <t>W5</t>
        </is>
      </c>
      <c r="J2159" t="inlineStr">
        <is>
          <t>2026_Listopad_W5</t>
        </is>
      </c>
    </row>
    <row r="2160">
      <c r="A2160" s="177" t="n">
        <v>46355</v>
      </c>
      <c r="B2160" s="177" t="n">
        <v>46350</v>
      </c>
      <c r="C2160" s="177" t="n">
        <v>46356</v>
      </c>
      <c r="D2160" t="inlineStr">
        <is>
          <t>BW20261124</t>
        </is>
      </c>
      <c r="E2160" t="n">
        <v>2026</v>
      </c>
      <c r="F2160" t="inlineStr">
        <is>
          <t>Listopad</t>
        </is>
      </c>
      <c r="G2160" t="inlineStr">
        <is>
          <t>Nd</t>
        </is>
      </c>
      <c r="H2160">
        <f>'Floor Hours Engine'!$E$6</f>
        <v/>
      </c>
      <c r="I2160" t="inlineStr">
        <is>
          <t>W5</t>
        </is>
      </c>
      <c r="J2160" t="inlineStr">
        <is>
          <t>2026_Listopad_W5</t>
        </is>
      </c>
    </row>
    <row r="2161">
      <c r="A2161" s="177" t="n">
        <v>46356</v>
      </c>
      <c r="B2161" s="177" t="n">
        <v>46350</v>
      </c>
      <c r="C2161" s="177" t="n">
        <v>46356</v>
      </c>
      <c r="D2161" t="inlineStr">
        <is>
          <t>BW20261124</t>
        </is>
      </c>
      <c r="E2161" t="n">
        <v>2026</v>
      </c>
      <c r="F2161" t="inlineStr">
        <is>
          <t>Listopad</t>
        </is>
      </c>
      <c r="G2161" t="inlineStr">
        <is>
          <t>Pn</t>
        </is>
      </c>
      <c r="H2161">
        <f>'Floor Hours Engine'!$E$4</f>
        <v/>
      </c>
      <c r="I2161" t="inlineStr">
        <is>
          <t>W5</t>
        </is>
      </c>
      <c r="J2161" t="inlineStr">
        <is>
          <t>2026_Listopad_W5</t>
        </is>
      </c>
    </row>
    <row r="2162">
      <c r="A2162" s="177" t="n">
        <v>46357</v>
      </c>
      <c r="B2162" s="177" t="n">
        <v>46357</v>
      </c>
      <c r="C2162" s="177" t="n">
        <v>46363</v>
      </c>
      <c r="D2162" t="inlineStr">
        <is>
          <t>BW20261201</t>
        </is>
      </c>
      <c r="E2162" t="n">
        <v>2026</v>
      </c>
      <c r="F2162" t="inlineStr">
        <is>
          <t>Grudzień</t>
        </is>
      </c>
      <c r="G2162" t="inlineStr">
        <is>
          <t>Wt</t>
        </is>
      </c>
      <c r="H2162">
        <f>'Floor Hours Engine'!$E$4</f>
        <v/>
      </c>
      <c r="I2162" t="inlineStr">
        <is>
          <t>W1</t>
        </is>
      </c>
      <c r="J2162" t="inlineStr">
        <is>
          <t>2026_Grudzień_W1</t>
        </is>
      </c>
    </row>
    <row r="2163">
      <c r="A2163" s="177" t="n">
        <v>46358</v>
      </c>
      <c r="B2163" s="177" t="n">
        <v>46357</v>
      </c>
      <c r="C2163" s="177" t="n">
        <v>46363</v>
      </c>
      <c r="D2163" t="inlineStr">
        <is>
          <t>BW20261201</t>
        </is>
      </c>
      <c r="E2163" t="n">
        <v>2026</v>
      </c>
      <c r="F2163" t="inlineStr">
        <is>
          <t>Grudzień</t>
        </is>
      </c>
      <c r="G2163" t="inlineStr">
        <is>
          <t>Śr</t>
        </is>
      </c>
      <c r="H2163">
        <f>'Floor Hours Engine'!$E$4</f>
        <v/>
      </c>
      <c r="I2163" t="inlineStr">
        <is>
          <t>W1</t>
        </is>
      </c>
      <c r="J2163" t="inlineStr">
        <is>
          <t>2026_Grudzień_W1</t>
        </is>
      </c>
    </row>
    <row r="2164">
      <c r="A2164" s="177" t="n">
        <v>46359</v>
      </c>
      <c r="B2164" s="177" t="n">
        <v>46357</v>
      </c>
      <c r="C2164" s="177" t="n">
        <v>46363</v>
      </c>
      <c r="D2164" t="inlineStr">
        <is>
          <t>BW20261201</t>
        </is>
      </c>
      <c r="E2164" t="n">
        <v>2026</v>
      </c>
      <c r="F2164" t="inlineStr">
        <is>
          <t>Grudzień</t>
        </is>
      </c>
      <c r="G2164" t="inlineStr">
        <is>
          <t>Czw</t>
        </is>
      </c>
      <c r="H2164">
        <f>'Floor Hours Engine'!$E$4</f>
        <v/>
      </c>
      <c r="I2164" t="inlineStr">
        <is>
          <t>W1</t>
        </is>
      </c>
      <c r="J2164" t="inlineStr">
        <is>
          <t>2026_Grudzień_W1</t>
        </is>
      </c>
    </row>
    <row r="2165">
      <c r="A2165" s="177" t="n">
        <v>46360</v>
      </c>
      <c r="B2165" s="177" t="n">
        <v>46357</v>
      </c>
      <c r="C2165" s="177" t="n">
        <v>46363</v>
      </c>
      <c r="D2165" t="inlineStr">
        <is>
          <t>BW20261201</t>
        </is>
      </c>
      <c r="E2165" t="n">
        <v>2026</v>
      </c>
      <c r="F2165" t="inlineStr">
        <is>
          <t>Grudzień</t>
        </is>
      </c>
      <c r="G2165" t="inlineStr">
        <is>
          <t>Pt</t>
        </is>
      </c>
      <c r="H2165">
        <f>'Floor Hours Engine'!$E$5</f>
        <v/>
      </c>
      <c r="I2165" t="inlineStr">
        <is>
          <t>W1</t>
        </is>
      </c>
      <c r="J2165" t="inlineStr">
        <is>
          <t>2026_Grudzień_W1</t>
        </is>
      </c>
    </row>
    <row r="2166">
      <c r="A2166" s="177" t="n">
        <v>46361</v>
      </c>
      <c r="B2166" s="177" t="n">
        <v>46357</v>
      </c>
      <c r="C2166" s="177" t="n">
        <v>46363</v>
      </c>
      <c r="D2166" t="inlineStr">
        <is>
          <t>BW20261201</t>
        </is>
      </c>
      <c r="E2166" t="n">
        <v>2026</v>
      </c>
      <c r="F2166" t="inlineStr">
        <is>
          <t>Grudzień</t>
        </is>
      </c>
      <c r="G2166" t="inlineStr">
        <is>
          <t>Sob</t>
        </is>
      </c>
      <c r="H2166">
        <f>'Floor Hours Engine'!$E$5</f>
        <v/>
      </c>
      <c r="I2166" t="inlineStr">
        <is>
          <t>W1</t>
        </is>
      </c>
      <c r="J2166" t="inlineStr">
        <is>
          <t>2026_Grudzień_W1</t>
        </is>
      </c>
    </row>
    <row r="2167">
      <c r="A2167" s="177" t="n">
        <v>46362</v>
      </c>
      <c r="B2167" s="177" t="n">
        <v>46357</v>
      </c>
      <c r="C2167" s="177" t="n">
        <v>46363</v>
      </c>
      <c r="D2167" t="inlineStr">
        <is>
          <t>BW20261201</t>
        </is>
      </c>
      <c r="E2167" t="n">
        <v>2026</v>
      </c>
      <c r="F2167" t="inlineStr">
        <is>
          <t>Grudzień</t>
        </is>
      </c>
      <c r="G2167" t="inlineStr">
        <is>
          <t>Nd</t>
        </is>
      </c>
      <c r="H2167">
        <f>'Floor Hours Engine'!$E$6</f>
        <v/>
      </c>
      <c r="I2167" t="inlineStr">
        <is>
          <t>W1</t>
        </is>
      </c>
      <c r="J2167" t="inlineStr">
        <is>
          <t>2026_Grudzień_W1</t>
        </is>
      </c>
    </row>
    <row r="2168">
      <c r="A2168" s="177" t="n">
        <v>46363</v>
      </c>
      <c r="B2168" s="177" t="n">
        <v>46357</v>
      </c>
      <c r="C2168" s="177" t="n">
        <v>46363</v>
      </c>
      <c r="D2168" t="inlineStr">
        <is>
          <t>BW20261201</t>
        </is>
      </c>
      <c r="E2168" t="n">
        <v>2026</v>
      </c>
      <c r="F2168" t="inlineStr">
        <is>
          <t>Grudzień</t>
        </is>
      </c>
      <c r="G2168" t="inlineStr">
        <is>
          <t>Pn</t>
        </is>
      </c>
      <c r="H2168">
        <f>'Floor Hours Engine'!$E$4</f>
        <v/>
      </c>
      <c r="I2168" t="inlineStr">
        <is>
          <t>W1</t>
        </is>
      </c>
      <c r="J2168" t="inlineStr">
        <is>
          <t>2026_Grudzień_W1</t>
        </is>
      </c>
    </row>
    <row r="2169">
      <c r="A2169" s="177" t="n">
        <v>46364</v>
      </c>
      <c r="B2169" s="177" t="n">
        <v>46364</v>
      </c>
      <c r="C2169" s="177" t="n">
        <v>46370</v>
      </c>
      <c r="D2169" t="inlineStr">
        <is>
          <t>BW20261208</t>
        </is>
      </c>
      <c r="E2169" t="n">
        <v>2026</v>
      </c>
      <c r="F2169" t="inlineStr">
        <is>
          <t>Grudzień</t>
        </is>
      </c>
      <c r="G2169" t="inlineStr">
        <is>
          <t>Wt</t>
        </is>
      </c>
      <c r="H2169">
        <f>'Floor Hours Engine'!$E$4</f>
        <v/>
      </c>
      <c r="I2169" t="inlineStr">
        <is>
          <t>W2</t>
        </is>
      </c>
      <c r="J2169" t="inlineStr">
        <is>
          <t>2026_Grudzień_W2</t>
        </is>
      </c>
    </row>
    <row r="2170">
      <c r="A2170" s="177" t="n">
        <v>46365</v>
      </c>
      <c r="B2170" s="177" t="n">
        <v>46364</v>
      </c>
      <c r="C2170" s="177" t="n">
        <v>46370</v>
      </c>
      <c r="D2170" t="inlineStr">
        <is>
          <t>BW20261208</t>
        </is>
      </c>
      <c r="E2170" t="n">
        <v>2026</v>
      </c>
      <c r="F2170" t="inlineStr">
        <is>
          <t>Grudzień</t>
        </is>
      </c>
      <c r="G2170" t="inlineStr">
        <is>
          <t>Śr</t>
        </is>
      </c>
      <c r="H2170">
        <f>'Floor Hours Engine'!$E$4</f>
        <v/>
      </c>
      <c r="I2170" t="inlineStr">
        <is>
          <t>W2</t>
        </is>
      </c>
      <c r="J2170" t="inlineStr">
        <is>
          <t>2026_Grudzień_W2</t>
        </is>
      </c>
    </row>
    <row r="2171">
      <c r="A2171" s="177" t="n">
        <v>46366</v>
      </c>
      <c r="B2171" s="177" t="n">
        <v>46364</v>
      </c>
      <c r="C2171" s="177" t="n">
        <v>46370</v>
      </c>
      <c r="D2171" t="inlineStr">
        <is>
          <t>BW20261208</t>
        </is>
      </c>
      <c r="E2171" t="n">
        <v>2026</v>
      </c>
      <c r="F2171" t="inlineStr">
        <is>
          <t>Grudzień</t>
        </is>
      </c>
      <c r="G2171" t="inlineStr">
        <is>
          <t>Czw</t>
        </is>
      </c>
      <c r="H2171">
        <f>'Floor Hours Engine'!$E$4</f>
        <v/>
      </c>
      <c r="I2171" t="inlineStr">
        <is>
          <t>W2</t>
        </is>
      </c>
      <c r="J2171" t="inlineStr">
        <is>
          <t>2026_Grudzień_W2</t>
        </is>
      </c>
    </row>
    <row r="2172">
      <c r="A2172" s="177" t="n">
        <v>46367</v>
      </c>
      <c r="B2172" s="177" t="n">
        <v>46364</v>
      </c>
      <c r="C2172" s="177" t="n">
        <v>46370</v>
      </c>
      <c r="D2172" t="inlineStr">
        <is>
          <t>BW20261208</t>
        </is>
      </c>
      <c r="E2172" t="n">
        <v>2026</v>
      </c>
      <c r="F2172" t="inlineStr">
        <is>
          <t>Grudzień</t>
        </is>
      </c>
      <c r="G2172" t="inlineStr">
        <is>
          <t>Pt</t>
        </is>
      </c>
      <c r="H2172">
        <f>'Floor Hours Engine'!$E$5</f>
        <v/>
      </c>
      <c r="I2172" t="inlineStr">
        <is>
          <t>W2</t>
        </is>
      </c>
      <c r="J2172" t="inlineStr">
        <is>
          <t>2026_Grudzień_W2</t>
        </is>
      </c>
    </row>
    <row r="2173">
      <c r="A2173" s="177" t="n">
        <v>46368</v>
      </c>
      <c r="B2173" s="177" t="n">
        <v>46364</v>
      </c>
      <c r="C2173" s="177" t="n">
        <v>46370</v>
      </c>
      <c r="D2173" t="inlineStr">
        <is>
          <t>BW20261208</t>
        </is>
      </c>
      <c r="E2173" t="n">
        <v>2026</v>
      </c>
      <c r="F2173" t="inlineStr">
        <is>
          <t>Grudzień</t>
        </is>
      </c>
      <c r="G2173" t="inlineStr">
        <is>
          <t>Sob</t>
        </is>
      </c>
      <c r="H2173">
        <f>'Floor Hours Engine'!$E$5</f>
        <v/>
      </c>
      <c r="I2173" t="inlineStr">
        <is>
          <t>W2</t>
        </is>
      </c>
      <c r="J2173" t="inlineStr">
        <is>
          <t>2026_Grudzień_W2</t>
        </is>
      </c>
    </row>
    <row r="2174">
      <c r="A2174" s="177" t="n">
        <v>46369</v>
      </c>
      <c r="B2174" s="177" t="n">
        <v>46364</v>
      </c>
      <c r="C2174" s="177" t="n">
        <v>46370</v>
      </c>
      <c r="D2174" t="inlineStr">
        <is>
          <t>BW20261208</t>
        </is>
      </c>
      <c r="E2174" t="n">
        <v>2026</v>
      </c>
      <c r="F2174" t="inlineStr">
        <is>
          <t>Grudzień</t>
        </is>
      </c>
      <c r="G2174" t="inlineStr">
        <is>
          <t>Nd</t>
        </is>
      </c>
      <c r="H2174">
        <f>'Floor Hours Engine'!$E$6</f>
        <v/>
      </c>
      <c r="I2174" t="inlineStr">
        <is>
          <t>W2</t>
        </is>
      </c>
      <c r="J2174" t="inlineStr">
        <is>
          <t>2026_Grudzień_W2</t>
        </is>
      </c>
    </row>
    <row r="2175">
      <c r="A2175" s="177" t="n">
        <v>46370</v>
      </c>
      <c r="B2175" s="177" t="n">
        <v>46364</v>
      </c>
      <c r="C2175" s="177" t="n">
        <v>46370</v>
      </c>
      <c r="D2175" t="inlineStr">
        <is>
          <t>BW20261208</t>
        </is>
      </c>
      <c r="E2175" t="n">
        <v>2026</v>
      </c>
      <c r="F2175" t="inlineStr">
        <is>
          <t>Grudzień</t>
        </is>
      </c>
      <c r="G2175" t="inlineStr">
        <is>
          <t>Pn</t>
        </is>
      </c>
      <c r="H2175">
        <f>'Floor Hours Engine'!$E$4</f>
        <v/>
      </c>
      <c r="I2175" t="inlineStr">
        <is>
          <t>W2</t>
        </is>
      </c>
      <c r="J2175" t="inlineStr">
        <is>
          <t>2026_Grudzień_W2</t>
        </is>
      </c>
    </row>
    <row r="2176">
      <c r="A2176" s="177" t="n">
        <v>46371</v>
      </c>
      <c r="B2176" s="177" t="n">
        <v>46371</v>
      </c>
      <c r="C2176" s="177" t="n">
        <v>46377</v>
      </c>
      <c r="D2176" t="inlineStr">
        <is>
          <t>BW20261215</t>
        </is>
      </c>
      <c r="E2176" t="n">
        <v>2026</v>
      </c>
      <c r="F2176" t="inlineStr">
        <is>
          <t>Grudzień</t>
        </is>
      </c>
      <c r="G2176" t="inlineStr">
        <is>
          <t>Wt</t>
        </is>
      </c>
      <c r="H2176">
        <f>'Floor Hours Engine'!$E$4</f>
        <v/>
      </c>
      <c r="I2176" t="inlineStr">
        <is>
          <t>W3</t>
        </is>
      </c>
      <c r="J2176" t="inlineStr">
        <is>
          <t>2026_Grudzień_W3</t>
        </is>
      </c>
    </row>
    <row r="2177">
      <c r="A2177" s="177" t="n">
        <v>46372</v>
      </c>
      <c r="B2177" s="177" t="n">
        <v>46371</v>
      </c>
      <c r="C2177" s="177" t="n">
        <v>46377</v>
      </c>
      <c r="D2177" t="inlineStr">
        <is>
          <t>BW20261215</t>
        </is>
      </c>
      <c r="E2177" t="n">
        <v>2026</v>
      </c>
      <c r="F2177" t="inlineStr">
        <is>
          <t>Grudzień</t>
        </is>
      </c>
      <c r="G2177" t="inlineStr">
        <is>
          <t>Śr</t>
        </is>
      </c>
      <c r="H2177">
        <f>'Floor Hours Engine'!$E$4</f>
        <v/>
      </c>
      <c r="I2177" t="inlineStr">
        <is>
          <t>W3</t>
        </is>
      </c>
      <c r="J2177" t="inlineStr">
        <is>
          <t>2026_Grudzień_W3</t>
        </is>
      </c>
    </row>
    <row r="2178">
      <c r="A2178" s="177" t="n">
        <v>46373</v>
      </c>
      <c r="B2178" s="177" t="n">
        <v>46371</v>
      </c>
      <c r="C2178" s="177" t="n">
        <v>46377</v>
      </c>
      <c r="D2178" t="inlineStr">
        <is>
          <t>BW20261215</t>
        </is>
      </c>
      <c r="E2178" t="n">
        <v>2026</v>
      </c>
      <c r="F2178" t="inlineStr">
        <is>
          <t>Grudzień</t>
        </is>
      </c>
      <c r="G2178" t="inlineStr">
        <is>
          <t>Czw</t>
        </is>
      </c>
      <c r="H2178">
        <f>'Floor Hours Engine'!$E$4</f>
        <v/>
      </c>
      <c r="I2178" t="inlineStr">
        <is>
          <t>W3</t>
        </is>
      </c>
      <c r="J2178" t="inlineStr">
        <is>
          <t>2026_Grudzień_W3</t>
        </is>
      </c>
    </row>
    <row r="2179">
      <c r="A2179" s="177" t="n">
        <v>46374</v>
      </c>
      <c r="B2179" s="177" t="n">
        <v>46371</v>
      </c>
      <c r="C2179" s="177" t="n">
        <v>46377</v>
      </c>
      <c r="D2179" t="inlineStr">
        <is>
          <t>BW20261215</t>
        </is>
      </c>
      <c r="E2179" t="n">
        <v>2026</v>
      </c>
      <c r="F2179" t="inlineStr">
        <is>
          <t>Grudzień</t>
        </is>
      </c>
      <c r="G2179" t="inlineStr">
        <is>
          <t>Pt</t>
        </is>
      </c>
      <c r="H2179">
        <f>'Floor Hours Engine'!$E$5</f>
        <v/>
      </c>
      <c r="I2179" t="inlineStr">
        <is>
          <t>W3</t>
        </is>
      </c>
      <c r="J2179" t="inlineStr">
        <is>
          <t>2026_Grudzień_W3</t>
        </is>
      </c>
    </row>
    <row r="2180">
      <c r="A2180" s="177" t="n">
        <v>46375</v>
      </c>
      <c r="B2180" s="177" t="n">
        <v>46371</v>
      </c>
      <c r="C2180" s="177" t="n">
        <v>46377</v>
      </c>
      <c r="D2180" t="inlineStr">
        <is>
          <t>BW20261215</t>
        </is>
      </c>
      <c r="E2180" t="n">
        <v>2026</v>
      </c>
      <c r="F2180" t="inlineStr">
        <is>
          <t>Grudzień</t>
        </is>
      </c>
      <c r="G2180" t="inlineStr">
        <is>
          <t>Sob</t>
        </is>
      </c>
      <c r="H2180">
        <f>'Floor Hours Engine'!$E$5</f>
        <v/>
      </c>
      <c r="I2180" t="inlineStr">
        <is>
          <t>W3</t>
        </is>
      </c>
      <c r="J2180" t="inlineStr">
        <is>
          <t>2026_Grudzień_W3</t>
        </is>
      </c>
    </row>
    <row r="2181">
      <c r="A2181" s="177" t="n">
        <v>46376</v>
      </c>
      <c r="B2181" s="177" t="n">
        <v>46371</v>
      </c>
      <c r="C2181" s="177" t="n">
        <v>46377</v>
      </c>
      <c r="D2181" t="inlineStr">
        <is>
          <t>BW20261215</t>
        </is>
      </c>
      <c r="E2181" t="n">
        <v>2026</v>
      </c>
      <c r="F2181" t="inlineStr">
        <is>
          <t>Grudzień</t>
        </is>
      </c>
      <c r="G2181" t="inlineStr">
        <is>
          <t>Nd</t>
        </is>
      </c>
      <c r="H2181">
        <f>'Floor Hours Engine'!$E$6</f>
        <v/>
      </c>
      <c r="I2181" t="inlineStr">
        <is>
          <t>W3</t>
        </is>
      </c>
      <c r="J2181" t="inlineStr">
        <is>
          <t>2026_Grudzień_W3</t>
        </is>
      </c>
    </row>
    <row r="2182">
      <c r="A2182" s="177" t="n">
        <v>46377</v>
      </c>
      <c r="B2182" s="177" t="n">
        <v>46371</v>
      </c>
      <c r="C2182" s="177" t="n">
        <v>46377</v>
      </c>
      <c r="D2182" t="inlineStr">
        <is>
          <t>BW20261215</t>
        </is>
      </c>
      <c r="E2182" t="n">
        <v>2026</v>
      </c>
      <c r="F2182" t="inlineStr">
        <is>
          <t>Grudzień</t>
        </is>
      </c>
      <c r="G2182" t="inlineStr">
        <is>
          <t>Pn</t>
        </is>
      </c>
      <c r="H2182">
        <f>'Floor Hours Engine'!$E$4</f>
        <v/>
      </c>
      <c r="I2182" t="inlineStr">
        <is>
          <t>W3</t>
        </is>
      </c>
      <c r="J2182" t="inlineStr">
        <is>
          <t>2026_Grudzień_W3</t>
        </is>
      </c>
    </row>
    <row r="2183">
      <c r="A2183" s="177" t="n">
        <v>46378</v>
      </c>
      <c r="B2183" s="177" t="n">
        <v>46378</v>
      </c>
      <c r="C2183" s="177" t="n">
        <v>46384</v>
      </c>
      <c r="D2183" t="inlineStr">
        <is>
          <t>BW20261222</t>
        </is>
      </c>
      <c r="E2183" t="n">
        <v>2026</v>
      </c>
      <c r="F2183" t="inlineStr">
        <is>
          <t>Grudzień</t>
        </is>
      </c>
      <c r="G2183" t="inlineStr">
        <is>
          <t>Wt</t>
        </is>
      </c>
      <c r="H2183">
        <f>'Floor Hours Engine'!$E$4</f>
        <v/>
      </c>
      <c r="I2183" t="inlineStr">
        <is>
          <t>W4</t>
        </is>
      </c>
      <c r="J2183" t="inlineStr">
        <is>
          <t>2026_Grudzień_W4</t>
        </is>
      </c>
    </row>
    <row r="2184">
      <c r="A2184" s="177" t="n">
        <v>46379</v>
      </c>
      <c r="B2184" s="177" t="n">
        <v>46378</v>
      </c>
      <c r="C2184" s="177" t="n">
        <v>46384</v>
      </c>
      <c r="D2184" t="inlineStr">
        <is>
          <t>BW20261222</t>
        </is>
      </c>
      <c r="E2184" t="n">
        <v>2026</v>
      </c>
      <c r="F2184" t="inlineStr">
        <is>
          <t>Grudzień</t>
        </is>
      </c>
      <c r="G2184" t="inlineStr">
        <is>
          <t>Śr</t>
        </is>
      </c>
      <c r="H2184">
        <f>'Floor Hours Engine'!$E$4</f>
        <v/>
      </c>
      <c r="I2184" t="inlineStr">
        <is>
          <t>W4</t>
        </is>
      </c>
      <c r="J2184" t="inlineStr">
        <is>
          <t>2026_Grudzień_W4</t>
        </is>
      </c>
    </row>
    <row r="2185">
      <c r="A2185" s="177" t="n">
        <v>46380</v>
      </c>
      <c r="B2185" s="177" t="n">
        <v>46378</v>
      </c>
      <c r="C2185" s="177" t="n">
        <v>46384</v>
      </c>
      <c r="D2185" t="inlineStr">
        <is>
          <t>BW20261222</t>
        </is>
      </c>
      <c r="E2185" t="n">
        <v>2026</v>
      </c>
      <c r="F2185" t="inlineStr">
        <is>
          <t>Grudzień</t>
        </is>
      </c>
      <c r="G2185" t="inlineStr">
        <is>
          <t>Czw</t>
        </is>
      </c>
      <c r="H2185">
        <f>'Floor Hours Engine'!$E$4</f>
        <v/>
      </c>
      <c r="I2185" t="inlineStr">
        <is>
          <t>W4</t>
        </is>
      </c>
      <c r="J2185" t="inlineStr">
        <is>
          <t>2026_Grudzień_W4</t>
        </is>
      </c>
    </row>
    <row r="2186">
      <c r="A2186" s="177" t="n">
        <v>46381</v>
      </c>
      <c r="B2186" s="177" t="n">
        <v>46378</v>
      </c>
      <c r="C2186" s="177" t="n">
        <v>46384</v>
      </c>
      <c r="D2186" t="inlineStr">
        <is>
          <t>BW20261222</t>
        </is>
      </c>
      <c r="E2186" t="n">
        <v>2026</v>
      </c>
      <c r="F2186" t="inlineStr">
        <is>
          <t>Grudzień</t>
        </is>
      </c>
      <c r="G2186" t="inlineStr">
        <is>
          <t>Pt</t>
        </is>
      </c>
      <c r="H2186">
        <f>'Floor Hours Engine'!$E$5</f>
        <v/>
      </c>
      <c r="I2186" t="inlineStr">
        <is>
          <t>W4</t>
        </is>
      </c>
      <c r="J2186" t="inlineStr">
        <is>
          <t>2026_Grudzień_W4</t>
        </is>
      </c>
    </row>
    <row r="2187">
      <c r="A2187" s="177" t="n">
        <v>46382</v>
      </c>
      <c r="B2187" s="177" t="n">
        <v>46378</v>
      </c>
      <c r="C2187" s="177" t="n">
        <v>46384</v>
      </c>
      <c r="D2187" t="inlineStr">
        <is>
          <t>BW20261222</t>
        </is>
      </c>
      <c r="E2187" t="n">
        <v>2026</v>
      </c>
      <c r="F2187" t="inlineStr">
        <is>
          <t>Grudzień</t>
        </is>
      </c>
      <c r="G2187" t="inlineStr">
        <is>
          <t>Sob</t>
        </is>
      </c>
      <c r="H2187">
        <f>'Floor Hours Engine'!$E$5</f>
        <v/>
      </c>
      <c r="I2187" t="inlineStr">
        <is>
          <t>W4</t>
        </is>
      </c>
      <c r="J2187" t="inlineStr">
        <is>
          <t>2026_Grudzień_W4</t>
        </is>
      </c>
    </row>
    <row r="2188">
      <c r="A2188" s="177" t="n">
        <v>46383</v>
      </c>
      <c r="B2188" s="177" t="n">
        <v>46378</v>
      </c>
      <c r="C2188" s="177" t="n">
        <v>46384</v>
      </c>
      <c r="D2188" t="inlineStr">
        <is>
          <t>BW20261222</t>
        </is>
      </c>
      <c r="E2188" t="n">
        <v>2026</v>
      </c>
      <c r="F2188" t="inlineStr">
        <is>
          <t>Grudzień</t>
        </is>
      </c>
      <c r="G2188" t="inlineStr">
        <is>
          <t>Nd</t>
        </is>
      </c>
      <c r="H2188">
        <f>'Floor Hours Engine'!$E$6</f>
        <v/>
      </c>
      <c r="I2188" t="inlineStr">
        <is>
          <t>W4</t>
        </is>
      </c>
      <c r="J2188" t="inlineStr">
        <is>
          <t>2026_Grudzień_W4</t>
        </is>
      </c>
    </row>
    <row r="2189">
      <c r="A2189" s="177" t="n">
        <v>46384</v>
      </c>
      <c r="B2189" s="177" t="n">
        <v>46378</v>
      </c>
      <c r="C2189" s="177" t="n">
        <v>46384</v>
      </c>
      <c r="D2189" t="inlineStr">
        <is>
          <t>BW20261222</t>
        </is>
      </c>
      <c r="E2189" t="n">
        <v>2026</v>
      </c>
      <c r="F2189" t="inlineStr">
        <is>
          <t>Grudzień</t>
        </is>
      </c>
      <c r="G2189" t="inlineStr">
        <is>
          <t>Pn</t>
        </is>
      </c>
      <c r="H2189">
        <f>'Floor Hours Engine'!$E$4</f>
        <v/>
      </c>
      <c r="I2189" t="inlineStr">
        <is>
          <t>W4</t>
        </is>
      </c>
      <c r="J2189" t="inlineStr">
        <is>
          <t>2026_Grudzień_W4</t>
        </is>
      </c>
    </row>
    <row r="2190">
      <c r="A2190" s="177" t="n">
        <v>46385</v>
      </c>
      <c r="B2190" s="177" t="n">
        <v>46385</v>
      </c>
      <c r="C2190" s="177" t="n">
        <v>46391</v>
      </c>
      <c r="D2190" t="inlineStr">
        <is>
          <t>BW20261229</t>
        </is>
      </c>
      <c r="E2190" t="n">
        <v>2026</v>
      </c>
      <c r="F2190" t="inlineStr">
        <is>
          <t>Grudzień</t>
        </is>
      </c>
      <c r="G2190" t="inlineStr">
        <is>
          <t>Wt</t>
        </is>
      </c>
      <c r="H2190">
        <f>'Floor Hours Engine'!$E$4</f>
        <v/>
      </c>
      <c r="I2190" t="inlineStr">
        <is>
          <t>W5</t>
        </is>
      </c>
      <c r="J2190" t="inlineStr">
        <is>
          <t>2026_Grudzień_W5</t>
        </is>
      </c>
    </row>
    <row r="2191">
      <c r="A2191" s="177" t="n">
        <v>46386</v>
      </c>
      <c r="B2191" s="177" t="n">
        <v>46385</v>
      </c>
      <c r="C2191" s="177" t="n">
        <v>46391</v>
      </c>
      <c r="D2191" t="inlineStr">
        <is>
          <t>BW20261229</t>
        </is>
      </c>
      <c r="E2191" t="n">
        <v>2026</v>
      </c>
      <c r="F2191" t="inlineStr">
        <is>
          <t>Grudzień</t>
        </is>
      </c>
      <c r="G2191" t="inlineStr">
        <is>
          <t>Śr</t>
        </is>
      </c>
      <c r="H2191">
        <f>'Floor Hours Engine'!$E$4</f>
        <v/>
      </c>
      <c r="I2191" t="inlineStr">
        <is>
          <t>W5</t>
        </is>
      </c>
      <c r="J2191" t="inlineStr">
        <is>
          <t>2026_Grudzień_W5</t>
        </is>
      </c>
    </row>
    <row r="2192">
      <c r="A2192" s="177" t="n">
        <v>46387</v>
      </c>
      <c r="B2192" s="177" t="n">
        <v>46385</v>
      </c>
      <c r="C2192" s="177" t="n">
        <v>46391</v>
      </c>
      <c r="D2192" t="inlineStr">
        <is>
          <t>BW20261229</t>
        </is>
      </c>
      <c r="E2192" t="n">
        <v>2026</v>
      </c>
      <c r="F2192" t="inlineStr">
        <is>
          <t>Grudzień</t>
        </is>
      </c>
      <c r="G2192" t="inlineStr">
        <is>
          <t>Czw</t>
        </is>
      </c>
      <c r="H2192">
        <f>'Floor Hours Engine'!$E$4</f>
        <v/>
      </c>
      <c r="I2192" t="inlineStr">
        <is>
          <t>W5</t>
        </is>
      </c>
      <c r="J2192" t="inlineStr">
        <is>
          <t>2026_Grudzień_W5</t>
        </is>
      </c>
    </row>
    <row r="2193">
      <c r="A2193" s="177" t="n">
        <v>46388</v>
      </c>
      <c r="B2193" s="177" t="n">
        <v>46385</v>
      </c>
      <c r="C2193" s="177" t="n">
        <v>46391</v>
      </c>
      <c r="D2193" t="inlineStr">
        <is>
          <t>BW20261229</t>
        </is>
      </c>
      <c r="E2193" t="n">
        <v>2027</v>
      </c>
      <c r="F2193" t="inlineStr">
        <is>
          <t>Styczeń</t>
        </is>
      </c>
      <c r="G2193" t="inlineStr">
        <is>
          <t>Pt</t>
        </is>
      </c>
      <c r="H2193">
        <f>'Floor Hours Engine'!$E$5</f>
        <v/>
      </c>
      <c r="I2193" t="inlineStr">
        <is>
          <t>W1</t>
        </is>
      </c>
      <c r="J2193" t="inlineStr">
        <is>
          <t>2027_Styczeń_W1</t>
        </is>
      </c>
    </row>
    <row r="2194">
      <c r="A2194" s="177" t="n">
        <v>46389</v>
      </c>
      <c r="B2194" s="177" t="n">
        <v>46385</v>
      </c>
      <c r="C2194" s="177" t="n">
        <v>46391</v>
      </c>
      <c r="D2194" t="inlineStr">
        <is>
          <t>BW20261229</t>
        </is>
      </c>
      <c r="E2194" t="n">
        <v>2027</v>
      </c>
      <c r="F2194" t="inlineStr">
        <is>
          <t>Styczeń</t>
        </is>
      </c>
      <c r="G2194" t="inlineStr">
        <is>
          <t>Sob</t>
        </is>
      </c>
      <c r="H2194">
        <f>'Floor Hours Engine'!$E$5</f>
        <v/>
      </c>
      <c r="I2194" t="inlineStr">
        <is>
          <t>W1</t>
        </is>
      </c>
      <c r="J2194" t="inlineStr">
        <is>
          <t>2027_Styczeń_W1</t>
        </is>
      </c>
    </row>
    <row r="2195">
      <c r="A2195" s="177" t="n">
        <v>46390</v>
      </c>
      <c r="B2195" s="177" t="n">
        <v>46385</v>
      </c>
      <c r="C2195" s="177" t="n">
        <v>46391</v>
      </c>
      <c r="D2195" t="inlineStr">
        <is>
          <t>BW20261229</t>
        </is>
      </c>
      <c r="E2195" t="n">
        <v>2027</v>
      </c>
      <c r="F2195" t="inlineStr">
        <is>
          <t>Styczeń</t>
        </is>
      </c>
      <c r="G2195" t="inlineStr">
        <is>
          <t>Nd</t>
        </is>
      </c>
      <c r="H2195">
        <f>'Floor Hours Engine'!$E$6</f>
        <v/>
      </c>
      <c r="I2195" t="inlineStr">
        <is>
          <t>W1</t>
        </is>
      </c>
      <c r="J2195" t="inlineStr">
        <is>
          <t>2027_Styczeń_W1</t>
        </is>
      </c>
    </row>
    <row r="2196">
      <c r="A2196" s="177" t="n">
        <v>46391</v>
      </c>
      <c r="B2196" s="177" t="n">
        <v>46385</v>
      </c>
      <c r="C2196" s="177" t="n">
        <v>46391</v>
      </c>
      <c r="D2196" t="inlineStr">
        <is>
          <t>BW20261229</t>
        </is>
      </c>
      <c r="E2196" t="n">
        <v>2027</v>
      </c>
      <c r="F2196" t="inlineStr">
        <is>
          <t>Styczeń</t>
        </is>
      </c>
      <c r="G2196" t="inlineStr">
        <is>
          <t>Pn</t>
        </is>
      </c>
      <c r="H2196">
        <f>'Floor Hours Engine'!$E$4</f>
        <v/>
      </c>
      <c r="I2196" t="inlineStr">
        <is>
          <t>W1</t>
        </is>
      </c>
      <c r="J2196" t="inlineStr">
        <is>
          <t>2027_Styczeń_W1</t>
        </is>
      </c>
    </row>
    <row r="2197">
      <c r="A2197" s="177" t="n">
        <v>46392</v>
      </c>
      <c r="B2197" s="177" t="n">
        <v>46392</v>
      </c>
      <c r="C2197" s="177" t="n">
        <v>46398</v>
      </c>
      <c r="D2197" t="inlineStr">
        <is>
          <t>BW20270105</t>
        </is>
      </c>
      <c r="E2197" t="n">
        <v>2027</v>
      </c>
      <c r="F2197" t="inlineStr">
        <is>
          <t>Styczeń</t>
        </is>
      </c>
      <c r="G2197" t="inlineStr">
        <is>
          <t>Wt</t>
        </is>
      </c>
      <c r="H2197">
        <f>'Floor Hours Engine'!$E$4</f>
        <v/>
      </c>
      <c r="I2197" t="inlineStr">
        <is>
          <t>W2</t>
        </is>
      </c>
      <c r="J2197" t="inlineStr">
        <is>
          <t>2027_Styczeń_W2</t>
        </is>
      </c>
    </row>
    <row r="2198">
      <c r="A2198" s="177" t="n">
        <v>46393</v>
      </c>
      <c r="B2198" s="177" t="n">
        <v>46392</v>
      </c>
      <c r="C2198" s="177" t="n">
        <v>46398</v>
      </c>
      <c r="D2198" t="inlineStr">
        <is>
          <t>BW20270105</t>
        </is>
      </c>
      <c r="E2198" t="n">
        <v>2027</v>
      </c>
      <c r="F2198" t="inlineStr">
        <is>
          <t>Styczeń</t>
        </is>
      </c>
      <c r="G2198" t="inlineStr">
        <is>
          <t>Śr</t>
        </is>
      </c>
      <c r="H2198">
        <f>'Floor Hours Engine'!$E$4</f>
        <v/>
      </c>
      <c r="I2198" t="inlineStr">
        <is>
          <t>W2</t>
        </is>
      </c>
      <c r="J2198" t="inlineStr">
        <is>
          <t>2027_Styczeń_W2</t>
        </is>
      </c>
    </row>
    <row r="2199">
      <c r="A2199" s="177" t="n">
        <v>46394</v>
      </c>
      <c r="B2199" s="177" t="n">
        <v>46392</v>
      </c>
      <c r="C2199" s="177" t="n">
        <v>46398</v>
      </c>
      <c r="D2199" t="inlineStr">
        <is>
          <t>BW20270105</t>
        </is>
      </c>
      <c r="E2199" t="n">
        <v>2027</v>
      </c>
      <c r="F2199" t="inlineStr">
        <is>
          <t>Styczeń</t>
        </is>
      </c>
      <c r="G2199" t="inlineStr">
        <is>
          <t>Czw</t>
        </is>
      </c>
      <c r="H2199">
        <f>'Floor Hours Engine'!$E$4</f>
        <v/>
      </c>
      <c r="I2199" t="inlineStr">
        <is>
          <t>W2</t>
        </is>
      </c>
      <c r="J2199" t="inlineStr">
        <is>
          <t>2027_Styczeń_W2</t>
        </is>
      </c>
    </row>
    <row r="2200">
      <c r="A2200" s="177" t="n">
        <v>46395</v>
      </c>
      <c r="B2200" s="177" t="n">
        <v>46392</v>
      </c>
      <c r="C2200" s="177" t="n">
        <v>46398</v>
      </c>
      <c r="D2200" t="inlineStr">
        <is>
          <t>BW20270105</t>
        </is>
      </c>
      <c r="E2200" t="n">
        <v>2027</v>
      </c>
      <c r="F2200" t="inlineStr">
        <is>
          <t>Styczeń</t>
        </is>
      </c>
      <c r="G2200" t="inlineStr">
        <is>
          <t>Pt</t>
        </is>
      </c>
      <c r="H2200">
        <f>'Floor Hours Engine'!$E$5</f>
        <v/>
      </c>
      <c r="I2200" t="inlineStr">
        <is>
          <t>W2</t>
        </is>
      </c>
      <c r="J2200" t="inlineStr">
        <is>
          <t>2027_Styczeń_W2</t>
        </is>
      </c>
    </row>
    <row r="2201">
      <c r="A2201" s="177" t="n">
        <v>46396</v>
      </c>
      <c r="B2201" s="177" t="n">
        <v>46392</v>
      </c>
      <c r="C2201" s="177" t="n">
        <v>46398</v>
      </c>
      <c r="D2201" t="inlineStr">
        <is>
          <t>BW20270105</t>
        </is>
      </c>
      <c r="E2201" t="n">
        <v>2027</v>
      </c>
      <c r="F2201" t="inlineStr">
        <is>
          <t>Styczeń</t>
        </is>
      </c>
      <c r="G2201" t="inlineStr">
        <is>
          <t>Sob</t>
        </is>
      </c>
      <c r="H2201">
        <f>'Floor Hours Engine'!$E$5</f>
        <v/>
      </c>
      <c r="I2201" t="inlineStr">
        <is>
          <t>W2</t>
        </is>
      </c>
      <c r="J2201" t="inlineStr">
        <is>
          <t>2027_Styczeń_W2</t>
        </is>
      </c>
    </row>
    <row r="2202">
      <c r="A2202" s="177" t="n">
        <v>46397</v>
      </c>
      <c r="B2202" s="177" t="n">
        <v>46392</v>
      </c>
      <c r="C2202" s="177" t="n">
        <v>46398</v>
      </c>
      <c r="D2202" t="inlineStr">
        <is>
          <t>BW20270105</t>
        </is>
      </c>
      <c r="E2202" t="n">
        <v>2027</v>
      </c>
      <c r="F2202" t="inlineStr">
        <is>
          <t>Styczeń</t>
        </is>
      </c>
      <c r="G2202" t="inlineStr">
        <is>
          <t>Nd</t>
        </is>
      </c>
      <c r="H2202">
        <f>'Floor Hours Engine'!$E$6</f>
        <v/>
      </c>
      <c r="I2202" t="inlineStr">
        <is>
          <t>W2</t>
        </is>
      </c>
      <c r="J2202" t="inlineStr">
        <is>
          <t>2027_Styczeń_W2</t>
        </is>
      </c>
    </row>
    <row r="2203">
      <c r="A2203" s="177" t="n">
        <v>46398</v>
      </c>
      <c r="B2203" s="177" t="n">
        <v>46392</v>
      </c>
      <c r="C2203" s="177" t="n">
        <v>46398</v>
      </c>
      <c r="D2203" t="inlineStr">
        <is>
          <t>BW20270105</t>
        </is>
      </c>
      <c r="E2203" t="n">
        <v>2027</v>
      </c>
      <c r="F2203" t="inlineStr">
        <is>
          <t>Styczeń</t>
        </is>
      </c>
      <c r="G2203" t="inlineStr">
        <is>
          <t>Pn</t>
        </is>
      </c>
      <c r="H2203">
        <f>'Floor Hours Engine'!$E$4</f>
        <v/>
      </c>
      <c r="I2203" t="inlineStr">
        <is>
          <t>W2</t>
        </is>
      </c>
      <c r="J2203" t="inlineStr">
        <is>
          <t>2027_Styczeń_W2</t>
        </is>
      </c>
    </row>
    <row r="2204">
      <c r="A2204" s="177" t="n">
        <v>46399</v>
      </c>
      <c r="B2204" s="177" t="n">
        <v>46399</v>
      </c>
      <c r="C2204" s="177" t="n">
        <v>46405</v>
      </c>
      <c r="D2204" t="inlineStr">
        <is>
          <t>BW20270112</t>
        </is>
      </c>
      <c r="E2204" t="n">
        <v>2027</v>
      </c>
      <c r="F2204" t="inlineStr">
        <is>
          <t>Styczeń</t>
        </is>
      </c>
      <c r="G2204" t="inlineStr">
        <is>
          <t>Wt</t>
        </is>
      </c>
      <c r="H2204">
        <f>'Floor Hours Engine'!$E$4</f>
        <v/>
      </c>
      <c r="I2204" t="inlineStr">
        <is>
          <t>W3</t>
        </is>
      </c>
      <c r="J2204" t="inlineStr">
        <is>
          <t>2027_Styczeń_W3</t>
        </is>
      </c>
    </row>
    <row r="2205">
      <c r="A2205" s="177" t="n">
        <v>46400</v>
      </c>
      <c r="B2205" s="177" t="n">
        <v>46399</v>
      </c>
      <c r="C2205" s="177" t="n">
        <v>46405</v>
      </c>
      <c r="D2205" t="inlineStr">
        <is>
          <t>BW20270112</t>
        </is>
      </c>
      <c r="E2205" t="n">
        <v>2027</v>
      </c>
      <c r="F2205" t="inlineStr">
        <is>
          <t>Styczeń</t>
        </is>
      </c>
      <c r="G2205" t="inlineStr">
        <is>
          <t>Śr</t>
        </is>
      </c>
      <c r="H2205">
        <f>'Floor Hours Engine'!$E$4</f>
        <v/>
      </c>
      <c r="I2205" t="inlineStr">
        <is>
          <t>W3</t>
        </is>
      </c>
      <c r="J2205" t="inlineStr">
        <is>
          <t>2027_Styczeń_W3</t>
        </is>
      </c>
    </row>
    <row r="2206">
      <c r="A2206" s="177" t="n">
        <v>46401</v>
      </c>
      <c r="B2206" s="177" t="n">
        <v>46399</v>
      </c>
      <c r="C2206" s="177" t="n">
        <v>46405</v>
      </c>
      <c r="D2206" t="inlineStr">
        <is>
          <t>BW20270112</t>
        </is>
      </c>
      <c r="E2206" t="n">
        <v>2027</v>
      </c>
      <c r="F2206" t="inlineStr">
        <is>
          <t>Styczeń</t>
        </is>
      </c>
      <c r="G2206" t="inlineStr">
        <is>
          <t>Czw</t>
        </is>
      </c>
      <c r="H2206">
        <f>'Floor Hours Engine'!$E$4</f>
        <v/>
      </c>
      <c r="I2206" t="inlineStr">
        <is>
          <t>W3</t>
        </is>
      </c>
      <c r="J2206" t="inlineStr">
        <is>
          <t>2027_Styczeń_W3</t>
        </is>
      </c>
    </row>
    <row r="2207">
      <c r="A2207" s="177" t="n">
        <v>46402</v>
      </c>
      <c r="B2207" s="177" t="n">
        <v>46399</v>
      </c>
      <c r="C2207" s="177" t="n">
        <v>46405</v>
      </c>
      <c r="D2207" t="inlineStr">
        <is>
          <t>BW20270112</t>
        </is>
      </c>
      <c r="E2207" t="n">
        <v>2027</v>
      </c>
      <c r="F2207" t="inlineStr">
        <is>
          <t>Styczeń</t>
        </is>
      </c>
      <c r="G2207" t="inlineStr">
        <is>
          <t>Pt</t>
        </is>
      </c>
      <c r="H2207">
        <f>'Floor Hours Engine'!$E$5</f>
        <v/>
      </c>
      <c r="I2207" t="inlineStr">
        <is>
          <t>W3</t>
        </is>
      </c>
      <c r="J2207" t="inlineStr">
        <is>
          <t>2027_Styczeń_W3</t>
        </is>
      </c>
    </row>
    <row r="2208">
      <c r="A2208" s="177" t="n">
        <v>46403</v>
      </c>
      <c r="B2208" s="177" t="n">
        <v>46399</v>
      </c>
      <c r="C2208" s="177" t="n">
        <v>46405</v>
      </c>
      <c r="D2208" t="inlineStr">
        <is>
          <t>BW20270112</t>
        </is>
      </c>
      <c r="E2208" t="n">
        <v>2027</v>
      </c>
      <c r="F2208" t="inlineStr">
        <is>
          <t>Styczeń</t>
        </is>
      </c>
      <c r="G2208" t="inlineStr">
        <is>
          <t>Sob</t>
        </is>
      </c>
      <c r="H2208">
        <f>'Floor Hours Engine'!$E$5</f>
        <v/>
      </c>
      <c r="I2208" t="inlineStr">
        <is>
          <t>W3</t>
        </is>
      </c>
      <c r="J2208" t="inlineStr">
        <is>
          <t>2027_Styczeń_W3</t>
        </is>
      </c>
    </row>
    <row r="2209">
      <c r="A2209" s="177" t="n">
        <v>46404</v>
      </c>
      <c r="B2209" s="177" t="n">
        <v>46399</v>
      </c>
      <c r="C2209" s="177" t="n">
        <v>46405</v>
      </c>
      <c r="D2209" t="inlineStr">
        <is>
          <t>BW20270112</t>
        </is>
      </c>
      <c r="E2209" t="n">
        <v>2027</v>
      </c>
      <c r="F2209" t="inlineStr">
        <is>
          <t>Styczeń</t>
        </is>
      </c>
      <c r="G2209" t="inlineStr">
        <is>
          <t>Nd</t>
        </is>
      </c>
      <c r="H2209">
        <f>'Floor Hours Engine'!$E$6</f>
        <v/>
      </c>
      <c r="I2209" t="inlineStr">
        <is>
          <t>W3</t>
        </is>
      </c>
      <c r="J2209" t="inlineStr">
        <is>
          <t>2027_Styczeń_W3</t>
        </is>
      </c>
    </row>
    <row r="2210">
      <c r="A2210" s="177" t="n">
        <v>46405</v>
      </c>
      <c r="B2210" s="177" t="n">
        <v>46399</v>
      </c>
      <c r="C2210" s="177" t="n">
        <v>46405</v>
      </c>
      <c r="D2210" t="inlineStr">
        <is>
          <t>BW20270112</t>
        </is>
      </c>
      <c r="E2210" t="n">
        <v>2027</v>
      </c>
      <c r="F2210" t="inlineStr">
        <is>
          <t>Styczeń</t>
        </is>
      </c>
      <c r="G2210" t="inlineStr">
        <is>
          <t>Pn</t>
        </is>
      </c>
      <c r="H2210">
        <f>'Floor Hours Engine'!$E$4</f>
        <v/>
      </c>
      <c r="I2210" t="inlineStr">
        <is>
          <t>W3</t>
        </is>
      </c>
      <c r="J2210" t="inlineStr">
        <is>
          <t>2027_Styczeń_W3</t>
        </is>
      </c>
    </row>
    <row r="2211">
      <c r="A2211" s="177" t="n">
        <v>46406</v>
      </c>
      <c r="B2211" s="177" t="n">
        <v>46406</v>
      </c>
      <c r="C2211" s="177" t="n">
        <v>46412</v>
      </c>
      <c r="D2211" t="inlineStr">
        <is>
          <t>BW20270119</t>
        </is>
      </c>
      <c r="E2211" t="n">
        <v>2027</v>
      </c>
      <c r="F2211" t="inlineStr">
        <is>
          <t>Styczeń</t>
        </is>
      </c>
      <c r="G2211" t="inlineStr">
        <is>
          <t>Wt</t>
        </is>
      </c>
      <c r="H2211">
        <f>'Floor Hours Engine'!$E$4</f>
        <v/>
      </c>
      <c r="I2211" t="inlineStr">
        <is>
          <t>W4</t>
        </is>
      </c>
      <c r="J2211" t="inlineStr">
        <is>
          <t>2027_Styczeń_W4</t>
        </is>
      </c>
    </row>
    <row r="2212">
      <c r="A2212" s="177" t="n">
        <v>46407</v>
      </c>
      <c r="B2212" s="177" t="n">
        <v>46406</v>
      </c>
      <c r="C2212" s="177" t="n">
        <v>46412</v>
      </c>
      <c r="D2212" t="inlineStr">
        <is>
          <t>BW20270119</t>
        </is>
      </c>
      <c r="E2212" t="n">
        <v>2027</v>
      </c>
      <c r="F2212" t="inlineStr">
        <is>
          <t>Styczeń</t>
        </is>
      </c>
      <c r="G2212" t="inlineStr">
        <is>
          <t>Śr</t>
        </is>
      </c>
      <c r="H2212">
        <f>'Floor Hours Engine'!$E$4</f>
        <v/>
      </c>
      <c r="I2212" t="inlineStr">
        <is>
          <t>W4</t>
        </is>
      </c>
      <c r="J2212" t="inlineStr">
        <is>
          <t>2027_Styczeń_W4</t>
        </is>
      </c>
    </row>
    <row r="2213">
      <c r="A2213" s="177" t="n">
        <v>46408</v>
      </c>
      <c r="B2213" s="177" t="n">
        <v>46406</v>
      </c>
      <c r="C2213" s="177" t="n">
        <v>46412</v>
      </c>
      <c r="D2213" t="inlineStr">
        <is>
          <t>BW20270119</t>
        </is>
      </c>
      <c r="E2213" t="n">
        <v>2027</v>
      </c>
      <c r="F2213" t="inlineStr">
        <is>
          <t>Styczeń</t>
        </is>
      </c>
      <c r="G2213" t="inlineStr">
        <is>
          <t>Czw</t>
        </is>
      </c>
      <c r="H2213">
        <f>'Floor Hours Engine'!$E$4</f>
        <v/>
      </c>
      <c r="I2213" t="inlineStr">
        <is>
          <t>W4</t>
        </is>
      </c>
      <c r="J2213" t="inlineStr">
        <is>
          <t>2027_Styczeń_W4</t>
        </is>
      </c>
    </row>
    <row r="2214">
      <c r="A2214" s="177" t="n">
        <v>46409</v>
      </c>
      <c r="B2214" s="177" t="n">
        <v>46406</v>
      </c>
      <c r="C2214" s="177" t="n">
        <v>46412</v>
      </c>
      <c r="D2214" t="inlineStr">
        <is>
          <t>BW20270119</t>
        </is>
      </c>
      <c r="E2214" t="n">
        <v>2027</v>
      </c>
      <c r="F2214" t="inlineStr">
        <is>
          <t>Styczeń</t>
        </is>
      </c>
      <c r="G2214" t="inlineStr">
        <is>
          <t>Pt</t>
        </is>
      </c>
      <c r="H2214">
        <f>'Floor Hours Engine'!$E$5</f>
        <v/>
      </c>
      <c r="I2214" t="inlineStr">
        <is>
          <t>W4</t>
        </is>
      </c>
      <c r="J2214" t="inlineStr">
        <is>
          <t>2027_Styczeń_W4</t>
        </is>
      </c>
    </row>
    <row r="2215">
      <c r="A2215" s="177" t="n">
        <v>46410</v>
      </c>
      <c r="B2215" s="177" t="n">
        <v>46406</v>
      </c>
      <c r="C2215" s="177" t="n">
        <v>46412</v>
      </c>
      <c r="D2215" t="inlineStr">
        <is>
          <t>BW20270119</t>
        </is>
      </c>
      <c r="E2215" t="n">
        <v>2027</v>
      </c>
      <c r="F2215" t="inlineStr">
        <is>
          <t>Styczeń</t>
        </is>
      </c>
      <c r="G2215" t="inlineStr">
        <is>
          <t>Sob</t>
        </is>
      </c>
      <c r="H2215">
        <f>'Floor Hours Engine'!$E$5</f>
        <v/>
      </c>
      <c r="I2215" t="inlineStr">
        <is>
          <t>W4</t>
        </is>
      </c>
      <c r="J2215" t="inlineStr">
        <is>
          <t>2027_Styczeń_W4</t>
        </is>
      </c>
    </row>
    <row r="2216">
      <c r="A2216" s="177" t="n">
        <v>46411</v>
      </c>
      <c r="B2216" s="177" t="n">
        <v>46406</v>
      </c>
      <c r="C2216" s="177" t="n">
        <v>46412</v>
      </c>
      <c r="D2216" t="inlineStr">
        <is>
          <t>BW20270119</t>
        </is>
      </c>
      <c r="E2216" t="n">
        <v>2027</v>
      </c>
      <c r="F2216" t="inlineStr">
        <is>
          <t>Styczeń</t>
        </is>
      </c>
      <c r="G2216" t="inlineStr">
        <is>
          <t>Nd</t>
        </is>
      </c>
      <c r="H2216">
        <f>'Floor Hours Engine'!$E$6</f>
        <v/>
      </c>
      <c r="I2216" t="inlineStr">
        <is>
          <t>W4</t>
        </is>
      </c>
      <c r="J2216" t="inlineStr">
        <is>
          <t>2027_Styczeń_W4</t>
        </is>
      </c>
    </row>
    <row r="2217">
      <c r="A2217" s="177" t="n">
        <v>46412</v>
      </c>
      <c r="B2217" s="177" t="n">
        <v>46406</v>
      </c>
      <c r="C2217" s="177" t="n">
        <v>46412</v>
      </c>
      <c r="D2217" t="inlineStr">
        <is>
          <t>BW20270119</t>
        </is>
      </c>
      <c r="E2217" t="n">
        <v>2027</v>
      </c>
      <c r="F2217" t="inlineStr">
        <is>
          <t>Styczeń</t>
        </is>
      </c>
      <c r="G2217" t="inlineStr">
        <is>
          <t>Pn</t>
        </is>
      </c>
      <c r="H2217">
        <f>'Floor Hours Engine'!$E$4</f>
        <v/>
      </c>
      <c r="I2217" t="inlineStr">
        <is>
          <t>W4</t>
        </is>
      </c>
      <c r="J2217" t="inlineStr">
        <is>
          <t>2027_Styczeń_W4</t>
        </is>
      </c>
    </row>
    <row r="2218">
      <c r="A2218" s="177" t="n">
        <v>46413</v>
      </c>
      <c r="B2218" s="177" t="n">
        <v>46413</v>
      </c>
      <c r="C2218" s="177" t="n">
        <v>46419</v>
      </c>
      <c r="D2218" t="inlineStr">
        <is>
          <t>BW20270126</t>
        </is>
      </c>
      <c r="E2218" t="n">
        <v>2027</v>
      </c>
      <c r="F2218" t="inlineStr">
        <is>
          <t>Styczeń</t>
        </is>
      </c>
      <c r="G2218" t="inlineStr">
        <is>
          <t>Wt</t>
        </is>
      </c>
      <c r="H2218">
        <f>'Floor Hours Engine'!$E$4</f>
        <v/>
      </c>
      <c r="I2218" t="inlineStr">
        <is>
          <t>W5</t>
        </is>
      </c>
      <c r="J2218" t="inlineStr">
        <is>
          <t>2027_Styczeń_W5</t>
        </is>
      </c>
    </row>
    <row r="2219">
      <c r="A2219" s="177" t="n">
        <v>46414</v>
      </c>
      <c r="B2219" s="177" t="n">
        <v>46413</v>
      </c>
      <c r="C2219" s="177" t="n">
        <v>46419</v>
      </c>
      <c r="D2219" t="inlineStr">
        <is>
          <t>BW20270126</t>
        </is>
      </c>
      <c r="E2219" t="n">
        <v>2027</v>
      </c>
      <c r="F2219" t="inlineStr">
        <is>
          <t>Styczeń</t>
        </is>
      </c>
      <c r="G2219" t="inlineStr">
        <is>
          <t>Śr</t>
        </is>
      </c>
      <c r="H2219">
        <f>'Floor Hours Engine'!$E$4</f>
        <v/>
      </c>
      <c r="I2219" t="inlineStr">
        <is>
          <t>W5</t>
        </is>
      </c>
      <c r="J2219" t="inlineStr">
        <is>
          <t>2027_Styczeń_W5</t>
        </is>
      </c>
    </row>
    <row r="2220">
      <c r="A2220" s="177" t="n">
        <v>46415</v>
      </c>
      <c r="B2220" s="177" t="n">
        <v>46413</v>
      </c>
      <c r="C2220" s="177" t="n">
        <v>46419</v>
      </c>
      <c r="D2220" t="inlineStr">
        <is>
          <t>BW20270126</t>
        </is>
      </c>
      <c r="E2220" t="n">
        <v>2027</v>
      </c>
      <c r="F2220" t="inlineStr">
        <is>
          <t>Styczeń</t>
        </is>
      </c>
      <c r="G2220" t="inlineStr">
        <is>
          <t>Czw</t>
        </is>
      </c>
      <c r="H2220">
        <f>'Floor Hours Engine'!$E$4</f>
        <v/>
      </c>
      <c r="I2220" t="inlineStr">
        <is>
          <t>W5</t>
        </is>
      </c>
      <c r="J2220" t="inlineStr">
        <is>
          <t>2027_Styczeń_W5</t>
        </is>
      </c>
    </row>
    <row r="2221">
      <c r="A2221" s="177" t="n">
        <v>46416</v>
      </c>
      <c r="B2221" s="177" t="n">
        <v>46413</v>
      </c>
      <c r="C2221" s="177" t="n">
        <v>46419</v>
      </c>
      <c r="D2221" t="inlineStr">
        <is>
          <t>BW20270126</t>
        </is>
      </c>
      <c r="E2221" t="n">
        <v>2027</v>
      </c>
      <c r="F2221" t="inlineStr">
        <is>
          <t>Styczeń</t>
        </is>
      </c>
      <c r="G2221" t="inlineStr">
        <is>
          <t>Pt</t>
        </is>
      </c>
      <c r="H2221">
        <f>'Floor Hours Engine'!$E$5</f>
        <v/>
      </c>
      <c r="I2221" t="inlineStr">
        <is>
          <t>W5</t>
        </is>
      </c>
      <c r="J2221" t="inlineStr">
        <is>
          <t>2027_Styczeń_W5</t>
        </is>
      </c>
    </row>
    <row r="2222">
      <c r="A2222" s="177" t="n">
        <v>46417</v>
      </c>
      <c r="B2222" s="177" t="n">
        <v>46413</v>
      </c>
      <c r="C2222" s="177" t="n">
        <v>46419</v>
      </c>
      <c r="D2222" t="inlineStr">
        <is>
          <t>BW20270126</t>
        </is>
      </c>
      <c r="E2222" t="n">
        <v>2027</v>
      </c>
      <c r="F2222" t="inlineStr">
        <is>
          <t>Styczeń</t>
        </is>
      </c>
      <c r="G2222" t="inlineStr">
        <is>
          <t>Sob</t>
        </is>
      </c>
      <c r="H2222">
        <f>'Floor Hours Engine'!$E$5</f>
        <v/>
      </c>
      <c r="I2222" t="inlineStr">
        <is>
          <t>W5</t>
        </is>
      </c>
      <c r="J2222" t="inlineStr">
        <is>
          <t>2027_Styczeń_W5</t>
        </is>
      </c>
    </row>
    <row r="2223">
      <c r="A2223" s="177" t="n">
        <v>46418</v>
      </c>
      <c r="B2223" s="177" t="n">
        <v>46413</v>
      </c>
      <c r="C2223" s="177" t="n">
        <v>46419</v>
      </c>
      <c r="D2223" t="inlineStr">
        <is>
          <t>BW20270126</t>
        </is>
      </c>
      <c r="E2223" t="n">
        <v>2027</v>
      </c>
      <c r="F2223" t="inlineStr">
        <is>
          <t>Styczeń</t>
        </is>
      </c>
      <c r="G2223" t="inlineStr">
        <is>
          <t>Nd</t>
        </is>
      </c>
      <c r="H2223">
        <f>'Floor Hours Engine'!$E$6</f>
        <v/>
      </c>
      <c r="I2223" t="inlineStr">
        <is>
          <t>W5</t>
        </is>
      </c>
      <c r="J2223" t="inlineStr">
        <is>
          <t>2027_Styczeń_W5</t>
        </is>
      </c>
    </row>
    <row r="2224">
      <c r="A2224" s="177" t="n">
        <v>46419</v>
      </c>
      <c r="B2224" s="177" t="n">
        <v>46413</v>
      </c>
      <c r="C2224" s="177" t="n">
        <v>46419</v>
      </c>
      <c r="D2224" t="inlineStr">
        <is>
          <t>BW20270126</t>
        </is>
      </c>
      <c r="E2224" t="n">
        <v>2027</v>
      </c>
      <c r="F2224" t="inlineStr">
        <is>
          <t>Luty</t>
        </is>
      </c>
      <c r="G2224" t="inlineStr">
        <is>
          <t>Pn</t>
        </is>
      </c>
      <c r="H2224">
        <f>'Floor Hours Engine'!$E$4</f>
        <v/>
      </c>
      <c r="I2224" t="inlineStr">
        <is>
          <t>W1</t>
        </is>
      </c>
      <c r="J2224" t="inlineStr">
        <is>
          <t>2027_Luty_W1</t>
        </is>
      </c>
    </row>
    <row r="2225">
      <c r="A2225" s="177" t="n">
        <v>46420</v>
      </c>
      <c r="B2225" s="177" t="n">
        <v>46420</v>
      </c>
      <c r="C2225" s="177" t="n">
        <v>46426</v>
      </c>
      <c r="D2225" t="inlineStr">
        <is>
          <t>BW20270202</t>
        </is>
      </c>
      <c r="E2225" t="n">
        <v>2027</v>
      </c>
      <c r="F2225" t="inlineStr">
        <is>
          <t>Luty</t>
        </is>
      </c>
      <c r="G2225" t="inlineStr">
        <is>
          <t>Wt</t>
        </is>
      </c>
      <c r="H2225">
        <f>'Floor Hours Engine'!$E$4</f>
        <v/>
      </c>
      <c r="I2225" t="inlineStr">
        <is>
          <t>W2</t>
        </is>
      </c>
      <c r="J2225" t="inlineStr">
        <is>
          <t>2027_Luty_W2</t>
        </is>
      </c>
    </row>
    <row r="2226">
      <c r="A2226" s="177" t="n">
        <v>46421</v>
      </c>
      <c r="B2226" s="177" t="n">
        <v>46420</v>
      </c>
      <c r="C2226" s="177" t="n">
        <v>46426</v>
      </c>
      <c r="D2226" t="inlineStr">
        <is>
          <t>BW20270202</t>
        </is>
      </c>
      <c r="E2226" t="n">
        <v>2027</v>
      </c>
      <c r="F2226" t="inlineStr">
        <is>
          <t>Luty</t>
        </is>
      </c>
      <c r="G2226" t="inlineStr">
        <is>
          <t>Śr</t>
        </is>
      </c>
      <c r="H2226">
        <f>'Floor Hours Engine'!$E$4</f>
        <v/>
      </c>
      <c r="I2226" t="inlineStr">
        <is>
          <t>W2</t>
        </is>
      </c>
      <c r="J2226" t="inlineStr">
        <is>
          <t>2027_Luty_W2</t>
        </is>
      </c>
    </row>
    <row r="2227">
      <c r="A2227" s="177" t="n">
        <v>46422</v>
      </c>
      <c r="B2227" s="177" t="n">
        <v>46420</v>
      </c>
      <c r="C2227" s="177" t="n">
        <v>46426</v>
      </c>
      <c r="D2227" t="inlineStr">
        <is>
          <t>BW20270202</t>
        </is>
      </c>
      <c r="E2227" t="n">
        <v>2027</v>
      </c>
      <c r="F2227" t="inlineStr">
        <is>
          <t>Luty</t>
        </is>
      </c>
      <c r="G2227" t="inlineStr">
        <is>
          <t>Czw</t>
        </is>
      </c>
      <c r="H2227">
        <f>'Floor Hours Engine'!$E$4</f>
        <v/>
      </c>
      <c r="I2227" t="inlineStr">
        <is>
          <t>W2</t>
        </is>
      </c>
      <c r="J2227" t="inlineStr">
        <is>
          <t>2027_Luty_W2</t>
        </is>
      </c>
    </row>
    <row r="2228">
      <c r="A2228" s="177" t="n">
        <v>46423</v>
      </c>
      <c r="B2228" s="177" t="n">
        <v>46420</v>
      </c>
      <c r="C2228" s="177" t="n">
        <v>46426</v>
      </c>
      <c r="D2228" t="inlineStr">
        <is>
          <t>BW20270202</t>
        </is>
      </c>
      <c r="E2228" t="n">
        <v>2027</v>
      </c>
      <c r="F2228" t="inlineStr">
        <is>
          <t>Luty</t>
        </is>
      </c>
      <c r="G2228" t="inlineStr">
        <is>
          <t>Pt</t>
        </is>
      </c>
      <c r="H2228">
        <f>'Floor Hours Engine'!$E$5</f>
        <v/>
      </c>
      <c r="I2228" t="inlineStr">
        <is>
          <t>W2</t>
        </is>
      </c>
      <c r="J2228" t="inlineStr">
        <is>
          <t>2027_Luty_W2</t>
        </is>
      </c>
    </row>
    <row r="2229">
      <c r="A2229" s="177" t="n">
        <v>46424</v>
      </c>
      <c r="B2229" s="177" t="n">
        <v>46420</v>
      </c>
      <c r="C2229" s="177" t="n">
        <v>46426</v>
      </c>
      <c r="D2229" t="inlineStr">
        <is>
          <t>BW20270202</t>
        </is>
      </c>
      <c r="E2229" t="n">
        <v>2027</v>
      </c>
      <c r="F2229" t="inlineStr">
        <is>
          <t>Luty</t>
        </is>
      </c>
      <c r="G2229" t="inlineStr">
        <is>
          <t>Sob</t>
        </is>
      </c>
      <c r="H2229">
        <f>'Floor Hours Engine'!$E$5</f>
        <v/>
      </c>
      <c r="I2229" t="inlineStr">
        <is>
          <t>W2</t>
        </is>
      </c>
      <c r="J2229" t="inlineStr">
        <is>
          <t>2027_Luty_W2</t>
        </is>
      </c>
    </row>
    <row r="2230">
      <c r="A2230" s="177" t="n">
        <v>46425</v>
      </c>
      <c r="B2230" s="177" t="n">
        <v>46420</v>
      </c>
      <c r="C2230" s="177" t="n">
        <v>46426</v>
      </c>
      <c r="D2230" t="inlineStr">
        <is>
          <t>BW20270202</t>
        </is>
      </c>
      <c r="E2230" t="n">
        <v>2027</v>
      </c>
      <c r="F2230" t="inlineStr">
        <is>
          <t>Luty</t>
        </is>
      </c>
      <c r="G2230" t="inlineStr">
        <is>
          <t>Nd</t>
        </is>
      </c>
      <c r="H2230">
        <f>'Floor Hours Engine'!$E$6</f>
        <v/>
      </c>
      <c r="I2230" t="inlineStr">
        <is>
          <t>W2</t>
        </is>
      </c>
      <c r="J2230" t="inlineStr">
        <is>
          <t>2027_Luty_W2</t>
        </is>
      </c>
    </row>
    <row r="2231">
      <c r="A2231" s="177" t="n">
        <v>46426</v>
      </c>
      <c r="B2231" s="177" t="n">
        <v>46420</v>
      </c>
      <c r="C2231" s="177" t="n">
        <v>46426</v>
      </c>
      <c r="D2231" t="inlineStr">
        <is>
          <t>BW20270202</t>
        </is>
      </c>
      <c r="E2231" t="n">
        <v>2027</v>
      </c>
      <c r="F2231" t="inlineStr">
        <is>
          <t>Luty</t>
        </is>
      </c>
      <c r="G2231" t="inlineStr">
        <is>
          <t>Pn</t>
        </is>
      </c>
      <c r="H2231">
        <f>'Floor Hours Engine'!$E$4</f>
        <v/>
      </c>
      <c r="I2231" t="inlineStr">
        <is>
          <t>W2</t>
        </is>
      </c>
      <c r="J2231" t="inlineStr">
        <is>
          <t>2027_Luty_W2</t>
        </is>
      </c>
    </row>
    <row r="2232">
      <c r="A2232" s="177" t="n">
        <v>46427</v>
      </c>
      <c r="B2232" s="177" t="n">
        <v>46427</v>
      </c>
      <c r="C2232" s="177" t="n">
        <v>46433</v>
      </c>
      <c r="D2232" t="inlineStr">
        <is>
          <t>BW20270209</t>
        </is>
      </c>
      <c r="E2232" t="n">
        <v>2027</v>
      </c>
      <c r="F2232" t="inlineStr">
        <is>
          <t>Luty</t>
        </is>
      </c>
      <c r="G2232" t="inlineStr">
        <is>
          <t>Wt</t>
        </is>
      </c>
      <c r="H2232">
        <f>'Floor Hours Engine'!$E$4</f>
        <v/>
      </c>
      <c r="I2232" t="inlineStr">
        <is>
          <t>W3</t>
        </is>
      </c>
      <c r="J2232" t="inlineStr">
        <is>
          <t>2027_Luty_W3</t>
        </is>
      </c>
    </row>
    <row r="2233">
      <c r="A2233" s="177" t="n">
        <v>46428</v>
      </c>
      <c r="B2233" s="177" t="n">
        <v>46427</v>
      </c>
      <c r="C2233" s="177" t="n">
        <v>46433</v>
      </c>
      <c r="D2233" t="inlineStr">
        <is>
          <t>BW20270209</t>
        </is>
      </c>
      <c r="E2233" t="n">
        <v>2027</v>
      </c>
      <c r="F2233" t="inlineStr">
        <is>
          <t>Luty</t>
        </is>
      </c>
      <c r="G2233" t="inlineStr">
        <is>
          <t>Śr</t>
        </is>
      </c>
      <c r="H2233">
        <f>'Floor Hours Engine'!$E$4</f>
        <v/>
      </c>
      <c r="I2233" t="inlineStr">
        <is>
          <t>W3</t>
        </is>
      </c>
      <c r="J2233" t="inlineStr">
        <is>
          <t>2027_Luty_W3</t>
        </is>
      </c>
    </row>
    <row r="2234">
      <c r="A2234" s="177" t="n">
        <v>46429</v>
      </c>
      <c r="B2234" s="177" t="n">
        <v>46427</v>
      </c>
      <c r="C2234" s="177" t="n">
        <v>46433</v>
      </c>
      <c r="D2234" t="inlineStr">
        <is>
          <t>BW20270209</t>
        </is>
      </c>
      <c r="E2234" t="n">
        <v>2027</v>
      </c>
      <c r="F2234" t="inlineStr">
        <is>
          <t>Luty</t>
        </is>
      </c>
      <c r="G2234" t="inlineStr">
        <is>
          <t>Czw</t>
        </is>
      </c>
      <c r="H2234">
        <f>'Floor Hours Engine'!$E$4</f>
        <v/>
      </c>
      <c r="I2234" t="inlineStr">
        <is>
          <t>W3</t>
        </is>
      </c>
      <c r="J2234" t="inlineStr">
        <is>
          <t>2027_Luty_W3</t>
        </is>
      </c>
    </row>
    <row r="2235">
      <c r="A2235" s="177" t="n">
        <v>46430</v>
      </c>
      <c r="B2235" s="177" t="n">
        <v>46427</v>
      </c>
      <c r="C2235" s="177" t="n">
        <v>46433</v>
      </c>
      <c r="D2235" t="inlineStr">
        <is>
          <t>BW20270209</t>
        </is>
      </c>
      <c r="E2235" t="n">
        <v>2027</v>
      </c>
      <c r="F2235" t="inlineStr">
        <is>
          <t>Luty</t>
        </is>
      </c>
      <c r="G2235" t="inlineStr">
        <is>
          <t>Pt</t>
        </is>
      </c>
      <c r="H2235">
        <f>'Floor Hours Engine'!$E$5</f>
        <v/>
      </c>
      <c r="I2235" t="inlineStr">
        <is>
          <t>W3</t>
        </is>
      </c>
      <c r="J2235" t="inlineStr">
        <is>
          <t>2027_Luty_W3</t>
        </is>
      </c>
    </row>
    <row r="2236">
      <c r="A2236" s="177" t="n">
        <v>46431</v>
      </c>
      <c r="B2236" s="177" t="n">
        <v>46427</v>
      </c>
      <c r="C2236" s="177" t="n">
        <v>46433</v>
      </c>
      <c r="D2236" t="inlineStr">
        <is>
          <t>BW20270209</t>
        </is>
      </c>
      <c r="E2236" t="n">
        <v>2027</v>
      </c>
      <c r="F2236" t="inlineStr">
        <is>
          <t>Luty</t>
        </is>
      </c>
      <c r="G2236" t="inlineStr">
        <is>
          <t>Sob</t>
        </is>
      </c>
      <c r="H2236">
        <f>'Floor Hours Engine'!$E$5</f>
        <v/>
      </c>
      <c r="I2236" t="inlineStr">
        <is>
          <t>W3</t>
        </is>
      </c>
      <c r="J2236" t="inlineStr">
        <is>
          <t>2027_Luty_W3</t>
        </is>
      </c>
    </row>
    <row r="2237">
      <c r="A2237" s="177" t="n">
        <v>46432</v>
      </c>
      <c r="B2237" s="177" t="n">
        <v>46427</v>
      </c>
      <c r="C2237" s="177" t="n">
        <v>46433</v>
      </c>
      <c r="D2237" t="inlineStr">
        <is>
          <t>BW20270209</t>
        </is>
      </c>
      <c r="E2237" t="n">
        <v>2027</v>
      </c>
      <c r="F2237" t="inlineStr">
        <is>
          <t>Luty</t>
        </is>
      </c>
      <c r="G2237" t="inlineStr">
        <is>
          <t>Nd</t>
        </is>
      </c>
      <c r="H2237">
        <f>'Floor Hours Engine'!$E$6</f>
        <v/>
      </c>
      <c r="I2237" t="inlineStr">
        <is>
          <t>W3</t>
        </is>
      </c>
      <c r="J2237" t="inlineStr">
        <is>
          <t>2027_Luty_W3</t>
        </is>
      </c>
    </row>
    <row r="2238">
      <c r="A2238" s="177" t="n">
        <v>46433</v>
      </c>
      <c r="B2238" s="177" t="n">
        <v>46427</v>
      </c>
      <c r="C2238" s="177" t="n">
        <v>46433</v>
      </c>
      <c r="D2238" t="inlineStr">
        <is>
          <t>BW20270209</t>
        </is>
      </c>
      <c r="E2238" t="n">
        <v>2027</v>
      </c>
      <c r="F2238" t="inlineStr">
        <is>
          <t>Luty</t>
        </is>
      </c>
      <c r="G2238" t="inlineStr">
        <is>
          <t>Pn</t>
        </is>
      </c>
      <c r="H2238">
        <f>'Floor Hours Engine'!$E$4</f>
        <v/>
      </c>
      <c r="I2238" t="inlineStr">
        <is>
          <t>W3</t>
        </is>
      </c>
      <c r="J2238" t="inlineStr">
        <is>
          <t>2027_Luty_W3</t>
        </is>
      </c>
    </row>
    <row r="2239">
      <c r="A2239" s="177" t="n">
        <v>46434</v>
      </c>
      <c r="B2239" s="177" t="n">
        <v>46434</v>
      </c>
      <c r="C2239" s="177" t="n">
        <v>46440</v>
      </c>
      <c r="D2239" t="inlineStr">
        <is>
          <t>BW20270216</t>
        </is>
      </c>
      <c r="E2239" t="n">
        <v>2027</v>
      </c>
      <c r="F2239" t="inlineStr">
        <is>
          <t>Luty</t>
        </is>
      </c>
      <c r="G2239" t="inlineStr">
        <is>
          <t>Wt</t>
        </is>
      </c>
      <c r="H2239">
        <f>'Floor Hours Engine'!$E$4</f>
        <v/>
      </c>
      <c r="I2239" t="inlineStr">
        <is>
          <t>W4</t>
        </is>
      </c>
      <c r="J2239" t="inlineStr">
        <is>
          <t>2027_Luty_W4</t>
        </is>
      </c>
    </row>
    <row r="2240">
      <c r="A2240" s="177" t="n">
        <v>46435</v>
      </c>
      <c r="B2240" s="177" t="n">
        <v>46434</v>
      </c>
      <c r="C2240" s="177" t="n">
        <v>46440</v>
      </c>
      <c r="D2240" t="inlineStr">
        <is>
          <t>BW20270216</t>
        </is>
      </c>
      <c r="E2240" t="n">
        <v>2027</v>
      </c>
      <c r="F2240" t="inlineStr">
        <is>
          <t>Luty</t>
        </is>
      </c>
      <c r="G2240" t="inlineStr">
        <is>
          <t>Śr</t>
        </is>
      </c>
      <c r="H2240">
        <f>'Floor Hours Engine'!$E$4</f>
        <v/>
      </c>
      <c r="I2240" t="inlineStr">
        <is>
          <t>W4</t>
        </is>
      </c>
      <c r="J2240" t="inlineStr">
        <is>
          <t>2027_Luty_W4</t>
        </is>
      </c>
    </row>
    <row r="2241">
      <c r="A2241" s="177" t="n">
        <v>46436</v>
      </c>
      <c r="B2241" s="177" t="n">
        <v>46434</v>
      </c>
      <c r="C2241" s="177" t="n">
        <v>46440</v>
      </c>
      <c r="D2241" t="inlineStr">
        <is>
          <t>BW20270216</t>
        </is>
      </c>
      <c r="E2241" t="n">
        <v>2027</v>
      </c>
      <c r="F2241" t="inlineStr">
        <is>
          <t>Luty</t>
        </is>
      </c>
      <c r="G2241" t="inlineStr">
        <is>
          <t>Czw</t>
        </is>
      </c>
      <c r="H2241">
        <f>'Floor Hours Engine'!$E$4</f>
        <v/>
      </c>
      <c r="I2241" t="inlineStr">
        <is>
          <t>W4</t>
        </is>
      </c>
      <c r="J2241" t="inlineStr">
        <is>
          <t>2027_Luty_W4</t>
        </is>
      </c>
    </row>
    <row r="2242">
      <c r="A2242" s="177" t="n">
        <v>46437</v>
      </c>
      <c r="B2242" s="177" t="n">
        <v>46434</v>
      </c>
      <c r="C2242" s="177" t="n">
        <v>46440</v>
      </c>
      <c r="D2242" t="inlineStr">
        <is>
          <t>BW20270216</t>
        </is>
      </c>
      <c r="E2242" t="n">
        <v>2027</v>
      </c>
      <c r="F2242" t="inlineStr">
        <is>
          <t>Luty</t>
        </is>
      </c>
      <c r="G2242" t="inlineStr">
        <is>
          <t>Pt</t>
        </is>
      </c>
      <c r="H2242">
        <f>'Floor Hours Engine'!$E$5</f>
        <v/>
      </c>
      <c r="I2242" t="inlineStr">
        <is>
          <t>W4</t>
        </is>
      </c>
      <c r="J2242" t="inlineStr">
        <is>
          <t>2027_Luty_W4</t>
        </is>
      </c>
    </row>
    <row r="2243">
      <c r="A2243" s="177" t="n">
        <v>46438</v>
      </c>
      <c r="B2243" s="177" t="n">
        <v>46434</v>
      </c>
      <c r="C2243" s="177" t="n">
        <v>46440</v>
      </c>
      <c r="D2243" t="inlineStr">
        <is>
          <t>BW20270216</t>
        </is>
      </c>
      <c r="E2243" t="n">
        <v>2027</v>
      </c>
      <c r="F2243" t="inlineStr">
        <is>
          <t>Luty</t>
        </is>
      </c>
      <c r="G2243" t="inlineStr">
        <is>
          <t>Sob</t>
        </is>
      </c>
      <c r="H2243">
        <f>'Floor Hours Engine'!$E$5</f>
        <v/>
      </c>
      <c r="I2243" t="inlineStr">
        <is>
          <t>W4</t>
        </is>
      </c>
      <c r="J2243" t="inlineStr">
        <is>
          <t>2027_Luty_W4</t>
        </is>
      </c>
    </row>
    <row r="2244">
      <c r="A2244" s="177" t="n">
        <v>46439</v>
      </c>
      <c r="B2244" s="177" t="n">
        <v>46434</v>
      </c>
      <c r="C2244" s="177" t="n">
        <v>46440</v>
      </c>
      <c r="D2244" t="inlineStr">
        <is>
          <t>BW20270216</t>
        </is>
      </c>
      <c r="E2244" t="n">
        <v>2027</v>
      </c>
      <c r="F2244" t="inlineStr">
        <is>
          <t>Luty</t>
        </is>
      </c>
      <c r="G2244" t="inlineStr">
        <is>
          <t>Nd</t>
        </is>
      </c>
      <c r="H2244">
        <f>'Floor Hours Engine'!$E$6</f>
        <v/>
      </c>
      <c r="I2244" t="inlineStr">
        <is>
          <t>W4</t>
        </is>
      </c>
      <c r="J2244" t="inlineStr">
        <is>
          <t>2027_Luty_W4</t>
        </is>
      </c>
    </row>
    <row r="2245">
      <c r="A2245" s="177" t="n">
        <v>46440</v>
      </c>
      <c r="B2245" s="177" t="n">
        <v>46434</v>
      </c>
      <c r="C2245" s="177" t="n">
        <v>46440</v>
      </c>
      <c r="D2245" t="inlineStr">
        <is>
          <t>BW20270216</t>
        </is>
      </c>
      <c r="E2245" t="n">
        <v>2027</v>
      </c>
      <c r="F2245" t="inlineStr">
        <is>
          <t>Luty</t>
        </is>
      </c>
      <c r="G2245" t="inlineStr">
        <is>
          <t>Pn</t>
        </is>
      </c>
      <c r="H2245">
        <f>'Floor Hours Engine'!$E$4</f>
        <v/>
      </c>
      <c r="I2245" t="inlineStr">
        <is>
          <t>W4</t>
        </is>
      </c>
      <c r="J2245" t="inlineStr">
        <is>
          <t>2027_Luty_W4</t>
        </is>
      </c>
    </row>
    <row r="2246">
      <c r="A2246" s="177" t="n">
        <v>46441</v>
      </c>
      <c r="B2246" s="177" t="n">
        <v>46441</v>
      </c>
      <c r="C2246" s="177" t="n">
        <v>46447</v>
      </c>
      <c r="D2246" t="inlineStr">
        <is>
          <t>BW20270223</t>
        </is>
      </c>
      <c r="E2246" t="n">
        <v>2027</v>
      </c>
      <c r="F2246" t="inlineStr">
        <is>
          <t>Luty</t>
        </is>
      </c>
      <c r="G2246" t="inlineStr">
        <is>
          <t>Wt</t>
        </is>
      </c>
      <c r="H2246">
        <f>'Floor Hours Engine'!$E$4</f>
        <v/>
      </c>
      <c r="I2246" t="inlineStr">
        <is>
          <t>W5</t>
        </is>
      </c>
      <c r="J2246" t="inlineStr">
        <is>
          <t>2027_Luty_W5</t>
        </is>
      </c>
    </row>
    <row r="2247">
      <c r="A2247" s="177" t="n">
        <v>46442</v>
      </c>
      <c r="B2247" s="177" t="n">
        <v>46441</v>
      </c>
      <c r="C2247" s="177" t="n">
        <v>46447</v>
      </c>
      <c r="D2247" t="inlineStr">
        <is>
          <t>BW20270223</t>
        </is>
      </c>
      <c r="E2247" t="n">
        <v>2027</v>
      </c>
      <c r="F2247" t="inlineStr">
        <is>
          <t>Luty</t>
        </is>
      </c>
      <c r="G2247" t="inlineStr">
        <is>
          <t>Śr</t>
        </is>
      </c>
      <c r="H2247">
        <f>'Floor Hours Engine'!$E$4</f>
        <v/>
      </c>
      <c r="I2247" t="inlineStr">
        <is>
          <t>W5</t>
        </is>
      </c>
      <c r="J2247" t="inlineStr">
        <is>
          <t>2027_Luty_W5</t>
        </is>
      </c>
    </row>
    <row r="2248">
      <c r="A2248" s="177" t="n">
        <v>46443</v>
      </c>
      <c r="B2248" s="177" t="n">
        <v>46441</v>
      </c>
      <c r="C2248" s="177" t="n">
        <v>46447</v>
      </c>
      <c r="D2248" t="inlineStr">
        <is>
          <t>BW20270223</t>
        </is>
      </c>
      <c r="E2248" t="n">
        <v>2027</v>
      </c>
      <c r="F2248" t="inlineStr">
        <is>
          <t>Luty</t>
        </is>
      </c>
      <c r="G2248" t="inlineStr">
        <is>
          <t>Czw</t>
        </is>
      </c>
      <c r="H2248">
        <f>'Floor Hours Engine'!$E$4</f>
        <v/>
      </c>
      <c r="I2248" t="inlineStr">
        <is>
          <t>W5</t>
        </is>
      </c>
      <c r="J2248" t="inlineStr">
        <is>
          <t>2027_Luty_W5</t>
        </is>
      </c>
    </row>
    <row r="2249">
      <c r="A2249" s="177" t="n">
        <v>46444</v>
      </c>
      <c r="B2249" s="177" t="n">
        <v>46441</v>
      </c>
      <c r="C2249" s="177" t="n">
        <v>46447</v>
      </c>
      <c r="D2249" t="inlineStr">
        <is>
          <t>BW20270223</t>
        </is>
      </c>
      <c r="E2249" t="n">
        <v>2027</v>
      </c>
      <c r="F2249" t="inlineStr">
        <is>
          <t>Luty</t>
        </is>
      </c>
      <c r="G2249" t="inlineStr">
        <is>
          <t>Pt</t>
        </is>
      </c>
      <c r="H2249">
        <f>'Floor Hours Engine'!$E$5</f>
        <v/>
      </c>
      <c r="I2249" t="inlineStr">
        <is>
          <t>W5</t>
        </is>
      </c>
      <c r="J2249" t="inlineStr">
        <is>
          <t>2027_Luty_W5</t>
        </is>
      </c>
    </row>
    <row r="2250">
      <c r="A2250" s="177" t="n">
        <v>46445</v>
      </c>
      <c r="B2250" s="177" t="n">
        <v>46441</v>
      </c>
      <c r="C2250" s="177" t="n">
        <v>46447</v>
      </c>
      <c r="D2250" t="inlineStr">
        <is>
          <t>BW20270223</t>
        </is>
      </c>
      <c r="E2250" t="n">
        <v>2027</v>
      </c>
      <c r="F2250" t="inlineStr">
        <is>
          <t>Luty</t>
        </is>
      </c>
      <c r="G2250" t="inlineStr">
        <is>
          <t>Sob</t>
        </is>
      </c>
      <c r="H2250">
        <f>'Floor Hours Engine'!$E$5</f>
        <v/>
      </c>
      <c r="I2250" t="inlineStr">
        <is>
          <t>W5</t>
        </is>
      </c>
      <c r="J2250" t="inlineStr">
        <is>
          <t>2027_Luty_W5</t>
        </is>
      </c>
    </row>
    <row r="2251">
      <c r="A2251" s="177" t="n">
        <v>46446</v>
      </c>
      <c r="B2251" s="177" t="n">
        <v>46441</v>
      </c>
      <c r="C2251" s="177" t="n">
        <v>46447</v>
      </c>
      <c r="D2251" t="inlineStr">
        <is>
          <t>BW20270223</t>
        </is>
      </c>
      <c r="E2251" t="n">
        <v>2027</v>
      </c>
      <c r="F2251" t="inlineStr">
        <is>
          <t>Luty</t>
        </is>
      </c>
      <c r="G2251" t="inlineStr">
        <is>
          <t>Nd</t>
        </is>
      </c>
      <c r="H2251">
        <f>'Floor Hours Engine'!$E$6</f>
        <v/>
      </c>
      <c r="I2251" t="inlineStr">
        <is>
          <t>W5</t>
        </is>
      </c>
      <c r="J2251" t="inlineStr">
        <is>
          <t>2027_Luty_W5</t>
        </is>
      </c>
    </row>
    <row r="2252">
      <c r="A2252" s="177" t="n">
        <v>46447</v>
      </c>
      <c r="B2252" s="177" t="n">
        <v>46441</v>
      </c>
      <c r="C2252" s="177" t="n">
        <v>46447</v>
      </c>
      <c r="D2252" t="inlineStr">
        <is>
          <t>BW20270223</t>
        </is>
      </c>
      <c r="E2252" t="n">
        <v>2027</v>
      </c>
      <c r="F2252" t="inlineStr">
        <is>
          <t>Marzec</t>
        </is>
      </c>
      <c r="G2252" t="inlineStr">
        <is>
          <t>Pn</t>
        </is>
      </c>
      <c r="H2252">
        <f>'Floor Hours Engine'!$E$4</f>
        <v/>
      </c>
      <c r="I2252" t="inlineStr">
        <is>
          <t>W1</t>
        </is>
      </c>
      <c r="J2252" t="inlineStr">
        <is>
          <t>2027_Marzec_W1</t>
        </is>
      </c>
    </row>
    <row r="2253">
      <c r="A2253" s="177" t="n">
        <v>46448</v>
      </c>
      <c r="B2253" s="177" t="n">
        <v>46448</v>
      </c>
      <c r="C2253" s="177" t="n">
        <v>46454</v>
      </c>
      <c r="D2253" t="inlineStr">
        <is>
          <t>BW20270302</t>
        </is>
      </c>
      <c r="E2253" t="n">
        <v>2027</v>
      </c>
      <c r="F2253" t="inlineStr">
        <is>
          <t>Marzec</t>
        </is>
      </c>
      <c r="G2253" t="inlineStr">
        <is>
          <t>Wt</t>
        </is>
      </c>
      <c r="H2253">
        <f>'Floor Hours Engine'!$E$4</f>
        <v/>
      </c>
      <c r="I2253" t="inlineStr">
        <is>
          <t>W2</t>
        </is>
      </c>
      <c r="J2253" t="inlineStr">
        <is>
          <t>2027_Marzec_W2</t>
        </is>
      </c>
    </row>
    <row r="2254">
      <c r="A2254" s="177" t="n">
        <v>46449</v>
      </c>
      <c r="B2254" s="177" t="n">
        <v>46448</v>
      </c>
      <c r="C2254" s="177" t="n">
        <v>46454</v>
      </c>
      <c r="D2254" t="inlineStr">
        <is>
          <t>BW20270302</t>
        </is>
      </c>
      <c r="E2254" t="n">
        <v>2027</v>
      </c>
      <c r="F2254" t="inlineStr">
        <is>
          <t>Marzec</t>
        </is>
      </c>
      <c r="G2254" t="inlineStr">
        <is>
          <t>Śr</t>
        </is>
      </c>
      <c r="H2254">
        <f>'Floor Hours Engine'!$E$4</f>
        <v/>
      </c>
      <c r="I2254" t="inlineStr">
        <is>
          <t>W2</t>
        </is>
      </c>
      <c r="J2254" t="inlineStr">
        <is>
          <t>2027_Marzec_W2</t>
        </is>
      </c>
    </row>
    <row r="2255">
      <c r="A2255" s="177" t="n">
        <v>46450</v>
      </c>
      <c r="B2255" s="177" t="n">
        <v>46448</v>
      </c>
      <c r="C2255" s="177" t="n">
        <v>46454</v>
      </c>
      <c r="D2255" t="inlineStr">
        <is>
          <t>BW20270302</t>
        </is>
      </c>
      <c r="E2255" t="n">
        <v>2027</v>
      </c>
      <c r="F2255" t="inlineStr">
        <is>
          <t>Marzec</t>
        </is>
      </c>
      <c r="G2255" t="inlineStr">
        <is>
          <t>Czw</t>
        </is>
      </c>
      <c r="H2255">
        <f>'Floor Hours Engine'!$E$4</f>
        <v/>
      </c>
      <c r="I2255" t="inlineStr">
        <is>
          <t>W2</t>
        </is>
      </c>
      <c r="J2255" t="inlineStr">
        <is>
          <t>2027_Marzec_W2</t>
        </is>
      </c>
    </row>
    <row r="2256">
      <c r="A2256" s="177" t="n">
        <v>46451</v>
      </c>
      <c r="B2256" s="177" t="n">
        <v>46448</v>
      </c>
      <c r="C2256" s="177" t="n">
        <v>46454</v>
      </c>
      <c r="D2256" t="inlineStr">
        <is>
          <t>BW20270302</t>
        </is>
      </c>
      <c r="E2256" t="n">
        <v>2027</v>
      </c>
      <c r="F2256" t="inlineStr">
        <is>
          <t>Marzec</t>
        </is>
      </c>
      <c r="G2256" t="inlineStr">
        <is>
          <t>Pt</t>
        </is>
      </c>
      <c r="H2256">
        <f>'Floor Hours Engine'!$E$5</f>
        <v/>
      </c>
      <c r="I2256" t="inlineStr">
        <is>
          <t>W2</t>
        </is>
      </c>
      <c r="J2256" t="inlineStr">
        <is>
          <t>2027_Marzec_W2</t>
        </is>
      </c>
    </row>
    <row r="2257">
      <c r="A2257" s="177" t="n">
        <v>46452</v>
      </c>
      <c r="B2257" s="177" t="n">
        <v>46448</v>
      </c>
      <c r="C2257" s="177" t="n">
        <v>46454</v>
      </c>
      <c r="D2257" t="inlineStr">
        <is>
          <t>BW20270302</t>
        </is>
      </c>
      <c r="E2257" t="n">
        <v>2027</v>
      </c>
      <c r="F2257" t="inlineStr">
        <is>
          <t>Marzec</t>
        </is>
      </c>
      <c r="G2257" t="inlineStr">
        <is>
          <t>Sob</t>
        </is>
      </c>
      <c r="H2257">
        <f>'Floor Hours Engine'!$E$5</f>
        <v/>
      </c>
      <c r="I2257" t="inlineStr">
        <is>
          <t>W2</t>
        </is>
      </c>
      <c r="J2257" t="inlineStr">
        <is>
          <t>2027_Marzec_W2</t>
        </is>
      </c>
    </row>
    <row r="2258">
      <c r="A2258" s="177" t="n">
        <v>46453</v>
      </c>
      <c r="B2258" s="177" t="n">
        <v>46448</v>
      </c>
      <c r="C2258" s="177" t="n">
        <v>46454</v>
      </c>
      <c r="D2258" t="inlineStr">
        <is>
          <t>BW20270302</t>
        </is>
      </c>
      <c r="E2258" t="n">
        <v>2027</v>
      </c>
      <c r="F2258" t="inlineStr">
        <is>
          <t>Marzec</t>
        </is>
      </c>
      <c r="G2258" t="inlineStr">
        <is>
          <t>Nd</t>
        </is>
      </c>
      <c r="H2258">
        <f>'Floor Hours Engine'!$E$6</f>
        <v/>
      </c>
      <c r="I2258" t="inlineStr">
        <is>
          <t>W2</t>
        </is>
      </c>
      <c r="J2258" t="inlineStr">
        <is>
          <t>2027_Marzec_W2</t>
        </is>
      </c>
    </row>
    <row r="2259">
      <c r="A2259" s="177" t="n">
        <v>46454</v>
      </c>
      <c r="B2259" s="177" t="n">
        <v>46448</v>
      </c>
      <c r="C2259" s="177" t="n">
        <v>46454</v>
      </c>
      <c r="D2259" t="inlineStr">
        <is>
          <t>BW20270302</t>
        </is>
      </c>
      <c r="E2259" t="n">
        <v>2027</v>
      </c>
      <c r="F2259" t="inlineStr">
        <is>
          <t>Marzec</t>
        </is>
      </c>
      <c r="G2259" t="inlineStr">
        <is>
          <t>Pn</t>
        </is>
      </c>
      <c r="H2259">
        <f>'Floor Hours Engine'!$E$4</f>
        <v/>
      </c>
      <c r="I2259" t="inlineStr">
        <is>
          <t>W2</t>
        </is>
      </c>
      <c r="J2259" t="inlineStr">
        <is>
          <t>2027_Marzec_W2</t>
        </is>
      </c>
    </row>
    <row r="2260">
      <c r="A2260" s="177" t="n">
        <v>46455</v>
      </c>
      <c r="B2260" s="177" t="n">
        <v>46455</v>
      </c>
      <c r="C2260" s="177" t="n">
        <v>46461</v>
      </c>
      <c r="D2260" t="inlineStr">
        <is>
          <t>BW20270309</t>
        </is>
      </c>
      <c r="E2260" t="n">
        <v>2027</v>
      </c>
      <c r="F2260" t="inlineStr">
        <is>
          <t>Marzec</t>
        </is>
      </c>
      <c r="G2260" t="inlineStr">
        <is>
          <t>Wt</t>
        </is>
      </c>
      <c r="H2260">
        <f>'Floor Hours Engine'!$E$4</f>
        <v/>
      </c>
      <c r="I2260" t="inlineStr">
        <is>
          <t>W3</t>
        </is>
      </c>
      <c r="J2260" t="inlineStr">
        <is>
          <t>2027_Marzec_W3</t>
        </is>
      </c>
    </row>
    <row r="2261">
      <c r="A2261" s="177" t="n">
        <v>46456</v>
      </c>
      <c r="B2261" s="177" t="n">
        <v>46455</v>
      </c>
      <c r="C2261" s="177" t="n">
        <v>46461</v>
      </c>
      <c r="D2261" t="inlineStr">
        <is>
          <t>BW20270309</t>
        </is>
      </c>
      <c r="E2261" t="n">
        <v>2027</v>
      </c>
      <c r="F2261" t="inlineStr">
        <is>
          <t>Marzec</t>
        </is>
      </c>
      <c r="G2261" t="inlineStr">
        <is>
          <t>Śr</t>
        </is>
      </c>
      <c r="H2261">
        <f>'Floor Hours Engine'!$E$4</f>
        <v/>
      </c>
      <c r="I2261" t="inlineStr">
        <is>
          <t>W3</t>
        </is>
      </c>
      <c r="J2261" t="inlineStr">
        <is>
          <t>2027_Marzec_W3</t>
        </is>
      </c>
    </row>
    <row r="2262">
      <c r="A2262" s="177" t="n">
        <v>46457</v>
      </c>
      <c r="B2262" s="177" t="n">
        <v>46455</v>
      </c>
      <c r="C2262" s="177" t="n">
        <v>46461</v>
      </c>
      <c r="D2262" t="inlineStr">
        <is>
          <t>BW20270309</t>
        </is>
      </c>
      <c r="E2262" t="n">
        <v>2027</v>
      </c>
      <c r="F2262" t="inlineStr">
        <is>
          <t>Marzec</t>
        </is>
      </c>
      <c r="G2262" t="inlineStr">
        <is>
          <t>Czw</t>
        </is>
      </c>
      <c r="H2262">
        <f>'Floor Hours Engine'!$E$4</f>
        <v/>
      </c>
      <c r="I2262" t="inlineStr">
        <is>
          <t>W3</t>
        </is>
      </c>
      <c r="J2262" t="inlineStr">
        <is>
          <t>2027_Marzec_W3</t>
        </is>
      </c>
    </row>
    <row r="2263">
      <c r="A2263" s="177" t="n">
        <v>46458</v>
      </c>
      <c r="B2263" s="177" t="n">
        <v>46455</v>
      </c>
      <c r="C2263" s="177" t="n">
        <v>46461</v>
      </c>
      <c r="D2263" t="inlineStr">
        <is>
          <t>BW20270309</t>
        </is>
      </c>
      <c r="E2263" t="n">
        <v>2027</v>
      </c>
      <c r="F2263" t="inlineStr">
        <is>
          <t>Marzec</t>
        </is>
      </c>
      <c r="G2263" t="inlineStr">
        <is>
          <t>Pt</t>
        </is>
      </c>
      <c r="H2263">
        <f>'Floor Hours Engine'!$E$5</f>
        <v/>
      </c>
      <c r="I2263" t="inlineStr">
        <is>
          <t>W3</t>
        </is>
      </c>
      <c r="J2263" t="inlineStr">
        <is>
          <t>2027_Marzec_W3</t>
        </is>
      </c>
    </row>
    <row r="2264">
      <c r="A2264" s="177" t="n">
        <v>46459</v>
      </c>
      <c r="B2264" s="177" t="n">
        <v>46455</v>
      </c>
      <c r="C2264" s="177" t="n">
        <v>46461</v>
      </c>
      <c r="D2264" t="inlineStr">
        <is>
          <t>BW20270309</t>
        </is>
      </c>
      <c r="E2264" t="n">
        <v>2027</v>
      </c>
      <c r="F2264" t="inlineStr">
        <is>
          <t>Marzec</t>
        </is>
      </c>
      <c r="G2264" t="inlineStr">
        <is>
          <t>Sob</t>
        </is>
      </c>
      <c r="H2264">
        <f>'Floor Hours Engine'!$E$5</f>
        <v/>
      </c>
      <c r="I2264" t="inlineStr">
        <is>
          <t>W3</t>
        </is>
      </c>
      <c r="J2264" t="inlineStr">
        <is>
          <t>2027_Marzec_W3</t>
        </is>
      </c>
    </row>
    <row r="2265">
      <c r="A2265" s="177" t="n">
        <v>46460</v>
      </c>
      <c r="B2265" s="177" t="n">
        <v>46455</v>
      </c>
      <c r="C2265" s="177" t="n">
        <v>46461</v>
      </c>
      <c r="D2265" t="inlineStr">
        <is>
          <t>BW20270309</t>
        </is>
      </c>
      <c r="E2265" t="n">
        <v>2027</v>
      </c>
      <c r="F2265" t="inlineStr">
        <is>
          <t>Marzec</t>
        </is>
      </c>
      <c r="G2265" t="inlineStr">
        <is>
          <t>Nd</t>
        </is>
      </c>
      <c r="H2265">
        <f>'Floor Hours Engine'!$E$6</f>
        <v/>
      </c>
      <c r="I2265" t="inlineStr">
        <is>
          <t>W3</t>
        </is>
      </c>
      <c r="J2265" t="inlineStr">
        <is>
          <t>2027_Marzec_W3</t>
        </is>
      </c>
    </row>
    <row r="2266">
      <c r="A2266" s="177" t="n">
        <v>46461</v>
      </c>
      <c r="B2266" s="177" t="n">
        <v>46455</v>
      </c>
      <c r="C2266" s="177" t="n">
        <v>46461</v>
      </c>
      <c r="D2266" t="inlineStr">
        <is>
          <t>BW20270309</t>
        </is>
      </c>
      <c r="E2266" t="n">
        <v>2027</v>
      </c>
      <c r="F2266" t="inlineStr">
        <is>
          <t>Marzec</t>
        </is>
      </c>
      <c r="G2266" t="inlineStr">
        <is>
          <t>Pn</t>
        </is>
      </c>
      <c r="H2266">
        <f>'Floor Hours Engine'!$E$4</f>
        <v/>
      </c>
      <c r="I2266" t="inlineStr">
        <is>
          <t>W3</t>
        </is>
      </c>
      <c r="J2266" t="inlineStr">
        <is>
          <t>2027_Marzec_W3</t>
        </is>
      </c>
    </row>
    <row r="2267">
      <c r="A2267" s="177" t="n">
        <v>46462</v>
      </c>
      <c r="B2267" s="177" t="n">
        <v>46462</v>
      </c>
      <c r="C2267" s="177" t="n">
        <v>46468</v>
      </c>
      <c r="D2267" t="inlineStr">
        <is>
          <t>BW20270316</t>
        </is>
      </c>
      <c r="E2267" t="n">
        <v>2027</v>
      </c>
      <c r="F2267" t="inlineStr">
        <is>
          <t>Marzec</t>
        </is>
      </c>
      <c r="G2267" t="inlineStr">
        <is>
          <t>Wt</t>
        </is>
      </c>
      <c r="H2267">
        <f>'Floor Hours Engine'!$E$4</f>
        <v/>
      </c>
      <c r="I2267" t="inlineStr">
        <is>
          <t>W4</t>
        </is>
      </c>
      <c r="J2267" t="inlineStr">
        <is>
          <t>2027_Marzec_W4</t>
        </is>
      </c>
    </row>
    <row r="2268">
      <c r="A2268" s="177" t="n">
        <v>46463</v>
      </c>
      <c r="B2268" s="177" t="n">
        <v>46462</v>
      </c>
      <c r="C2268" s="177" t="n">
        <v>46468</v>
      </c>
      <c r="D2268" t="inlineStr">
        <is>
          <t>BW20270316</t>
        </is>
      </c>
      <c r="E2268" t="n">
        <v>2027</v>
      </c>
      <c r="F2268" t="inlineStr">
        <is>
          <t>Marzec</t>
        </is>
      </c>
      <c r="G2268" t="inlineStr">
        <is>
          <t>Śr</t>
        </is>
      </c>
      <c r="H2268">
        <f>'Floor Hours Engine'!$E$4</f>
        <v/>
      </c>
      <c r="I2268" t="inlineStr">
        <is>
          <t>W4</t>
        </is>
      </c>
      <c r="J2268" t="inlineStr">
        <is>
          <t>2027_Marzec_W4</t>
        </is>
      </c>
    </row>
    <row r="2269">
      <c r="A2269" s="177" t="n">
        <v>46464</v>
      </c>
      <c r="B2269" s="177" t="n">
        <v>46462</v>
      </c>
      <c r="C2269" s="177" t="n">
        <v>46468</v>
      </c>
      <c r="D2269" t="inlineStr">
        <is>
          <t>BW20270316</t>
        </is>
      </c>
      <c r="E2269" t="n">
        <v>2027</v>
      </c>
      <c r="F2269" t="inlineStr">
        <is>
          <t>Marzec</t>
        </is>
      </c>
      <c r="G2269" t="inlineStr">
        <is>
          <t>Czw</t>
        </is>
      </c>
      <c r="H2269">
        <f>'Floor Hours Engine'!$E$4</f>
        <v/>
      </c>
      <c r="I2269" t="inlineStr">
        <is>
          <t>W4</t>
        </is>
      </c>
      <c r="J2269" t="inlineStr">
        <is>
          <t>2027_Marzec_W4</t>
        </is>
      </c>
    </row>
    <row r="2270">
      <c r="A2270" s="177" t="n">
        <v>46465</v>
      </c>
      <c r="B2270" s="177" t="n">
        <v>46462</v>
      </c>
      <c r="C2270" s="177" t="n">
        <v>46468</v>
      </c>
      <c r="D2270" t="inlineStr">
        <is>
          <t>BW20270316</t>
        </is>
      </c>
      <c r="E2270" t="n">
        <v>2027</v>
      </c>
      <c r="F2270" t="inlineStr">
        <is>
          <t>Marzec</t>
        </is>
      </c>
      <c r="G2270" t="inlineStr">
        <is>
          <t>Pt</t>
        </is>
      </c>
      <c r="H2270">
        <f>'Floor Hours Engine'!$E$5</f>
        <v/>
      </c>
      <c r="I2270" t="inlineStr">
        <is>
          <t>W4</t>
        </is>
      </c>
      <c r="J2270" t="inlineStr">
        <is>
          <t>2027_Marzec_W4</t>
        </is>
      </c>
    </row>
    <row r="2271">
      <c r="A2271" s="177" t="n">
        <v>46466</v>
      </c>
      <c r="B2271" s="177" t="n">
        <v>46462</v>
      </c>
      <c r="C2271" s="177" t="n">
        <v>46468</v>
      </c>
      <c r="D2271" t="inlineStr">
        <is>
          <t>BW20270316</t>
        </is>
      </c>
      <c r="E2271" t="n">
        <v>2027</v>
      </c>
      <c r="F2271" t="inlineStr">
        <is>
          <t>Marzec</t>
        </is>
      </c>
      <c r="G2271" t="inlineStr">
        <is>
          <t>Sob</t>
        </is>
      </c>
      <c r="H2271">
        <f>'Floor Hours Engine'!$E$5</f>
        <v/>
      </c>
      <c r="I2271" t="inlineStr">
        <is>
          <t>W4</t>
        </is>
      </c>
      <c r="J2271" t="inlineStr">
        <is>
          <t>2027_Marzec_W4</t>
        </is>
      </c>
    </row>
    <row r="2272">
      <c r="A2272" s="177" t="n">
        <v>46467</v>
      </c>
      <c r="B2272" s="177" t="n">
        <v>46462</v>
      </c>
      <c r="C2272" s="177" t="n">
        <v>46468</v>
      </c>
      <c r="D2272" t="inlineStr">
        <is>
          <t>BW20270316</t>
        </is>
      </c>
      <c r="E2272" t="n">
        <v>2027</v>
      </c>
      <c r="F2272" t="inlineStr">
        <is>
          <t>Marzec</t>
        </is>
      </c>
      <c r="G2272" t="inlineStr">
        <is>
          <t>Nd</t>
        </is>
      </c>
      <c r="H2272">
        <f>'Floor Hours Engine'!$E$6</f>
        <v/>
      </c>
      <c r="I2272" t="inlineStr">
        <is>
          <t>W4</t>
        </is>
      </c>
      <c r="J2272" t="inlineStr">
        <is>
          <t>2027_Marzec_W4</t>
        </is>
      </c>
    </row>
    <row r="2273">
      <c r="A2273" s="177" t="n">
        <v>46468</v>
      </c>
      <c r="B2273" s="177" t="n">
        <v>46462</v>
      </c>
      <c r="C2273" s="177" t="n">
        <v>46468</v>
      </c>
      <c r="D2273" t="inlineStr">
        <is>
          <t>BW20270316</t>
        </is>
      </c>
      <c r="E2273" t="n">
        <v>2027</v>
      </c>
      <c r="F2273" t="inlineStr">
        <is>
          <t>Marzec</t>
        </is>
      </c>
      <c r="G2273" t="inlineStr">
        <is>
          <t>Pn</t>
        </is>
      </c>
      <c r="H2273">
        <f>'Floor Hours Engine'!$E$4</f>
        <v/>
      </c>
      <c r="I2273" t="inlineStr">
        <is>
          <t>W4</t>
        </is>
      </c>
      <c r="J2273" t="inlineStr">
        <is>
          <t>2027_Marzec_W4</t>
        </is>
      </c>
    </row>
    <row r="2274">
      <c r="A2274" s="177" t="n">
        <v>46469</v>
      </c>
      <c r="B2274" s="177" t="n">
        <v>46469</v>
      </c>
      <c r="C2274" s="177" t="n">
        <v>46475</v>
      </c>
      <c r="D2274" t="inlineStr">
        <is>
          <t>BW20270323</t>
        </is>
      </c>
      <c r="E2274" t="n">
        <v>2027</v>
      </c>
      <c r="F2274" t="inlineStr">
        <is>
          <t>Marzec</t>
        </is>
      </c>
      <c r="G2274" t="inlineStr">
        <is>
          <t>Wt</t>
        </is>
      </c>
      <c r="H2274">
        <f>'Floor Hours Engine'!$E$4</f>
        <v/>
      </c>
      <c r="I2274" t="inlineStr">
        <is>
          <t>W5</t>
        </is>
      </c>
      <c r="J2274" t="inlineStr">
        <is>
          <t>2027_Marzec_W5</t>
        </is>
      </c>
    </row>
    <row r="2275">
      <c r="A2275" s="177" t="n">
        <v>46470</v>
      </c>
      <c r="B2275" s="177" t="n">
        <v>46469</v>
      </c>
      <c r="C2275" s="177" t="n">
        <v>46475</v>
      </c>
      <c r="D2275" t="inlineStr">
        <is>
          <t>BW20270323</t>
        </is>
      </c>
      <c r="E2275" t="n">
        <v>2027</v>
      </c>
      <c r="F2275" t="inlineStr">
        <is>
          <t>Marzec</t>
        </is>
      </c>
      <c r="G2275" t="inlineStr">
        <is>
          <t>Śr</t>
        </is>
      </c>
      <c r="H2275">
        <f>'Floor Hours Engine'!$E$4</f>
        <v/>
      </c>
      <c r="I2275" t="inlineStr">
        <is>
          <t>W5</t>
        </is>
      </c>
      <c r="J2275" t="inlineStr">
        <is>
          <t>2027_Marzec_W5</t>
        </is>
      </c>
    </row>
    <row r="2276">
      <c r="A2276" s="177" t="n">
        <v>46471</v>
      </c>
      <c r="B2276" s="177" t="n">
        <v>46469</v>
      </c>
      <c r="C2276" s="177" t="n">
        <v>46475</v>
      </c>
      <c r="D2276" t="inlineStr">
        <is>
          <t>BW20270323</t>
        </is>
      </c>
      <c r="E2276" t="n">
        <v>2027</v>
      </c>
      <c r="F2276" t="inlineStr">
        <is>
          <t>Marzec</t>
        </is>
      </c>
      <c r="G2276" t="inlineStr">
        <is>
          <t>Czw</t>
        </is>
      </c>
      <c r="H2276">
        <f>'Floor Hours Engine'!$E$4</f>
        <v/>
      </c>
      <c r="I2276" t="inlineStr">
        <is>
          <t>W5</t>
        </is>
      </c>
      <c r="J2276" t="inlineStr">
        <is>
          <t>2027_Marzec_W5</t>
        </is>
      </c>
    </row>
    <row r="2277">
      <c r="A2277" s="177" t="n">
        <v>46472</v>
      </c>
      <c r="B2277" s="177" t="n">
        <v>46469</v>
      </c>
      <c r="C2277" s="177" t="n">
        <v>46475</v>
      </c>
      <c r="D2277" t="inlineStr">
        <is>
          <t>BW20270323</t>
        </is>
      </c>
      <c r="E2277" t="n">
        <v>2027</v>
      </c>
      <c r="F2277" t="inlineStr">
        <is>
          <t>Marzec</t>
        </is>
      </c>
      <c r="G2277" t="inlineStr">
        <is>
          <t>Pt</t>
        </is>
      </c>
      <c r="H2277">
        <f>'Floor Hours Engine'!$E$5</f>
        <v/>
      </c>
      <c r="I2277" t="inlineStr">
        <is>
          <t>W5</t>
        </is>
      </c>
      <c r="J2277" t="inlineStr">
        <is>
          <t>2027_Marzec_W5</t>
        </is>
      </c>
    </row>
    <row r="2278">
      <c r="A2278" s="177" t="n">
        <v>46473</v>
      </c>
      <c r="B2278" s="177" t="n">
        <v>46469</v>
      </c>
      <c r="C2278" s="177" t="n">
        <v>46475</v>
      </c>
      <c r="D2278" t="inlineStr">
        <is>
          <t>BW20270323</t>
        </is>
      </c>
      <c r="E2278" t="n">
        <v>2027</v>
      </c>
      <c r="F2278" t="inlineStr">
        <is>
          <t>Marzec</t>
        </is>
      </c>
      <c r="G2278" t="inlineStr">
        <is>
          <t>Sob</t>
        </is>
      </c>
      <c r="H2278">
        <f>'Floor Hours Engine'!$E$5</f>
        <v/>
      </c>
      <c r="I2278" t="inlineStr">
        <is>
          <t>W5</t>
        </is>
      </c>
      <c r="J2278" t="inlineStr">
        <is>
          <t>2027_Marzec_W5</t>
        </is>
      </c>
    </row>
    <row r="2279">
      <c r="A2279" s="177" t="n">
        <v>46474</v>
      </c>
      <c r="B2279" s="177" t="n">
        <v>46469</v>
      </c>
      <c r="C2279" s="177" t="n">
        <v>46475</v>
      </c>
      <c r="D2279" t="inlineStr">
        <is>
          <t>BW20270323</t>
        </is>
      </c>
      <c r="E2279" t="n">
        <v>2027</v>
      </c>
      <c r="F2279" t="inlineStr">
        <is>
          <t>Marzec</t>
        </is>
      </c>
      <c r="G2279" t="inlineStr">
        <is>
          <t>Nd</t>
        </is>
      </c>
      <c r="H2279">
        <f>'Floor Hours Engine'!$E$6</f>
        <v/>
      </c>
      <c r="I2279" t="inlineStr">
        <is>
          <t>W5</t>
        </is>
      </c>
      <c r="J2279" t="inlineStr">
        <is>
          <t>2027_Marzec_W5</t>
        </is>
      </c>
    </row>
    <row r="2280">
      <c r="A2280" s="177" t="n">
        <v>46475</v>
      </c>
      <c r="B2280" s="177" t="n">
        <v>46469</v>
      </c>
      <c r="C2280" s="177" t="n">
        <v>46475</v>
      </c>
      <c r="D2280" t="inlineStr">
        <is>
          <t>BW20270323</t>
        </is>
      </c>
      <c r="E2280" t="n">
        <v>2027</v>
      </c>
      <c r="F2280" t="inlineStr">
        <is>
          <t>Marzec</t>
        </is>
      </c>
      <c r="G2280" t="inlineStr">
        <is>
          <t>Pn</t>
        </is>
      </c>
      <c r="H2280">
        <f>'Floor Hours Engine'!$E$4</f>
        <v/>
      </c>
      <c r="I2280" t="inlineStr">
        <is>
          <t>W5</t>
        </is>
      </c>
      <c r="J2280" t="inlineStr">
        <is>
          <t>2027_Marzec_W5</t>
        </is>
      </c>
    </row>
    <row r="2281">
      <c r="A2281" s="177" t="n">
        <v>46476</v>
      </c>
      <c r="B2281" s="177" t="n">
        <v>46476</v>
      </c>
      <c r="C2281" s="177" t="n">
        <v>46482</v>
      </c>
      <c r="D2281" t="inlineStr">
        <is>
          <t>BW20270330</t>
        </is>
      </c>
      <c r="E2281" t="n">
        <v>2027</v>
      </c>
      <c r="F2281" t="inlineStr">
        <is>
          <t>Marzec</t>
        </is>
      </c>
      <c r="G2281" t="inlineStr">
        <is>
          <t>Wt</t>
        </is>
      </c>
      <c r="H2281">
        <f>'Floor Hours Engine'!$E$4</f>
        <v/>
      </c>
      <c r="I2281" t="inlineStr">
        <is>
          <t>W6</t>
        </is>
      </c>
      <c r="J2281" t="inlineStr">
        <is>
          <t>2027_Marzec_W6</t>
        </is>
      </c>
    </row>
    <row r="2282">
      <c r="A2282" s="177" t="n">
        <v>46477</v>
      </c>
      <c r="B2282" s="177" t="n">
        <v>46476</v>
      </c>
      <c r="C2282" s="177" t="n">
        <v>46482</v>
      </c>
      <c r="D2282" t="inlineStr">
        <is>
          <t>BW20270330</t>
        </is>
      </c>
      <c r="E2282" t="n">
        <v>2027</v>
      </c>
      <c r="F2282" t="inlineStr">
        <is>
          <t>Marzec</t>
        </is>
      </c>
      <c r="G2282" t="inlineStr">
        <is>
          <t>Śr</t>
        </is>
      </c>
      <c r="H2282">
        <f>'Floor Hours Engine'!$E$4</f>
        <v/>
      </c>
      <c r="I2282" t="inlineStr">
        <is>
          <t>W6</t>
        </is>
      </c>
      <c r="J2282" t="inlineStr">
        <is>
          <t>2027_Marzec_W6</t>
        </is>
      </c>
    </row>
    <row r="2283">
      <c r="A2283" s="177" t="n">
        <v>46478</v>
      </c>
      <c r="B2283" s="177" t="n">
        <v>46476</v>
      </c>
      <c r="C2283" s="177" t="n">
        <v>46482</v>
      </c>
      <c r="D2283" t="inlineStr">
        <is>
          <t>BW20270330</t>
        </is>
      </c>
      <c r="E2283" t="n">
        <v>2027</v>
      </c>
      <c r="F2283" t="inlineStr">
        <is>
          <t>Kwiecień</t>
        </is>
      </c>
      <c r="G2283" t="inlineStr">
        <is>
          <t>Czw</t>
        </is>
      </c>
      <c r="H2283">
        <f>'Floor Hours Engine'!$E$4</f>
        <v/>
      </c>
      <c r="I2283" t="inlineStr">
        <is>
          <t>W1</t>
        </is>
      </c>
      <c r="J2283" t="inlineStr">
        <is>
          <t>2027_Kwiecień_W1</t>
        </is>
      </c>
    </row>
    <row r="2284">
      <c r="A2284" s="177" t="n">
        <v>46479</v>
      </c>
      <c r="B2284" s="177" t="n">
        <v>46476</v>
      </c>
      <c r="C2284" s="177" t="n">
        <v>46482</v>
      </c>
      <c r="D2284" t="inlineStr">
        <is>
          <t>BW20270330</t>
        </is>
      </c>
      <c r="E2284" t="n">
        <v>2027</v>
      </c>
      <c r="F2284" t="inlineStr">
        <is>
          <t>Kwiecień</t>
        </is>
      </c>
      <c r="G2284" t="inlineStr">
        <is>
          <t>Pt</t>
        </is>
      </c>
      <c r="H2284">
        <f>'Floor Hours Engine'!$E$5</f>
        <v/>
      </c>
      <c r="I2284" t="inlineStr">
        <is>
          <t>W1</t>
        </is>
      </c>
      <c r="J2284" t="inlineStr">
        <is>
          <t>2027_Kwiecień_W1</t>
        </is>
      </c>
    </row>
    <row r="2285">
      <c r="A2285" s="177" t="n">
        <v>46480</v>
      </c>
      <c r="B2285" s="177" t="n">
        <v>46476</v>
      </c>
      <c r="C2285" s="177" t="n">
        <v>46482</v>
      </c>
      <c r="D2285" t="inlineStr">
        <is>
          <t>BW20270330</t>
        </is>
      </c>
      <c r="E2285" t="n">
        <v>2027</v>
      </c>
      <c r="F2285" t="inlineStr">
        <is>
          <t>Kwiecień</t>
        </is>
      </c>
      <c r="G2285" t="inlineStr">
        <is>
          <t>Sob</t>
        </is>
      </c>
      <c r="H2285">
        <f>'Floor Hours Engine'!$E$5</f>
        <v/>
      </c>
      <c r="I2285" t="inlineStr">
        <is>
          <t>W1</t>
        </is>
      </c>
      <c r="J2285" t="inlineStr">
        <is>
          <t>2027_Kwiecień_W1</t>
        </is>
      </c>
    </row>
    <row r="2286">
      <c r="A2286" s="177" t="n">
        <v>46481</v>
      </c>
      <c r="B2286" s="177" t="n">
        <v>46476</v>
      </c>
      <c r="C2286" s="177" t="n">
        <v>46482</v>
      </c>
      <c r="D2286" t="inlineStr">
        <is>
          <t>BW20270330</t>
        </is>
      </c>
      <c r="E2286" t="n">
        <v>2027</v>
      </c>
      <c r="F2286" t="inlineStr">
        <is>
          <t>Kwiecień</t>
        </is>
      </c>
      <c r="G2286" t="inlineStr">
        <is>
          <t>Nd</t>
        </is>
      </c>
      <c r="H2286">
        <f>'Floor Hours Engine'!$E$6</f>
        <v/>
      </c>
      <c r="I2286" t="inlineStr">
        <is>
          <t>W1</t>
        </is>
      </c>
      <c r="J2286" t="inlineStr">
        <is>
          <t>2027_Kwiecień_W1</t>
        </is>
      </c>
    </row>
    <row r="2287">
      <c r="A2287" s="177" t="n">
        <v>46482</v>
      </c>
      <c r="B2287" s="177" t="n">
        <v>46476</v>
      </c>
      <c r="C2287" s="177" t="n">
        <v>46482</v>
      </c>
      <c r="D2287" t="inlineStr">
        <is>
          <t>BW20270330</t>
        </is>
      </c>
      <c r="E2287" t="n">
        <v>2027</v>
      </c>
      <c r="F2287" t="inlineStr">
        <is>
          <t>Kwiecień</t>
        </is>
      </c>
      <c r="G2287" t="inlineStr">
        <is>
          <t>Pn</t>
        </is>
      </c>
      <c r="H2287">
        <f>'Floor Hours Engine'!$E$4</f>
        <v/>
      </c>
      <c r="I2287" t="inlineStr">
        <is>
          <t>W1</t>
        </is>
      </c>
      <c r="J2287" t="inlineStr">
        <is>
          <t>2027_Kwiecień_W1</t>
        </is>
      </c>
    </row>
    <row r="2288">
      <c r="A2288" s="177" t="n">
        <v>46483</v>
      </c>
      <c r="B2288" s="177" t="n">
        <v>46483</v>
      </c>
      <c r="C2288" s="177" t="n">
        <v>46489</v>
      </c>
      <c r="D2288" t="inlineStr">
        <is>
          <t>BW20270406</t>
        </is>
      </c>
      <c r="E2288" t="n">
        <v>2027</v>
      </c>
      <c r="F2288" t="inlineStr">
        <is>
          <t>Kwiecień</t>
        </is>
      </c>
      <c r="G2288" t="inlineStr">
        <is>
          <t>Wt</t>
        </is>
      </c>
      <c r="H2288">
        <f>'Floor Hours Engine'!$E$4</f>
        <v/>
      </c>
      <c r="I2288" t="inlineStr">
        <is>
          <t>W2</t>
        </is>
      </c>
      <c r="J2288" t="inlineStr">
        <is>
          <t>2027_Kwiecień_W2</t>
        </is>
      </c>
    </row>
    <row r="2289">
      <c r="A2289" s="177" t="n">
        <v>46484</v>
      </c>
      <c r="B2289" s="177" t="n">
        <v>46483</v>
      </c>
      <c r="C2289" s="177" t="n">
        <v>46489</v>
      </c>
      <c r="D2289" t="inlineStr">
        <is>
          <t>BW20270406</t>
        </is>
      </c>
      <c r="E2289" t="n">
        <v>2027</v>
      </c>
      <c r="F2289" t="inlineStr">
        <is>
          <t>Kwiecień</t>
        </is>
      </c>
      <c r="G2289" t="inlineStr">
        <is>
          <t>Śr</t>
        </is>
      </c>
      <c r="H2289">
        <f>'Floor Hours Engine'!$E$4</f>
        <v/>
      </c>
      <c r="I2289" t="inlineStr">
        <is>
          <t>W2</t>
        </is>
      </c>
      <c r="J2289" t="inlineStr">
        <is>
          <t>2027_Kwiecień_W2</t>
        </is>
      </c>
    </row>
    <row r="2290">
      <c r="A2290" s="177" t="n">
        <v>46485</v>
      </c>
      <c r="B2290" s="177" t="n">
        <v>46483</v>
      </c>
      <c r="C2290" s="177" t="n">
        <v>46489</v>
      </c>
      <c r="D2290" t="inlineStr">
        <is>
          <t>BW20270406</t>
        </is>
      </c>
      <c r="E2290" t="n">
        <v>2027</v>
      </c>
      <c r="F2290" t="inlineStr">
        <is>
          <t>Kwiecień</t>
        </is>
      </c>
      <c r="G2290" t="inlineStr">
        <is>
          <t>Czw</t>
        </is>
      </c>
      <c r="H2290">
        <f>'Floor Hours Engine'!$E$4</f>
        <v/>
      </c>
      <c r="I2290" t="inlineStr">
        <is>
          <t>W2</t>
        </is>
      </c>
      <c r="J2290" t="inlineStr">
        <is>
          <t>2027_Kwiecień_W2</t>
        </is>
      </c>
    </row>
    <row r="2291">
      <c r="A2291" s="177" t="n">
        <v>46486</v>
      </c>
      <c r="B2291" s="177" t="n">
        <v>46483</v>
      </c>
      <c r="C2291" s="177" t="n">
        <v>46489</v>
      </c>
      <c r="D2291" t="inlineStr">
        <is>
          <t>BW20270406</t>
        </is>
      </c>
      <c r="E2291" t="n">
        <v>2027</v>
      </c>
      <c r="F2291" t="inlineStr">
        <is>
          <t>Kwiecień</t>
        </is>
      </c>
      <c r="G2291" t="inlineStr">
        <is>
          <t>Pt</t>
        </is>
      </c>
      <c r="H2291">
        <f>'Floor Hours Engine'!$E$5</f>
        <v/>
      </c>
      <c r="I2291" t="inlineStr">
        <is>
          <t>W2</t>
        </is>
      </c>
      <c r="J2291" t="inlineStr">
        <is>
          <t>2027_Kwiecień_W2</t>
        </is>
      </c>
    </row>
    <row r="2292">
      <c r="A2292" s="177" t="n">
        <v>46487</v>
      </c>
      <c r="B2292" s="177" t="n">
        <v>46483</v>
      </c>
      <c r="C2292" s="177" t="n">
        <v>46489</v>
      </c>
      <c r="D2292" t="inlineStr">
        <is>
          <t>BW20270406</t>
        </is>
      </c>
      <c r="E2292" t="n">
        <v>2027</v>
      </c>
      <c r="F2292" t="inlineStr">
        <is>
          <t>Kwiecień</t>
        </is>
      </c>
      <c r="G2292" t="inlineStr">
        <is>
          <t>Sob</t>
        </is>
      </c>
      <c r="H2292">
        <f>'Floor Hours Engine'!$E$5</f>
        <v/>
      </c>
      <c r="I2292" t="inlineStr">
        <is>
          <t>W2</t>
        </is>
      </c>
      <c r="J2292" t="inlineStr">
        <is>
          <t>2027_Kwiecień_W2</t>
        </is>
      </c>
    </row>
    <row r="2293">
      <c r="A2293" s="177" t="n">
        <v>46488</v>
      </c>
      <c r="B2293" s="177" t="n">
        <v>46483</v>
      </c>
      <c r="C2293" s="177" t="n">
        <v>46489</v>
      </c>
      <c r="D2293" t="inlineStr">
        <is>
          <t>BW20270406</t>
        </is>
      </c>
      <c r="E2293" t="n">
        <v>2027</v>
      </c>
      <c r="F2293" t="inlineStr">
        <is>
          <t>Kwiecień</t>
        </is>
      </c>
      <c r="G2293" t="inlineStr">
        <is>
          <t>Nd</t>
        </is>
      </c>
      <c r="H2293">
        <f>'Floor Hours Engine'!$E$6</f>
        <v/>
      </c>
      <c r="I2293" t="inlineStr">
        <is>
          <t>W2</t>
        </is>
      </c>
      <c r="J2293" t="inlineStr">
        <is>
          <t>2027_Kwiecień_W2</t>
        </is>
      </c>
    </row>
    <row r="2294">
      <c r="A2294" s="177" t="n">
        <v>46489</v>
      </c>
      <c r="B2294" s="177" t="n">
        <v>46483</v>
      </c>
      <c r="C2294" s="177" t="n">
        <v>46489</v>
      </c>
      <c r="D2294" t="inlineStr">
        <is>
          <t>BW20270406</t>
        </is>
      </c>
      <c r="E2294" t="n">
        <v>2027</v>
      </c>
      <c r="F2294" t="inlineStr">
        <is>
          <t>Kwiecień</t>
        </is>
      </c>
      <c r="G2294" t="inlineStr">
        <is>
          <t>Pn</t>
        </is>
      </c>
      <c r="H2294">
        <f>'Floor Hours Engine'!$E$4</f>
        <v/>
      </c>
      <c r="I2294" t="inlineStr">
        <is>
          <t>W2</t>
        </is>
      </c>
      <c r="J2294" t="inlineStr">
        <is>
          <t>2027_Kwiecień_W2</t>
        </is>
      </c>
    </row>
    <row r="2295">
      <c r="A2295" s="177" t="n">
        <v>46490</v>
      </c>
      <c r="B2295" s="177" t="n">
        <v>46490</v>
      </c>
      <c r="C2295" s="177" t="n">
        <v>46496</v>
      </c>
      <c r="D2295" t="inlineStr">
        <is>
          <t>BW20270413</t>
        </is>
      </c>
      <c r="E2295" t="n">
        <v>2027</v>
      </c>
      <c r="F2295" t="inlineStr">
        <is>
          <t>Kwiecień</t>
        </is>
      </c>
      <c r="G2295" t="inlineStr">
        <is>
          <t>Wt</t>
        </is>
      </c>
      <c r="H2295">
        <f>'Floor Hours Engine'!$E$4</f>
        <v/>
      </c>
      <c r="I2295" t="inlineStr">
        <is>
          <t>W3</t>
        </is>
      </c>
      <c r="J2295" t="inlineStr">
        <is>
          <t>2027_Kwiecień_W3</t>
        </is>
      </c>
    </row>
    <row r="2296">
      <c r="A2296" s="177" t="n">
        <v>46491</v>
      </c>
      <c r="B2296" s="177" t="n">
        <v>46490</v>
      </c>
      <c r="C2296" s="177" t="n">
        <v>46496</v>
      </c>
      <c r="D2296" t="inlineStr">
        <is>
          <t>BW20270413</t>
        </is>
      </c>
      <c r="E2296" t="n">
        <v>2027</v>
      </c>
      <c r="F2296" t="inlineStr">
        <is>
          <t>Kwiecień</t>
        </is>
      </c>
      <c r="G2296" t="inlineStr">
        <is>
          <t>Śr</t>
        </is>
      </c>
      <c r="H2296">
        <f>'Floor Hours Engine'!$E$4</f>
        <v/>
      </c>
      <c r="I2296" t="inlineStr">
        <is>
          <t>W3</t>
        </is>
      </c>
      <c r="J2296" t="inlineStr">
        <is>
          <t>2027_Kwiecień_W3</t>
        </is>
      </c>
    </row>
    <row r="2297">
      <c r="A2297" s="177" t="n">
        <v>46492</v>
      </c>
      <c r="B2297" s="177" t="n">
        <v>46490</v>
      </c>
      <c r="C2297" s="177" t="n">
        <v>46496</v>
      </c>
      <c r="D2297" t="inlineStr">
        <is>
          <t>BW20270413</t>
        </is>
      </c>
      <c r="E2297" t="n">
        <v>2027</v>
      </c>
      <c r="F2297" t="inlineStr">
        <is>
          <t>Kwiecień</t>
        </is>
      </c>
      <c r="G2297" t="inlineStr">
        <is>
          <t>Czw</t>
        </is>
      </c>
      <c r="H2297">
        <f>'Floor Hours Engine'!$E$4</f>
        <v/>
      </c>
      <c r="I2297" t="inlineStr">
        <is>
          <t>W3</t>
        </is>
      </c>
      <c r="J2297" t="inlineStr">
        <is>
          <t>2027_Kwiecień_W3</t>
        </is>
      </c>
    </row>
    <row r="2298">
      <c r="A2298" s="177" t="n">
        <v>46493</v>
      </c>
      <c r="B2298" s="177" t="n">
        <v>46490</v>
      </c>
      <c r="C2298" s="177" t="n">
        <v>46496</v>
      </c>
      <c r="D2298" t="inlineStr">
        <is>
          <t>BW20270413</t>
        </is>
      </c>
      <c r="E2298" t="n">
        <v>2027</v>
      </c>
      <c r="F2298" t="inlineStr">
        <is>
          <t>Kwiecień</t>
        </is>
      </c>
      <c r="G2298" t="inlineStr">
        <is>
          <t>Pt</t>
        </is>
      </c>
      <c r="H2298">
        <f>'Floor Hours Engine'!$E$5</f>
        <v/>
      </c>
      <c r="I2298" t="inlineStr">
        <is>
          <t>W3</t>
        </is>
      </c>
      <c r="J2298" t="inlineStr">
        <is>
          <t>2027_Kwiecień_W3</t>
        </is>
      </c>
    </row>
    <row r="2299">
      <c r="A2299" s="177" t="n">
        <v>46494</v>
      </c>
      <c r="B2299" s="177" t="n">
        <v>46490</v>
      </c>
      <c r="C2299" s="177" t="n">
        <v>46496</v>
      </c>
      <c r="D2299" t="inlineStr">
        <is>
          <t>BW20270413</t>
        </is>
      </c>
      <c r="E2299" t="n">
        <v>2027</v>
      </c>
      <c r="F2299" t="inlineStr">
        <is>
          <t>Kwiecień</t>
        </is>
      </c>
      <c r="G2299" t="inlineStr">
        <is>
          <t>Sob</t>
        </is>
      </c>
      <c r="H2299">
        <f>'Floor Hours Engine'!$E$5</f>
        <v/>
      </c>
      <c r="I2299" t="inlineStr">
        <is>
          <t>W3</t>
        </is>
      </c>
      <c r="J2299" t="inlineStr">
        <is>
          <t>2027_Kwiecień_W3</t>
        </is>
      </c>
    </row>
    <row r="2300">
      <c r="A2300" s="177" t="n">
        <v>46495</v>
      </c>
      <c r="B2300" s="177" t="n">
        <v>46490</v>
      </c>
      <c r="C2300" s="177" t="n">
        <v>46496</v>
      </c>
      <c r="D2300" t="inlineStr">
        <is>
          <t>BW20270413</t>
        </is>
      </c>
      <c r="E2300" t="n">
        <v>2027</v>
      </c>
      <c r="F2300" t="inlineStr">
        <is>
          <t>Kwiecień</t>
        </is>
      </c>
      <c r="G2300" t="inlineStr">
        <is>
          <t>Nd</t>
        </is>
      </c>
      <c r="H2300">
        <f>'Floor Hours Engine'!$E$6</f>
        <v/>
      </c>
      <c r="I2300" t="inlineStr">
        <is>
          <t>W3</t>
        </is>
      </c>
      <c r="J2300" t="inlineStr">
        <is>
          <t>2027_Kwiecień_W3</t>
        </is>
      </c>
    </row>
    <row r="2301">
      <c r="A2301" s="177" t="n">
        <v>46496</v>
      </c>
      <c r="B2301" s="177" t="n">
        <v>46490</v>
      </c>
      <c r="C2301" s="177" t="n">
        <v>46496</v>
      </c>
      <c r="D2301" t="inlineStr">
        <is>
          <t>BW20270413</t>
        </is>
      </c>
      <c r="E2301" t="n">
        <v>2027</v>
      </c>
      <c r="F2301" t="inlineStr">
        <is>
          <t>Kwiecień</t>
        </is>
      </c>
      <c r="G2301" t="inlineStr">
        <is>
          <t>Pn</t>
        </is>
      </c>
      <c r="H2301">
        <f>'Floor Hours Engine'!$E$4</f>
        <v/>
      </c>
      <c r="I2301" t="inlineStr">
        <is>
          <t>W3</t>
        </is>
      </c>
      <c r="J2301" t="inlineStr">
        <is>
          <t>2027_Kwiecień_W3</t>
        </is>
      </c>
    </row>
    <row r="2302">
      <c r="A2302" s="177" t="n">
        <v>46497</v>
      </c>
      <c r="B2302" s="177" t="n">
        <v>46497</v>
      </c>
      <c r="C2302" s="177" t="n">
        <v>46503</v>
      </c>
      <c r="D2302" t="inlineStr">
        <is>
          <t>BW20270420</t>
        </is>
      </c>
      <c r="E2302" t="n">
        <v>2027</v>
      </c>
      <c r="F2302" t="inlineStr">
        <is>
          <t>Kwiecień</t>
        </is>
      </c>
      <c r="G2302" t="inlineStr">
        <is>
          <t>Wt</t>
        </is>
      </c>
      <c r="H2302">
        <f>'Floor Hours Engine'!$E$4</f>
        <v/>
      </c>
      <c r="I2302" t="inlineStr">
        <is>
          <t>W4</t>
        </is>
      </c>
      <c r="J2302" t="inlineStr">
        <is>
          <t>2027_Kwiecień_W4</t>
        </is>
      </c>
    </row>
    <row r="2303">
      <c r="A2303" s="177" t="n">
        <v>46498</v>
      </c>
      <c r="B2303" s="177" t="n">
        <v>46497</v>
      </c>
      <c r="C2303" s="177" t="n">
        <v>46503</v>
      </c>
      <c r="D2303" t="inlineStr">
        <is>
          <t>BW20270420</t>
        </is>
      </c>
      <c r="E2303" t="n">
        <v>2027</v>
      </c>
      <c r="F2303" t="inlineStr">
        <is>
          <t>Kwiecień</t>
        </is>
      </c>
      <c r="G2303" t="inlineStr">
        <is>
          <t>Śr</t>
        </is>
      </c>
      <c r="H2303">
        <f>'Floor Hours Engine'!$E$4</f>
        <v/>
      </c>
      <c r="I2303" t="inlineStr">
        <is>
          <t>W4</t>
        </is>
      </c>
      <c r="J2303" t="inlineStr">
        <is>
          <t>2027_Kwiecień_W4</t>
        </is>
      </c>
    </row>
    <row r="2304">
      <c r="A2304" s="177" t="n">
        <v>46499</v>
      </c>
      <c r="B2304" s="177" t="n">
        <v>46497</v>
      </c>
      <c r="C2304" s="177" t="n">
        <v>46503</v>
      </c>
      <c r="D2304" t="inlineStr">
        <is>
          <t>BW20270420</t>
        </is>
      </c>
      <c r="E2304" t="n">
        <v>2027</v>
      </c>
      <c r="F2304" t="inlineStr">
        <is>
          <t>Kwiecień</t>
        </is>
      </c>
      <c r="G2304" t="inlineStr">
        <is>
          <t>Czw</t>
        </is>
      </c>
      <c r="H2304">
        <f>'Floor Hours Engine'!$E$4</f>
        <v/>
      </c>
      <c r="I2304" t="inlineStr">
        <is>
          <t>W4</t>
        </is>
      </c>
      <c r="J2304" t="inlineStr">
        <is>
          <t>2027_Kwiecień_W4</t>
        </is>
      </c>
    </row>
    <row r="2305">
      <c r="A2305" s="177" t="n">
        <v>46500</v>
      </c>
      <c r="B2305" s="177" t="n">
        <v>46497</v>
      </c>
      <c r="C2305" s="177" t="n">
        <v>46503</v>
      </c>
      <c r="D2305" t="inlineStr">
        <is>
          <t>BW20270420</t>
        </is>
      </c>
      <c r="E2305" t="n">
        <v>2027</v>
      </c>
      <c r="F2305" t="inlineStr">
        <is>
          <t>Kwiecień</t>
        </is>
      </c>
      <c r="G2305" t="inlineStr">
        <is>
          <t>Pt</t>
        </is>
      </c>
      <c r="H2305">
        <f>'Floor Hours Engine'!$E$5</f>
        <v/>
      </c>
      <c r="I2305" t="inlineStr">
        <is>
          <t>W4</t>
        </is>
      </c>
      <c r="J2305" t="inlineStr">
        <is>
          <t>2027_Kwiecień_W4</t>
        </is>
      </c>
    </row>
    <row r="2306">
      <c r="A2306" s="177" t="n">
        <v>46501</v>
      </c>
      <c r="B2306" s="177" t="n">
        <v>46497</v>
      </c>
      <c r="C2306" s="177" t="n">
        <v>46503</v>
      </c>
      <c r="D2306" t="inlineStr">
        <is>
          <t>BW20270420</t>
        </is>
      </c>
      <c r="E2306" t="n">
        <v>2027</v>
      </c>
      <c r="F2306" t="inlineStr">
        <is>
          <t>Kwiecień</t>
        </is>
      </c>
      <c r="G2306" t="inlineStr">
        <is>
          <t>Sob</t>
        </is>
      </c>
      <c r="H2306">
        <f>'Floor Hours Engine'!$E$5</f>
        <v/>
      </c>
      <c r="I2306" t="inlineStr">
        <is>
          <t>W4</t>
        </is>
      </c>
      <c r="J2306" t="inlineStr">
        <is>
          <t>2027_Kwiecień_W4</t>
        </is>
      </c>
    </row>
    <row r="2307">
      <c r="A2307" s="177" t="n">
        <v>46502</v>
      </c>
      <c r="B2307" s="177" t="n">
        <v>46497</v>
      </c>
      <c r="C2307" s="177" t="n">
        <v>46503</v>
      </c>
      <c r="D2307" t="inlineStr">
        <is>
          <t>BW20270420</t>
        </is>
      </c>
      <c r="E2307" t="n">
        <v>2027</v>
      </c>
      <c r="F2307" t="inlineStr">
        <is>
          <t>Kwiecień</t>
        </is>
      </c>
      <c r="G2307" t="inlineStr">
        <is>
          <t>Nd</t>
        </is>
      </c>
      <c r="H2307">
        <f>'Floor Hours Engine'!$E$6</f>
        <v/>
      </c>
      <c r="I2307" t="inlineStr">
        <is>
          <t>W4</t>
        </is>
      </c>
      <c r="J2307" t="inlineStr">
        <is>
          <t>2027_Kwiecień_W4</t>
        </is>
      </c>
    </row>
    <row r="2308">
      <c r="A2308" s="177" t="n">
        <v>46503</v>
      </c>
      <c r="B2308" s="177" t="n">
        <v>46497</v>
      </c>
      <c r="C2308" s="177" t="n">
        <v>46503</v>
      </c>
      <c r="D2308" t="inlineStr">
        <is>
          <t>BW20270420</t>
        </is>
      </c>
      <c r="E2308" t="n">
        <v>2027</v>
      </c>
      <c r="F2308" t="inlineStr">
        <is>
          <t>Kwiecień</t>
        </is>
      </c>
      <c r="G2308" t="inlineStr">
        <is>
          <t>Pn</t>
        </is>
      </c>
      <c r="H2308">
        <f>'Floor Hours Engine'!$E$4</f>
        <v/>
      </c>
      <c r="I2308" t="inlineStr">
        <is>
          <t>W4</t>
        </is>
      </c>
      <c r="J2308" t="inlineStr">
        <is>
          <t>2027_Kwiecień_W4</t>
        </is>
      </c>
    </row>
    <row r="2309">
      <c r="A2309" s="177" t="n">
        <v>46504</v>
      </c>
      <c r="B2309" s="177" t="n">
        <v>46504</v>
      </c>
      <c r="C2309" s="177" t="n">
        <v>46510</v>
      </c>
      <c r="D2309" t="inlineStr">
        <is>
          <t>BW20270427</t>
        </is>
      </c>
      <c r="E2309" t="n">
        <v>2027</v>
      </c>
      <c r="F2309" t="inlineStr">
        <is>
          <t>Kwiecień</t>
        </is>
      </c>
      <c r="G2309" t="inlineStr">
        <is>
          <t>Wt</t>
        </is>
      </c>
      <c r="H2309">
        <f>'Floor Hours Engine'!$E$4</f>
        <v/>
      </c>
      <c r="I2309" t="inlineStr">
        <is>
          <t>W5</t>
        </is>
      </c>
      <c r="J2309" t="inlineStr">
        <is>
          <t>2027_Kwiecień_W5</t>
        </is>
      </c>
    </row>
    <row r="2310">
      <c r="A2310" s="177" t="n">
        <v>46505</v>
      </c>
      <c r="B2310" s="177" t="n">
        <v>46504</v>
      </c>
      <c r="C2310" s="177" t="n">
        <v>46510</v>
      </c>
      <c r="D2310" t="inlineStr">
        <is>
          <t>BW20270427</t>
        </is>
      </c>
      <c r="E2310" t="n">
        <v>2027</v>
      </c>
      <c r="F2310" t="inlineStr">
        <is>
          <t>Kwiecień</t>
        </is>
      </c>
      <c r="G2310" t="inlineStr">
        <is>
          <t>Śr</t>
        </is>
      </c>
      <c r="H2310">
        <f>'Floor Hours Engine'!$E$4</f>
        <v/>
      </c>
      <c r="I2310" t="inlineStr">
        <is>
          <t>W5</t>
        </is>
      </c>
      <c r="J2310" t="inlineStr">
        <is>
          <t>2027_Kwiecień_W5</t>
        </is>
      </c>
    </row>
    <row r="2311">
      <c r="A2311" s="177" t="n">
        <v>46506</v>
      </c>
      <c r="B2311" s="177" t="n">
        <v>46504</v>
      </c>
      <c r="C2311" s="177" t="n">
        <v>46510</v>
      </c>
      <c r="D2311" t="inlineStr">
        <is>
          <t>BW20270427</t>
        </is>
      </c>
      <c r="E2311" t="n">
        <v>2027</v>
      </c>
      <c r="F2311" t="inlineStr">
        <is>
          <t>Kwiecień</t>
        </is>
      </c>
      <c r="G2311" t="inlineStr">
        <is>
          <t>Czw</t>
        </is>
      </c>
      <c r="H2311">
        <f>'Floor Hours Engine'!$E$4</f>
        <v/>
      </c>
      <c r="I2311" t="inlineStr">
        <is>
          <t>W5</t>
        </is>
      </c>
      <c r="J2311" t="inlineStr">
        <is>
          <t>2027_Kwiecień_W5</t>
        </is>
      </c>
    </row>
    <row r="2312">
      <c r="A2312" s="177" t="n">
        <v>46507</v>
      </c>
      <c r="B2312" s="177" t="n">
        <v>46504</v>
      </c>
      <c r="C2312" s="177" t="n">
        <v>46510</v>
      </c>
      <c r="D2312" t="inlineStr">
        <is>
          <t>BW20270427</t>
        </is>
      </c>
      <c r="E2312" t="n">
        <v>2027</v>
      </c>
      <c r="F2312" t="inlineStr">
        <is>
          <t>Kwiecień</t>
        </is>
      </c>
      <c r="G2312" t="inlineStr">
        <is>
          <t>Pt</t>
        </is>
      </c>
      <c r="H2312">
        <f>'Floor Hours Engine'!$E$5</f>
        <v/>
      </c>
      <c r="I2312" t="inlineStr">
        <is>
          <t>W5</t>
        </is>
      </c>
      <c r="J2312" t="inlineStr">
        <is>
          <t>2027_Kwiecień_W5</t>
        </is>
      </c>
    </row>
    <row r="2313">
      <c r="A2313" s="177" t="n">
        <v>46508</v>
      </c>
      <c r="B2313" s="177" t="n">
        <v>46504</v>
      </c>
      <c r="C2313" s="177" t="n">
        <v>46510</v>
      </c>
      <c r="D2313" t="inlineStr">
        <is>
          <t>BW20270427</t>
        </is>
      </c>
      <c r="E2313" t="n">
        <v>2027</v>
      </c>
      <c r="F2313" t="inlineStr">
        <is>
          <t>Maj</t>
        </is>
      </c>
      <c r="G2313" t="inlineStr">
        <is>
          <t>Sob</t>
        </is>
      </c>
      <c r="H2313">
        <f>'Floor Hours Engine'!$E$5</f>
        <v/>
      </c>
      <c r="I2313" t="inlineStr">
        <is>
          <t>W1</t>
        </is>
      </c>
      <c r="J2313" t="inlineStr">
        <is>
          <t>2027_Maj_W1</t>
        </is>
      </c>
    </row>
    <row r="2314">
      <c r="A2314" s="177" t="n">
        <v>46509</v>
      </c>
      <c r="B2314" s="177" t="n">
        <v>46504</v>
      </c>
      <c r="C2314" s="177" t="n">
        <v>46510</v>
      </c>
      <c r="D2314" t="inlineStr">
        <is>
          <t>BW20270427</t>
        </is>
      </c>
      <c r="E2314" t="n">
        <v>2027</v>
      </c>
      <c r="F2314" t="inlineStr">
        <is>
          <t>Maj</t>
        </is>
      </c>
      <c r="G2314" t="inlineStr">
        <is>
          <t>Nd</t>
        </is>
      </c>
      <c r="H2314">
        <f>'Floor Hours Engine'!$E$6</f>
        <v/>
      </c>
      <c r="I2314" t="inlineStr">
        <is>
          <t>W1</t>
        </is>
      </c>
      <c r="J2314" t="inlineStr">
        <is>
          <t>2027_Maj_W1</t>
        </is>
      </c>
    </row>
    <row r="2315">
      <c r="A2315" s="177" t="n">
        <v>46510</v>
      </c>
      <c r="B2315" s="177" t="n">
        <v>46504</v>
      </c>
      <c r="C2315" s="177" t="n">
        <v>46510</v>
      </c>
      <c r="D2315" t="inlineStr">
        <is>
          <t>BW20270427</t>
        </is>
      </c>
      <c r="E2315" t="n">
        <v>2027</v>
      </c>
      <c r="F2315" t="inlineStr">
        <is>
          <t>Maj</t>
        </is>
      </c>
      <c r="G2315" t="inlineStr">
        <is>
          <t>Pn</t>
        </is>
      </c>
      <c r="H2315">
        <f>'Floor Hours Engine'!$E$4</f>
        <v/>
      </c>
      <c r="I2315" t="inlineStr">
        <is>
          <t>W1</t>
        </is>
      </c>
      <c r="J2315" t="inlineStr">
        <is>
          <t>2027_Maj_W1</t>
        </is>
      </c>
    </row>
    <row r="2316">
      <c r="A2316" s="177" t="n">
        <v>46511</v>
      </c>
      <c r="B2316" s="177" t="n">
        <v>46511</v>
      </c>
      <c r="C2316" s="177" t="n">
        <v>46517</v>
      </c>
      <c r="D2316" t="inlineStr">
        <is>
          <t>BW20270504</t>
        </is>
      </c>
      <c r="E2316" t="n">
        <v>2027</v>
      </c>
      <c r="F2316" t="inlineStr">
        <is>
          <t>Maj</t>
        </is>
      </c>
      <c r="G2316" t="inlineStr">
        <is>
          <t>Wt</t>
        </is>
      </c>
      <c r="H2316">
        <f>'Floor Hours Engine'!$E$4</f>
        <v/>
      </c>
      <c r="I2316" t="inlineStr">
        <is>
          <t>W2</t>
        </is>
      </c>
      <c r="J2316" t="inlineStr">
        <is>
          <t>2027_Maj_W2</t>
        </is>
      </c>
    </row>
    <row r="2317">
      <c r="A2317" s="177" t="n">
        <v>46512</v>
      </c>
      <c r="B2317" s="177" t="n">
        <v>46511</v>
      </c>
      <c r="C2317" s="177" t="n">
        <v>46517</v>
      </c>
      <c r="D2317" t="inlineStr">
        <is>
          <t>BW20270504</t>
        </is>
      </c>
      <c r="E2317" t="n">
        <v>2027</v>
      </c>
      <c r="F2317" t="inlineStr">
        <is>
          <t>Maj</t>
        </is>
      </c>
      <c r="G2317" t="inlineStr">
        <is>
          <t>Śr</t>
        </is>
      </c>
      <c r="H2317">
        <f>'Floor Hours Engine'!$E$4</f>
        <v/>
      </c>
      <c r="I2317" t="inlineStr">
        <is>
          <t>W2</t>
        </is>
      </c>
      <c r="J2317" t="inlineStr">
        <is>
          <t>2027_Maj_W2</t>
        </is>
      </c>
    </row>
    <row r="2318">
      <c r="A2318" s="177" t="n">
        <v>46513</v>
      </c>
      <c r="B2318" s="177" t="n">
        <v>46511</v>
      </c>
      <c r="C2318" s="177" t="n">
        <v>46517</v>
      </c>
      <c r="D2318" t="inlineStr">
        <is>
          <t>BW20270504</t>
        </is>
      </c>
      <c r="E2318" t="n">
        <v>2027</v>
      </c>
      <c r="F2318" t="inlineStr">
        <is>
          <t>Maj</t>
        </is>
      </c>
      <c r="G2318" t="inlineStr">
        <is>
          <t>Czw</t>
        </is>
      </c>
      <c r="H2318">
        <f>'Floor Hours Engine'!$E$4</f>
        <v/>
      </c>
      <c r="I2318" t="inlineStr">
        <is>
          <t>W2</t>
        </is>
      </c>
      <c r="J2318" t="inlineStr">
        <is>
          <t>2027_Maj_W2</t>
        </is>
      </c>
    </row>
    <row r="2319">
      <c r="A2319" s="177" t="n">
        <v>46514</v>
      </c>
      <c r="B2319" s="177" t="n">
        <v>46511</v>
      </c>
      <c r="C2319" s="177" t="n">
        <v>46517</v>
      </c>
      <c r="D2319" t="inlineStr">
        <is>
          <t>BW20270504</t>
        </is>
      </c>
      <c r="E2319" t="n">
        <v>2027</v>
      </c>
      <c r="F2319" t="inlineStr">
        <is>
          <t>Maj</t>
        </is>
      </c>
      <c r="G2319" t="inlineStr">
        <is>
          <t>Pt</t>
        </is>
      </c>
      <c r="H2319">
        <f>'Floor Hours Engine'!$E$5</f>
        <v/>
      </c>
      <c r="I2319" t="inlineStr">
        <is>
          <t>W2</t>
        </is>
      </c>
      <c r="J2319" t="inlineStr">
        <is>
          <t>2027_Maj_W2</t>
        </is>
      </c>
    </row>
    <row r="2320">
      <c r="A2320" s="177" t="n">
        <v>46515</v>
      </c>
      <c r="B2320" s="177" t="n">
        <v>46511</v>
      </c>
      <c r="C2320" s="177" t="n">
        <v>46517</v>
      </c>
      <c r="D2320" t="inlineStr">
        <is>
          <t>BW20270504</t>
        </is>
      </c>
      <c r="E2320" t="n">
        <v>2027</v>
      </c>
      <c r="F2320" t="inlineStr">
        <is>
          <t>Maj</t>
        </is>
      </c>
      <c r="G2320" t="inlineStr">
        <is>
          <t>Sob</t>
        </is>
      </c>
      <c r="H2320">
        <f>'Floor Hours Engine'!$E$5</f>
        <v/>
      </c>
      <c r="I2320" t="inlineStr">
        <is>
          <t>W2</t>
        </is>
      </c>
      <c r="J2320" t="inlineStr">
        <is>
          <t>2027_Maj_W2</t>
        </is>
      </c>
    </row>
    <row r="2321">
      <c r="A2321" s="177" t="n">
        <v>46516</v>
      </c>
      <c r="B2321" s="177" t="n">
        <v>46511</v>
      </c>
      <c r="C2321" s="177" t="n">
        <v>46517</v>
      </c>
      <c r="D2321" t="inlineStr">
        <is>
          <t>BW20270504</t>
        </is>
      </c>
      <c r="E2321" t="n">
        <v>2027</v>
      </c>
      <c r="F2321" t="inlineStr">
        <is>
          <t>Maj</t>
        </is>
      </c>
      <c r="G2321" t="inlineStr">
        <is>
          <t>Nd</t>
        </is>
      </c>
      <c r="H2321">
        <f>'Floor Hours Engine'!$E$6</f>
        <v/>
      </c>
      <c r="I2321" t="inlineStr">
        <is>
          <t>W2</t>
        </is>
      </c>
      <c r="J2321" t="inlineStr">
        <is>
          <t>2027_Maj_W2</t>
        </is>
      </c>
    </row>
    <row r="2322">
      <c r="A2322" s="177" t="n">
        <v>46517</v>
      </c>
      <c r="B2322" s="177" t="n">
        <v>46511</v>
      </c>
      <c r="C2322" s="177" t="n">
        <v>46517</v>
      </c>
      <c r="D2322" t="inlineStr">
        <is>
          <t>BW20270504</t>
        </is>
      </c>
      <c r="E2322" t="n">
        <v>2027</v>
      </c>
      <c r="F2322" t="inlineStr">
        <is>
          <t>Maj</t>
        </is>
      </c>
      <c r="G2322" t="inlineStr">
        <is>
          <t>Pn</t>
        </is>
      </c>
      <c r="H2322">
        <f>'Floor Hours Engine'!$E$4</f>
        <v/>
      </c>
      <c r="I2322" t="inlineStr">
        <is>
          <t>W2</t>
        </is>
      </c>
      <c r="J2322" t="inlineStr">
        <is>
          <t>2027_Maj_W2</t>
        </is>
      </c>
    </row>
    <row r="2323">
      <c r="A2323" s="177" t="n">
        <v>46518</v>
      </c>
      <c r="B2323" s="177" t="n">
        <v>46518</v>
      </c>
      <c r="C2323" s="177" t="n">
        <v>46524</v>
      </c>
      <c r="D2323" t="inlineStr">
        <is>
          <t>BW20270511</t>
        </is>
      </c>
      <c r="E2323" t="n">
        <v>2027</v>
      </c>
      <c r="F2323" t="inlineStr">
        <is>
          <t>Maj</t>
        </is>
      </c>
      <c r="G2323" t="inlineStr">
        <is>
          <t>Wt</t>
        </is>
      </c>
      <c r="H2323">
        <f>'Floor Hours Engine'!$E$4</f>
        <v/>
      </c>
      <c r="I2323" t="inlineStr">
        <is>
          <t>W3</t>
        </is>
      </c>
      <c r="J2323" t="inlineStr">
        <is>
          <t>2027_Maj_W3</t>
        </is>
      </c>
    </row>
    <row r="2324">
      <c r="A2324" s="177" t="n">
        <v>46519</v>
      </c>
      <c r="B2324" s="177" t="n">
        <v>46518</v>
      </c>
      <c r="C2324" s="177" t="n">
        <v>46524</v>
      </c>
      <c r="D2324" t="inlineStr">
        <is>
          <t>BW20270511</t>
        </is>
      </c>
      <c r="E2324" t="n">
        <v>2027</v>
      </c>
      <c r="F2324" t="inlineStr">
        <is>
          <t>Maj</t>
        </is>
      </c>
      <c r="G2324" t="inlineStr">
        <is>
          <t>Śr</t>
        </is>
      </c>
      <c r="H2324">
        <f>'Floor Hours Engine'!$E$4</f>
        <v/>
      </c>
      <c r="I2324" t="inlineStr">
        <is>
          <t>W3</t>
        </is>
      </c>
      <c r="J2324" t="inlineStr">
        <is>
          <t>2027_Maj_W3</t>
        </is>
      </c>
    </row>
    <row r="2325">
      <c r="A2325" s="177" t="n">
        <v>46520</v>
      </c>
      <c r="B2325" s="177" t="n">
        <v>46518</v>
      </c>
      <c r="C2325" s="177" t="n">
        <v>46524</v>
      </c>
      <c r="D2325" t="inlineStr">
        <is>
          <t>BW20270511</t>
        </is>
      </c>
      <c r="E2325" t="n">
        <v>2027</v>
      </c>
      <c r="F2325" t="inlineStr">
        <is>
          <t>Maj</t>
        </is>
      </c>
      <c r="G2325" t="inlineStr">
        <is>
          <t>Czw</t>
        </is>
      </c>
      <c r="H2325">
        <f>'Floor Hours Engine'!$E$4</f>
        <v/>
      </c>
      <c r="I2325" t="inlineStr">
        <is>
          <t>W3</t>
        </is>
      </c>
      <c r="J2325" t="inlineStr">
        <is>
          <t>2027_Maj_W3</t>
        </is>
      </c>
    </row>
    <row r="2326">
      <c r="A2326" s="177" t="n">
        <v>46521</v>
      </c>
      <c r="B2326" s="177" t="n">
        <v>46518</v>
      </c>
      <c r="C2326" s="177" t="n">
        <v>46524</v>
      </c>
      <c r="D2326" t="inlineStr">
        <is>
          <t>BW20270511</t>
        </is>
      </c>
      <c r="E2326" t="n">
        <v>2027</v>
      </c>
      <c r="F2326" t="inlineStr">
        <is>
          <t>Maj</t>
        </is>
      </c>
      <c r="G2326" t="inlineStr">
        <is>
          <t>Pt</t>
        </is>
      </c>
      <c r="H2326">
        <f>'Floor Hours Engine'!$E$5</f>
        <v/>
      </c>
      <c r="I2326" t="inlineStr">
        <is>
          <t>W3</t>
        </is>
      </c>
      <c r="J2326" t="inlineStr">
        <is>
          <t>2027_Maj_W3</t>
        </is>
      </c>
    </row>
    <row r="2327">
      <c r="A2327" s="177" t="n">
        <v>46522</v>
      </c>
      <c r="B2327" s="177" t="n">
        <v>46518</v>
      </c>
      <c r="C2327" s="177" t="n">
        <v>46524</v>
      </c>
      <c r="D2327" t="inlineStr">
        <is>
          <t>BW20270511</t>
        </is>
      </c>
      <c r="E2327" t="n">
        <v>2027</v>
      </c>
      <c r="F2327" t="inlineStr">
        <is>
          <t>Maj</t>
        </is>
      </c>
      <c r="G2327" t="inlineStr">
        <is>
          <t>Sob</t>
        </is>
      </c>
      <c r="H2327">
        <f>'Floor Hours Engine'!$E$5</f>
        <v/>
      </c>
      <c r="I2327" t="inlineStr">
        <is>
          <t>W3</t>
        </is>
      </c>
      <c r="J2327" t="inlineStr">
        <is>
          <t>2027_Maj_W3</t>
        </is>
      </c>
    </row>
    <row r="2328">
      <c r="A2328" s="177" t="n">
        <v>46523</v>
      </c>
      <c r="B2328" s="177" t="n">
        <v>46518</v>
      </c>
      <c r="C2328" s="177" t="n">
        <v>46524</v>
      </c>
      <c r="D2328" t="inlineStr">
        <is>
          <t>BW20270511</t>
        </is>
      </c>
      <c r="E2328" t="n">
        <v>2027</v>
      </c>
      <c r="F2328" t="inlineStr">
        <is>
          <t>Maj</t>
        </is>
      </c>
      <c r="G2328" t="inlineStr">
        <is>
          <t>Nd</t>
        </is>
      </c>
      <c r="H2328">
        <f>'Floor Hours Engine'!$E$6</f>
        <v/>
      </c>
      <c r="I2328" t="inlineStr">
        <is>
          <t>W3</t>
        </is>
      </c>
      <c r="J2328" t="inlineStr">
        <is>
          <t>2027_Maj_W3</t>
        </is>
      </c>
    </row>
    <row r="2329">
      <c r="A2329" s="177" t="n">
        <v>46524</v>
      </c>
      <c r="B2329" s="177" t="n">
        <v>46518</v>
      </c>
      <c r="C2329" s="177" t="n">
        <v>46524</v>
      </c>
      <c r="D2329" t="inlineStr">
        <is>
          <t>BW20270511</t>
        </is>
      </c>
      <c r="E2329" t="n">
        <v>2027</v>
      </c>
      <c r="F2329" t="inlineStr">
        <is>
          <t>Maj</t>
        </is>
      </c>
      <c r="G2329" t="inlineStr">
        <is>
          <t>Pn</t>
        </is>
      </c>
      <c r="H2329">
        <f>'Floor Hours Engine'!$E$4</f>
        <v/>
      </c>
      <c r="I2329" t="inlineStr">
        <is>
          <t>W3</t>
        </is>
      </c>
      <c r="J2329" t="inlineStr">
        <is>
          <t>2027_Maj_W3</t>
        </is>
      </c>
    </row>
    <row r="2330">
      <c r="A2330" s="177" t="n">
        <v>46525</v>
      </c>
      <c r="B2330" s="177" t="n">
        <v>46525</v>
      </c>
      <c r="C2330" s="177" t="n">
        <v>46531</v>
      </c>
      <c r="D2330" t="inlineStr">
        <is>
          <t>BW20270518</t>
        </is>
      </c>
      <c r="E2330" t="n">
        <v>2027</v>
      </c>
      <c r="F2330" t="inlineStr">
        <is>
          <t>Maj</t>
        </is>
      </c>
      <c r="G2330" t="inlineStr">
        <is>
          <t>Wt</t>
        </is>
      </c>
      <c r="H2330">
        <f>'Floor Hours Engine'!$E$4</f>
        <v/>
      </c>
      <c r="I2330" t="inlineStr">
        <is>
          <t>W4</t>
        </is>
      </c>
      <c r="J2330" t="inlineStr">
        <is>
          <t>2027_Maj_W4</t>
        </is>
      </c>
    </row>
    <row r="2331">
      <c r="A2331" s="177" t="n">
        <v>46526</v>
      </c>
      <c r="B2331" s="177" t="n">
        <v>46525</v>
      </c>
      <c r="C2331" s="177" t="n">
        <v>46531</v>
      </c>
      <c r="D2331" t="inlineStr">
        <is>
          <t>BW20270518</t>
        </is>
      </c>
      <c r="E2331" t="n">
        <v>2027</v>
      </c>
      <c r="F2331" t="inlineStr">
        <is>
          <t>Maj</t>
        </is>
      </c>
      <c r="G2331" t="inlineStr">
        <is>
          <t>Śr</t>
        </is>
      </c>
      <c r="H2331">
        <f>'Floor Hours Engine'!$E$4</f>
        <v/>
      </c>
      <c r="I2331" t="inlineStr">
        <is>
          <t>W4</t>
        </is>
      </c>
      <c r="J2331" t="inlineStr">
        <is>
          <t>2027_Maj_W4</t>
        </is>
      </c>
    </row>
    <row r="2332">
      <c r="A2332" s="177" t="n">
        <v>46527</v>
      </c>
      <c r="B2332" s="177" t="n">
        <v>46525</v>
      </c>
      <c r="C2332" s="177" t="n">
        <v>46531</v>
      </c>
      <c r="D2332" t="inlineStr">
        <is>
          <t>BW20270518</t>
        </is>
      </c>
      <c r="E2332" t="n">
        <v>2027</v>
      </c>
      <c r="F2332" t="inlineStr">
        <is>
          <t>Maj</t>
        </is>
      </c>
      <c r="G2332" t="inlineStr">
        <is>
          <t>Czw</t>
        </is>
      </c>
      <c r="H2332">
        <f>'Floor Hours Engine'!$E$4</f>
        <v/>
      </c>
      <c r="I2332" t="inlineStr">
        <is>
          <t>W4</t>
        </is>
      </c>
      <c r="J2332" t="inlineStr">
        <is>
          <t>2027_Maj_W4</t>
        </is>
      </c>
    </row>
    <row r="2333">
      <c r="A2333" s="177" t="n">
        <v>46528</v>
      </c>
      <c r="B2333" s="177" t="n">
        <v>46525</v>
      </c>
      <c r="C2333" s="177" t="n">
        <v>46531</v>
      </c>
      <c r="D2333" t="inlineStr">
        <is>
          <t>BW20270518</t>
        </is>
      </c>
      <c r="E2333" t="n">
        <v>2027</v>
      </c>
      <c r="F2333" t="inlineStr">
        <is>
          <t>Maj</t>
        </is>
      </c>
      <c r="G2333" t="inlineStr">
        <is>
          <t>Pt</t>
        </is>
      </c>
      <c r="H2333">
        <f>'Floor Hours Engine'!$E$5</f>
        <v/>
      </c>
      <c r="I2333" t="inlineStr">
        <is>
          <t>W4</t>
        </is>
      </c>
      <c r="J2333" t="inlineStr">
        <is>
          <t>2027_Maj_W4</t>
        </is>
      </c>
    </row>
    <row r="2334">
      <c r="A2334" s="177" t="n">
        <v>46529</v>
      </c>
      <c r="B2334" s="177" t="n">
        <v>46525</v>
      </c>
      <c r="C2334" s="177" t="n">
        <v>46531</v>
      </c>
      <c r="D2334" t="inlineStr">
        <is>
          <t>BW20270518</t>
        </is>
      </c>
      <c r="E2334" t="n">
        <v>2027</v>
      </c>
      <c r="F2334" t="inlineStr">
        <is>
          <t>Maj</t>
        </is>
      </c>
      <c r="G2334" t="inlineStr">
        <is>
          <t>Sob</t>
        </is>
      </c>
      <c r="H2334">
        <f>'Floor Hours Engine'!$E$5</f>
        <v/>
      </c>
      <c r="I2334" t="inlineStr">
        <is>
          <t>W4</t>
        </is>
      </c>
      <c r="J2334" t="inlineStr">
        <is>
          <t>2027_Maj_W4</t>
        </is>
      </c>
    </row>
    <row r="2335">
      <c r="A2335" s="177" t="n">
        <v>46530</v>
      </c>
      <c r="B2335" s="177" t="n">
        <v>46525</v>
      </c>
      <c r="C2335" s="177" t="n">
        <v>46531</v>
      </c>
      <c r="D2335" t="inlineStr">
        <is>
          <t>BW20270518</t>
        </is>
      </c>
      <c r="E2335" t="n">
        <v>2027</v>
      </c>
      <c r="F2335" t="inlineStr">
        <is>
          <t>Maj</t>
        </is>
      </c>
      <c r="G2335" t="inlineStr">
        <is>
          <t>Nd</t>
        </is>
      </c>
      <c r="H2335">
        <f>'Floor Hours Engine'!$E$6</f>
        <v/>
      </c>
      <c r="I2335" t="inlineStr">
        <is>
          <t>W4</t>
        </is>
      </c>
      <c r="J2335" t="inlineStr">
        <is>
          <t>2027_Maj_W4</t>
        </is>
      </c>
    </row>
    <row r="2336">
      <c r="A2336" s="177" t="n">
        <v>46531</v>
      </c>
      <c r="B2336" s="177" t="n">
        <v>46525</v>
      </c>
      <c r="C2336" s="177" t="n">
        <v>46531</v>
      </c>
      <c r="D2336" t="inlineStr">
        <is>
          <t>BW20270518</t>
        </is>
      </c>
      <c r="E2336" t="n">
        <v>2027</v>
      </c>
      <c r="F2336" t="inlineStr">
        <is>
          <t>Maj</t>
        </is>
      </c>
      <c r="G2336" t="inlineStr">
        <is>
          <t>Pn</t>
        </is>
      </c>
      <c r="H2336">
        <f>'Floor Hours Engine'!$E$4</f>
        <v/>
      </c>
      <c r="I2336" t="inlineStr">
        <is>
          <t>W4</t>
        </is>
      </c>
      <c r="J2336" t="inlineStr">
        <is>
          <t>2027_Maj_W4</t>
        </is>
      </c>
    </row>
    <row r="2337">
      <c r="A2337" s="177" t="n">
        <v>46532</v>
      </c>
      <c r="B2337" s="177" t="n">
        <v>46532</v>
      </c>
      <c r="C2337" s="177" t="n">
        <v>46538</v>
      </c>
      <c r="D2337" t="inlineStr">
        <is>
          <t>BW20270525</t>
        </is>
      </c>
      <c r="E2337" t="n">
        <v>2027</v>
      </c>
      <c r="F2337" t="inlineStr">
        <is>
          <t>Maj</t>
        </is>
      </c>
      <c r="G2337" t="inlineStr">
        <is>
          <t>Wt</t>
        </is>
      </c>
      <c r="H2337">
        <f>'Floor Hours Engine'!$E$4</f>
        <v/>
      </c>
      <c r="I2337" t="inlineStr">
        <is>
          <t>W5</t>
        </is>
      </c>
      <c r="J2337" t="inlineStr">
        <is>
          <t>2027_Maj_W5</t>
        </is>
      </c>
    </row>
    <row r="2338">
      <c r="A2338" s="177" t="n">
        <v>46533</v>
      </c>
      <c r="B2338" s="177" t="n">
        <v>46532</v>
      </c>
      <c r="C2338" s="177" t="n">
        <v>46538</v>
      </c>
      <c r="D2338" t="inlineStr">
        <is>
          <t>BW20270525</t>
        </is>
      </c>
      <c r="E2338" t="n">
        <v>2027</v>
      </c>
      <c r="F2338" t="inlineStr">
        <is>
          <t>Maj</t>
        </is>
      </c>
      <c r="G2338" t="inlineStr">
        <is>
          <t>Śr</t>
        </is>
      </c>
      <c r="H2338">
        <f>'Floor Hours Engine'!$E$4</f>
        <v/>
      </c>
      <c r="I2338" t="inlineStr">
        <is>
          <t>W5</t>
        </is>
      </c>
      <c r="J2338" t="inlineStr">
        <is>
          <t>2027_Maj_W5</t>
        </is>
      </c>
    </row>
    <row r="2339">
      <c r="A2339" s="177" t="n">
        <v>46534</v>
      </c>
      <c r="B2339" s="177" t="n">
        <v>46532</v>
      </c>
      <c r="C2339" s="177" t="n">
        <v>46538</v>
      </c>
      <c r="D2339" t="inlineStr">
        <is>
          <t>BW20270525</t>
        </is>
      </c>
      <c r="E2339" t="n">
        <v>2027</v>
      </c>
      <c r="F2339" t="inlineStr">
        <is>
          <t>Maj</t>
        </is>
      </c>
      <c r="G2339" t="inlineStr">
        <is>
          <t>Czw</t>
        </is>
      </c>
      <c r="H2339">
        <f>'Floor Hours Engine'!$E$4</f>
        <v/>
      </c>
      <c r="I2339" t="inlineStr">
        <is>
          <t>W5</t>
        </is>
      </c>
      <c r="J2339" t="inlineStr">
        <is>
          <t>2027_Maj_W5</t>
        </is>
      </c>
    </row>
    <row r="2340">
      <c r="A2340" s="177" t="n">
        <v>46535</v>
      </c>
      <c r="B2340" s="177" t="n">
        <v>46532</v>
      </c>
      <c r="C2340" s="177" t="n">
        <v>46538</v>
      </c>
      <c r="D2340" t="inlineStr">
        <is>
          <t>BW20270525</t>
        </is>
      </c>
      <c r="E2340" t="n">
        <v>2027</v>
      </c>
      <c r="F2340" t="inlineStr">
        <is>
          <t>Maj</t>
        </is>
      </c>
      <c r="G2340" t="inlineStr">
        <is>
          <t>Pt</t>
        </is>
      </c>
      <c r="H2340">
        <f>'Floor Hours Engine'!$E$5</f>
        <v/>
      </c>
      <c r="I2340" t="inlineStr">
        <is>
          <t>W5</t>
        </is>
      </c>
      <c r="J2340" t="inlineStr">
        <is>
          <t>2027_Maj_W5</t>
        </is>
      </c>
    </row>
    <row r="2341">
      <c r="A2341" s="177" t="n">
        <v>46536</v>
      </c>
      <c r="B2341" s="177" t="n">
        <v>46532</v>
      </c>
      <c r="C2341" s="177" t="n">
        <v>46538</v>
      </c>
      <c r="D2341" t="inlineStr">
        <is>
          <t>BW20270525</t>
        </is>
      </c>
      <c r="E2341" t="n">
        <v>2027</v>
      </c>
      <c r="F2341" t="inlineStr">
        <is>
          <t>Maj</t>
        </is>
      </c>
      <c r="G2341" t="inlineStr">
        <is>
          <t>Sob</t>
        </is>
      </c>
      <c r="H2341">
        <f>'Floor Hours Engine'!$E$5</f>
        <v/>
      </c>
      <c r="I2341" t="inlineStr">
        <is>
          <t>W5</t>
        </is>
      </c>
      <c r="J2341" t="inlineStr">
        <is>
          <t>2027_Maj_W5</t>
        </is>
      </c>
    </row>
    <row r="2342">
      <c r="A2342" s="177" t="n">
        <v>46537</v>
      </c>
      <c r="B2342" s="177" t="n">
        <v>46532</v>
      </c>
      <c r="C2342" s="177" t="n">
        <v>46538</v>
      </c>
      <c r="D2342" t="inlineStr">
        <is>
          <t>BW20270525</t>
        </is>
      </c>
      <c r="E2342" t="n">
        <v>2027</v>
      </c>
      <c r="F2342" t="inlineStr">
        <is>
          <t>Maj</t>
        </is>
      </c>
      <c r="G2342" t="inlineStr">
        <is>
          <t>Nd</t>
        </is>
      </c>
      <c r="H2342">
        <f>'Floor Hours Engine'!$E$6</f>
        <v/>
      </c>
      <c r="I2342" t="inlineStr">
        <is>
          <t>W5</t>
        </is>
      </c>
      <c r="J2342" t="inlineStr">
        <is>
          <t>2027_Maj_W5</t>
        </is>
      </c>
    </row>
    <row r="2343">
      <c r="A2343" s="177" t="n">
        <v>46538</v>
      </c>
      <c r="B2343" s="177" t="n">
        <v>46532</v>
      </c>
      <c r="C2343" s="177" t="n">
        <v>46538</v>
      </c>
      <c r="D2343" t="inlineStr">
        <is>
          <t>BW20270525</t>
        </is>
      </c>
      <c r="E2343" t="n">
        <v>2027</v>
      </c>
      <c r="F2343" t="inlineStr">
        <is>
          <t>Maj</t>
        </is>
      </c>
      <c r="G2343" t="inlineStr">
        <is>
          <t>Pn</t>
        </is>
      </c>
      <c r="H2343">
        <f>'Floor Hours Engine'!$E$4</f>
        <v/>
      </c>
      <c r="I2343" t="inlineStr">
        <is>
          <t>W5</t>
        </is>
      </c>
      <c r="J2343" t="inlineStr">
        <is>
          <t>2027_Maj_W5</t>
        </is>
      </c>
    </row>
    <row r="2344">
      <c r="A2344" s="177" t="n">
        <v>46539</v>
      </c>
      <c r="B2344" s="177" t="n">
        <v>46539</v>
      </c>
      <c r="C2344" s="177" t="n">
        <v>46545</v>
      </c>
      <c r="D2344" t="inlineStr">
        <is>
          <t>BW20270601</t>
        </is>
      </c>
      <c r="E2344" t="n">
        <v>2027</v>
      </c>
      <c r="F2344" t="inlineStr">
        <is>
          <t>Czerwiec</t>
        </is>
      </c>
      <c r="G2344" t="inlineStr">
        <is>
          <t>Wt</t>
        </is>
      </c>
      <c r="H2344">
        <f>'Floor Hours Engine'!$E$4</f>
        <v/>
      </c>
      <c r="I2344" t="inlineStr">
        <is>
          <t>W1</t>
        </is>
      </c>
      <c r="J2344" t="inlineStr">
        <is>
          <t>2027_Czerwiec_W1</t>
        </is>
      </c>
    </row>
    <row r="2345">
      <c r="A2345" s="177" t="n">
        <v>46540</v>
      </c>
      <c r="B2345" s="177" t="n">
        <v>46539</v>
      </c>
      <c r="C2345" s="177" t="n">
        <v>46545</v>
      </c>
      <c r="D2345" t="inlineStr">
        <is>
          <t>BW20270601</t>
        </is>
      </c>
      <c r="E2345" t="n">
        <v>2027</v>
      </c>
      <c r="F2345" t="inlineStr">
        <is>
          <t>Czerwiec</t>
        </is>
      </c>
      <c r="G2345" t="inlineStr">
        <is>
          <t>Śr</t>
        </is>
      </c>
      <c r="H2345">
        <f>'Floor Hours Engine'!$E$4</f>
        <v/>
      </c>
      <c r="I2345" t="inlineStr">
        <is>
          <t>W1</t>
        </is>
      </c>
      <c r="J2345" t="inlineStr">
        <is>
          <t>2027_Czerwiec_W1</t>
        </is>
      </c>
    </row>
    <row r="2346">
      <c r="A2346" s="177" t="n">
        <v>46541</v>
      </c>
      <c r="B2346" s="177" t="n">
        <v>46539</v>
      </c>
      <c r="C2346" s="177" t="n">
        <v>46545</v>
      </c>
      <c r="D2346" t="inlineStr">
        <is>
          <t>BW20270601</t>
        </is>
      </c>
      <c r="E2346" t="n">
        <v>2027</v>
      </c>
      <c r="F2346" t="inlineStr">
        <is>
          <t>Czerwiec</t>
        </is>
      </c>
      <c r="G2346" t="inlineStr">
        <is>
          <t>Czw</t>
        </is>
      </c>
      <c r="H2346">
        <f>'Floor Hours Engine'!$E$4</f>
        <v/>
      </c>
      <c r="I2346" t="inlineStr">
        <is>
          <t>W1</t>
        </is>
      </c>
      <c r="J2346" t="inlineStr">
        <is>
          <t>2027_Czerwiec_W1</t>
        </is>
      </c>
    </row>
    <row r="2347">
      <c r="A2347" s="177" t="n">
        <v>46542</v>
      </c>
      <c r="B2347" s="177" t="n">
        <v>46539</v>
      </c>
      <c r="C2347" s="177" t="n">
        <v>46545</v>
      </c>
      <c r="D2347" t="inlineStr">
        <is>
          <t>BW20270601</t>
        </is>
      </c>
      <c r="E2347" t="n">
        <v>2027</v>
      </c>
      <c r="F2347" t="inlineStr">
        <is>
          <t>Czerwiec</t>
        </is>
      </c>
      <c r="G2347" t="inlineStr">
        <is>
          <t>Pt</t>
        </is>
      </c>
      <c r="H2347">
        <f>'Floor Hours Engine'!$E$5</f>
        <v/>
      </c>
      <c r="I2347" t="inlineStr">
        <is>
          <t>W1</t>
        </is>
      </c>
      <c r="J2347" t="inlineStr">
        <is>
          <t>2027_Czerwiec_W1</t>
        </is>
      </c>
    </row>
    <row r="2348">
      <c r="A2348" s="177" t="n">
        <v>46543</v>
      </c>
      <c r="B2348" s="177" t="n">
        <v>46539</v>
      </c>
      <c r="C2348" s="177" t="n">
        <v>46545</v>
      </c>
      <c r="D2348" t="inlineStr">
        <is>
          <t>BW20270601</t>
        </is>
      </c>
      <c r="E2348" t="n">
        <v>2027</v>
      </c>
      <c r="F2348" t="inlineStr">
        <is>
          <t>Czerwiec</t>
        </is>
      </c>
      <c r="G2348" t="inlineStr">
        <is>
          <t>Sob</t>
        </is>
      </c>
      <c r="H2348">
        <f>'Floor Hours Engine'!$E$5</f>
        <v/>
      </c>
      <c r="I2348" t="inlineStr">
        <is>
          <t>W1</t>
        </is>
      </c>
      <c r="J2348" t="inlineStr">
        <is>
          <t>2027_Czerwiec_W1</t>
        </is>
      </c>
    </row>
    <row r="2349">
      <c r="A2349" s="177" t="n">
        <v>46544</v>
      </c>
      <c r="B2349" s="177" t="n">
        <v>46539</v>
      </c>
      <c r="C2349" s="177" t="n">
        <v>46545</v>
      </c>
      <c r="D2349" t="inlineStr">
        <is>
          <t>BW20270601</t>
        </is>
      </c>
      <c r="E2349" t="n">
        <v>2027</v>
      </c>
      <c r="F2349" t="inlineStr">
        <is>
          <t>Czerwiec</t>
        </is>
      </c>
      <c r="G2349" t="inlineStr">
        <is>
          <t>Nd</t>
        </is>
      </c>
      <c r="H2349">
        <f>'Floor Hours Engine'!$E$6</f>
        <v/>
      </c>
      <c r="I2349" t="inlineStr">
        <is>
          <t>W1</t>
        </is>
      </c>
      <c r="J2349" t="inlineStr">
        <is>
          <t>2027_Czerwiec_W1</t>
        </is>
      </c>
    </row>
    <row r="2350">
      <c r="A2350" s="177" t="n">
        <v>46545</v>
      </c>
      <c r="B2350" s="177" t="n">
        <v>46539</v>
      </c>
      <c r="C2350" s="177" t="n">
        <v>46545</v>
      </c>
      <c r="D2350" t="inlineStr">
        <is>
          <t>BW20270601</t>
        </is>
      </c>
      <c r="E2350" t="n">
        <v>2027</v>
      </c>
      <c r="F2350" t="inlineStr">
        <is>
          <t>Czerwiec</t>
        </is>
      </c>
      <c r="G2350" t="inlineStr">
        <is>
          <t>Pn</t>
        </is>
      </c>
      <c r="H2350">
        <f>'Floor Hours Engine'!$E$4</f>
        <v/>
      </c>
      <c r="I2350" t="inlineStr">
        <is>
          <t>W1</t>
        </is>
      </c>
      <c r="J2350" t="inlineStr">
        <is>
          <t>2027_Czerwiec_W1</t>
        </is>
      </c>
    </row>
    <row r="2351">
      <c r="A2351" s="177" t="n">
        <v>46546</v>
      </c>
      <c r="B2351" s="177" t="n">
        <v>46546</v>
      </c>
      <c r="C2351" s="177" t="n">
        <v>46552</v>
      </c>
      <c r="D2351" t="inlineStr">
        <is>
          <t>BW20270608</t>
        </is>
      </c>
      <c r="E2351" t="n">
        <v>2027</v>
      </c>
      <c r="F2351" t="inlineStr">
        <is>
          <t>Czerwiec</t>
        </is>
      </c>
      <c r="G2351" t="inlineStr">
        <is>
          <t>Wt</t>
        </is>
      </c>
      <c r="H2351">
        <f>'Floor Hours Engine'!$E$4</f>
        <v/>
      </c>
      <c r="I2351" t="inlineStr">
        <is>
          <t>W2</t>
        </is>
      </c>
      <c r="J2351" t="inlineStr">
        <is>
          <t>2027_Czerwiec_W2</t>
        </is>
      </c>
    </row>
    <row r="2352">
      <c r="A2352" s="177" t="n">
        <v>46547</v>
      </c>
      <c r="B2352" s="177" t="n">
        <v>46546</v>
      </c>
      <c r="C2352" s="177" t="n">
        <v>46552</v>
      </c>
      <c r="D2352" t="inlineStr">
        <is>
          <t>BW20270608</t>
        </is>
      </c>
      <c r="E2352" t="n">
        <v>2027</v>
      </c>
      <c r="F2352" t="inlineStr">
        <is>
          <t>Czerwiec</t>
        </is>
      </c>
      <c r="G2352" t="inlineStr">
        <is>
          <t>Śr</t>
        </is>
      </c>
      <c r="H2352">
        <f>'Floor Hours Engine'!$E$4</f>
        <v/>
      </c>
      <c r="I2352" t="inlineStr">
        <is>
          <t>W2</t>
        </is>
      </c>
      <c r="J2352" t="inlineStr">
        <is>
          <t>2027_Czerwiec_W2</t>
        </is>
      </c>
    </row>
    <row r="2353">
      <c r="A2353" s="177" t="n">
        <v>46548</v>
      </c>
      <c r="B2353" s="177" t="n">
        <v>46546</v>
      </c>
      <c r="C2353" s="177" t="n">
        <v>46552</v>
      </c>
      <c r="D2353" t="inlineStr">
        <is>
          <t>BW20270608</t>
        </is>
      </c>
      <c r="E2353" t="n">
        <v>2027</v>
      </c>
      <c r="F2353" t="inlineStr">
        <is>
          <t>Czerwiec</t>
        </is>
      </c>
      <c r="G2353" t="inlineStr">
        <is>
          <t>Czw</t>
        </is>
      </c>
      <c r="H2353">
        <f>'Floor Hours Engine'!$E$4</f>
        <v/>
      </c>
      <c r="I2353" t="inlineStr">
        <is>
          <t>W2</t>
        </is>
      </c>
      <c r="J2353" t="inlineStr">
        <is>
          <t>2027_Czerwiec_W2</t>
        </is>
      </c>
    </row>
    <row r="2354">
      <c r="A2354" s="177" t="n">
        <v>46549</v>
      </c>
      <c r="B2354" s="177" t="n">
        <v>46546</v>
      </c>
      <c r="C2354" s="177" t="n">
        <v>46552</v>
      </c>
      <c r="D2354" t="inlineStr">
        <is>
          <t>BW20270608</t>
        </is>
      </c>
      <c r="E2354" t="n">
        <v>2027</v>
      </c>
      <c r="F2354" t="inlineStr">
        <is>
          <t>Czerwiec</t>
        </is>
      </c>
      <c r="G2354" t="inlineStr">
        <is>
          <t>Pt</t>
        </is>
      </c>
      <c r="H2354">
        <f>'Floor Hours Engine'!$E$5</f>
        <v/>
      </c>
      <c r="I2354" t="inlineStr">
        <is>
          <t>W2</t>
        </is>
      </c>
      <c r="J2354" t="inlineStr">
        <is>
          <t>2027_Czerwiec_W2</t>
        </is>
      </c>
    </row>
    <row r="2355">
      <c r="A2355" s="177" t="n">
        <v>46550</v>
      </c>
      <c r="B2355" s="177" t="n">
        <v>46546</v>
      </c>
      <c r="C2355" s="177" t="n">
        <v>46552</v>
      </c>
      <c r="D2355" t="inlineStr">
        <is>
          <t>BW20270608</t>
        </is>
      </c>
      <c r="E2355" t="n">
        <v>2027</v>
      </c>
      <c r="F2355" t="inlineStr">
        <is>
          <t>Czerwiec</t>
        </is>
      </c>
      <c r="G2355" t="inlineStr">
        <is>
          <t>Sob</t>
        </is>
      </c>
      <c r="H2355">
        <f>'Floor Hours Engine'!$E$5</f>
        <v/>
      </c>
      <c r="I2355" t="inlineStr">
        <is>
          <t>W2</t>
        </is>
      </c>
      <c r="J2355" t="inlineStr">
        <is>
          <t>2027_Czerwiec_W2</t>
        </is>
      </c>
    </row>
    <row r="2356">
      <c r="A2356" s="177" t="n">
        <v>46551</v>
      </c>
      <c r="B2356" s="177" t="n">
        <v>46546</v>
      </c>
      <c r="C2356" s="177" t="n">
        <v>46552</v>
      </c>
      <c r="D2356" t="inlineStr">
        <is>
          <t>BW20270608</t>
        </is>
      </c>
      <c r="E2356" t="n">
        <v>2027</v>
      </c>
      <c r="F2356" t="inlineStr">
        <is>
          <t>Czerwiec</t>
        </is>
      </c>
      <c r="G2356" t="inlineStr">
        <is>
          <t>Nd</t>
        </is>
      </c>
      <c r="H2356">
        <f>'Floor Hours Engine'!$E$6</f>
        <v/>
      </c>
      <c r="I2356" t="inlineStr">
        <is>
          <t>W2</t>
        </is>
      </c>
      <c r="J2356" t="inlineStr">
        <is>
          <t>2027_Czerwiec_W2</t>
        </is>
      </c>
    </row>
    <row r="2357">
      <c r="A2357" s="177" t="n">
        <v>46552</v>
      </c>
      <c r="B2357" s="177" t="n">
        <v>46546</v>
      </c>
      <c r="C2357" s="177" t="n">
        <v>46552</v>
      </c>
      <c r="D2357" t="inlineStr">
        <is>
          <t>BW20270608</t>
        </is>
      </c>
      <c r="E2357" t="n">
        <v>2027</v>
      </c>
      <c r="F2357" t="inlineStr">
        <is>
          <t>Czerwiec</t>
        </is>
      </c>
      <c r="G2357" t="inlineStr">
        <is>
          <t>Pn</t>
        </is>
      </c>
      <c r="H2357">
        <f>'Floor Hours Engine'!$E$4</f>
        <v/>
      </c>
      <c r="I2357" t="inlineStr">
        <is>
          <t>W2</t>
        </is>
      </c>
      <c r="J2357" t="inlineStr">
        <is>
          <t>2027_Czerwiec_W2</t>
        </is>
      </c>
    </row>
    <row r="2358">
      <c r="A2358" s="177" t="n">
        <v>46553</v>
      </c>
      <c r="B2358" s="177" t="n">
        <v>46553</v>
      </c>
      <c r="C2358" s="177" t="n">
        <v>46559</v>
      </c>
      <c r="D2358" t="inlineStr">
        <is>
          <t>BW20270615</t>
        </is>
      </c>
      <c r="E2358" t="n">
        <v>2027</v>
      </c>
      <c r="F2358" t="inlineStr">
        <is>
          <t>Czerwiec</t>
        </is>
      </c>
      <c r="G2358" t="inlineStr">
        <is>
          <t>Wt</t>
        </is>
      </c>
      <c r="H2358">
        <f>'Floor Hours Engine'!$E$4</f>
        <v/>
      </c>
      <c r="I2358" t="inlineStr">
        <is>
          <t>W3</t>
        </is>
      </c>
      <c r="J2358" t="inlineStr">
        <is>
          <t>2027_Czerwiec_W3</t>
        </is>
      </c>
    </row>
    <row r="2359">
      <c r="A2359" s="177" t="n">
        <v>46554</v>
      </c>
      <c r="B2359" s="177" t="n">
        <v>46553</v>
      </c>
      <c r="C2359" s="177" t="n">
        <v>46559</v>
      </c>
      <c r="D2359" t="inlineStr">
        <is>
          <t>BW20270615</t>
        </is>
      </c>
      <c r="E2359" t="n">
        <v>2027</v>
      </c>
      <c r="F2359" t="inlineStr">
        <is>
          <t>Czerwiec</t>
        </is>
      </c>
      <c r="G2359" t="inlineStr">
        <is>
          <t>Śr</t>
        </is>
      </c>
      <c r="H2359">
        <f>'Floor Hours Engine'!$E$4</f>
        <v/>
      </c>
      <c r="I2359" t="inlineStr">
        <is>
          <t>W3</t>
        </is>
      </c>
      <c r="J2359" t="inlineStr">
        <is>
          <t>2027_Czerwiec_W3</t>
        </is>
      </c>
    </row>
    <row r="2360">
      <c r="A2360" s="177" t="n">
        <v>46555</v>
      </c>
      <c r="B2360" s="177" t="n">
        <v>46553</v>
      </c>
      <c r="C2360" s="177" t="n">
        <v>46559</v>
      </c>
      <c r="D2360" t="inlineStr">
        <is>
          <t>BW20270615</t>
        </is>
      </c>
      <c r="E2360" t="n">
        <v>2027</v>
      </c>
      <c r="F2360" t="inlineStr">
        <is>
          <t>Czerwiec</t>
        </is>
      </c>
      <c r="G2360" t="inlineStr">
        <is>
          <t>Czw</t>
        </is>
      </c>
      <c r="H2360">
        <f>'Floor Hours Engine'!$E$4</f>
        <v/>
      </c>
      <c r="I2360" t="inlineStr">
        <is>
          <t>W3</t>
        </is>
      </c>
      <c r="J2360" t="inlineStr">
        <is>
          <t>2027_Czerwiec_W3</t>
        </is>
      </c>
    </row>
    <row r="2361">
      <c r="A2361" s="177" t="n">
        <v>46556</v>
      </c>
      <c r="B2361" s="177" t="n">
        <v>46553</v>
      </c>
      <c r="C2361" s="177" t="n">
        <v>46559</v>
      </c>
      <c r="D2361" t="inlineStr">
        <is>
          <t>BW20270615</t>
        </is>
      </c>
      <c r="E2361" t="n">
        <v>2027</v>
      </c>
      <c r="F2361" t="inlineStr">
        <is>
          <t>Czerwiec</t>
        </is>
      </c>
      <c r="G2361" t="inlineStr">
        <is>
          <t>Pt</t>
        </is>
      </c>
      <c r="H2361">
        <f>'Floor Hours Engine'!$E$5</f>
        <v/>
      </c>
      <c r="I2361" t="inlineStr">
        <is>
          <t>W3</t>
        </is>
      </c>
      <c r="J2361" t="inlineStr">
        <is>
          <t>2027_Czerwiec_W3</t>
        </is>
      </c>
    </row>
    <row r="2362">
      <c r="A2362" s="177" t="n">
        <v>46557</v>
      </c>
      <c r="B2362" s="177" t="n">
        <v>46553</v>
      </c>
      <c r="C2362" s="177" t="n">
        <v>46559</v>
      </c>
      <c r="D2362" t="inlineStr">
        <is>
          <t>BW20270615</t>
        </is>
      </c>
      <c r="E2362" t="n">
        <v>2027</v>
      </c>
      <c r="F2362" t="inlineStr">
        <is>
          <t>Czerwiec</t>
        </is>
      </c>
      <c r="G2362" t="inlineStr">
        <is>
          <t>Sob</t>
        </is>
      </c>
      <c r="H2362">
        <f>'Floor Hours Engine'!$E$5</f>
        <v/>
      </c>
      <c r="I2362" t="inlineStr">
        <is>
          <t>W3</t>
        </is>
      </c>
      <c r="J2362" t="inlineStr">
        <is>
          <t>2027_Czerwiec_W3</t>
        </is>
      </c>
    </row>
    <row r="2363">
      <c r="A2363" s="177" t="n">
        <v>46558</v>
      </c>
      <c r="B2363" s="177" t="n">
        <v>46553</v>
      </c>
      <c r="C2363" s="177" t="n">
        <v>46559</v>
      </c>
      <c r="D2363" t="inlineStr">
        <is>
          <t>BW20270615</t>
        </is>
      </c>
      <c r="E2363" t="n">
        <v>2027</v>
      </c>
      <c r="F2363" t="inlineStr">
        <is>
          <t>Czerwiec</t>
        </is>
      </c>
      <c r="G2363" t="inlineStr">
        <is>
          <t>Nd</t>
        </is>
      </c>
      <c r="H2363">
        <f>'Floor Hours Engine'!$E$6</f>
        <v/>
      </c>
      <c r="I2363" t="inlineStr">
        <is>
          <t>W3</t>
        </is>
      </c>
      <c r="J2363" t="inlineStr">
        <is>
          <t>2027_Czerwiec_W3</t>
        </is>
      </c>
    </row>
    <row r="2364">
      <c r="A2364" s="177" t="n">
        <v>46559</v>
      </c>
      <c r="B2364" s="177" t="n">
        <v>46553</v>
      </c>
      <c r="C2364" s="177" t="n">
        <v>46559</v>
      </c>
      <c r="D2364" t="inlineStr">
        <is>
          <t>BW20270615</t>
        </is>
      </c>
      <c r="E2364" t="n">
        <v>2027</v>
      </c>
      <c r="F2364" t="inlineStr">
        <is>
          <t>Czerwiec</t>
        </is>
      </c>
      <c r="G2364" t="inlineStr">
        <is>
          <t>Pn</t>
        </is>
      </c>
      <c r="H2364">
        <f>'Floor Hours Engine'!$E$4</f>
        <v/>
      </c>
      <c r="I2364" t="inlineStr">
        <is>
          <t>W3</t>
        </is>
      </c>
      <c r="J2364" t="inlineStr">
        <is>
          <t>2027_Czerwiec_W3</t>
        </is>
      </c>
    </row>
    <row r="2365">
      <c r="A2365" s="177" t="n">
        <v>46560</v>
      </c>
      <c r="B2365" s="177" t="n">
        <v>46560</v>
      </c>
      <c r="C2365" s="177" t="n">
        <v>46566</v>
      </c>
      <c r="D2365" t="inlineStr">
        <is>
          <t>BW20270622</t>
        </is>
      </c>
      <c r="E2365" t="n">
        <v>2027</v>
      </c>
      <c r="F2365" t="inlineStr">
        <is>
          <t>Czerwiec</t>
        </is>
      </c>
      <c r="G2365" t="inlineStr">
        <is>
          <t>Wt</t>
        </is>
      </c>
      <c r="H2365">
        <f>'Floor Hours Engine'!$E$4</f>
        <v/>
      </c>
      <c r="I2365" t="inlineStr">
        <is>
          <t>W4</t>
        </is>
      </c>
      <c r="J2365" t="inlineStr">
        <is>
          <t>2027_Czerwiec_W4</t>
        </is>
      </c>
    </row>
    <row r="2366">
      <c r="A2366" s="177" t="n">
        <v>46561</v>
      </c>
      <c r="B2366" s="177" t="n">
        <v>46560</v>
      </c>
      <c r="C2366" s="177" t="n">
        <v>46566</v>
      </c>
      <c r="D2366" t="inlineStr">
        <is>
          <t>BW20270622</t>
        </is>
      </c>
      <c r="E2366" t="n">
        <v>2027</v>
      </c>
      <c r="F2366" t="inlineStr">
        <is>
          <t>Czerwiec</t>
        </is>
      </c>
      <c r="G2366" t="inlineStr">
        <is>
          <t>Śr</t>
        </is>
      </c>
      <c r="H2366">
        <f>'Floor Hours Engine'!$E$4</f>
        <v/>
      </c>
      <c r="I2366" t="inlineStr">
        <is>
          <t>W4</t>
        </is>
      </c>
      <c r="J2366" t="inlineStr">
        <is>
          <t>2027_Czerwiec_W4</t>
        </is>
      </c>
    </row>
    <row r="2367">
      <c r="A2367" s="177" t="n">
        <v>46562</v>
      </c>
      <c r="B2367" s="177" t="n">
        <v>46560</v>
      </c>
      <c r="C2367" s="177" t="n">
        <v>46566</v>
      </c>
      <c r="D2367" t="inlineStr">
        <is>
          <t>BW20270622</t>
        </is>
      </c>
      <c r="E2367" t="n">
        <v>2027</v>
      </c>
      <c r="F2367" t="inlineStr">
        <is>
          <t>Czerwiec</t>
        </is>
      </c>
      <c r="G2367" t="inlineStr">
        <is>
          <t>Czw</t>
        </is>
      </c>
      <c r="H2367">
        <f>'Floor Hours Engine'!$E$4</f>
        <v/>
      </c>
      <c r="I2367" t="inlineStr">
        <is>
          <t>W4</t>
        </is>
      </c>
      <c r="J2367" t="inlineStr">
        <is>
          <t>2027_Czerwiec_W4</t>
        </is>
      </c>
    </row>
    <row r="2368">
      <c r="A2368" s="177" t="n">
        <v>46563</v>
      </c>
      <c r="B2368" s="177" t="n">
        <v>46560</v>
      </c>
      <c r="C2368" s="177" t="n">
        <v>46566</v>
      </c>
      <c r="D2368" t="inlineStr">
        <is>
          <t>BW20270622</t>
        </is>
      </c>
      <c r="E2368" t="n">
        <v>2027</v>
      </c>
      <c r="F2368" t="inlineStr">
        <is>
          <t>Czerwiec</t>
        </is>
      </c>
      <c r="G2368" t="inlineStr">
        <is>
          <t>Pt</t>
        </is>
      </c>
      <c r="H2368">
        <f>'Floor Hours Engine'!$E$5</f>
        <v/>
      </c>
      <c r="I2368" t="inlineStr">
        <is>
          <t>W4</t>
        </is>
      </c>
      <c r="J2368" t="inlineStr">
        <is>
          <t>2027_Czerwiec_W4</t>
        </is>
      </c>
    </row>
    <row r="2369">
      <c r="A2369" s="177" t="n">
        <v>46564</v>
      </c>
      <c r="B2369" s="177" t="n">
        <v>46560</v>
      </c>
      <c r="C2369" s="177" t="n">
        <v>46566</v>
      </c>
      <c r="D2369" t="inlineStr">
        <is>
          <t>BW20270622</t>
        </is>
      </c>
      <c r="E2369" t="n">
        <v>2027</v>
      </c>
      <c r="F2369" t="inlineStr">
        <is>
          <t>Czerwiec</t>
        </is>
      </c>
      <c r="G2369" t="inlineStr">
        <is>
          <t>Sob</t>
        </is>
      </c>
      <c r="H2369">
        <f>'Floor Hours Engine'!$E$5</f>
        <v/>
      </c>
      <c r="I2369" t="inlineStr">
        <is>
          <t>W4</t>
        </is>
      </c>
      <c r="J2369" t="inlineStr">
        <is>
          <t>2027_Czerwiec_W4</t>
        </is>
      </c>
    </row>
    <row r="2370">
      <c r="A2370" s="177" t="n">
        <v>46565</v>
      </c>
      <c r="B2370" s="177" t="n">
        <v>46560</v>
      </c>
      <c r="C2370" s="177" t="n">
        <v>46566</v>
      </c>
      <c r="D2370" t="inlineStr">
        <is>
          <t>BW20270622</t>
        </is>
      </c>
      <c r="E2370" t="n">
        <v>2027</v>
      </c>
      <c r="F2370" t="inlineStr">
        <is>
          <t>Czerwiec</t>
        </is>
      </c>
      <c r="G2370" t="inlineStr">
        <is>
          <t>Nd</t>
        </is>
      </c>
      <c r="H2370">
        <f>'Floor Hours Engine'!$E$6</f>
        <v/>
      </c>
      <c r="I2370" t="inlineStr">
        <is>
          <t>W4</t>
        </is>
      </c>
      <c r="J2370" t="inlineStr">
        <is>
          <t>2027_Czerwiec_W4</t>
        </is>
      </c>
    </row>
    <row r="2371">
      <c r="A2371" s="177" t="n">
        <v>46566</v>
      </c>
      <c r="B2371" s="177" t="n">
        <v>46560</v>
      </c>
      <c r="C2371" s="177" t="n">
        <v>46566</v>
      </c>
      <c r="D2371" t="inlineStr">
        <is>
          <t>BW20270622</t>
        </is>
      </c>
      <c r="E2371" t="n">
        <v>2027</v>
      </c>
      <c r="F2371" t="inlineStr">
        <is>
          <t>Czerwiec</t>
        </is>
      </c>
      <c r="G2371" t="inlineStr">
        <is>
          <t>Pn</t>
        </is>
      </c>
      <c r="H2371">
        <f>'Floor Hours Engine'!$E$4</f>
        <v/>
      </c>
      <c r="I2371" t="inlineStr">
        <is>
          <t>W4</t>
        </is>
      </c>
      <c r="J2371" t="inlineStr">
        <is>
          <t>2027_Czerwiec_W4</t>
        </is>
      </c>
    </row>
    <row r="2372">
      <c r="A2372" s="177" t="n">
        <v>46567</v>
      </c>
      <c r="B2372" s="177" t="n">
        <v>46567</v>
      </c>
      <c r="C2372" s="177" t="n">
        <v>46573</v>
      </c>
      <c r="D2372" t="inlineStr">
        <is>
          <t>BW20270629</t>
        </is>
      </c>
      <c r="E2372" t="n">
        <v>2027</v>
      </c>
      <c r="F2372" t="inlineStr">
        <is>
          <t>Czerwiec</t>
        </is>
      </c>
      <c r="G2372" t="inlineStr">
        <is>
          <t>Wt</t>
        </is>
      </c>
      <c r="H2372">
        <f>'Floor Hours Engine'!$E$4</f>
        <v/>
      </c>
      <c r="I2372" t="inlineStr">
        <is>
          <t>W5</t>
        </is>
      </c>
      <c r="J2372" t="inlineStr">
        <is>
          <t>2027_Czerwiec_W5</t>
        </is>
      </c>
    </row>
    <row r="2373">
      <c r="A2373" s="177" t="n">
        <v>46568</v>
      </c>
      <c r="B2373" s="177" t="n">
        <v>46567</v>
      </c>
      <c r="C2373" s="177" t="n">
        <v>46573</v>
      </c>
      <c r="D2373" t="inlineStr">
        <is>
          <t>BW20270629</t>
        </is>
      </c>
      <c r="E2373" t="n">
        <v>2027</v>
      </c>
      <c r="F2373" t="inlineStr">
        <is>
          <t>Czerwiec</t>
        </is>
      </c>
      <c r="G2373" t="inlineStr">
        <is>
          <t>Śr</t>
        </is>
      </c>
      <c r="H2373">
        <f>'Floor Hours Engine'!$E$4</f>
        <v/>
      </c>
      <c r="I2373" t="inlineStr">
        <is>
          <t>W5</t>
        </is>
      </c>
      <c r="J2373" t="inlineStr">
        <is>
          <t>2027_Czerwiec_W5</t>
        </is>
      </c>
    </row>
    <row r="2374">
      <c r="A2374" s="177" t="n">
        <v>46569</v>
      </c>
      <c r="B2374" s="177" t="n">
        <v>46567</v>
      </c>
      <c r="C2374" s="177" t="n">
        <v>46573</v>
      </c>
      <c r="D2374" t="inlineStr">
        <is>
          <t>BW20270629</t>
        </is>
      </c>
      <c r="E2374" t="n">
        <v>2027</v>
      </c>
      <c r="F2374" t="inlineStr">
        <is>
          <t>Lipiec</t>
        </is>
      </c>
      <c r="G2374" t="inlineStr">
        <is>
          <t>Czw</t>
        </is>
      </c>
      <c r="H2374">
        <f>'Floor Hours Engine'!$E$4</f>
        <v/>
      </c>
      <c r="I2374" t="inlineStr">
        <is>
          <t>W1</t>
        </is>
      </c>
      <c r="J2374" t="inlineStr">
        <is>
          <t>2027_Lipiec_W1</t>
        </is>
      </c>
    </row>
    <row r="2375">
      <c r="A2375" s="177" t="n">
        <v>46570</v>
      </c>
      <c r="B2375" s="177" t="n">
        <v>46567</v>
      </c>
      <c r="C2375" s="177" t="n">
        <v>46573</v>
      </c>
      <c r="D2375" t="inlineStr">
        <is>
          <t>BW20270629</t>
        </is>
      </c>
      <c r="E2375" t="n">
        <v>2027</v>
      </c>
      <c r="F2375" t="inlineStr">
        <is>
          <t>Lipiec</t>
        </is>
      </c>
      <c r="G2375" t="inlineStr">
        <is>
          <t>Pt</t>
        </is>
      </c>
      <c r="H2375">
        <f>'Floor Hours Engine'!$E$5</f>
        <v/>
      </c>
      <c r="I2375" t="inlineStr">
        <is>
          <t>W1</t>
        </is>
      </c>
      <c r="J2375" t="inlineStr">
        <is>
          <t>2027_Lipiec_W1</t>
        </is>
      </c>
    </row>
    <row r="2376">
      <c r="A2376" s="177" t="n">
        <v>46571</v>
      </c>
      <c r="B2376" s="177" t="n">
        <v>46567</v>
      </c>
      <c r="C2376" s="177" t="n">
        <v>46573</v>
      </c>
      <c r="D2376" t="inlineStr">
        <is>
          <t>BW20270629</t>
        </is>
      </c>
      <c r="E2376" t="n">
        <v>2027</v>
      </c>
      <c r="F2376" t="inlineStr">
        <is>
          <t>Lipiec</t>
        </is>
      </c>
      <c r="G2376" t="inlineStr">
        <is>
          <t>Sob</t>
        </is>
      </c>
      <c r="H2376">
        <f>'Floor Hours Engine'!$E$5</f>
        <v/>
      </c>
      <c r="I2376" t="inlineStr">
        <is>
          <t>W1</t>
        </is>
      </c>
      <c r="J2376" t="inlineStr">
        <is>
          <t>2027_Lipiec_W1</t>
        </is>
      </c>
    </row>
    <row r="2377">
      <c r="A2377" s="177" t="n">
        <v>46572</v>
      </c>
      <c r="B2377" s="177" t="n">
        <v>46567</v>
      </c>
      <c r="C2377" s="177" t="n">
        <v>46573</v>
      </c>
      <c r="D2377" t="inlineStr">
        <is>
          <t>BW20270629</t>
        </is>
      </c>
      <c r="E2377" t="n">
        <v>2027</v>
      </c>
      <c r="F2377" t="inlineStr">
        <is>
          <t>Lipiec</t>
        </is>
      </c>
      <c r="G2377" t="inlineStr">
        <is>
          <t>Nd</t>
        </is>
      </c>
      <c r="H2377">
        <f>'Floor Hours Engine'!$E$6</f>
        <v/>
      </c>
      <c r="I2377" t="inlineStr">
        <is>
          <t>W1</t>
        </is>
      </c>
      <c r="J2377" t="inlineStr">
        <is>
          <t>2027_Lipiec_W1</t>
        </is>
      </c>
    </row>
    <row r="2378">
      <c r="A2378" s="177" t="n">
        <v>46573</v>
      </c>
      <c r="B2378" s="177" t="n">
        <v>46567</v>
      </c>
      <c r="C2378" s="177" t="n">
        <v>46573</v>
      </c>
      <c r="D2378" t="inlineStr">
        <is>
          <t>BW20270629</t>
        </is>
      </c>
      <c r="E2378" t="n">
        <v>2027</v>
      </c>
      <c r="F2378" t="inlineStr">
        <is>
          <t>Lipiec</t>
        </is>
      </c>
      <c r="G2378" t="inlineStr">
        <is>
          <t>Pn</t>
        </is>
      </c>
      <c r="H2378">
        <f>'Floor Hours Engine'!$E$4</f>
        <v/>
      </c>
      <c r="I2378" t="inlineStr">
        <is>
          <t>W1</t>
        </is>
      </c>
      <c r="J2378" t="inlineStr">
        <is>
          <t>2027_Lipiec_W1</t>
        </is>
      </c>
    </row>
    <row r="2379">
      <c r="A2379" s="177" t="n">
        <v>46574</v>
      </c>
      <c r="B2379" s="177" t="n">
        <v>46574</v>
      </c>
      <c r="C2379" s="177" t="n">
        <v>46580</v>
      </c>
      <c r="D2379" t="inlineStr">
        <is>
          <t>BW20270706</t>
        </is>
      </c>
      <c r="E2379" t="n">
        <v>2027</v>
      </c>
      <c r="F2379" t="inlineStr">
        <is>
          <t>Lipiec</t>
        </is>
      </c>
      <c r="G2379" t="inlineStr">
        <is>
          <t>Wt</t>
        </is>
      </c>
      <c r="H2379">
        <f>'Floor Hours Engine'!$E$4</f>
        <v/>
      </c>
      <c r="I2379" t="inlineStr">
        <is>
          <t>W2</t>
        </is>
      </c>
      <c r="J2379" t="inlineStr">
        <is>
          <t>2027_Lipiec_W2</t>
        </is>
      </c>
    </row>
    <row r="2380">
      <c r="A2380" s="177" t="n">
        <v>46575</v>
      </c>
      <c r="B2380" s="177" t="n">
        <v>46574</v>
      </c>
      <c r="C2380" s="177" t="n">
        <v>46580</v>
      </c>
      <c r="D2380" t="inlineStr">
        <is>
          <t>BW20270706</t>
        </is>
      </c>
      <c r="E2380" t="n">
        <v>2027</v>
      </c>
      <c r="F2380" t="inlineStr">
        <is>
          <t>Lipiec</t>
        </is>
      </c>
      <c r="G2380" t="inlineStr">
        <is>
          <t>Śr</t>
        </is>
      </c>
      <c r="H2380">
        <f>'Floor Hours Engine'!$E$4</f>
        <v/>
      </c>
      <c r="I2380" t="inlineStr">
        <is>
          <t>W2</t>
        </is>
      </c>
      <c r="J2380" t="inlineStr">
        <is>
          <t>2027_Lipiec_W2</t>
        </is>
      </c>
    </row>
    <row r="2381">
      <c r="A2381" s="177" t="n">
        <v>46576</v>
      </c>
      <c r="B2381" s="177" t="n">
        <v>46574</v>
      </c>
      <c r="C2381" s="177" t="n">
        <v>46580</v>
      </c>
      <c r="D2381" t="inlineStr">
        <is>
          <t>BW20270706</t>
        </is>
      </c>
      <c r="E2381" t="n">
        <v>2027</v>
      </c>
      <c r="F2381" t="inlineStr">
        <is>
          <t>Lipiec</t>
        </is>
      </c>
      <c r="G2381" t="inlineStr">
        <is>
          <t>Czw</t>
        </is>
      </c>
      <c r="H2381">
        <f>'Floor Hours Engine'!$E$4</f>
        <v/>
      </c>
      <c r="I2381" t="inlineStr">
        <is>
          <t>W2</t>
        </is>
      </c>
      <c r="J2381" t="inlineStr">
        <is>
          <t>2027_Lipiec_W2</t>
        </is>
      </c>
    </row>
    <row r="2382">
      <c r="A2382" s="177" t="n">
        <v>46577</v>
      </c>
      <c r="B2382" s="177" t="n">
        <v>46574</v>
      </c>
      <c r="C2382" s="177" t="n">
        <v>46580</v>
      </c>
      <c r="D2382" t="inlineStr">
        <is>
          <t>BW20270706</t>
        </is>
      </c>
      <c r="E2382" t="n">
        <v>2027</v>
      </c>
      <c r="F2382" t="inlineStr">
        <is>
          <t>Lipiec</t>
        </is>
      </c>
      <c r="G2382" t="inlineStr">
        <is>
          <t>Pt</t>
        </is>
      </c>
      <c r="H2382">
        <f>'Floor Hours Engine'!$E$5</f>
        <v/>
      </c>
      <c r="I2382" t="inlineStr">
        <is>
          <t>W2</t>
        </is>
      </c>
      <c r="J2382" t="inlineStr">
        <is>
          <t>2027_Lipiec_W2</t>
        </is>
      </c>
    </row>
    <row r="2383">
      <c r="A2383" s="177" t="n">
        <v>46578</v>
      </c>
      <c r="B2383" s="177" t="n">
        <v>46574</v>
      </c>
      <c r="C2383" s="177" t="n">
        <v>46580</v>
      </c>
      <c r="D2383" t="inlineStr">
        <is>
          <t>BW20270706</t>
        </is>
      </c>
      <c r="E2383" t="n">
        <v>2027</v>
      </c>
      <c r="F2383" t="inlineStr">
        <is>
          <t>Lipiec</t>
        </is>
      </c>
      <c r="G2383" t="inlineStr">
        <is>
          <t>Sob</t>
        </is>
      </c>
      <c r="H2383">
        <f>'Floor Hours Engine'!$E$5</f>
        <v/>
      </c>
      <c r="I2383" t="inlineStr">
        <is>
          <t>W2</t>
        </is>
      </c>
      <c r="J2383" t="inlineStr">
        <is>
          <t>2027_Lipiec_W2</t>
        </is>
      </c>
    </row>
    <row r="2384">
      <c r="A2384" s="177" t="n">
        <v>46579</v>
      </c>
      <c r="B2384" s="177" t="n">
        <v>46574</v>
      </c>
      <c r="C2384" s="177" t="n">
        <v>46580</v>
      </c>
      <c r="D2384" t="inlineStr">
        <is>
          <t>BW20270706</t>
        </is>
      </c>
      <c r="E2384" t="n">
        <v>2027</v>
      </c>
      <c r="F2384" t="inlineStr">
        <is>
          <t>Lipiec</t>
        </is>
      </c>
      <c r="G2384" t="inlineStr">
        <is>
          <t>Nd</t>
        </is>
      </c>
      <c r="H2384">
        <f>'Floor Hours Engine'!$E$6</f>
        <v/>
      </c>
      <c r="I2384" t="inlineStr">
        <is>
          <t>W2</t>
        </is>
      </c>
      <c r="J2384" t="inlineStr">
        <is>
          <t>2027_Lipiec_W2</t>
        </is>
      </c>
    </row>
    <row r="2385">
      <c r="A2385" s="177" t="n">
        <v>46580</v>
      </c>
      <c r="B2385" s="177" t="n">
        <v>46574</v>
      </c>
      <c r="C2385" s="177" t="n">
        <v>46580</v>
      </c>
      <c r="D2385" t="inlineStr">
        <is>
          <t>BW20270706</t>
        </is>
      </c>
      <c r="E2385" t="n">
        <v>2027</v>
      </c>
      <c r="F2385" t="inlineStr">
        <is>
          <t>Lipiec</t>
        </is>
      </c>
      <c r="G2385" t="inlineStr">
        <is>
          <t>Pn</t>
        </is>
      </c>
      <c r="H2385">
        <f>'Floor Hours Engine'!$E$4</f>
        <v/>
      </c>
      <c r="I2385" t="inlineStr">
        <is>
          <t>W2</t>
        </is>
      </c>
      <c r="J2385" t="inlineStr">
        <is>
          <t>2027_Lipiec_W2</t>
        </is>
      </c>
    </row>
    <row r="2386">
      <c r="A2386" s="177" t="n">
        <v>46581</v>
      </c>
      <c r="B2386" s="177" t="n">
        <v>46581</v>
      </c>
      <c r="C2386" s="177" t="n">
        <v>46587</v>
      </c>
      <c r="D2386" t="inlineStr">
        <is>
          <t>BW20270713</t>
        </is>
      </c>
      <c r="E2386" t="n">
        <v>2027</v>
      </c>
      <c r="F2386" t="inlineStr">
        <is>
          <t>Lipiec</t>
        </is>
      </c>
      <c r="G2386" t="inlineStr">
        <is>
          <t>Wt</t>
        </is>
      </c>
      <c r="H2386">
        <f>'Floor Hours Engine'!$E$4</f>
        <v/>
      </c>
      <c r="I2386" t="inlineStr">
        <is>
          <t>W3</t>
        </is>
      </c>
      <c r="J2386" t="inlineStr">
        <is>
          <t>2027_Lipiec_W3</t>
        </is>
      </c>
    </row>
    <row r="2387">
      <c r="A2387" s="177" t="n">
        <v>46582</v>
      </c>
      <c r="B2387" s="177" t="n">
        <v>46581</v>
      </c>
      <c r="C2387" s="177" t="n">
        <v>46587</v>
      </c>
      <c r="D2387" t="inlineStr">
        <is>
          <t>BW20270713</t>
        </is>
      </c>
      <c r="E2387" t="n">
        <v>2027</v>
      </c>
      <c r="F2387" t="inlineStr">
        <is>
          <t>Lipiec</t>
        </is>
      </c>
      <c r="G2387" t="inlineStr">
        <is>
          <t>Śr</t>
        </is>
      </c>
      <c r="H2387">
        <f>'Floor Hours Engine'!$E$4</f>
        <v/>
      </c>
      <c r="I2387" t="inlineStr">
        <is>
          <t>W3</t>
        </is>
      </c>
      <c r="J2387" t="inlineStr">
        <is>
          <t>2027_Lipiec_W3</t>
        </is>
      </c>
    </row>
    <row r="2388">
      <c r="A2388" s="177" t="n">
        <v>46583</v>
      </c>
      <c r="B2388" s="177" t="n">
        <v>46581</v>
      </c>
      <c r="C2388" s="177" t="n">
        <v>46587</v>
      </c>
      <c r="D2388" t="inlineStr">
        <is>
          <t>BW20270713</t>
        </is>
      </c>
      <c r="E2388" t="n">
        <v>2027</v>
      </c>
      <c r="F2388" t="inlineStr">
        <is>
          <t>Lipiec</t>
        </is>
      </c>
      <c r="G2388" t="inlineStr">
        <is>
          <t>Czw</t>
        </is>
      </c>
      <c r="H2388">
        <f>'Floor Hours Engine'!$E$4</f>
        <v/>
      </c>
      <c r="I2388" t="inlineStr">
        <is>
          <t>W3</t>
        </is>
      </c>
      <c r="J2388" t="inlineStr">
        <is>
          <t>2027_Lipiec_W3</t>
        </is>
      </c>
    </row>
    <row r="2389">
      <c r="A2389" s="177" t="n">
        <v>46584</v>
      </c>
      <c r="B2389" s="177" t="n">
        <v>46581</v>
      </c>
      <c r="C2389" s="177" t="n">
        <v>46587</v>
      </c>
      <c r="D2389" t="inlineStr">
        <is>
          <t>BW20270713</t>
        </is>
      </c>
      <c r="E2389" t="n">
        <v>2027</v>
      </c>
      <c r="F2389" t="inlineStr">
        <is>
          <t>Lipiec</t>
        </is>
      </c>
      <c r="G2389" t="inlineStr">
        <is>
          <t>Pt</t>
        </is>
      </c>
      <c r="H2389">
        <f>'Floor Hours Engine'!$E$5</f>
        <v/>
      </c>
      <c r="I2389" t="inlineStr">
        <is>
          <t>W3</t>
        </is>
      </c>
      <c r="J2389" t="inlineStr">
        <is>
          <t>2027_Lipiec_W3</t>
        </is>
      </c>
    </row>
    <row r="2390">
      <c r="A2390" s="177" t="n">
        <v>46585</v>
      </c>
      <c r="B2390" s="177" t="n">
        <v>46581</v>
      </c>
      <c r="C2390" s="177" t="n">
        <v>46587</v>
      </c>
      <c r="D2390" t="inlineStr">
        <is>
          <t>BW20270713</t>
        </is>
      </c>
      <c r="E2390" t="n">
        <v>2027</v>
      </c>
      <c r="F2390" t="inlineStr">
        <is>
          <t>Lipiec</t>
        </is>
      </c>
      <c r="G2390" t="inlineStr">
        <is>
          <t>Sob</t>
        </is>
      </c>
      <c r="H2390">
        <f>'Floor Hours Engine'!$E$5</f>
        <v/>
      </c>
      <c r="I2390" t="inlineStr">
        <is>
          <t>W3</t>
        </is>
      </c>
      <c r="J2390" t="inlineStr">
        <is>
          <t>2027_Lipiec_W3</t>
        </is>
      </c>
    </row>
    <row r="2391">
      <c r="A2391" s="177" t="n">
        <v>46586</v>
      </c>
      <c r="B2391" s="177" t="n">
        <v>46581</v>
      </c>
      <c r="C2391" s="177" t="n">
        <v>46587</v>
      </c>
      <c r="D2391" t="inlineStr">
        <is>
          <t>BW20270713</t>
        </is>
      </c>
      <c r="E2391" t="n">
        <v>2027</v>
      </c>
      <c r="F2391" t="inlineStr">
        <is>
          <t>Lipiec</t>
        </is>
      </c>
      <c r="G2391" t="inlineStr">
        <is>
          <t>Nd</t>
        </is>
      </c>
      <c r="H2391">
        <f>'Floor Hours Engine'!$E$6</f>
        <v/>
      </c>
      <c r="I2391" t="inlineStr">
        <is>
          <t>W3</t>
        </is>
      </c>
      <c r="J2391" t="inlineStr">
        <is>
          <t>2027_Lipiec_W3</t>
        </is>
      </c>
    </row>
    <row r="2392">
      <c r="A2392" s="177" t="n">
        <v>46587</v>
      </c>
      <c r="B2392" s="177" t="n">
        <v>46581</v>
      </c>
      <c r="C2392" s="177" t="n">
        <v>46587</v>
      </c>
      <c r="D2392" t="inlineStr">
        <is>
          <t>BW20270713</t>
        </is>
      </c>
      <c r="E2392" t="n">
        <v>2027</v>
      </c>
      <c r="F2392" t="inlineStr">
        <is>
          <t>Lipiec</t>
        </is>
      </c>
      <c r="G2392" t="inlineStr">
        <is>
          <t>Pn</t>
        </is>
      </c>
      <c r="H2392">
        <f>'Floor Hours Engine'!$E$4</f>
        <v/>
      </c>
      <c r="I2392" t="inlineStr">
        <is>
          <t>W3</t>
        </is>
      </c>
      <c r="J2392" t="inlineStr">
        <is>
          <t>2027_Lipiec_W3</t>
        </is>
      </c>
    </row>
    <row r="2393">
      <c r="A2393" s="177" t="n">
        <v>46588</v>
      </c>
      <c r="B2393" s="177" t="n">
        <v>46588</v>
      </c>
      <c r="C2393" s="177" t="n">
        <v>46594</v>
      </c>
      <c r="D2393" t="inlineStr">
        <is>
          <t>BW20270720</t>
        </is>
      </c>
      <c r="E2393" t="n">
        <v>2027</v>
      </c>
      <c r="F2393" t="inlineStr">
        <is>
          <t>Lipiec</t>
        </is>
      </c>
      <c r="G2393" t="inlineStr">
        <is>
          <t>Wt</t>
        </is>
      </c>
      <c r="H2393">
        <f>'Floor Hours Engine'!$E$4</f>
        <v/>
      </c>
      <c r="I2393" t="inlineStr">
        <is>
          <t>W4</t>
        </is>
      </c>
      <c r="J2393" t="inlineStr">
        <is>
          <t>2027_Lipiec_W4</t>
        </is>
      </c>
    </row>
    <row r="2394">
      <c r="A2394" s="177" t="n">
        <v>46589</v>
      </c>
      <c r="B2394" s="177" t="n">
        <v>46588</v>
      </c>
      <c r="C2394" s="177" t="n">
        <v>46594</v>
      </c>
      <c r="D2394" t="inlineStr">
        <is>
          <t>BW20270720</t>
        </is>
      </c>
      <c r="E2394" t="n">
        <v>2027</v>
      </c>
      <c r="F2394" t="inlineStr">
        <is>
          <t>Lipiec</t>
        </is>
      </c>
      <c r="G2394" t="inlineStr">
        <is>
          <t>Śr</t>
        </is>
      </c>
      <c r="H2394">
        <f>'Floor Hours Engine'!$E$4</f>
        <v/>
      </c>
      <c r="I2394" t="inlineStr">
        <is>
          <t>W4</t>
        </is>
      </c>
      <c r="J2394" t="inlineStr">
        <is>
          <t>2027_Lipiec_W4</t>
        </is>
      </c>
    </row>
    <row r="2395">
      <c r="A2395" s="177" t="n">
        <v>46590</v>
      </c>
      <c r="B2395" s="177" t="n">
        <v>46588</v>
      </c>
      <c r="C2395" s="177" t="n">
        <v>46594</v>
      </c>
      <c r="D2395" t="inlineStr">
        <is>
          <t>BW20270720</t>
        </is>
      </c>
      <c r="E2395" t="n">
        <v>2027</v>
      </c>
      <c r="F2395" t="inlineStr">
        <is>
          <t>Lipiec</t>
        </is>
      </c>
      <c r="G2395" t="inlineStr">
        <is>
          <t>Czw</t>
        </is>
      </c>
      <c r="H2395">
        <f>'Floor Hours Engine'!$E$4</f>
        <v/>
      </c>
      <c r="I2395" t="inlineStr">
        <is>
          <t>W4</t>
        </is>
      </c>
      <c r="J2395" t="inlineStr">
        <is>
          <t>2027_Lipiec_W4</t>
        </is>
      </c>
    </row>
    <row r="2396">
      <c r="A2396" s="177" t="n">
        <v>46591</v>
      </c>
      <c r="B2396" s="177" t="n">
        <v>46588</v>
      </c>
      <c r="C2396" s="177" t="n">
        <v>46594</v>
      </c>
      <c r="D2396" t="inlineStr">
        <is>
          <t>BW20270720</t>
        </is>
      </c>
      <c r="E2396" t="n">
        <v>2027</v>
      </c>
      <c r="F2396" t="inlineStr">
        <is>
          <t>Lipiec</t>
        </is>
      </c>
      <c r="G2396" t="inlineStr">
        <is>
          <t>Pt</t>
        </is>
      </c>
      <c r="H2396">
        <f>'Floor Hours Engine'!$E$5</f>
        <v/>
      </c>
      <c r="I2396" t="inlineStr">
        <is>
          <t>W4</t>
        </is>
      </c>
      <c r="J2396" t="inlineStr">
        <is>
          <t>2027_Lipiec_W4</t>
        </is>
      </c>
    </row>
    <row r="2397">
      <c r="A2397" s="177" t="n">
        <v>46592</v>
      </c>
      <c r="B2397" s="177" t="n">
        <v>46588</v>
      </c>
      <c r="C2397" s="177" t="n">
        <v>46594</v>
      </c>
      <c r="D2397" t="inlineStr">
        <is>
          <t>BW20270720</t>
        </is>
      </c>
      <c r="E2397" t="n">
        <v>2027</v>
      </c>
      <c r="F2397" t="inlineStr">
        <is>
          <t>Lipiec</t>
        </is>
      </c>
      <c r="G2397" t="inlineStr">
        <is>
          <t>Sob</t>
        </is>
      </c>
      <c r="H2397">
        <f>'Floor Hours Engine'!$E$5</f>
        <v/>
      </c>
      <c r="I2397" t="inlineStr">
        <is>
          <t>W4</t>
        </is>
      </c>
      <c r="J2397" t="inlineStr">
        <is>
          <t>2027_Lipiec_W4</t>
        </is>
      </c>
    </row>
    <row r="2398">
      <c r="A2398" s="177" t="n">
        <v>46593</v>
      </c>
      <c r="B2398" s="177" t="n">
        <v>46588</v>
      </c>
      <c r="C2398" s="177" t="n">
        <v>46594</v>
      </c>
      <c r="D2398" t="inlineStr">
        <is>
          <t>BW20270720</t>
        </is>
      </c>
      <c r="E2398" t="n">
        <v>2027</v>
      </c>
      <c r="F2398" t="inlineStr">
        <is>
          <t>Lipiec</t>
        </is>
      </c>
      <c r="G2398" t="inlineStr">
        <is>
          <t>Nd</t>
        </is>
      </c>
      <c r="H2398">
        <f>'Floor Hours Engine'!$E$6</f>
        <v/>
      </c>
      <c r="I2398" t="inlineStr">
        <is>
          <t>W4</t>
        </is>
      </c>
      <c r="J2398" t="inlineStr">
        <is>
          <t>2027_Lipiec_W4</t>
        </is>
      </c>
    </row>
    <row r="2399">
      <c r="A2399" s="177" t="n">
        <v>46594</v>
      </c>
      <c r="B2399" s="177" t="n">
        <v>46588</v>
      </c>
      <c r="C2399" s="177" t="n">
        <v>46594</v>
      </c>
      <c r="D2399" t="inlineStr">
        <is>
          <t>BW20270720</t>
        </is>
      </c>
      <c r="E2399" t="n">
        <v>2027</v>
      </c>
      <c r="F2399" t="inlineStr">
        <is>
          <t>Lipiec</t>
        </is>
      </c>
      <c r="G2399" t="inlineStr">
        <is>
          <t>Pn</t>
        </is>
      </c>
      <c r="H2399">
        <f>'Floor Hours Engine'!$E$4</f>
        <v/>
      </c>
      <c r="I2399" t="inlineStr">
        <is>
          <t>W4</t>
        </is>
      </c>
      <c r="J2399" t="inlineStr">
        <is>
          <t>2027_Lipiec_W4</t>
        </is>
      </c>
    </row>
    <row r="2400">
      <c r="A2400" s="177" t="n">
        <v>46595</v>
      </c>
      <c r="B2400" s="177" t="n">
        <v>46595</v>
      </c>
      <c r="C2400" s="177" t="n">
        <v>46601</v>
      </c>
      <c r="D2400" t="inlineStr">
        <is>
          <t>BW20270727</t>
        </is>
      </c>
      <c r="E2400" t="n">
        <v>2027</v>
      </c>
      <c r="F2400" t="inlineStr">
        <is>
          <t>Lipiec</t>
        </is>
      </c>
      <c r="G2400" t="inlineStr">
        <is>
          <t>Wt</t>
        </is>
      </c>
      <c r="H2400">
        <f>'Floor Hours Engine'!$E$4</f>
        <v/>
      </c>
      <c r="I2400" t="inlineStr">
        <is>
          <t>W5</t>
        </is>
      </c>
      <c r="J2400" t="inlineStr">
        <is>
          <t>2027_Lipiec_W5</t>
        </is>
      </c>
    </row>
    <row r="2401">
      <c r="A2401" s="177" t="n">
        <v>46596</v>
      </c>
      <c r="B2401" s="177" t="n">
        <v>46595</v>
      </c>
      <c r="C2401" s="177" t="n">
        <v>46601</v>
      </c>
      <c r="D2401" t="inlineStr">
        <is>
          <t>BW20270727</t>
        </is>
      </c>
      <c r="E2401" t="n">
        <v>2027</v>
      </c>
      <c r="F2401" t="inlineStr">
        <is>
          <t>Lipiec</t>
        </is>
      </c>
      <c r="G2401" t="inlineStr">
        <is>
          <t>Śr</t>
        </is>
      </c>
      <c r="H2401">
        <f>'Floor Hours Engine'!$E$4</f>
        <v/>
      </c>
      <c r="I2401" t="inlineStr">
        <is>
          <t>W5</t>
        </is>
      </c>
      <c r="J2401" t="inlineStr">
        <is>
          <t>2027_Lipiec_W5</t>
        </is>
      </c>
    </row>
    <row r="2402">
      <c r="A2402" s="177" t="n">
        <v>46597</v>
      </c>
      <c r="B2402" s="177" t="n">
        <v>46595</v>
      </c>
      <c r="C2402" s="177" t="n">
        <v>46601</v>
      </c>
      <c r="D2402" t="inlineStr">
        <is>
          <t>BW20270727</t>
        </is>
      </c>
      <c r="E2402" t="n">
        <v>2027</v>
      </c>
      <c r="F2402" t="inlineStr">
        <is>
          <t>Lipiec</t>
        </is>
      </c>
      <c r="G2402" t="inlineStr">
        <is>
          <t>Czw</t>
        </is>
      </c>
      <c r="H2402">
        <f>'Floor Hours Engine'!$E$4</f>
        <v/>
      </c>
      <c r="I2402" t="inlineStr">
        <is>
          <t>W5</t>
        </is>
      </c>
      <c r="J2402" t="inlineStr">
        <is>
          <t>2027_Lipiec_W5</t>
        </is>
      </c>
    </row>
    <row r="2403">
      <c r="A2403" s="177" t="n">
        <v>46598</v>
      </c>
      <c r="B2403" s="177" t="n">
        <v>46595</v>
      </c>
      <c r="C2403" s="177" t="n">
        <v>46601</v>
      </c>
      <c r="D2403" t="inlineStr">
        <is>
          <t>BW20270727</t>
        </is>
      </c>
      <c r="E2403" t="n">
        <v>2027</v>
      </c>
      <c r="F2403" t="inlineStr">
        <is>
          <t>Lipiec</t>
        </is>
      </c>
      <c r="G2403" t="inlineStr">
        <is>
          <t>Pt</t>
        </is>
      </c>
      <c r="H2403">
        <f>'Floor Hours Engine'!$E$5</f>
        <v/>
      </c>
      <c r="I2403" t="inlineStr">
        <is>
          <t>W5</t>
        </is>
      </c>
      <c r="J2403" t="inlineStr">
        <is>
          <t>2027_Lipiec_W5</t>
        </is>
      </c>
    </row>
    <row r="2404">
      <c r="A2404" s="177" t="n">
        <v>46599</v>
      </c>
      <c r="B2404" s="177" t="n">
        <v>46595</v>
      </c>
      <c r="C2404" s="177" t="n">
        <v>46601</v>
      </c>
      <c r="D2404" t="inlineStr">
        <is>
          <t>BW20270727</t>
        </is>
      </c>
      <c r="E2404" t="n">
        <v>2027</v>
      </c>
      <c r="F2404" t="inlineStr">
        <is>
          <t>Lipiec</t>
        </is>
      </c>
      <c r="G2404" t="inlineStr">
        <is>
          <t>Sob</t>
        </is>
      </c>
      <c r="H2404">
        <f>'Floor Hours Engine'!$E$5</f>
        <v/>
      </c>
      <c r="I2404" t="inlineStr">
        <is>
          <t>W5</t>
        </is>
      </c>
      <c r="J2404" t="inlineStr">
        <is>
          <t>2027_Lipiec_W5</t>
        </is>
      </c>
    </row>
    <row r="2405">
      <c r="A2405" s="177" t="n">
        <v>46600</v>
      </c>
      <c r="B2405" s="177" t="n">
        <v>46595</v>
      </c>
      <c r="C2405" s="177" t="n">
        <v>46601</v>
      </c>
      <c r="D2405" t="inlineStr">
        <is>
          <t>BW20270727</t>
        </is>
      </c>
      <c r="E2405" t="n">
        <v>2027</v>
      </c>
      <c r="F2405" t="inlineStr">
        <is>
          <t>Sierpień</t>
        </is>
      </c>
      <c r="G2405" t="inlineStr">
        <is>
          <t>Nd</t>
        </is>
      </c>
      <c r="H2405">
        <f>'Floor Hours Engine'!$E$6</f>
        <v/>
      </c>
      <c r="I2405" t="inlineStr">
        <is>
          <t>W1</t>
        </is>
      </c>
      <c r="J2405" t="inlineStr">
        <is>
          <t>2027_Sierpień_W1</t>
        </is>
      </c>
    </row>
    <row r="2406">
      <c r="A2406" s="177" t="n">
        <v>46601</v>
      </c>
      <c r="B2406" s="177" t="n">
        <v>46595</v>
      </c>
      <c r="C2406" s="177" t="n">
        <v>46601</v>
      </c>
      <c r="D2406" t="inlineStr">
        <is>
          <t>BW20270727</t>
        </is>
      </c>
      <c r="E2406" t="n">
        <v>2027</v>
      </c>
      <c r="F2406" t="inlineStr">
        <is>
          <t>Sierpień</t>
        </is>
      </c>
      <c r="G2406" t="inlineStr">
        <is>
          <t>Pn</t>
        </is>
      </c>
      <c r="H2406">
        <f>'Floor Hours Engine'!$E$4</f>
        <v/>
      </c>
      <c r="I2406" t="inlineStr">
        <is>
          <t>W1</t>
        </is>
      </c>
      <c r="J2406" t="inlineStr">
        <is>
          <t>2027_Sierpień_W1</t>
        </is>
      </c>
    </row>
    <row r="2407">
      <c r="A2407" s="177" t="n">
        <v>46602</v>
      </c>
      <c r="B2407" s="177" t="n">
        <v>46602</v>
      </c>
      <c r="C2407" s="177" t="n">
        <v>46608</v>
      </c>
      <c r="D2407" t="inlineStr">
        <is>
          <t>BW20270803</t>
        </is>
      </c>
      <c r="E2407" t="n">
        <v>2027</v>
      </c>
      <c r="F2407" t="inlineStr">
        <is>
          <t>Sierpień</t>
        </is>
      </c>
      <c r="G2407" t="inlineStr">
        <is>
          <t>Wt</t>
        </is>
      </c>
      <c r="H2407">
        <f>'Floor Hours Engine'!$E$4</f>
        <v/>
      </c>
      <c r="I2407" t="inlineStr">
        <is>
          <t>W2</t>
        </is>
      </c>
      <c r="J2407" t="inlineStr">
        <is>
          <t>2027_Sierpień_W2</t>
        </is>
      </c>
    </row>
    <row r="2408">
      <c r="A2408" s="177" t="n">
        <v>46603</v>
      </c>
      <c r="B2408" s="177" t="n">
        <v>46602</v>
      </c>
      <c r="C2408" s="177" t="n">
        <v>46608</v>
      </c>
      <c r="D2408" t="inlineStr">
        <is>
          <t>BW20270803</t>
        </is>
      </c>
      <c r="E2408" t="n">
        <v>2027</v>
      </c>
      <c r="F2408" t="inlineStr">
        <is>
          <t>Sierpień</t>
        </is>
      </c>
      <c r="G2408" t="inlineStr">
        <is>
          <t>Śr</t>
        </is>
      </c>
      <c r="H2408">
        <f>'Floor Hours Engine'!$E$4</f>
        <v/>
      </c>
      <c r="I2408" t="inlineStr">
        <is>
          <t>W2</t>
        </is>
      </c>
      <c r="J2408" t="inlineStr">
        <is>
          <t>2027_Sierpień_W2</t>
        </is>
      </c>
    </row>
    <row r="2409">
      <c r="A2409" s="177" t="n">
        <v>46604</v>
      </c>
      <c r="B2409" s="177" t="n">
        <v>46602</v>
      </c>
      <c r="C2409" s="177" t="n">
        <v>46608</v>
      </c>
      <c r="D2409" t="inlineStr">
        <is>
          <t>BW20270803</t>
        </is>
      </c>
      <c r="E2409" t="n">
        <v>2027</v>
      </c>
      <c r="F2409" t="inlineStr">
        <is>
          <t>Sierpień</t>
        </is>
      </c>
      <c r="G2409" t="inlineStr">
        <is>
          <t>Czw</t>
        </is>
      </c>
      <c r="H2409">
        <f>'Floor Hours Engine'!$E$4</f>
        <v/>
      </c>
      <c r="I2409" t="inlineStr">
        <is>
          <t>W2</t>
        </is>
      </c>
      <c r="J2409" t="inlineStr">
        <is>
          <t>2027_Sierpień_W2</t>
        </is>
      </c>
    </row>
    <row r="2410">
      <c r="A2410" s="177" t="n">
        <v>46605</v>
      </c>
      <c r="B2410" s="177" t="n">
        <v>46602</v>
      </c>
      <c r="C2410" s="177" t="n">
        <v>46608</v>
      </c>
      <c r="D2410" t="inlineStr">
        <is>
          <t>BW20270803</t>
        </is>
      </c>
      <c r="E2410" t="n">
        <v>2027</v>
      </c>
      <c r="F2410" t="inlineStr">
        <is>
          <t>Sierpień</t>
        </is>
      </c>
      <c r="G2410" t="inlineStr">
        <is>
          <t>Pt</t>
        </is>
      </c>
      <c r="H2410">
        <f>'Floor Hours Engine'!$E$5</f>
        <v/>
      </c>
      <c r="I2410" t="inlineStr">
        <is>
          <t>W2</t>
        </is>
      </c>
      <c r="J2410" t="inlineStr">
        <is>
          <t>2027_Sierpień_W2</t>
        </is>
      </c>
    </row>
    <row r="2411">
      <c r="A2411" s="177" t="n">
        <v>46606</v>
      </c>
      <c r="B2411" s="177" t="n">
        <v>46602</v>
      </c>
      <c r="C2411" s="177" t="n">
        <v>46608</v>
      </c>
      <c r="D2411" t="inlineStr">
        <is>
          <t>BW20270803</t>
        </is>
      </c>
      <c r="E2411" t="n">
        <v>2027</v>
      </c>
      <c r="F2411" t="inlineStr">
        <is>
          <t>Sierpień</t>
        </is>
      </c>
      <c r="G2411" t="inlineStr">
        <is>
          <t>Sob</t>
        </is>
      </c>
      <c r="H2411">
        <f>'Floor Hours Engine'!$E$5</f>
        <v/>
      </c>
      <c r="I2411" t="inlineStr">
        <is>
          <t>W2</t>
        </is>
      </c>
      <c r="J2411" t="inlineStr">
        <is>
          <t>2027_Sierpień_W2</t>
        </is>
      </c>
    </row>
    <row r="2412">
      <c r="A2412" s="177" t="n">
        <v>46607</v>
      </c>
      <c r="B2412" s="177" t="n">
        <v>46602</v>
      </c>
      <c r="C2412" s="177" t="n">
        <v>46608</v>
      </c>
      <c r="D2412" t="inlineStr">
        <is>
          <t>BW20270803</t>
        </is>
      </c>
      <c r="E2412" t="n">
        <v>2027</v>
      </c>
      <c r="F2412" t="inlineStr">
        <is>
          <t>Sierpień</t>
        </is>
      </c>
      <c r="G2412" t="inlineStr">
        <is>
          <t>Nd</t>
        </is>
      </c>
      <c r="H2412">
        <f>'Floor Hours Engine'!$E$6</f>
        <v/>
      </c>
      <c r="I2412" t="inlineStr">
        <is>
          <t>W2</t>
        </is>
      </c>
      <c r="J2412" t="inlineStr">
        <is>
          <t>2027_Sierpień_W2</t>
        </is>
      </c>
    </row>
    <row r="2413">
      <c r="A2413" s="177" t="n">
        <v>46608</v>
      </c>
      <c r="B2413" s="177" t="n">
        <v>46602</v>
      </c>
      <c r="C2413" s="177" t="n">
        <v>46608</v>
      </c>
      <c r="D2413" t="inlineStr">
        <is>
          <t>BW20270803</t>
        </is>
      </c>
      <c r="E2413" t="n">
        <v>2027</v>
      </c>
      <c r="F2413" t="inlineStr">
        <is>
          <t>Sierpień</t>
        </is>
      </c>
      <c r="G2413" t="inlineStr">
        <is>
          <t>Pn</t>
        </is>
      </c>
      <c r="H2413">
        <f>'Floor Hours Engine'!$E$4</f>
        <v/>
      </c>
      <c r="I2413" t="inlineStr">
        <is>
          <t>W2</t>
        </is>
      </c>
      <c r="J2413" t="inlineStr">
        <is>
          <t>2027_Sierpień_W2</t>
        </is>
      </c>
    </row>
    <row r="2414">
      <c r="A2414" s="177" t="n">
        <v>46609</v>
      </c>
      <c r="B2414" s="177" t="n">
        <v>46609</v>
      </c>
      <c r="C2414" s="177" t="n">
        <v>46615</v>
      </c>
      <c r="D2414" t="inlineStr">
        <is>
          <t>BW20270810</t>
        </is>
      </c>
      <c r="E2414" t="n">
        <v>2027</v>
      </c>
      <c r="F2414" t="inlineStr">
        <is>
          <t>Sierpień</t>
        </is>
      </c>
      <c r="G2414" t="inlineStr">
        <is>
          <t>Wt</t>
        </is>
      </c>
      <c r="H2414">
        <f>'Floor Hours Engine'!$E$4</f>
        <v/>
      </c>
      <c r="I2414" t="inlineStr">
        <is>
          <t>W3</t>
        </is>
      </c>
      <c r="J2414" t="inlineStr">
        <is>
          <t>2027_Sierpień_W3</t>
        </is>
      </c>
    </row>
    <row r="2415">
      <c r="A2415" s="177" t="n">
        <v>46610</v>
      </c>
      <c r="B2415" s="177" t="n">
        <v>46609</v>
      </c>
      <c r="C2415" s="177" t="n">
        <v>46615</v>
      </c>
      <c r="D2415" t="inlineStr">
        <is>
          <t>BW20270810</t>
        </is>
      </c>
      <c r="E2415" t="n">
        <v>2027</v>
      </c>
      <c r="F2415" t="inlineStr">
        <is>
          <t>Sierpień</t>
        </is>
      </c>
      <c r="G2415" t="inlineStr">
        <is>
          <t>Śr</t>
        </is>
      </c>
      <c r="H2415">
        <f>'Floor Hours Engine'!$E$4</f>
        <v/>
      </c>
      <c r="I2415" t="inlineStr">
        <is>
          <t>W3</t>
        </is>
      </c>
      <c r="J2415" t="inlineStr">
        <is>
          <t>2027_Sierpień_W3</t>
        </is>
      </c>
    </row>
    <row r="2416">
      <c r="A2416" s="177" t="n">
        <v>46611</v>
      </c>
      <c r="B2416" s="177" t="n">
        <v>46609</v>
      </c>
      <c r="C2416" s="177" t="n">
        <v>46615</v>
      </c>
      <c r="D2416" t="inlineStr">
        <is>
          <t>BW20270810</t>
        </is>
      </c>
      <c r="E2416" t="n">
        <v>2027</v>
      </c>
      <c r="F2416" t="inlineStr">
        <is>
          <t>Sierpień</t>
        </is>
      </c>
      <c r="G2416" t="inlineStr">
        <is>
          <t>Czw</t>
        </is>
      </c>
      <c r="H2416">
        <f>'Floor Hours Engine'!$E$4</f>
        <v/>
      </c>
      <c r="I2416" t="inlineStr">
        <is>
          <t>W3</t>
        </is>
      </c>
      <c r="J2416" t="inlineStr">
        <is>
          <t>2027_Sierpień_W3</t>
        </is>
      </c>
    </row>
    <row r="2417">
      <c r="A2417" s="177" t="n">
        <v>46612</v>
      </c>
      <c r="B2417" s="177" t="n">
        <v>46609</v>
      </c>
      <c r="C2417" s="177" t="n">
        <v>46615</v>
      </c>
      <c r="D2417" t="inlineStr">
        <is>
          <t>BW20270810</t>
        </is>
      </c>
      <c r="E2417" t="n">
        <v>2027</v>
      </c>
      <c r="F2417" t="inlineStr">
        <is>
          <t>Sierpień</t>
        </is>
      </c>
      <c r="G2417" t="inlineStr">
        <is>
          <t>Pt</t>
        </is>
      </c>
      <c r="H2417">
        <f>'Floor Hours Engine'!$E$5</f>
        <v/>
      </c>
      <c r="I2417" t="inlineStr">
        <is>
          <t>W3</t>
        </is>
      </c>
      <c r="J2417" t="inlineStr">
        <is>
          <t>2027_Sierpień_W3</t>
        </is>
      </c>
    </row>
    <row r="2418">
      <c r="A2418" s="177" t="n">
        <v>46613</v>
      </c>
      <c r="B2418" s="177" t="n">
        <v>46609</v>
      </c>
      <c r="C2418" s="177" t="n">
        <v>46615</v>
      </c>
      <c r="D2418" t="inlineStr">
        <is>
          <t>BW20270810</t>
        </is>
      </c>
      <c r="E2418" t="n">
        <v>2027</v>
      </c>
      <c r="F2418" t="inlineStr">
        <is>
          <t>Sierpień</t>
        </is>
      </c>
      <c r="G2418" t="inlineStr">
        <is>
          <t>Sob</t>
        </is>
      </c>
      <c r="H2418">
        <f>'Floor Hours Engine'!$E$5</f>
        <v/>
      </c>
      <c r="I2418" t="inlineStr">
        <is>
          <t>W3</t>
        </is>
      </c>
      <c r="J2418" t="inlineStr">
        <is>
          <t>2027_Sierpień_W3</t>
        </is>
      </c>
    </row>
    <row r="2419">
      <c r="A2419" s="177" t="n">
        <v>46614</v>
      </c>
      <c r="B2419" s="177" t="n">
        <v>46609</v>
      </c>
      <c r="C2419" s="177" t="n">
        <v>46615</v>
      </c>
      <c r="D2419" t="inlineStr">
        <is>
          <t>BW20270810</t>
        </is>
      </c>
      <c r="E2419" t="n">
        <v>2027</v>
      </c>
      <c r="F2419" t="inlineStr">
        <is>
          <t>Sierpień</t>
        </is>
      </c>
      <c r="G2419" t="inlineStr">
        <is>
          <t>Nd</t>
        </is>
      </c>
      <c r="H2419">
        <f>'Floor Hours Engine'!$E$6</f>
        <v/>
      </c>
      <c r="I2419" t="inlineStr">
        <is>
          <t>W3</t>
        </is>
      </c>
      <c r="J2419" t="inlineStr">
        <is>
          <t>2027_Sierpień_W3</t>
        </is>
      </c>
    </row>
    <row r="2420">
      <c r="A2420" s="177" t="n">
        <v>46615</v>
      </c>
      <c r="B2420" s="177" t="n">
        <v>46609</v>
      </c>
      <c r="C2420" s="177" t="n">
        <v>46615</v>
      </c>
      <c r="D2420" t="inlineStr">
        <is>
          <t>BW20270810</t>
        </is>
      </c>
      <c r="E2420" t="n">
        <v>2027</v>
      </c>
      <c r="F2420" t="inlineStr">
        <is>
          <t>Sierpień</t>
        </is>
      </c>
      <c r="G2420" t="inlineStr">
        <is>
          <t>Pn</t>
        </is>
      </c>
      <c r="H2420">
        <f>'Floor Hours Engine'!$E$4</f>
        <v/>
      </c>
      <c r="I2420" t="inlineStr">
        <is>
          <t>W3</t>
        </is>
      </c>
      <c r="J2420" t="inlineStr">
        <is>
          <t>2027_Sierpień_W3</t>
        </is>
      </c>
    </row>
    <row r="2421">
      <c r="A2421" s="177" t="n">
        <v>46616</v>
      </c>
      <c r="B2421" s="177" t="n">
        <v>46616</v>
      </c>
      <c r="C2421" s="177" t="n">
        <v>46622</v>
      </c>
      <c r="D2421" t="inlineStr">
        <is>
          <t>BW20270817</t>
        </is>
      </c>
      <c r="E2421" t="n">
        <v>2027</v>
      </c>
      <c r="F2421" t="inlineStr">
        <is>
          <t>Sierpień</t>
        </is>
      </c>
      <c r="G2421" t="inlineStr">
        <is>
          <t>Wt</t>
        </is>
      </c>
      <c r="H2421">
        <f>'Floor Hours Engine'!$E$4</f>
        <v/>
      </c>
      <c r="I2421" t="inlineStr">
        <is>
          <t>W4</t>
        </is>
      </c>
      <c r="J2421" t="inlineStr">
        <is>
          <t>2027_Sierpień_W4</t>
        </is>
      </c>
    </row>
    <row r="2422">
      <c r="A2422" s="177" t="n">
        <v>46617</v>
      </c>
      <c r="B2422" s="177" t="n">
        <v>46616</v>
      </c>
      <c r="C2422" s="177" t="n">
        <v>46622</v>
      </c>
      <c r="D2422" t="inlineStr">
        <is>
          <t>BW20270817</t>
        </is>
      </c>
      <c r="E2422" t="n">
        <v>2027</v>
      </c>
      <c r="F2422" t="inlineStr">
        <is>
          <t>Sierpień</t>
        </is>
      </c>
      <c r="G2422" t="inlineStr">
        <is>
          <t>Śr</t>
        </is>
      </c>
      <c r="H2422">
        <f>'Floor Hours Engine'!$E$4</f>
        <v/>
      </c>
      <c r="I2422" t="inlineStr">
        <is>
          <t>W4</t>
        </is>
      </c>
      <c r="J2422" t="inlineStr">
        <is>
          <t>2027_Sierpień_W4</t>
        </is>
      </c>
    </row>
    <row r="2423">
      <c r="A2423" s="177" t="n">
        <v>46618</v>
      </c>
      <c r="B2423" s="177" t="n">
        <v>46616</v>
      </c>
      <c r="C2423" s="177" t="n">
        <v>46622</v>
      </c>
      <c r="D2423" t="inlineStr">
        <is>
          <t>BW20270817</t>
        </is>
      </c>
      <c r="E2423" t="n">
        <v>2027</v>
      </c>
      <c r="F2423" t="inlineStr">
        <is>
          <t>Sierpień</t>
        </is>
      </c>
      <c r="G2423" t="inlineStr">
        <is>
          <t>Czw</t>
        </is>
      </c>
      <c r="H2423">
        <f>'Floor Hours Engine'!$E$4</f>
        <v/>
      </c>
      <c r="I2423" t="inlineStr">
        <is>
          <t>W4</t>
        </is>
      </c>
      <c r="J2423" t="inlineStr">
        <is>
          <t>2027_Sierpień_W4</t>
        </is>
      </c>
    </row>
    <row r="2424">
      <c r="A2424" s="177" t="n">
        <v>46619</v>
      </c>
      <c r="B2424" s="177" t="n">
        <v>46616</v>
      </c>
      <c r="C2424" s="177" t="n">
        <v>46622</v>
      </c>
      <c r="D2424" t="inlineStr">
        <is>
          <t>BW20270817</t>
        </is>
      </c>
      <c r="E2424" t="n">
        <v>2027</v>
      </c>
      <c r="F2424" t="inlineStr">
        <is>
          <t>Sierpień</t>
        </is>
      </c>
      <c r="G2424" t="inlineStr">
        <is>
          <t>Pt</t>
        </is>
      </c>
      <c r="H2424">
        <f>'Floor Hours Engine'!$E$5</f>
        <v/>
      </c>
      <c r="I2424" t="inlineStr">
        <is>
          <t>W4</t>
        </is>
      </c>
      <c r="J2424" t="inlineStr">
        <is>
          <t>2027_Sierpień_W4</t>
        </is>
      </c>
    </row>
    <row r="2425">
      <c r="A2425" s="177" t="n">
        <v>46620</v>
      </c>
      <c r="B2425" s="177" t="n">
        <v>46616</v>
      </c>
      <c r="C2425" s="177" t="n">
        <v>46622</v>
      </c>
      <c r="D2425" t="inlineStr">
        <is>
          <t>BW20270817</t>
        </is>
      </c>
      <c r="E2425" t="n">
        <v>2027</v>
      </c>
      <c r="F2425" t="inlineStr">
        <is>
          <t>Sierpień</t>
        </is>
      </c>
      <c r="G2425" t="inlineStr">
        <is>
          <t>Sob</t>
        </is>
      </c>
      <c r="H2425">
        <f>'Floor Hours Engine'!$E$5</f>
        <v/>
      </c>
      <c r="I2425" t="inlineStr">
        <is>
          <t>W4</t>
        </is>
      </c>
      <c r="J2425" t="inlineStr">
        <is>
          <t>2027_Sierpień_W4</t>
        </is>
      </c>
    </row>
    <row r="2426">
      <c r="A2426" s="177" t="n">
        <v>46621</v>
      </c>
      <c r="B2426" s="177" t="n">
        <v>46616</v>
      </c>
      <c r="C2426" s="177" t="n">
        <v>46622</v>
      </c>
      <c r="D2426" t="inlineStr">
        <is>
          <t>BW20270817</t>
        </is>
      </c>
      <c r="E2426" t="n">
        <v>2027</v>
      </c>
      <c r="F2426" t="inlineStr">
        <is>
          <t>Sierpień</t>
        </is>
      </c>
      <c r="G2426" t="inlineStr">
        <is>
          <t>Nd</t>
        </is>
      </c>
      <c r="H2426">
        <f>'Floor Hours Engine'!$E$6</f>
        <v/>
      </c>
      <c r="I2426" t="inlineStr">
        <is>
          <t>W4</t>
        </is>
      </c>
      <c r="J2426" t="inlineStr">
        <is>
          <t>2027_Sierpień_W4</t>
        </is>
      </c>
    </row>
    <row r="2427">
      <c r="A2427" s="177" t="n">
        <v>46622</v>
      </c>
      <c r="B2427" s="177" t="n">
        <v>46616</v>
      </c>
      <c r="C2427" s="177" t="n">
        <v>46622</v>
      </c>
      <c r="D2427" t="inlineStr">
        <is>
          <t>BW20270817</t>
        </is>
      </c>
      <c r="E2427" t="n">
        <v>2027</v>
      </c>
      <c r="F2427" t="inlineStr">
        <is>
          <t>Sierpień</t>
        </is>
      </c>
      <c r="G2427" t="inlineStr">
        <is>
          <t>Pn</t>
        </is>
      </c>
      <c r="H2427">
        <f>'Floor Hours Engine'!$E$4</f>
        <v/>
      </c>
      <c r="I2427" t="inlineStr">
        <is>
          <t>W4</t>
        </is>
      </c>
      <c r="J2427" t="inlineStr">
        <is>
          <t>2027_Sierpień_W4</t>
        </is>
      </c>
    </row>
    <row r="2428">
      <c r="A2428" s="177" t="n">
        <v>46623</v>
      </c>
      <c r="B2428" s="177" t="n">
        <v>46623</v>
      </c>
      <c r="C2428" s="177" t="n">
        <v>46629</v>
      </c>
      <c r="D2428" t="inlineStr">
        <is>
          <t>BW20270824</t>
        </is>
      </c>
      <c r="E2428" t="n">
        <v>2027</v>
      </c>
      <c r="F2428" t="inlineStr">
        <is>
          <t>Sierpień</t>
        </is>
      </c>
      <c r="G2428" t="inlineStr">
        <is>
          <t>Wt</t>
        </is>
      </c>
      <c r="H2428">
        <f>'Floor Hours Engine'!$E$4</f>
        <v/>
      </c>
      <c r="I2428" t="inlineStr">
        <is>
          <t>W5</t>
        </is>
      </c>
      <c r="J2428" t="inlineStr">
        <is>
          <t>2027_Sierpień_W5</t>
        </is>
      </c>
    </row>
    <row r="2429">
      <c r="A2429" s="177" t="n">
        <v>46624</v>
      </c>
      <c r="B2429" s="177" t="n">
        <v>46623</v>
      </c>
      <c r="C2429" s="177" t="n">
        <v>46629</v>
      </c>
      <c r="D2429" t="inlineStr">
        <is>
          <t>BW20270824</t>
        </is>
      </c>
      <c r="E2429" t="n">
        <v>2027</v>
      </c>
      <c r="F2429" t="inlineStr">
        <is>
          <t>Sierpień</t>
        </is>
      </c>
      <c r="G2429" t="inlineStr">
        <is>
          <t>Śr</t>
        </is>
      </c>
      <c r="H2429">
        <f>'Floor Hours Engine'!$E$4</f>
        <v/>
      </c>
      <c r="I2429" t="inlineStr">
        <is>
          <t>W5</t>
        </is>
      </c>
      <c r="J2429" t="inlineStr">
        <is>
          <t>2027_Sierpień_W5</t>
        </is>
      </c>
    </row>
    <row r="2430">
      <c r="A2430" s="177" t="n">
        <v>46625</v>
      </c>
      <c r="B2430" s="177" t="n">
        <v>46623</v>
      </c>
      <c r="C2430" s="177" t="n">
        <v>46629</v>
      </c>
      <c r="D2430" t="inlineStr">
        <is>
          <t>BW20270824</t>
        </is>
      </c>
      <c r="E2430" t="n">
        <v>2027</v>
      </c>
      <c r="F2430" t="inlineStr">
        <is>
          <t>Sierpień</t>
        </is>
      </c>
      <c r="G2430" t="inlineStr">
        <is>
          <t>Czw</t>
        </is>
      </c>
      <c r="H2430">
        <f>'Floor Hours Engine'!$E$4</f>
        <v/>
      </c>
      <c r="I2430" t="inlineStr">
        <is>
          <t>W5</t>
        </is>
      </c>
      <c r="J2430" t="inlineStr">
        <is>
          <t>2027_Sierpień_W5</t>
        </is>
      </c>
    </row>
    <row r="2431">
      <c r="A2431" s="177" t="n">
        <v>46626</v>
      </c>
      <c r="B2431" s="177" t="n">
        <v>46623</v>
      </c>
      <c r="C2431" s="177" t="n">
        <v>46629</v>
      </c>
      <c r="D2431" t="inlineStr">
        <is>
          <t>BW20270824</t>
        </is>
      </c>
      <c r="E2431" t="n">
        <v>2027</v>
      </c>
      <c r="F2431" t="inlineStr">
        <is>
          <t>Sierpień</t>
        </is>
      </c>
      <c r="G2431" t="inlineStr">
        <is>
          <t>Pt</t>
        </is>
      </c>
      <c r="H2431">
        <f>'Floor Hours Engine'!$E$5</f>
        <v/>
      </c>
      <c r="I2431" t="inlineStr">
        <is>
          <t>W5</t>
        </is>
      </c>
      <c r="J2431" t="inlineStr">
        <is>
          <t>2027_Sierpień_W5</t>
        </is>
      </c>
    </row>
    <row r="2432">
      <c r="A2432" s="177" t="n">
        <v>46627</v>
      </c>
      <c r="B2432" s="177" t="n">
        <v>46623</v>
      </c>
      <c r="C2432" s="177" t="n">
        <v>46629</v>
      </c>
      <c r="D2432" t="inlineStr">
        <is>
          <t>BW20270824</t>
        </is>
      </c>
      <c r="E2432" t="n">
        <v>2027</v>
      </c>
      <c r="F2432" t="inlineStr">
        <is>
          <t>Sierpień</t>
        </is>
      </c>
      <c r="G2432" t="inlineStr">
        <is>
          <t>Sob</t>
        </is>
      </c>
      <c r="H2432">
        <f>'Floor Hours Engine'!$E$5</f>
        <v/>
      </c>
      <c r="I2432" t="inlineStr">
        <is>
          <t>W5</t>
        </is>
      </c>
      <c r="J2432" t="inlineStr">
        <is>
          <t>2027_Sierpień_W5</t>
        </is>
      </c>
    </row>
    <row r="2433">
      <c r="A2433" s="177" t="n">
        <v>46628</v>
      </c>
      <c r="B2433" s="177" t="n">
        <v>46623</v>
      </c>
      <c r="C2433" s="177" t="n">
        <v>46629</v>
      </c>
      <c r="D2433" t="inlineStr">
        <is>
          <t>BW20270824</t>
        </is>
      </c>
      <c r="E2433" t="n">
        <v>2027</v>
      </c>
      <c r="F2433" t="inlineStr">
        <is>
          <t>Sierpień</t>
        </is>
      </c>
      <c r="G2433" t="inlineStr">
        <is>
          <t>Nd</t>
        </is>
      </c>
      <c r="H2433">
        <f>'Floor Hours Engine'!$E$6</f>
        <v/>
      </c>
      <c r="I2433" t="inlineStr">
        <is>
          <t>W5</t>
        </is>
      </c>
      <c r="J2433" t="inlineStr">
        <is>
          <t>2027_Sierpień_W5</t>
        </is>
      </c>
    </row>
    <row r="2434">
      <c r="A2434" s="177" t="n">
        <v>46629</v>
      </c>
      <c r="B2434" s="177" t="n">
        <v>46623</v>
      </c>
      <c r="C2434" s="177" t="n">
        <v>46629</v>
      </c>
      <c r="D2434" t="inlineStr">
        <is>
          <t>BW20270824</t>
        </is>
      </c>
      <c r="E2434" t="n">
        <v>2027</v>
      </c>
      <c r="F2434" t="inlineStr">
        <is>
          <t>Sierpień</t>
        </is>
      </c>
      <c r="G2434" t="inlineStr">
        <is>
          <t>Pn</t>
        </is>
      </c>
      <c r="H2434">
        <f>'Floor Hours Engine'!$E$4</f>
        <v/>
      </c>
      <c r="I2434" t="inlineStr">
        <is>
          <t>W5</t>
        </is>
      </c>
      <c r="J2434" t="inlineStr">
        <is>
          <t>2027_Sierpień_W5</t>
        </is>
      </c>
    </row>
    <row r="2435">
      <c r="A2435" s="177" t="n">
        <v>46630</v>
      </c>
      <c r="B2435" s="177" t="n">
        <v>46630</v>
      </c>
      <c r="C2435" s="177" t="n">
        <v>46636</v>
      </c>
      <c r="D2435" t="inlineStr">
        <is>
          <t>BW20270831</t>
        </is>
      </c>
      <c r="E2435" t="n">
        <v>2027</v>
      </c>
      <c r="F2435" t="inlineStr">
        <is>
          <t>Sierpień</t>
        </is>
      </c>
      <c r="G2435" t="inlineStr">
        <is>
          <t>Wt</t>
        </is>
      </c>
      <c r="H2435">
        <f>'Floor Hours Engine'!$E$4</f>
        <v/>
      </c>
      <c r="I2435" t="inlineStr">
        <is>
          <t>W6</t>
        </is>
      </c>
      <c r="J2435" t="inlineStr">
        <is>
          <t>2027_Sierpień_W6</t>
        </is>
      </c>
    </row>
    <row r="2436">
      <c r="A2436" s="177" t="n">
        <v>46631</v>
      </c>
      <c r="B2436" s="177" t="n">
        <v>46630</v>
      </c>
      <c r="C2436" s="177" t="n">
        <v>46636</v>
      </c>
      <c r="D2436" t="inlineStr">
        <is>
          <t>BW20270831</t>
        </is>
      </c>
      <c r="E2436" t="n">
        <v>2027</v>
      </c>
      <c r="F2436" t="inlineStr">
        <is>
          <t>Wrzesień</t>
        </is>
      </c>
      <c r="G2436" t="inlineStr">
        <is>
          <t>Śr</t>
        </is>
      </c>
      <c r="H2436">
        <f>'Floor Hours Engine'!$E$4</f>
        <v/>
      </c>
      <c r="I2436" t="inlineStr">
        <is>
          <t>W1</t>
        </is>
      </c>
      <c r="J2436" t="inlineStr">
        <is>
          <t>2027_Wrzesień_W1</t>
        </is>
      </c>
    </row>
    <row r="2437">
      <c r="A2437" s="177" t="n">
        <v>46632</v>
      </c>
      <c r="B2437" s="177" t="n">
        <v>46630</v>
      </c>
      <c r="C2437" s="177" t="n">
        <v>46636</v>
      </c>
      <c r="D2437" t="inlineStr">
        <is>
          <t>BW20270831</t>
        </is>
      </c>
      <c r="E2437" t="n">
        <v>2027</v>
      </c>
      <c r="F2437" t="inlineStr">
        <is>
          <t>Wrzesień</t>
        </is>
      </c>
      <c r="G2437" t="inlineStr">
        <is>
          <t>Czw</t>
        </is>
      </c>
      <c r="H2437">
        <f>'Floor Hours Engine'!$E$4</f>
        <v/>
      </c>
      <c r="I2437" t="inlineStr">
        <is>
          <t>W1</t>
        </is>
      </c>
      <c r="J2437" t="inlineStr">
        <is>
          <t>2027_Wrzesień_W1</t>
        </is>
      </c>
    </row>
    <row r="2438">
      <c r="A2438" s="177" t="n">
        <v>46633</v>
      </c>
      <c r="B2438" s="177" t="n">
        <v>46630</v>
      </c>
      <c r="C2438" s="177" t="n">
        <v>46636</v>
      </c>
      <c r="D2438" t="inlineStr">
        <is>
          <t>BW20270831</t>
        </is>
      </c>
      <c r="E2438" t="n">
        <v>2027</v>
      </c>
      <c r="F2438" t="inlineStr">
        <is>
          <t>Wrzesień</t>
        </is>
      </c>
      <c r="G2438" t="inlineStr">
        <is>
          <t>Pt</t>
        </is>
      </c>
      <c r="H2438">
        <f>'Floor Hours Engine'!$E$5</f>
        <v/>
      </c>
      <c r="I2438" t="inlineStr">
        <is>
          <t>W1</t>
        </is>
      </c>
      <c r="J2438" t="inlineStr">
        <is>
          <t>2027_Wrzesień_W1</t>
        </is>
      </c>
    </row>
    <row r="2439">
      <c r="A2439" s="177" t="n">
        <v>46634</v>
      </c>
      <c r="B2439" s="177" t="n">
        <v>46630</v>
      </c>
      <c r="C2439" s="177" t="n">
        <v>46636</v>
      </c>
      <c r="D2439" t="inlineStr">
        <is>
          <t>BW20270831</t>
        </is>
      </c>
      <c r="E2439" t="n">
        <v>2027</v>
      </c>
      <c r="F2439" t="inlineStr">
        <is>
          <t>Wrzesień</t>
        </is>
      </c>
      <c r="G2439" t="inlineStr">
        <is>
          <t>Sob</t>
        </is>
      </c>
      <c r="H2439">
        <f>'Floor Hours Engine'!$E$5</f>
        <v/>
      </c>
      <c r="I2439" t="inlineStr">
        <is>
          <t>W1</t>
        </is>
      </c>
      <c r="J2439" t="inlineStr">
        <is>
          <t>2027_Wrzesień_W1</t>
        </is>
      </c>
    </row>
    <row r="2440">
      <c r="A2440" s="177" t="n">
        <v>46635</v>
      </c>
      <c r="B2440" s="177" t="n">
        <v>46630</v>
      </c>
      <c r="C2440" s="177" t="n">
        <v>46636</v>
      </c>
      <c r="D2440" t="inlineStr">
        <is>
          <t>BW20270831</t>
        </is>
      </c>
      <c r="E2440" t="n">
        <v>2027</v>
      </c>
      <c r="F2440" t="inlineStr">
        <is>
          <t>Wrzesień</t>
        </is>
      </c>
      <c r="G2440" t="inlineStr">
        <is>
          <t>Nd</t>
        </is>
      </c>
      <c r="H2440">
        <f>'Floor Hours Engine'!$E$6</f>
        <v/>
      </c>
      <c r="I2440" t="inlineStr">
        <is>
          <t>W1</t>
        </is>
      </c>
      <c r="J2440" t="inlineStr">
        <is>
          <t>2027_Wrzesień_W1</t>
        </is>
      </c>
    </row>
    <row r="2441">
      <c r="A2441" s="177" t="n">
        <v>46636</v>
      </c>
      <c r="B2441" s="177" t="n">
        <v>46630</v>
      </c>
      <c r="C2441" s="177" t="n">
        <v>46636</v>
      </c>
      <c r="D2441" t="inlineStr">
        <is>
          <t>BW20270831</t>
        </is>
      </c>
      <c r="E2441" t="n">
        <v>2027</v>
      </c>
      <c r="F2441" t="inlineStr">
        <is>
          <t>Wrzesień</t>
        </is>
      </c>
      <c r="G2441" t="inlineStr">
        <is>
          <t>Pn</t>
        </is>
      </c>
      <c r="H2441">
        <f>'Floor Hours Engine'!$E$4</f>
        <v/>
      </c>
      <c r="I2441" t="inlineStr">
        <is>
          <t>W1</t>
        </is>
      </c>
      <c r="J2441" t="inlineStr">
        <is>
          <t>2027_Wrzesień_W1</t>
        </is>
      </c>
    </row>
    <row r="2442">
      <c r="A2442" s="177" t="n">
        <v>46637</v>
      </c>
      <c r="B2442" s="177" t="n">
        <v>46637</v>
      </c>
      <c r="C2442" s="177" t="n">
        <v>46643</v>
      </c>
      <c r="D2442" t="inlineStr">
        <is>
          <t>BW20270907</t>
        </is>
      </c>
      <c r="E2442" t="n">
        <v>2027</v>
      </c>
      <c r="F2442" t="inlineStr">
        <is>
          <t>Wrzesień</t>
        </is>
      </c>
      <c r="G2442" t="inlineStr">
        <is>
          <t>Wt</t>
        </is>
      </c>
      <c r="H2442">
        <f>'Floor Hours Engine'!$E$4</f>
        <v/>
      </c>
      <c r="I2442" t="inlineStr">
        <is>
          <t>W2</t>
        </is>
      </c>
      <c r="J2442" t="inlineStr">
        <is>
          <t>2027_Wrzesień_W2</t>
        </is>
      </c>
    </row>
    <row r="2443">
      <c r="A2443" s="177" t="n">
        <v>46638</v>
      </c>
      <c r="B2443" s="177" t="n">
        <v>46637</v>
      </c>
      <c r="C2443" s="177" t="n">
        <v>46643</v>
      </c>
      <c r="D2443" t="inlineStr">
        <is>
          <t>BW20270907</t>
        </is>
      </c>
      <c r="E2443" t="n">
        <v>2027</v>
      </c>
      <c r="F2443" t="inlineStr">
        <is>
          <t>Wrzesień</t>
        </is>
      </c>
      <c r="G2443" t="inlineStr">
        <is>
          <t>Śr</t>
        </is>
      </c>
      <c r="H2443">
        <f>'Floor Hours Engine'!$E$4</f>
        <v/>
      </c>
      <c r="I2443" t="inlineStr">
        <is>
          <t>W2</t>
        </is>
      </c>
      <c r="J2443" t="inlineStr">
        <is>
          <t>2027_Wrzesień_W2</t>
        </is>
      </c>
    </row>
    <row r="2444">
      <c r="A2444" s="177" t="n">
        <v>46639</v>
      </c>
      <c r="B2444" s="177" t="n">
        <v>46637</v>
      </c>
      <c r="C2444" s="177" t="n">
        <v>46643</v>
      </c>
      <c r="D2444" t="inlineStr">
        <is>
          <t>BW20270907</t>
        </is>
      </c>
      <c r="E2444" t="n">
        <v>2027</v>
      </c>
      <c r="F2444" t="inlineStr">
        <is>
          <t>Wrzesień</t>
        </is>
      </c>
      <c r="G2444" t="inlineStr">
        <is>
          <t>Czw</t>
        </is>
      </c>
      <c r="H2444">
        <f>'Floor Hours Engine'!$E$4</f>
        <v/>
      </c>
      <c r="I2444" t="inlineStr">
        <is>
          <t>W2</t>
        </is>
      </c>
      <c r="J2444" t="inlineStr">
        <is>
          <t>2027_Wrzesień_W2</t>
        </is>
      </c>
    </row>
    <row r="2445">
      <c r="A2445" s="177" t="n">
        <v>46640</v>
      </c>
      <c r="B2445" s="177" t="n">
        <v>46637</v>
      </c>
      <c r="C2445" s="177" t="n">
        <v>46643</v>
      </c>
      <c r="D2445" t="inlineStr">
        <is>
          <t>BW20270907</t>
        </is>
      </c>
      <c r="E2445" t="n">
        <v>2027</v>
      </c>
      <c r="F2445" t="inlineStr">
        <is>
          <t>Wrzesień</t>
        </is>
      </c>
      <c r="G2445" t="inlineStr">
        <is>
          <t>Pt</t>
        </is>
      </c>
      <c r="H2445">
        <f>'Floor Hours Engine'!$E$5</f>
        <v/>
      </c>
      <c r="I2445" t="inlineStr">
        <is>
          <t>W2</t>
        </is>
      </c>
      <c r="J2445" t="inlineStr">
        <is>
          <t>2027_Wrzesień_W2</t>
        </is>
      </c>
    </row>
    <row r="2446">
      <c r="A2446" s="177" t="n">
        <v>46641</v>
      </c>
      <c r="B2446" s="177" t="n">
        <v>46637</v>
      </c>
      <c r="C2446" s="177" t="n">
        <v>46643</v>
      </c>
      <c r="D2446" t="inlineStr">
        <is>
          <t>BW20270907</t>
        </is>
      </c>
      <c r="E2446" t="n">
        <v>2027</v>
      </c>
      <c r="F2446" t="inlineStr">
        <is>
          <t>Wrzesień</t>
        </is>
      </c>
      <c r="G2446" t="inlineStr">
        <is>
          <t>Sob</t>
        </is>
      </c>
      <c r="H2446">
        <f>'Floor Hours Engine'!$E$5</f>
        <v/>
      </c>
      <c r="I2446" t="inlineStr">
        <is>
          <t>W2</t>
        </is>
      </c>
      <c r="J2446" t="inlineStr">
        <is>
          <t>2027_Wrzesień_W2</t>
        </is>
      </c>
    </row>
    <row r="2447">
      <c r="A2447" s="177" t="n">
        <v>46642</v>
      </c>
      <c r="B2447" s="177" t="n">
        <v>46637</v>
      </c>
      <c r="C2447" s="177" t="n">
        <v>46643</v>
      </c>
      <c r="D2447" t="inlineStr">
        <is>
          <t>BW20270907</t>
        </is>
      </c>
      <c r="E2447" t="n">
        <v>2027</v>
      </c>
      <c r="F2447" t="inlineStr">
        <is>
          <t>Wrzesień</t>
        </is>
      </c>
      <c r="G2447" t="inlineStr">
        <is>
          <t>Nd</t>
        </is>
      </c>
      <c r="H2447">
        <f>'Floor Hours Engine'!$E$6</f>
        <v/>
      </c>
      <c r="I2447" t="inlineStr">
        <is>
          <t>W2</t>
        </is>
      </c>
      <c r="J2447" t="inlineStr">
        <is>
          <t>2027_Wrzesień_W2</t>
        </is>
      </c>
    </row>
    <row r="2448">
      <c r="A2448" s="177" t="n">
        <v>46643</v>
      </c>
      <c r="B2448" s="177" t="n">
        <v>46637</v>
      </c>
      <c r="C2448" s="177" t="n">
        <v>46643</v>
      </c>
      <c r="D2448" t="inlineStr">
        <is>
          <t>BW20270907</t>
        </is>
      </c>
      <c r="E2448" t="n">
        <v>2027</v>
      </c>
      <c r="F2448" t="inlineStr">
        <is>
          <t>Wrzesień</t>
        </is>
      </c>
      <c r="G2448" t="inlineStr">
        <is>
          <t>Pn</t>
        </is>
      </c>
      <c r="H2448">
        <f>'Floor Hours Engine'!$E$4</f>
        <v/>
      </c>
      <c r="I2448" t="inlineStr">
        <is>
          <t>W2</t>
        </is>
      </c>
      <c r="J2448" t="inlineStr">
        <is>
          <t>2027_Wrzesień_W2</t>
        </is>
      </c>
    </row>
    <row r="2449">
      <c r="A2449" s="177" t="n">
        <v>46644</v>
      </c>
      <c r="B2449" s="177" t="n">
        <v>46644</v>
      </c>
      <c r="C2449" s="177" t="n">
        <v>46650</v>
      </c>
      <c r="D2449" t="inlineStr">
        <is>
          <t>BW20270914</t>
        </is>
      </c>
      <c r="E2449" t="n">
        <v>2027</v>
      </c>
      <c r="F2449" t="inlineStr">
        <is>
          <t>Wrzesień</t>
        </is>
      </c>
      <c r="G2449" t="inlineStr">
        <is>
          <t>Wt</t>
        </is>
      </c>
      <c r="H2449">
        <f>'Floor Hours Engine'!$E$4</f>
        <v/>
      </c>
      <c r="I2449" t="inlineStr">
        <is>
          <t>W3</t>
        </is>
      </c>
      <c r="J2449" t="inlineStr">
        <is>
          <t>2027_Wrzesień_W3</t>
        </is>
      </c>
    </row>
    <row r="2450">
      <c r="A2450" s="177" t="n">
        <v>46645</v>
      </c>
      <c r="B2450" s="177" t="n">
        <v>46644</v>
      </c>
      <c r="C2450" s="177" t="n">
        <v>46650</v>
      </c>
      <c r="D2450" t="inlineStr">
        <is>
          <t>BW20270914</t>
        </is>
      </c>
      <c r="E2450" t="n">
        <v>2027</v>
      </c>
      <c r="F2450" t="inlineStr">
        <is>
          <t>Wrzesień</t>
        </is>
      </c>
      <c r="G2450" t="inlineStr">
        <is>
          <t>Śr</t>
        </is>
      </c>
      <c r="H2450">
        <f>'Floor Hours Engine'!$E$4</f>
        <v/>
      </c>
      <c r="I2450" t="inlineStr">
        <is>
          <t>W3</t>
        </is>
      </c>
      <c r="J2450" t="inlineStr">
        <is>
          <t>2027_Wrzesień_W3</t>
        </is>
      </c>
    </row>
    <row r="2451">
      <c r="A2451" s="177" t="n">
        <v>46646</v>
      </c>
      <c r="B2451" s="177" t="n">
        <v>46644</v>
      </c>
      <c r="C2451" s="177" t="n">
        <v>46650</v>
      </c>
      <c r="D2451" t="inlineStr">
        <is>
          <t>BW20270914</t>
        </is>
      </c>
      <c r="E2451" t="n">
        <v>2027</v>
      </c>
      <c r="F2451" t="inlineStr">
        <is>
          <t>Wrzesień</t>
        </is>
      </c>
      <c r="G2451" t="inlineStr">
        <is>
          <t>Czw</t>
        </is>
      </c>
      <c r="H2451">
        <f>'Floor Hours Engine'!$E$4</f>
        <v/>
      </c>
      <c r="I2451" t="inlineStr">
        <is>
          <t>W3</t>
        </is>
      </c>
      <c r="J2451" t="inlineStr">
        <is>
          <t>2027_Wrzesień_W3</t>
        </is>
      </c>
    </row>
    <row r="2452">
      <c r="A2452" s="177" t="n">
        <v>46647</v>
      </c>
      <c r="B2452" s="177" t="n">
        <v>46644</v>
      </c>
      <c r="C2452" s="177" t="n">
        <v>46650</v>
      </c>
      <c r="D2452" t="inlineStr">
        <is>
          <t>BW20270914</t>
        </is>
      </c>
      <c r="E2452" t="n">
        <v>2027</v>
      </c>
      <c r="F2452" t="inlineStr">
        <is>
          <t>Wrzesień</t>
        </is>
      </c>
      <c r="G2452" t="inlineStr">
        <is>
          <t>Pt</t>
        </is>
      </c>
      <c r="H2452">
        <f>'Floor Hours Engine'!$E$5</f>
        <v/>
      </c>
      <c r="I2452" t="inlineStr">
        <is>
          <t>W3</t>
        </is>
      </c>
      <c r="J2452" t="inlineStr">
        <is>
          <t>2027_Wrzesień_W3</t>
        </is>
      </c>
    </row>
    <row r="2453">
      <c r="A2453" s="177" t="n">
        <v>46648</v>
      </c>
      <c r="B2453" s="177" t="n">
        <v>46644</v>
      </c>
      <c r="C2453" s="177" t="n">
        <v>46650</v>
      </c>
      <c r="D2453" t="inlineStr">
        <is>
          <t>BW20270914</t>
        </is>
      </c>
      <c r="E2453" t="n">
        <v>2027</v>
      </c>
      <c r="F2453" t="inlineStr">
        <is>
          <t>Wrzesień</t>
        </is>
      </c>
      <c r="G2453" t="inlineStr">
        <is>
          <t>Sob</t>
        </is>
      </c>
      <c r="H2453">
        <f>'Floor Hours Engine'!$E$5</f>
        <v/>
      </c>
      <c r="I2453" t="inlineStr">
        <is>
          <t>W3</t>
        </is>
      </c>
      <c r="J2453" t="inlineStr">
        <is>
          <t>2027_Wrzesień_W3</t>
        </is>
      </c>
    </row>
    <row r="2454">
      <c r="A2454" s="177" t="n">
        <v>46649</v>
      </c>
      <c r="B2454" s="177" t="n">
        <v>46644</v>
      </c>
      <c r="C2454" s="177" t="n">
        <v>46650</v>
      </c>
      <c r="D2454" t="inlineStr">
        <is>
          <t>BW20270914</t>
        </is>
      </c>
      <c r="E2454" t="n">
        <v>2027</v>
      </c>
      <c r="F2454" t="inlineStr">
        <is>
          <t>Wrzesień</t>
        </is>
      </c>
      <c r="G2454" t="inlineStr">
        <is>
          <t>Nd</t>
        </is>
      </c>
      <c r="H2454">
        <f>'Floor Hours Engine'!$E$6</f>
        <v/>
      </c>
      <c r="I2454" t="inlineStr">
        <is>
          <t>W3</t>
        </is>
      </c>
      <c r="J2454" t="inlineStr">
        <is>
          <t>2027_Wrzesień_W3</t>
        </is>
      </c>
    </row>
    <row r="2455">
      <c r="A2455" s="177" t="n">
        <v>46650</v>
      </c>
      <c r="B2455" s="177" t="n">
        <v>46644</v>
      </c>
      <c r="C2455" s="177" t="n">
        <v>46650</v>
      </c>
      <c r="D2455" t="inlineStr">
        <is>
          <t>BW20270914</t>
        </is>
      </c>
      <c r="E2455" t="n">
        <v>2027</v>
      </c>
      <c r="F2455" t="inlineStr">
        <is>
          <t>Wrzesień</t>
        </is>
      </c>
      <c r="G2455" t="inlineStr">
        <is>
          <t>Pn</t>
        </is>
      </c>
      <c r="H2455">
        <f>'Floor Hours Engine'!$E$4</f>
        <v/>
      </c>
      <c r="I2455" t="inlineStr">
        <is>
          <t>W3</t>
        </is>
      </c>
      <c r="J2455" t="inlineStr">
        <is>
          <t>2027_Wrzesień_W3</t>
        </is>
      </c>
    </row>
    <row r="2456">
      <c r="A2456" s="177" t="n">
        <v>46651</v>
      </c>
      <c r="B2456" s="177" t="n">
        <v>46651</v>
      </c>
      <c r="C2456" s="177" t="n">
        <v>46657</v>
      </c>
      <c r="D2456" t="inlineStr">
        <is>
          <t>BW20270921</t>
        </is>
      </c>
      <c r="E2456" t="n">
        <v>2027</v>
      </c>
      <c r="F2456" t="inlineStr">
        <is>
          <t>Wrzesień</t>
        </is>
      </c>
      <c r="G2456" t="inlineStr">
        <is>
          <t>Wt</t>
        </is>
      </c>
      <c r="H2456">
        <f>'Floor Hours Engine'!$E$4</f>
        <v/>
      </c>
      <c r="I2456" t="inlineStr">
        <is>
          <t>W4</t>
        </is>
      </c>
      <c r="J2456" t="inlineStr">
        <is>
          <t>2027_Wrzesień_W4</t>
        </is>
      </c>
    </row>
    <row r="2457">
      <c r="A2457" s="177" t="n">
        <v>46652</v>
      </c>
      <c r="B2457" s="177" t="n">
        <v>46651</v>
      </c>
      <c r="C2457" s="177" t="n">
        <v>46657</v>
      </c>
      <c r="D2457" t="inlineStr">
        <is>
          <t>BW20270921</t>
        </is>
      </c>
      <c r="E2457" t="n">
        <v>2027</v>
      </c>
      <c r="F2457" t="inlineStr">
        <is>
          <t>Wrzesień</t>
        </is>
      </c>
      <c r="G2457" t="inlineStr">
        <is>
          <t>Śr</t>
        </is>
      </c>
      <c r="H2457">
        <f>'Floor Hours Engine'!$E$4</f>
        <v/>
      </c>
      <c r="I2457" t="inlineStr">
        <is>
          <t>W4</t>
        </is>
      </c>
      <c r="J2457" t="inlineStr">
        <is>
          <t>2027_Wrzesień_W4</t>
        </is>
      </c>
    </row>
    <row r="2458">
      <c r="A2458" s="177" t="n">
        <v>46653</v>
      </c>
      <c r="B2458" s="177" t="n">
        <v>46651</v>
      </c>
      <c r="C2458" s="177" t="n">
        <v>46657</v>
      </c>
      <c r="D2458" t="inlineStr">
        <is>
          <t>BW20270921</t>
        </is>
      </c>
      <c r="E2458" t="n">
        <v>2027</v>
      </c>
      <c r="F2458" t="inlineStr">
        <is>
          <t>Wrzesień</t>
        </is>
      </c>
      <c r="G2458" t="inlineStr">
        <is>
          <t>Czw</t>
        </is>
      </c>
      <c r="H2458">
        <f>'Floor Hours Engine'!$E$4</f>
        <v/>
      </c>
      <c r="I2458" t="inlineStr">
        <is>
          <t>W4</t>
        </is>
      </c>
      <c r="J2458" t="inlineStr">
        <is>
          <t>2027_Wrzesień_W4</t>
        </is>
      </c>
    </row>
    <row r="2459">
      <c r="A2459" s="177" t="n">
        <v>46654</v>
      </c>
      <c r="B2459" s="177" t="n">
        <v>46651</v>
      </c>
      <c r="C2459" s="177" t="n">
        <v>46657</v>
      </c>
      <c r="D2459" t="inlineStr">
        <is>
          <t>BW20270921</t>
        </is>
      </c>
      <c r="E2459" t="n">
        <v>2027</v>
      </c>
      <c r="F2459" t="inlineStr">
        <is>
          <t>Wrzesień</t>
        </is>
      </c>
      <c r="G2459" t="inlineStr">
        <is>
          <t>Pt</t>
        </is>
      </c>
      <c r="H2459">
        <f>'Floor Hours Engine'!$E$5</f>
        <v/>
      </c>
      <c r="I2459" t="inlineStr">
        <is>
          <t>W4</t>
        </is>
      </c>
      <c r="J2459" t="inlineStr">
        <is>
          <t>2027_Wrzesień_W4</t>
        </is>
      </c>
    </row>
    <row r="2460">
      <c r="A2460" s="177" t="n">
        <v>46655</v>
      </c>
      <c r="B2460" s="177" t="n">
        <v>46651</v>
      </c>
      <c r="C2460" s="177" t="n">
        <v>46657</v>
      </c>
      <c r="D2460" t="inlineStr">
        <is>
          <t>BW20270921</t>
        </is>
      </c>
      <c r="E2460" t="n">
        <v>2027</v>
      </c>
      <c r="F2460" t="inlineStr">
        <is>
          <t>Wrzesień</t>
        </is>
      </c>
      <c r="G2460" t="inlineStr">
        <is>
          <t>Sob</t>
        </is>
      </c>
      <c r="H2460">
        <f>'Floor Hours Engine'!$E$5</f>
        <v/>
      </c>
      <c r="I2460" t="inlineStr">
        <is>
          <t>W4</t>
        </is>
      </c>
      <c r="J2460" t="inlineStr">
        <is>
          <t>2027_Wrzesień_W4</t>
        </is>
      </c>
    </row>
    <row r="2461">
      <c r="A2461" s="177" t="n">
        <v>46656</v>
      </c>
      <c r="B2461" s="177" t="n">
        <v>46651</v>
      </c>
      <c r="C2461" s="177" t="n">
        <v>46657</v>
      </c>
      <c r="D2461" t="inlineStr">
        <is>
          <t>BW20270921</t>
        </is>
      </c>
      <c r="E2461" t="n">
        <v>2027</v>
      </c>
      <c r="F2461" t="inlineStr">
        <is>
          <t>Wrzesień</t>
        </is>
      </c>
      <c r="G2461" t="inlineStr">
        <is>
          <t>Nd</t>
        </is>
      </c>
      <c r="H2461">
        <f>'Floor Hours Engine'!$E$6</f>
        <v/>
      </c>
      <c r="I2461" t="inlineStr">
        <is>
          <t>W4</t>
        </is>
      </c>
      <c r="J2461" t="inlineStr">
        <is>
          <t>2027_Wrzesień_W4</t>
        </is>
      </c>
    </row>
    <row r="2462">
      <c r="A2462" s="177" t="n">
        <v>46657</v>
      </c>
      <c r="B2462" s="177" t="n">
        <v>46651</v>
      </c>
      <c r="C2462" s="177" t="n">
        <v>46657</v>
      </c>
      <c r="D2462" t="inlineStr">
        <is>
          <t>BW20270921</t>
        </is>
      </c>
      <c r="E2462" t="n">
        <v>2027</v>
      </c>
      <c r="F2462" t="inlineStr">
        <is>
          <t>Wrzesień</t>
        </is>
      </c>
      <c r="G2462" t="inlineStr">
        <is>
          <t>Pn</t>
        </is>
      </c>
      <c r="H2462">
        <f>'Floor Hours Engine'!$E$4</f>
        <v/>
      </c>
      <c r="I2462" t="inlineStr">
        <is>
          <t>W4</t>
        </is>
      </c>
      <c r="J2462" t="inlineStr">
        <is>
          <t>2027_Wrzesień_W4</t>
        </is>
      </c>
    </row>
    <row r="2463">
      <c r="A2463" s="177" t="n">
        <v>46658</v>
      </c>
      <c r="B2463" s="177" t="n">
        <v>46658</v>
      </c>
      <c r="C2463" s="177" t="n">
        <v>46664</v>
      </c>
      <c r="D2463" t="inlineStr">
        <is>
          <t>BW20270928</t>
        </is>
      </c>
      <c r="E2463" t="n">
        <v>2027</v>
      </c>
      <c r="F2463" t="inlineStr">
        <is>
          <t>Wrzesień</t>
        </is>
      </c>
      <c r="G2463" t="inlineStr">
        <is>
          <t>Wt</t>
        </is>
      </c>
      <c r="H2463">
        <f>'Floor Hours Engine'!$E$4</f>
        <v/>
      </c>
      <c r="I2463" t="inlineStr">
        <is>
          <t>W5</t>
        </is>
      </c>
      <c r="J2463" t="inlineStr">
        <is>
          <t>2027_Wrzesień_W5</t>
        </is>
      </c>
    </row>
    <row r="2464">
      <c r="A2464" s="177" t="n">
        <v>46659</v>
      </c>
      <c r="B2464" s="177" t="n">
        <v>46658</v>
      </c>
      <c r="C2464" s="177" t="n">
        <v>46664</v>
      </c>
      <c r="D2464" t="inlineStr">
        <is>
          <t>BW20270928</t>
        </is>
      </c>
      <c r="E2464" t="n">
        <v>2027</v>
      </c>
      <c r="F2464" t="inlineStr">
        <is>
          <t>Wrzesień</t>
        </is>
      </c>
      <c r="G2464" t="inlineStr">
        <is>
          <t>Śr</t>
        </is>
      </c>
      <c r="H2464">
        <f>'Floor Hours Engine'!$E$4</f>
        <v/>
      </c>
      <c r="I2464" t="inlineStr">
        <is>
          <t>W5</t>
        </is>
      </c>
      <c r="J2464" t="inlineStr">
        <is>
          <t>2027_Wrzesień_W5</t>
        </is>
      </c>
    </row>
    <row r="2465">
      <c r="A2465" s="177" t="n">
        <v>46660</v>
      </c>
      <c r="B2465" s="177" t="n">
        <v>46658</v>
      </c>
      <c r="C2465" s="177" t="n">
        <v>46664</v>
      </c>
      <c r="D2465" t="inlineStr">
        <is>
          <t>BW20270928</t>
        </is>
      </c>
      <c r="E2465" t="n">
        <v>2027</v>
      </c>
      <c r="F2465" t="inlineStr">
        <is>
          <t>Wrzesień</t>
        </is>
      </c>
      <c r="G2465" t="inlineStr">
        <is>
          <t>Czw</t>
        </is>
      </c>
      <c r="H2465">
        <f>'Floor Hours Engine'!$E$4</f>
        <v/>
      </c>
      <c r="I2465" t="inlineStr">
        <is>
          <t>W5</t>
        </is>
      </c>
      <c r="J2465" t="inlineStr">
        <is>
          <t>2027_Wrzesień_W5</t>
        </is>
      </c>
    </row>
    <row r="2466">
      <c r="A2466" s="177" t="n">
        <v>46661</v>
      </c>
      <c r="B2466" s="177" t="n">
        <v>46658</v>
      </c>
      <c r="C2466" s="177" t="n">
        <v>46664</v>
      </c>
      <c r="D2466" t="inlineStr">
        <is>
          <t>BW20270928</t>
        </is>
      </c>
      <c r="E2466" t="n">
        <v>2027</v>
      </c>
      <c r="F2466" t="inlineStr">
        <is>
          <t>Październik</t>
        </is>
      </c>
      <c r="G2466" t="inlineStr">
        <is>
          <t>Pt</t>
        </is>
      </c>
      <c r="H2466">
        <f>'Floor Hours Engine'!$E$5</f>
        <v/>
      </c>
      <c r="I2466" t="inlineStr">
        <is>
          <t>W1</t>
        </is>
      </c>
      <c r="J2466" t="inlineStr">
        <is>
          <t>2027_Październik_W1</t>
        </is>
      </c>
    </row>
    <row r="2467">
      <c r="A2467" s="177" t="n">
        <v>46662</v>
      </c>
      <c r="B2467" s="177" t="n">
        <v>46658</v>
      </c>
      <c r="C2467" s="177" t="n">
        <v>46664</v>
      </c>
      <c r="D2467" t="inlineStr">
        <is>
          <t>BW20270928</t>
        </is>
      </c>
      <c r="E2467" t="n">
        <v>2027</v>
      </c>
      <c r="F2467" t="inlineStr">
        <is>
          <t>Październik</t>
        </is>
      </c>
      <c r="G2467" t="inlineStr">
        <is>
          <t>Sob</t>
        </is>
      </c>
      <c r="H2467">
        <f>'Floor Hours Engine'!$E$5</f>
        <v/>
      </c>
      <c r="I2467" t="inlineStr">
        <is>
          <t>W1</t>
        </is>
      </c>
      <c r="J2467" t="inlineStr">
        <is>
          <t>2027_Październik_W1</t>
        </is>
      </c>
    </row>
    <row r="2468">
      <c r="A2468" s="177" t="n">
        <v>46663</v>
      </c>
      <c r="B2468" s="177" t="n">
        <v>46658</v>
      </c>
      <c r="C2468" s="177" t="n">
        <v>46664</v>
      </c>
      <c r="D2468" t="inlineStr">
        <is>
          <t>BW20270928</t>
        </is>
      </c>
      <c r="E2468" t="n">
        <v>2027</v>
      </c>
      <c r="F2468" t="inlineStr">
        <is>
          <t>Październik</t>
        </is>
      </c>
      <c r="G2468" t="inlineStr">
        <is>
          <t>Nd</t>
        </is>
      </c>
      <c r="H2468">
        <f>'Floor Hours Engine'!$E$6</f>
        <v/>
      </c>
      <c r="I2468" t="inlineStr">
        <is>
          <t>W1</t>
        </is>
      </c>
      <c r="J2468" t="inlineStr">
        <is>
          <t>2027_Październik_W1</t>
        </is>
      </c>
    </row>
    <row r="2469">
      <c r="A2469" s="177" t="n">
        <v>46664</v>
      </c>
      <c r="B2469" s="177" t="n">
        <v>46658</v>
      </c>
      <c r="C2469" s="177" t="n">
        <v>46664</v>
      </c>
      <c r="D2469" t="inlineStr">
        <is>
          <t>BW20270928</t>
        </is>
      </c>
      <c r="E2469" t="n">
        <v>2027</v>
      </c>
      <c r="F2469" t="inlineStr">
        <is>
          <t>Październik</t>
        </is>
      </c>
      <c r="G2469" t="inlineStr">
        <is>
          <t>Pn</t>
        </is>
      </c>
      <c r="H2469">
        <f>'Floor Hours Engine'!$E$4</f>
        <v/>
      </c>
      <c r="I2469" t="inlineStr">
        <is>
          <t>W1</t>
        </is>
      </c>
      <c r="J2469" t="inlineStr">
        <is>
          <t>2027_Październik_W1</t>
        </is>
      </c>
    </row>
    <row r="2470">
      <c r="A2470" s="177" t="n">
        <v>46665</v>
      </c>
      <c r="B2470" s="177" t="n">
        <v>46665</v>
      </c>
      <c r="C2470" s="177" t="n">
        <v>46671</v>
      </c>
      <c r="D2470" t="inlineStr">
        <is>
          <t>BW20271005</t>
        </is>
      </c>
      <c r="E2470" t="n">
        <v>2027</v>
      </c>
      <c r="F2470" t="inlineStr">
        <is>
          <t>Październik</t>
        </is>
      </c>
      <c r="G2470" t="inlineStr">
        <is>
          <t>Wt</t>
        </is>
      </c>
      <c r="H2470">
        <f>'Floor Hours Engine'!$E$4</f>
        <v/>
      </c>
      <c r="I2470" t="inlineStr">
        <is>
          <t>W2</t>
        </is>
      </c>
      <c r="J2470" t="inlineStr">
        <is>
          <t>2027_Październik_W2</t>
        </is>
      </c>
    </row>
    <row r="2471">
      <c r="A2471" s="177" t="n">
        <v>46666</v>
      </c>
      <c r="B2471" s="177" t="n">
        <v>46665</v>
      </c>
      <c r="C2471" s="177" t="n">
        <v>46671</v>
      </c>
      <c r="D2471" t="inlineStr">
        <is>
          <t>BW20271005</t>
        </is>
      </c>
      <c r="E2471" t="n">
        <v>2027</v>
      </c>
      <c r="F2471" t="inlineStr">
        <is>
          <t>Październik</t>
        </is>
      </c>
      <c r="G2471" t="inlineStr">
        <is>
          <t>Śr</t>
        </is>
      </c>
      <c r="H2471">
        <f>'Floor Hours Engine'!$E$4</f>
        <v/>
      </c>
      <c r="I2471" t="inlineStr">
        <is>
          <t>W2</t>
        </is>
      </c>
      <c r="J2471" t="inlineStr">
        <is>
          <t>2027_Październik_W2</t>
        </is>
      </c>
    </row>
    <row r="2472">
      <c r="A2472" s="177" t="n">
        <v>46667</v>
      </c>
      <c r="B2472" s="177" t="n">
        <v>46665</v>
      </c>
      <c r="C2472" s="177" t="n">
        <v>46671</v>
      </c>
      <c r="D2472" t="inlineStr">
        <is>
          <t>BW20271005</t>
        </is>
      </c>
      <c r="E2472" t="n">
        <v>2027</v>
      </c>
      <c r="F2472" t="inlineStr">
        <is>
          <t>Październik</t>
        </is>
      </c>
      <c r="G2472" t="inlineStr">
        <is>
          <t>Czw</t>
        </is>
      </c>
      <c r="H2472">
        <f>'Floor Hours Engine'!$E$4</f>
        <v/>
      </c>
      <c r="I2472" t="inlineStr">
        <is>
          <t>W2</t>
        </is>
      </c>
      <c r="J2472" t="inlineStr">
        <is>
          <t>2027_Październik_W2</t>
        </is>
      </c>
    </row>
    <row r="2473">
      <c r="A2473" s="177" t="n">
        <v>46668</v>
      </c>
      <c r="B2473" s="177" t="n">
        <v>46665</v>
      </c>
      <c r="C2473" s="177" t="n">
        <v>46671</v>
      </c>
      <c r="D2473" t="inlineStr">
        <is>
          <t>BW20271005</t>
        </is>
      </c>
      <c r="E2473" t="n">
        <v>2027</v>
      </c>
      <c r="F2473" t="inlineStr">
        <is>
          <t>Październik</t>
        </is>
      </c>
      <c r="G2473" t="inlineStr">
        <is>
          <t>Pt</t>
        </is>
      </c>
      <c r="H2473">
        <f>'Floor Hours Engine'!$E$5</f>
        <v/>
      </c>
      <c r="I2473" t="inlineStr">
        <is>
          <t>W2</t>
        </is>
      </c>
      <c r="J2473" t="inlineStr">
        <is>
          <t>2027_Październik_W2</t>
        </is>
      </c>
    </row>
    <row r="2474">
      <c r="A2474" s="177" t="n">
        <v>46669</v>
      </c>
      <c r="B2474" s="177" t="n">
        <v>46665</v>
      </c>
      <c r="C2474" s="177" t="n">
        <v>46671</v>
      </c>
      <c r="D2474" t="inlineStr">
        <is>
          <t>BW20271005</t>
        </is>
      </c>
      <c r="E2474" t="n">
        <v>2027</v>
      </c>
      <c r="F2474" t="inlineStr">
        <is>
          <t>Październik</t>
        </is>
      </c>
      <c r="G2474" t="inlineStr">
        <is>
          <t>Sob</t>
        </is>
      </c>
      <c r="H2474">
        <f>'Floor Hours Engine'!$E$5</f>
        <v/>
      </c>
      <c r="I2474" t="inlineStr">
        <is>
          <t>W2</t>
        </is>
      </c>
      <c r="J2474" t="inlineStr">
        <is>
          <t>2027_Październik_W2</t>
        </is>
      </c>
    </row>
    <row r="2475">
      <c r="A2475" s="177" t="n">
        <v>46670</v>
      </c>
      <c r="B2475" s="177" t="n">
        <v>46665</v>
      </c>
      <c r="C2475" s="177" t="n">
        <v>46671</v>
      </c>
      <c r="D2475" t="inlineStr">
        <is>
          <t>BW20271005</t>
        </is>
      </c>
      <c r="E2475" t="n">
        <v>2027</v>
      </c>
      <c r="F2475" t="inlineStr">
        <is>
          <t>Październik</t>
        </is>
      </c>
      <c r="G2475" t="inlineStr">
        <is>
          <t>Nd</t>
        </is>
      </c>
      <c r="H2475">
        <f>'Floor Hours Engine'!$E$6</f>
        <v/>
      </c>
      <c r="I2475" t="inlineStr">
        <is>
          <t>W2</t>
        </is>
      </c>
      <c r="J2475" t="inlineStr">
        <is>
          <t>2027_Październik_W2</t>
        </is>
      </c>
    </row>
    <row r="2476">
      <c r="A2476" s="177" t="n">
        <v>46671</v>
      </c>
      <c r="B2476" s="177" t="n">
        <v>46665</v>
      </c>
      <c r="C2476" s="177" t="n">
        <v>46671</v>
      </c>
      <c r="D2476" t="inlineStr">
        <is>
          <t>BW20271005</t>
        </is>
      </c>
      <c r="E2476" t="n">
        <v>2027</v>
      </c>
      <c r="F2476" t="inlineStr">
        <is>
          <t>Październik</t>
        </is>
      </c>
      <c r="G2476" t="inlineStr">
        <is>
          <t>Pn</t>
        </is>
      </c>
      <c r="H2476">
        <f>'Floor Hours Engine'!$E$4</f>
        <v/>
      </c>
      <c r="I2476" t="inlineStr">
        <is>
          <t>W2</t>
        </is>
      </c>
      <c r="J2476" t="inlineStr">
        <is>
          <t>2027_Październik_W2</t>
        </is>
      </c>
    </row>
    <row r="2477">
      <c r="A2477" s="177" t="n">
        <v>46672</v>
      </c>
      <c r="B2477" s="177" t="n">
        <v>46672</v>
      </c>
      <c r="C2477" s="177" t="n">
        <v>46678</v>
      </c>
      <c r="D2477" t="inlineStr">
        <is>
          <t>BW20271012</t>
        </is>
      </c>
      <c r="E2477" t="n">
        <v>2027</v>
      </c>
      <c r="F2477" t="inlineStr">
        <is>
          <t>Październik</t>
        </is>
      </c>
      <c r="G2477" t="inlineStr">
        <is>
          <t>Wt</t>
        </is>
      </c>
      <c r="H2477">
        <f>'Floor Hours Engine'!$E$4</f>
        <v/>
      </c>
      <c r="I2477" t="inlineStr">
        <is>
          <t>W3</t>
        </is>
      </c>
      <c r="J2477" t="inlineStr">
        <is>
          <t>2027_Październik_W3</t>
        </is>
      </c>
    </row>
    <row r="2478">
      <c r="A2478" s="177" t="n">
        <v>46673</v>
      </c>
      <c r="B2478" s="177" t="n">
        <v>46672</v>
      </c>
      <c r="C2478" s="177" t="n">
        <v>46678</v>
      </c>
      <c r="D2478" t="inlineStr">
        <is>
          <t>BW20271012</t>
        </is>
      </c>
      <c r="E2478" t="n">
        <v>2027</v>
      </c>
      <c r="F2478" t="inlineStr">
        <is>
          <t>Październik</t>
        </is>
      </c>
      <c r="G2478" t="inlineStr">
        <is>
          <t>Śr</t>
        </is>
      </c>
      <c r="H2478">
        <f>'Floor Hours Engine'!$E$4</f>
        <v/>
      </c>
      <c r="I2478" t="inlineStr">
        <is>
          <t>W3</t>
        </is>
      </c>
      <c r="J2478" t="inlineStr">
        <is>
          <t>2027_Październik_W3</t>
        </is>
      </c>
    </row>
    <row r="2479">
      <c r="A2479" s="177" t="n">
        <v>46674</v>
      </c>
      <c r="B2479" s="177" t="n">
        <v>46672</v>
      </c>
      <c r="C2479" s="177" t="n">
        <v>46678</v>
      </c>
      <c r="D2479" t="inlineStr">
        <is>
          <t>BW20271012</t>
        </is>
      </c>
      <c r="E2479" t="n">
        <v>2027</v>
      </c>
      <c r="F2479" t="inlineStr">
        <is>
          <t>Październik</t>
        </is>
      </c>
      <c r="G2479" t="inlineStr">
        <is>
          <t>Czw</t>
        </is>
      </c>
      <c r="H2479">
        <f>'Floor Hours Engine'!$E$4</f>
        <v/>
      </c>
      <c r="I2479" t="inlineStr">
        <is>
          <t>W3</t>
        </is>
      </c>
      <c r="J2479" t="inlineStr">
        <is>
          <t>2027_Październik_W3</t>
        </is>
      </c>
    </row>
    <row r="2480">
      <c r="A2480" s="177" t="n">
        <v>46675</v>
      </c>
      <c r="B2480" s="177" t="n">
        <v>46672</v>
      </c>
      <c r="C2480" s="177" t="n">
        <v>46678</v>
      </c>
      <c r="D2480" t="inlineStr">
        <is>
          <t>BW20271012</t>
        </is>
      </c>
      <c r="E2480" t="n">
        <v>2027</v>
      </c>
      <c r="F2480" t="inlineStr">
        <is>
          <t>Październik</t>
        </is>
      </c>
      <c r="G2480" t="inlineStr">
        <is>
          <t>Pt</t>
        </is>
      </c>
      <c r="H2480">
        <f>'Floor Hours Engine'!$E$5</f>
        <v/>
      </c>
      <c r="I2480" t="inlineStr">
        <is>
          <t>W3</t>
        </is>
      </c>
      <c r="J2480" t="inlineStr">
        <is>
          <t>2027_Październik_W3</t>
        </is>
      </c>
    </row>
    <row r="2481">
      <c r="A2481" s="177" t="n">
        <v>46676</v>
      </c>
      <c r="B2481" s="177" t="n">
        <v>46672</v>
      </c>
      <c r="C2481" s="177" t="n">
        <v>46678</v>
      </c>
      <c r="D2481" t="inlineStr">
        <is>
          <t>BW20271012</t>
        </is>
      </c>
      <c r="E2481" t="n">
        <v>2027</v>
      </c>
      <c r="F2481" t="inlineStr">
        <is>
          <t>Październik</t>
        </is>
      </c>
      <c r="G2481" t="inlineStr">
        <is>
          <t>Sob</t>
        </is>
      </c>
      <c r="H2481">
        <f>'Floor Hours Engine'!$E$5</f>
        <v/>
      </c>
      <c r="I2481" t="inlineStr">
        <is>
          <t>W3</t>
        </is>
      </c>
      <c r="J2481" t="inlineStr">
        <is>
          <t>2027_Październik_W3</t>
        </is>
      </c>
    </row>
    <row r="2482">
      <c r="A2482" s="177" t="n">
        <v>46677</v>
      </c>
      <c r="B2482" s="177" t="n">
        <v>46672</v>
      </c>
      <c r="C2482" s="177" t="n">
        <v>46678</v>
      </c>
      <c r="D2482" t="inlineStr">
        <is>
          <t>BW20271012</t>
        </is>
      </c>
      <c r="E2482" t="n">
        <v>2027</v>
      </c>
      <c r="F2482" t="inlineStr">
        <is>
          <t>Październik</t>
        </is>
      </c>
      <c r="G2482" t="inlineStr">
        <is>
          <t>Nd</t>
        </is>
      </c>
      <c r="H2482">
        <f>'Floor Hours Engine'!$E$6</f>
        <v/>
      </c>
      <c r="I2482" t="inlineStr">
        <is>
          <t>W3</t>
        </is>
      </c>
      <c r="J2482" t="inlineStr">
        <is>
          <t>2027_Październik_W3</t>
        </is>
      </c>
    </row>
    <row r="2483">
      <c r="A2483" s="177" t="n">
        <v>46678</v>
      </c>
      <c r="B2483" s="177" t="n">
        <v>46672</v>
      </c>
      <c r="C2483" s="177" t="n">
        <v>46678</v>
      </c>
      <c r="D2483" t="inlineStr">
        <is>
          <t>BW20271012</t>
        </is>
      </c>
      <c r="E2483" t="n">
        <v>2027</v>
      </c>
      <c r="F2483" t="inlineStr">
        <is>
          <t>Październik</t>
        </is>
      </c>
      <c r="G2483" t="inlineStr">
        <is>
          <t>Pn</t>
        </is>
      </c>
      <c r="H2483">
        <f>'Floor Hours Engine'!$E$4</f>
        <v/>
      </c>
      <c r="I2483" t="inlineStr">
        <is>
          <t>W3</t>
        </is>
      </c>
      <c r="J2483" t="inlineStr">
        <is>
          <t>2027_Październik_W3</t>
        </is>
      </c>
    </row>
    <row r="2484">
      <c r="A2484" s="177" t="n">
        <v>46679</v>
      </c>
      <c r="B2484" s="177" t="n">
        <v>46679</v>
      </c>
      <c r="C2484" s="177" t="n">
        <v>46685</v>
      </c>
      <c r="D2484" t="inlineStr">
        <is>
          <t>BW20271019</t>
        </is>
      </c>
      <c r="E2484" t="n">
        <v>2027</v>
      </c>
      <c r="F2484" t="inlineStr">
        <is>
          <t>Październik</t>
        </is>
      </c>
      <c r="G2484" t="inlineStr">
        <is>
          <t>Wt</t>
        </is>
      </c>
      <c r="H2484">
        <f>'Floor Hours Engine'!$E$4</f>
        <v/>
      </c>
      <c r="I2484" t="inlineStr">
        <is>
          <t>W4</t>
        </is>
      </c>
      <c r="J2484" t="inlineStr">
        <is>
          <t>2027_Październik_W4</t>
        </is>
      </c>
    </row>
    <row r="2485">
      <c r="A2485" s="177" t="n">
        <v>46680</v>
      </c>
      <c r="B2485" s="177" t="n">
        <v>46679</v>
      </c>
      <c r="C2485" s="177" t="n">
        <v>46685</v>
      </c>
      <c r="D2485" t="inlineStr">
        <is>
          <t>BW20271019</t>
        </is>
      </c>
      <c r="E2485" t="n">
        <v>2027</v>
      </c>
      <c r="F2485" t="inlineStr">
        <is>
          <t>Październik</t>
        </is>
      </c>
      <c r="G2485" t="inlineStr">
        <is>
          <t>Śr</t>
        </is>
      </c>
      <c r="H2485">
        <f>'Floor Hours Engine'!$E$4</f>
        <v/>
      </c>
      <c r="I2485" t="inlineStr">
        <is>
          <t>W4</t>
        </is>
      </c>
      <c r="J2485" t="inlineStr">
        <is>
          <t>2027_Październik_W4</t>
        </is>
      </c>
    </row>
    <row r="2486">
      <c r="A2486" s="177" t="n">
        <v>46681</v>
      </c>
      <c r="B2486" s="177" t="n">
        <v>46679</v>
      </c>
      <c r="C2486" s="177" t="n">
        <v>46685</v>
      </c>
      <c r="D2486" t="inlineStr">
        <is>
          <t>BW20271019</t>
        </is>
      </c>
      <c r="E2486" t="n">
        <v>2027</v>
      </c>
      <c r="F2486" t="inlineStr">
        <is>
          <t>Październik</t>
        </is>
      </c>
      <c r="G2486" t="inlineStr">
        <is>
          <t>Czw</t>
        </is>
      </c>
      <c r="H2486">
        <f>'Floor Hours Engine'!$E$4</f>
        <v/>
      </c>
      <c r="I2486" t="inlineStr">
        <is>
          <t>W4</t>
        </is>
      </c>
      <c r="J2486" t="inlineStr">
        <is>
          <t>2027_Październik_W4</t>
        </is>
      </c>
    </row>
    <row r="2487">
      <c r="A2487" s="177" t="n">
        <v>46682</v>
      </c>
      <c r="B2487" s="177" t="n">
        <v>46679</v>
      </c>
      <c r="C2487" s="177" t="n">
        <v>46685</v>
      </c>
      <c r="D2487" t="inlineStr">
        <is>
          <t>BW20271019</t>
        </is>
      </c>
      <c r="E2487" t="n">
        <v>2027</v>
      </c>
      <c r="F2487" t="inlineStr">
        <is>
          <t>Październik</t>
        </is>
      </c>
      <c r="G2487" t="inlineStr">
        <is>
          <t>Pt</t>
        </is>
      </c>
      <c r="H2487">
        <f>'Floor Hours Engine'!$E$5</f>
        <v/>
      </c>
      <c r="I2487" t="inlineStr">
        <is>
          <t>W4</t>
        </is>
      </c>
      <c r="J2487" t="inlineStr">
        <is>
          <t>2027_Październik_W4</t>
        </is>
      </c>
    </row>
    <row r="2488">
      <c r="A2488" s="177" t="n">
        <v>46683</v>
      </c>
      <c r="B2488" s="177" t="n">
        <v>46679</v>
      </c>
      <c r="C2488" s="177" t="n">
        <v>46685</v>
      </c>
      <c r="D2488" t="inlineStr">
        <is>
          <t>BW20271019</t>
        </is>
      </c>
      <c r="E2488" t="n">
        <v>2027</v>
      </c>
      <c r="F2488" t="inlineStr">
        <is>
          <t>Październik</t>
        </is>
      </c>
      <c r="G2488" t="inlineStr">
        <is>
          <t>Sob</t>
        </is>
      </c>
      <c r="H2488">
        <f>'Floor Hours Engine'!$E$5</f>
        <v/>
      </c>
      <c r="I2488" t="inlineStr">
        <is>
          <t>W4</t>
        </is>
      </c>
      <c r="J2488" t="inlineStr">
        <is>
          <t>2027_Październik_W4</t>
        </is>
      </c>
    </row>
    <row r="2489">
      <c r="A2489" s="177" t="n">
        <v>46684</v>
      </c>
      <c r="B2489" s="177" t="n">
        <v>46679</v>
      </c>
      <c r="C2489" s="177" t="n">
        <v>46685</v>
      </c>
      <c r="D2489" t="inlineStr">
        <is>
          <t>BW20271019</t>
        </is>
      </c>
      <c r="E2489" t="n">
        <v>2027</v>
      </c>
      <c r="F2489" t="inlineStr">
        <is>
          <t>Październik</t>
        </is>
      </c>
      <c r="G2489" t="inlineStr">
        <is>
          <t>Nd</t>
        </is>
      </c>
      <c r="H2489">
        <f>'Floor Hours Engine'!$E$6</f>
        <v/>
      </c>
      <c r="I2489" t="inlineStr">
        <is>
          <t>W4</t>
        </is>
      </c>
      <c r="J2489" t="inlineStr">
        <is>
          <t>2027_Październik_W4</t>
        </is>
      </c>
    </row>
    <row r="2490">
      <c r="A2490" s="177" t="n">
        <v>46685</v>
      </c>
      <c r="B2490" s="177" t="n">
        <v>46679</v>
      </c>
      <c r="C2490" s="177" t="n">
        <v>46685</v>
      </c>
      <c r="D2490" t="inlineStr">
        <is>
          <t>BW20271019</t>
        </is>
      </c>
      <c r="E2490" t="n">
        <v>2027</v>
      </c>
      <c r="F2490" t="inlineStr">
        <is>
          <t>Październik</t>
        </is>
      </c>
      <c r="G2490" t="inlineStr">
        <is>
          <t>Pn</t>
        </is>
      </c>
      <c r="H2490">
        <f>'Floor Hours Engine'!$E$4</f>
        <v/>
      </c>
      <c r="I2490" t="inlineStr">
        <is>
          <t>W4</t>
        </is>
      </c>
      <c r="J2490" t="inlineStr">
        <is>
          <t>2027_Październik_W4</t>
        </is>
      </c>
    </row>
    <row r="2491">
      <c r="A2491" s="177" t="n">
        <v>46686</v>
      </c>
      <c r="B2491" s="177" t="n">
        <v>46686</v>
      </c>
      <c r="C2491" s="177" t="n">
        <v>46692</v>
      </c>
      <c r="D2491" t="inlineStr">
        <is>
          <t>BW20271026</t>
        </is>
      </c>
      <c r="E2491" t="n">
        <v>2027</v>
      </c>
      <c r="F2491" t="inlineStr">
        <is>
          <t>Październik</t>
        </is>
      </c>
      <c r="G2491" t="inlineStr">
        <is>
          <t>Wt</t>
        </is>
      </c>
      <c r="H2491">
        <f>'Floor Hours Engine'!$E$4</f>
        <v/>
      </c>
      <c r="I2491" t="inlineStr">
        <is>
          <t>W5</t>
        </is>
      </c>
      <c r="J2491" t="inlineStr">
        <is>
          <t>2027_Październik_W5</t>
        </is>
      </c>
    </row>
    <row r="2492">
      <c r="A2492" s="177" t="n">
        <v>46687</v>
      </c>
      <c r="B2492" s="177" t="n">
        <v>46686</v>
      </c>
      <c r="C2492" s="177" t="n">
        <v>46692</v>
      </c>
      <c r="D2492" t="inlineStr">
        <is>
          <t>BW20271026</t>
        </is>
      </c>
      <c r="E2492" t="n">
        <v>2027</v>
      </c>
      <c r="F2492" t="inlineStr">
        <is>
          <t>Październik</t>
        </is>
      </c>
      <c r="G2492" t="inlineStr">
        <is>
          <t>Śr</t>
        </is>
      </c>
      <c r="H2492">
        <f>'Floor Hours Engine'!$E$4</f>
        <v/>
      </c>
      <c r="I2492" t="inlineStr">
        <is>
          <t>W5</t>
        </is>
      </c>
      <c r="J2492" t="inlineStr">
        <is>
          <t>2027_Październik_W5</t>
        </is>
      </c>
    </row>
    <row r="2493">
      <c r="A2493" s="177" t="n">
        <v>46688</v>
      </c>
      <c r="B2493" s="177" t="n">
        <v>46686</v>
      </c>
      <c r="C2493" s="177" t="n">
        <v>46692</v>
      </c>
      <c r="D2493" t="inlineStr">
        <is>
          <t>BW20271026</t>
        </is>
      </c>
      <c r="E2493" t="n">
        <v>2027</v>
      </c>
      <c r="F2493" t="inlineStr">
        <is>
          <t>Październik</t>
        </is>
      </c>
      <c r="G2493" t="inlineStr">
        <is>
          <t>Czw</t>
        </is>
      </c>
      <c r="H2493">
        <f>'Floor Hours Engine'!$E$4</f>
        <v/>
      </c>
      <c r="I2493" t="inlineStr">
        <is>
          <t>W5</t>
        </is>
      </c>
      <c r="J2493" t="inlineStr">
        <is>
          <t>2027_Październik_W5</t>
        </is>
      </c>
    </row>
    <row r="2494">
      <c r="A2494" s="177" t="n">
        <v>46689</v>
      </c>
      <c r="B2494" s="177" t="n">
        <v>46686</v>
      </c>
      <c r="C2494" s="177" t="n">
        <v>46692</v>
      </c>
      <c r="D2494" t="inlineStr">
        <is>
          <t>BW20271026</t>
        </is>
      </c>
      <c r="E2494" t="n">
        <v>2027</v>
      </c>
      <c r="F2494" t="inlineStr">
        <is>
          <t>Październik</t>
        </is>
      </c>
      <c r="G2494" t="inlineStr">
        <is>
          <t>Pt</t>
        </is>
      </c>
      <c r="H2494">
        <f>'Floor Hours Engine'!$E$5</f>
        <v/>
      </c>
      <c r="I2494" t="inlineStr">
        <is>
          <t>W5</t>
        </is>
      </c>
      <c r="J2494" t="inlineStr">
        <is>
          <t>2027_Październik_W5</t>
        </is>
      </c>
    </row>
    <row r="2495">
      <c r="A2495" s="177" t="n">
        <v>46690</v>
      </c>
      <c r="B2495" s="177" t="n">
        <v>46686</v>
      </c>
      <c r="C2495" s="177" t="n">
        <v>46692</v>
      </c>
      <c r="D2495" t="inlineStr">
        <is>
          <t>BW20271026</t>
        </is>
      </c>
      <c r="E2495" t="n">
        <v>2027</v>
      </c>
      <c r="F2495" t="inlineStr">
        <is>
          <t>Październik</t>
        </is>
      </c>
      <c r="G2495" t="inlineStr">
        <is>
          <t>Sob</t>
        </is>
      </c>
      <c r="H2495">
        <f>'Floor Hours Engine'!$E$5</f>
        <v/>
      </c>
      <c r="I2495" t="inlineStr">
        <is>
          <t>W5</t>
        </is>
      </c>
      <c r="J2495" t="inlineStr">
        <is>
          <t>2027_Październik_W5</t>
        </is>
      </c>
    </row>
    <row r="2496">
      <c r="A2496" s="177" t="n">
        <v>46691</v>
      </c>
      <c r="B2496" s="177" t="n">
        <v>46686</v>
      </c>
      <c r="C2496" s="177" t="n">
        <v>46692</v>
      </c>
      <c r="D2496" t="inlineStr">
        <is>
          <t>BW20271026</t>
        </is>
      </c>
      <c r="E2496" t="n">
        <v>2027</v>
      </c>
      <c r="F2496" t="inlineStr">
        <is>
          <t>Październik</t>
        </is>
      </c>
      <c r="G2496" t="inlineStr">
        <is>
          <t>Nd</t>
        </is>
      </c>
      <c r="H2496">
        <f>'Floor Hours Engine'!$E$6</f>
        <v/>
      </c>
      <c r="I2496" t="inlineStr">
        <is>
          <t>W5</t>
        </is>
      </c>
      <c r="J2496" t="inlineStr">
        <is>
          <t>2027_Październik_W5</t>
        </is>
      </c>
    </row>
    <row r="2497">
      <c r="A2497" s="177" t="n">
        <v>46692</v>
      </c>
      <c r="B2497" s="177" t="n">
        <v>46686</v>
      </c>
      <c r="C2497" s="177" t="n">
        <v>46692</v>
      </c>
      <c r="D2497" t="inlineStr">
        <is>
          <t>BW20271026</t>
        </is>
      </c>
      <c r="E2497" t="n">
        <v>2027</v>
      </c>
      <c r="F2497" t="inlineStr">
        <is>
          <t>Listopad</t>
        </is>
      </c>
      <c r="G2497" t="inlineStr">
        <is>
          <t>Pn</t>
        </is>
      </c>
      <c r="H2497">
        <f>'Floor Hours Engine'!$E$4</f>
        <v/>
      </c>
      <c r="I2497" t="inlineStr">
        <is>
          <t>W1</t>
        </is>
      </c>
      <c r="J2497" t="inlineStr">
        <is>
          <t>2027_Listopad_W1</t>
        </is>
      </c>
    </row>
    <row r="2498">
      <c r="A2498" s="177" t="n">
        <v>46693</v>
      </c>
      <c r="B2498" s="177" t="n">
        <v>46693</v>
      </c>
      <c r="C2498" s="177" t="n">
        <v>46699</v>
      </c>
      <c r="D2498" t="inlineStr">
        <is>
          <t>BW20271102</t>
        </is>
      </c>
      <c r="E2498" t="n">
        <v>2027</v>
      </c>
      <c r="F2498" t="inlineStr">
        <is>
          <t>Listopad</t>
        </is>
      </c>
      <c r="G2498" t="inlineStr">
        <is>
          <t>Wt</t>
        </is>
      </c>
      <c r="H2498">
        <f>'Floor Hours Engine'!$E$4</f>
        <v/>
      </c>
      <c r="I2498" t="inlineStr">
        <is>
          <t>W2</t>
        </is>
      </c>
      <c r="J2498" t="inlineStr">
        <is>
          <t>2027_Listopad_W2</t>
        </is>
      </c>
    </row>
    <row r="2499">
      <c r="A2499" s="177" t="n">
        <v>46694</v>
      </c>
      <c r="B2499" s="177" t="n">
        <v>46693</v>
      </c>
      <c r="C2499" s="177" t="n">
        <v>46699</v>
      </c>
      <c r="D2499" t="inlineStr">
        <is>
          <t>BW20271102</t>
        </is>
      </c>
      <c r="E2499" t="n">
        <v>2027</v>
      </c>
      <c r="F2499" t="inlineStr">
        <is>
          <t>Listopad</t>
        </is>
      </c>
      <c r="G2499" t="inlineStr">
        <is>
          <t>Śr</t>
        </is>
      </c>
      <c r="H2499">
        <f>'Floor Hours Engine'!$E$4</f>
        <v/>
      </c>
      <c r="I2499" t="inlineStr">
        <is>
          <t>W2</t>
        </is>
      </c>
      <c r="J2499" t="inlineStr">
        <is>
          <t>2027_Listopad_W2</t>
        </is>
      </c>
    </row>
    <row r="2500">
      <c r="A2500" s="177" t="n">
        <v>46695</v>
      </c>
      <c r="B2500" s="177" t="n">
        <v>46693</v>
      </c>
      <c r="C2500" s="177" t="n">
        <v>46699</v>
      </c>
      <c r="D2500" t="inlineStr">
        <is>
          <t>BW20271102</t>
        </is>
      </c>
      <c r="E2500" t="n">
        <v>2027</v>
      </c>
      <c r="F2500" t="inlineStr">
        <is>
          <t>Listopad</t>
        </is>
      </c>
      <c r="G2500" t="inlineStr">
        <is>
          <t>Czw</t>
        </is>
      </c>
      <c r="H2500">
        <f>'Floor Hours Engine'!$E$4</f>
        <v/>
      </c>
      <c r="I2500" t="inlineStr">
        <is>
          <t>W2</t>
        </is>
      </c>
      <c r="J2500" t="inlineStr">
        <is>
          <t>2027_Listopad_W2</t>
        </is>
      </c>
    </row>
    <row r="2501">
      <c r="A2501" s="177" t="n">
        <v>46696</v>
      </c>
      <c r="B2501" s="177" t="n">
        <v>46693</v>
      </c>
      <c r="C2501" s="177" t="n">
        <v>46699</v>
      </c>
      <c r="D2501" t="inlineStr">
        <is>
          <t>BW20271102</t>
        </is>
      </c>
      <c r="E2501" t="n">
        <v>2027</v>
      </c>
      <c r="F2501" t="inlineStr">
        <is>
          <t>Listopad</t>
        </is>
      </c>
      <c r="G2501" t="inlineStr">
        <is>
          <t>Pt</t>
        </is>
      </c>
      <c r="H2501">
        <f>'Floor Hours Engine'!$E$5</f>
        <v/>
      </c>
      <c r="I2501" t="inlineStr">
        <is>
          <t>W2</t>
        </is>
      </c>
      <c r="J2501" t="inlineStr">
        <is>
          <t>2027_Listopad_W2</t>
        </is>
      </c>
    </row>
    <row r="2502">
      <c r="A2502" s="177" t="n">
        <v>46697</v>
      </c>
      <c r="B2502" s="177" t="n">
        <v>46693</v>
      </c>
      <c r="C2502" s="177" t="n">
        <v>46699</v>
      </c>
      <c r="D2502" t="inlineStr">
        <is>
          <t>BW20271102</t>
        </is>
      </c>
      <c r="E2502" t="n">
        <v>2027</v>
      </c>
      <c r="F2502" t="inlineStr">
        <is>
          <t>Listopad</t>
        </is>
      </c>
      <c r="G2502" t="inlineStr">
        <is>
          <t>Sob</t>
        </is>
      </c>
      <c r="H2502">
        <f>'Floor Hours Engine'!$E$5</f>
        <v/>
      </c>
      <c r="I2502" t="inlineStr">
        <is>
          <t>W2</t>
        </is>
      </c>
      <c r="J2502" t="inlineStr">
        <is>
          <t>2027_Listopad_W2</t>
        </is>
      </c>
    </row>
    <row r="2503">
      <c r="A2503" s="177" t="n">
        <v>46698</v>
      </c>
      <c r="B2503" s="177" t="n">
        <v>46693</v>
      </c>
      <c r="C2503" s="177" t="n">
        <v>46699</v>
      </c>
      <c r="D2503" t="inlineStr">
        <is>
          <t>BW20271102</t>
        </is>
      </c>
      <c r="E2503" t="n">
        <v>2027</v>
      </c>
      <c r="F2503" t="inlineStr">
        <is>
          <t>Listopad</t>
        </is>
      </c>
      <c r="G2503" t="inlineStr">
        <is>
          <t>Nd</t>
        </is>
      </c>
      <c r="H2503">
        <f>'Floor Hours Engine'!$E$6</f>
        <v/>
      </c>
      <c r="I2503" t="inlineStr">
        <is>
          <t>W2</t>
        </is>
      </c>
      <c r="J2503" t="inlineStr">
        <is>
          <t>2027_Listopad_W2</t>
        </is>
      </c>
    </row>
    <row r="2504">
      <c r="A2504" s="177" t="n">
        <v>46699</v>
      </c>
      <c r="B2504" s="177" t="n">
        <v>46693</v>
      </c>
      <c r="C2504" s="177" t="n">
        <v>46699</v>
      </c>
      <c r="D2504" t="inlineStr">
        <is>
          <t>BW20271102</t>
        </is>
      </c>
      <c r="E2504" t="n">
        <v>2027</v>
      </c>
      <c r="F2504" t="inlineStr">
        <is>
          <t>Listopad</t>
        </is>
      </c>
      <c r="G2504" t="inlineStr">
        <is>
          <t>Pn</t>
        </is>
      </c>
      <c r="H2504">
        <f>'Floor Hours Engine'!$E$4</f>
        <v/>
      </c>
      <c r="I2504" t="inlineStr">
        <is>
          <t>W2</t>
        </is>
      </c>
      <c r="J2504" t="inlineStr">
        <is>
          <t>2027_Listopad_W2</t>
        </is>
      </c>
    </row>
    <row r="2505">
      <c r="A2505" s="177" t="n">
        <v>46700</v>
      </c>
      <c r="B2505" s="177" t="n">
        <v>46700</v>
      </c>
      <c r="C2505" s="177" t="n">
        <v>46706</v>
      </c>
      <c r="D2505" t="inlineStr">
        <is>
          <t>BW20271109</t>
        </is>
      </c>
      <c r="E2505" t="n">
        <v>2027</v>
      </c>
      <c r="F2505" t="inlineStr">
        <is>
          <t>Listopad</t>
        </is>
      </c>
      <c r="G2505" t="inlineStr">
        <is>
          <t>Wt</t>
        </is>
      </c>
      <c r="H2505">
        <f>'Floor Hours Engine'!$E$4</f>
        <v/>
      </c>
      <c r="I2505" t="inlineStr">
        <is>
          <t>W3</t>
        </is>
      </c>
      <c r="J2505" t="inlineStr">
        <is>
          <t>2027_Listopad_W3</t>
        </is>
      </c>
    </row>
    <row r="2506">
      <c r="A2506" s="177" t="n">
        <v>46701</v>
      </c>
      <c r="B2506" s="177" t="n">
        <v>46700</v>
      </c>
      <c r="C2506" s="177" t="n">
        <v>46706</v>
      </c>
      <c r="D2506" t="inlineStr">
        <is>
          <t>BW20271109</t>
        </is>
      </c>
      <c r="E2506" t="n">
        <v>2027</v>
      </c>
      <c r="F2506" t="inlineStr">
        <is>
          <t>Listopad</t>
        </is>
      </c>
      <c r="G2506" t="inlineStr">
        <is>
          <t>Śr</t>
        </is>
      </c>
      <c r="H2506">
        <f>'Floor Hours Engine'!$E$4</f>
        <v/>
      </c>
      <c r="I2506" t="inlineStr">
        <is>
          <t>W3</t>
        </is>
      </c>
      <c r="J2506" t="inlineStr">
        <is>
          <t>2027_Listopad_W3</t>
        </is>
      </c>
    </row>
    <row r="2507">
      <c r="A2507" s="177" t="n">
        <v>46702</v>
      </c>
      <c r="B2507" s="177" t="n">
        <v>46700</v>
      </c>
      <c r="C2507" s="177" t="n">
        <v>46706</v>
      </c>
      <c r="D2507" t="inlineStr">
        <is>
          <t>BW20271109</t>
        </is>
      </c>
      <c r="E2507" t="n">
        <v>2027</v>
      </c>
      <c r="F2507" t="inlineStr">
        <is>
          <t>Listopad</t>
        </is>
      </c>
      <c r="G2507" t="inlineStr">
        <is>
          <t>Czw</t>
        </is>
      </c>
      <c r="H2507">
        <f>'Floor Hours Engine'!$E$4</f>
        <v/>
      </c>
      <c r="I2507" t="inlineStr">
        <is>
          <t>W3</t>
        </is>
      </c>
      <c r="J2507" t="inlineStr">
        <is>
          <t>2027_Listopad_W3</t>
        </is>
      </c>
    </row>
    <row r="2508">
      <c r="A2508" s="177" t="n">
        <v>46703</v>
      </c>
      <c r="B2508" s="177" t="n">
        <v>46700</v>
      </c>
      <c r="C2508" s="177" t="n">
        <v>46706</v>
      </c>
      <c r="D2508" t="inlineStr">
        <is>
          <t>BW20271109</t>
        </is>
      </c>
      <c r="E2508" t="n">
        <v>2027</v>
      </c>
      <c r="F2508" t="inlineStr">
        <is>
          <t>Listopad</t>
        </is>
      </c>
      <c r="G2508" t="inlineStr">
        <is>
          <t>Pt</t>
        </is>
      </c>
      <c r="H2508">
        <f>'Floor Hours Engine'!$E$5</f>
        <v/>
      </c>
      <c r="I2508" t="inlineStr">
        <is>
          <t>W3</t>
        </is>
      </c>
      <c r="J2508" t="inlineStr">
        <is>
          <t>2027_Listopad_W3</t>
        </is>
      </c>
    </row>
    <row r="2509">
      <c r="A2509" s="177" t="n">
        <v>46704</v>
      </c>
      <c r="B2509" s="177" t="n">
        <v>46700</v>
      </c>
      <c r="C2509" s="177" t="n">
        <v>46706</v>
      </c>
      <c r="D2509" t="inlineStr">
        <is>
          <t>BW20271109</t>
        </is>
      </c>
      <c r="E2509" t="n">
        <v>2027</v>
      </c>
      <c r="F2509" t="inlineStr">
        <is>
          <t>Listopad</t>
        </is>
      </c>
      <c r="G2509" t="inlineStr">
        <is>
          <t>Sob</t>
        </is>
      </c>
      <c r="H2509">
        <f>'Floor Hours Engine'!$E$5</f>
        <v/>
      </c>
      <c r="I2509" t="inlineStr">
        <is>
          <t>W3</t>
        </is>
      </c>
      <c r="J2509" t="inlineStr">
        <is>
          <t>2027_Listopad_W3</t>
        </is>
      </c>
    </row>
    <row r="2510">
      <c r="A2510" s="177" t="n">
        <v>46705</v>
      </c>
      <c r="B2510" s="177" t="n">
        <v>46700</v>
      </c>
      <c r="C2510" s="177" t="n">
        <v>46706</v>
      </c>
      <c r="D2510" t="inlineStr">
        <is>
          <t>BW20271109</t>
        </is>
      </c>
      <c r="E2510" t="n">
        <v>2027</v>
      </c>
      <c r="F2510" t="inlineStr">
        <is>
          <t>Listopad</t>
        </is>
      </c>
      <c r="G2510" t="inlineStr">
        <is>
          <t>Nd</t>
        </is>
      </c>
      <c r="H2510">
        <f>'Floor Hours Engine'!$E$6</f>
        <v/>
      </c>
      <c r="I2510" t="inlineStr">
        <is>
          <t>W3</t>
        </is>
      </c>
      <c r="J2510" t="inlineStr">
        <is>
          <t>2027_Listopad_W3</t>
        </is>
      </c>
    </row>
    <row r="2511">
      <c r="A2511" s="177" t="n">
        <v>46706</v>
      </c>
      <c r="B2511" s="177" t="n">
        <v>46700</v>
      </c>
      <c r="C2511" s="177" t="n">
        <v>46706</v>
      </c>
      <c r="D2511" t="inlineStr">
        <is>
          <t>BW20271109</t>
        </is>
      </c>
      <c r="E2511" t="n">
        <v>2027</v>
      </c>
      <c r="F2511" t="inlineStr">
        <is>
          <t>Listopad</t>
        </is>
      </c>
      <c r="G2511" t="inlineStr">
        <is>
          <t>Pn</t>
        </is>
      </c>
      <c r="H2511">
        <f>'Floor Hours Engine'!$E$4</f>
        <v/>
      </c>
      <c r="I2511" t="inlineStr">
        <is>
          <t>W3</t>
        </is>
      </c>
      <c r="J2511" t="inlineStr">
        <is>
          <t>2027_Listopad_W3</t>
        </is>
      </c>
    </row>
    <row r="2512">
      <c r="A2512" s="177" t="n">
        <v>46707</v>
      </c>
      <c r="B2512" s="177" t="n">
        <v>46707</v>
      </c>
      <c r="C2512" s="177" t="n">
        <v>46713</v>
      </c>
      <c r="D2512" t="inlineStr">
        <is>
          <t>BW20271116</t>
        </is>
      </c>
      <c r="E2512" t="n">
        <v>2027</v>
      </c>
      <c r="F2512" t="inlineStr">
        <is>
          <t>Listopad</t>
        </is>
      </c>
      <c r="G2512" t="inlineStr">
        <is>
          <t>Wt</t>
        </is>
      </c>
      <c r="H2512">
        <f>'Floor Hours Engine'!$E$4</f>
        <v/>
      </c>
      <c r="I2512" t="inlineStr">
        <is>
          <t>W4</t>
        </is>
      </c>
      <c r="J2512" t="inlineStr">
        <is>
          <t>2027_Listopad_W4</t>
        </is>
      </c>
    </row>
    <row r="2513">
      <c r="A2513" s="177" t="n">
        <v>46708</v>
      </c>
      <c r="B2513" s="177" t="n">
        <v>46707</v>
      </c>
      <c r="C2513" s="177" t="n">
        <v>46713</v>
      </c>
      <c r="D2513" t="inlineStr">
        <is>
          <t>BW20271116</t>
        </is>
      </c>
      <c r="E2513" t="n">
        <v>2027</v>
      </c>
      <c r="F2513" t="inlineStr">
        <is>
          <t>Listopad</t>
        </is>
      </c>
      <c r="G2513" t="inlineStr">
        <is>
          <t>Śr</t>
        </is>
      </c>
      <c r="H2513">
        <f>'Floor Hours Engine'!$E$4</f>
        <v/>
      </c>
      <c r="I2513" t="inlineStr">
        <is>
          <t>W4</t>
        </is>
      </c>
      <c r="J2513" t="inlineStr">
        <is>
          <t>2027_Listopad_W4</t>
        </is>
      </c>
    </row>
    <row r="2514">
      <c r="A2514" s="177" t="n">
        <v>46709</v>
      </c>
      <c r="B2514" s="177" t="n">
        <v>46707</v>
      </c>
      <c r="C2514" s="177" t="n">
        <v>46713</v>
      </c>
      <c r="D2514" t="inlineStr">
        <is>
          <t>BW20271116</t>
        </is>
      </c>
      <c r="E2514" t="n">
        <v>2027</v>
      </c>
      <c r="F2514" t="inlineStr">
        <is>
          <t>Listopad</t>
        </is>
      </c>
      <c r="G2514" t="inlineStr">
        <is>
          <t>Czw</t>
        </is>
      </c>
      <c r="H2514">
        <f>'Floor Hours Engine'!$E$4</f>
        <v/>
      </c>
      <c r="I2514" t="inlineStr">
        <is>
          <t>W4</t>
        </is>
      </c>
      <c r="J2514" t="inlineStr">
        <is>
          <t>2027_Listopad_W4</t>
        </is>
      </c>
    </row>
    <row r="2515">
      <c r="A2515" s="177" t="n">
        <v>46710</v>
      </c>
      <c r="B2515" s="177" t="n">
        <v>46707</v>
      </c>
      <c r="C2515" s="177" t="n">
        <v>46713</v>
      </c>
      <c r="D2515" t="inlineStr">
        <is>
          <t>BW20271116</t>
        </is>
      </c>
      <c r="E2515" t="n">
        <v>2027</v>
      </c>
      <c r="F2515" t="inlineStr">
        <is>
          <t>Listopad</t>
        </is>
      </c>
      <c r="G2515" t="inlineStr">
        <is>
          <t>Pt</t>
        </is>
      </c>
      <c r="H2515">
        <f>'Floor Hours Engine'!$E$5</f>
        <v/>
      </c>
      <c r="I2515" t="inlineStr">
        <is>
          <t>W4</t>
        </is>
      </c>
      <c r="J2515" t="inlineStr">
        <is>
          <t>2027_Listopad_W4</t>
        </is>
      </c>
    </row>
    <row r="2516">
      <c r="A2516" s="177" t="n">
        <v>46711</v>
      </c>
      <c r="B2516" s="177" t="n">
        <v>46707</v>
      </c>
      <c r="C2516" s="177" t="n">
        <v>46713</v>
      </c>
      <c r="D2516" t="inlineStr">
        <is>
          <t>BW20271116</t>
        </is>
      </c>
      <c r="E2516" t="n">
        <v>2027</v>
      </c>
      <c r="F2516" t="inlineStr">
        <is>
          <t>Listopad</t>
        </is>
      </c>
      <c r="G2516" t="inlineStr">
        <is>
          <t>Sob</t>
        </is>
      </c>
      <c r="H2516">
        <f>'Floor Hours Engine'!$E$5</f>
        <v/>
      </c>
      <c r="I2516" t="inlineStr">
        <is>
          <t>W4</t>
        </is>
      </c>
      <c r="J2516" t="inlineStr">
        <is>
          <t>2027_Listopad_W4</t>
        </is>
      </c>
    </row>
    <row r="2517">
      <c r="A2517" s="177" t="n">
        <v>46712</v>
      </c>
      <c r="B2517" s="177" t="n">
        <v>46707</v>
      </c>
      <c r="C2517" s="177" t="n">
        <v>46713</v>
      </c>
      <c r="D2517" t="inlineStr">
        <is>
          <t>BW20271116</t>
        </is>
      </c>
      <c r="E2517" t="n">
        <v>2027</v>
      </c>
      <c r="F2517" t="inlineStr">
        <is>
          <t>Listopad</t>
        </is>
      </c>
      <c r="G2517" t="inlineStr">
        <is>
          <t>Nd</t>
        </is>
      </c>
      <c r="H2517">
        <f>'Floor Hours Engine'!$E$6</f>
        <v/>
      </c>
      <c r="I2517" t="inlineStr">
        <is>
          <t>W4</t>
        </is>
      </c>
      <c r="J2517" t="inlineStr">
        <is>
          <t>2027_Listopad_W4</t>
        </is>
      </c>
    </row>
    <row r="2518">
      <c r="A2518" s="177" t="n">
        <v>46713</v>
      </c>
      <c r="B2518" s="177" t="n">
        <v>46707</v>
      </c>
      <c r="C2518" s="177" t="n">
        <v>46713</v>
      </c>
      <c r="D2518" t="inlineStr">
        <is>
          <t>BW20271116</t>
        </is>
      </c>
      <c r="E2518" t="n">
        <v>2027</v>
      </c>
      <c r="F2518" t="inlineStr">
        <is>
          <t>Listopad</t>
        </is>
      </c>
      <c r="G2518" t="inlineStr">
        <is>
          <t>Pn</t>
        </is>
      </c>
      <c r="H2518">
        <f>'Floor Hours Engine'!$E$4</f>
        <v/>
      </c>
      <c r="I2518" t="inlineStr">
        <is>
          <t>W4</t>
        </is>
      </c>
      <c r="J2518" t="inlineStr">
        <is>
          <t>2027_Listopad_W4</t>
        </is>
      </c>
    </row>
    <row r="2519">
      <c r="A2519" s="177" t="n">
        <v>46714</v>
      </c>
      <c r="B2519" s="177" t="n">
        <v>46714</v>
      </c>
      <c r="C2519" s="177" t="n">
        <v>46720</v>
      </c>
      <c r="D2519" t="inlineStr">
        <is>
          <t>BW20271123</t>
        </is>
      </c>
      <c r="E2519" t="n">
        <v>2027</v>
      </c>
      <c r="F2519" t="inlineStr">
        <is>
          <t>Listopad</t>
        </is>
      </c>
      <c r="G2519" t="inlineStr">
        <is>
          <t>Wt</t>
        </is>
      </c>
      <c r="H2519">
        <f>'Floor Hours Engine'!$E$4</f>
        <v/>
      </c>
      <c r="I2519" t="inlineStr">
        <is>
          <t>W5</t>
        </is>
      </c>
      <c r="J2519" t="inlineStr">
        <is>
          <t>2027_Listopad_W5</t>
        </is>
      </c>
    </row>
    <row r="2520">
      <c r="A2520" s="177" t="n">
        <v>46715</v>
      </c>
      <c r="B2520" s="177" t="n">
        <v>46714</v>
      </c>
      <c r="C2520" s="177" t="n">
        <v>46720</v>
      </c>
      <c r="D2520" t="inlineStr">
        <is>
          <t>BW20271123</t>
        </is>
      </c>
      <c r="E2520" t="n">
        <v>2027</v>
      </c>
      <c r="F2520" t="inlineStr">
        <is>
          <t>Listopad</t>
        </is>
      </c>
      <c r="G2520" t="inlineStr">
        <is>
          <t>Śr</t>
        </is>
      </c>
      <c r="H2520">
        <f>'Floor Hours Engine'!$E$4</f>
        <v/>
      </c>
      <c r="I2520" t="inlineStr">
        <is>
          <t>W5</t>
        </is>
      </c>
      <c r="J2520" t="inlineStr">
        <is>
          <t>2027_Listopad_W5</t>
        </is>
      </c>
    </row>
    <row r="2521">
      <c r="A2521" s="177" t="n">
        <v>46716</v>
      </c>
      <c r="B2521" s="177" t="n">
        <v>46714</v>
      </c>
      <c r="C2521" s="177" t="n">
        <v>46720</v>
      </c>
      <c r="D2521" t="inlineStr">
        <is>
          <t>BW20271123</t>
        </is>
      </c>
      <c r="E2521" t="n">
        <v>2027</v>
      </c>
      <c r="F2521" t="inlineStr">
        <is>
          <t>Listopad</t>
        </is>
      </c>
      <c r="G2521" t="inlineStr">
        <is>
          <t>Czw</t>
        </is>
      </c>
      <c r="H2521">
        <f>'Floor Hours Engine'!$E$4</f>
        <v/>
      </c>
      <c r="I2521" t="inlineStr">
        <is>
          <t>W5</t>
        </is>
      </c>
      <c r="J2521" t="inlineStr">
        <is>
          <t>2027_Listopad_W5</t>
        </is>
      </c>
    </row>
    <row r="2522">
      <c r="A2522" s="177" t="n">
        <v>46717</v>
      </c>
      <c r="B2522" s="177" t="n">
        <v>46714</v>
      </c>
      <c r="C2522" s="177" t="n">
        <v>46720</v>
      </c>
      <c r="D2522" t="inlineStr">
        <is>
          <t>BW20271123</t>
        </is>
      </c>
      <c r="E2522" t="n">
        <v>2027</v>
      </c>
      <c r="F2522" t="inlineStr">
        <is>
          <t>Listopad</t>
        </is>
      </c>
      <c r="G2522" t="inlineStr">
        <is>
          <t>Pt</t>
        </is>
      </c>
      <c r="H2522">
        <f>'Floor Hours Engine'!$E$5</f>
        <v/>
      </c>
      <c r="I2522" t="inlineStr">
        <is>
          <t>W5</t>
        </is>
      </c>
      <c r="J2522" t="inlineStr">
        <is>
          <t>2027_Listopad_W5</t>
        </is>
      </c>
    </row>
    <row r="2523">
      <c r="A2523" s="177" t="n">
        <v>46718</v>
      </c>
      <c r="B2523" s="177" t="n">
        <v>46714</v>
      </c>
      <c r="C2523" s="177" t="n">
        <v>46720</v>
      </c>
      <c r="D2523" t="inlineStr">
        <is>
          <t>BW20271123</t>
        </is>
      </c>
      <c r="E2523" t="n">
        <v>2027</v>
      </c>
      <c r="F2523" t="inlineStr">
        <is>
          <t>Listopad</t>
        </is>
      </c>
      <c r="G2523" t="inlineStr">
        <is>
          <t>Sob</t>
        </is>
      </c>
      <c r="H2523">
        <f>'Floor Hours Engine'!$E$5</f>
        <v/>
      </c>
      <c r="I2523" t="inlineStr">
        <is>
          <t>W5</t>
        </is>
      </c>
      <c r="J2523" t="inlineStr">
        <is>
          <t>2027_Listopad_W5</t>
        </is>
      </c>
    </row>
    <row r="2524">
      <c r="A2524" s="177" t="n">
        <v>46719</v>
      </c>
      <c r="B2524" s="177" t="n">
        <v>46714</v>
      </c>
      <c r="C2524" s="177" t="n">
        <v>46720</v>
      </c>
      <c r="D2524" t="inlineStr">
        <is>
          <t>BW20271123</t>
        </is>
      </c>
      <c r="E2524" t="n">
        <v>2027</v>
      </c>
      <c r="F2524" t="inlineStr">
        <is>
          <t>Listopad</t>
        </is>
      </c>
      <c r="G2524" t="inlineStr">
        <is>
          <t>Nd</t>
        </is>
      </c>
      <c r="H2524">
        <f>'Floor Hours Engine'!$E$6</f>
        <v/>
      </c>
      <c r="I2524" t="inlineStr">
        <is>
          <t>W5</t>
        </is>
      </c>
      <c r="J2524" t="inlineStr">
        <is>
          <t>2027_Listopad_W5</t>
        </is>
      </c>
    </row>
    <row r="2525">
      <c r="A2525" s="177" t="n">
        <v>46720</v>
      </c>
      <c r="B2525" s="177" t="n">
        <v>46714</v>
      </c>
      <c r="C2525" s="177" t="n">
        <v>46720</v>
      </c>
      <c r="D2525" t="inlineStr">
        <is>
          <t>BW20271123</t>
        </is>
      </c>
      <c r="E2525" t="n">
        <v>2027</v>
      </c>
      <c r="F2525" t="inlineStr">
        <is>
          <t>Listopad</t>
        </is>
      </c>
      <c r="G2525" t="inlineStr">
        <is>
          <t>Pn</t>
        </is>
      </c>
      <c r="H2525">
        <f>'Floor Hours Engine'!$E$4</f>
        <v/>
      </c>
      <c r="I2525" t="inlineStr">
        <is>
          <t>W5</t>
        </is>
      </c>
      <c r="J2525" t="inlineStr">
        <is>
          <t>2027_Listopad_W5</t>
        </is>
      </c>
    </row>
    <row r="2526">
      <c r="A2526" s="177" t="n">
        <v>46721</v>
      </c>
      <c r="B2526" s="177" t="n">
        <v>46721</v>
      </c>
      <c r="C2526" s="177" t="n">
        <v>46727</v>
      </c>
      <c r="D2526" t="inlineStr">
        <is>
          <t>BW20271130</t>
        </is>
      </c>
      <c r="E2526" t="n">
        <v>2027</v>
      </c>
      <c r="F2526" t="inlineStr">
        <is>
          <t>Listopad</t>
        </is>
      </c>
      <c r="G2526" t="inlineStr">
        <is>
          <t>Wt</t>
        </is>
      </c>
      <c r="H2526">
        <f>'Floor Hours Engine'!$E$4</f>
        <v/>
      </c>
      <c r="I2526" t="inlineStr">
        <is>
          <t>W6</t>
        </is>
      </c>
      <c r="J2526" t="inlineStr">
        <is>
          <t>2027_Listopad_W6</t>
        </is>
      </c>
    </row>
    <row r="2527">
      <c r="A2527" s="177" t="n">
        <v>46722</v>
      </c>
      <c r="B2527" s="177" t="n">
        <v>46721</v>
      </c>
      <c r="C2527" s="177" t="n">
        <v>46727</v>
      </c>
      <c r="D2527" t="inlineStr">
        <is>
          <t>BW20271130</t>
        </is>
      </c>
      <c r="E2527" t="n">
        <v>2027</v>
      </c>
      <c r="F2527" t="inlineStr">
        <is>
          <t>Grudzień</t>
        </is>
      </c>
      <c r="G2527" t="inlineStr">
        <is>
          <t>Śr</t>
        </is>
      </c>
      <c r="H2527">
        <f>'Floor Hours Engine'!$E$4</f>
        <v/>
      </c>
      <c r="I2527" t="inlineStr">
        <is>
          <t>W1</t>
        </is>
      </c>
      <c r="J2527" t="inlineStr">
        <is>
          <t>2027_Grudzień_W1</t>
        </is>
      </c>
    </row>
    <row r="2528">
      <c r="A2528" s="177" t="n">
        <v>46723</v>
      </c>
      <c r="B2528" s="177" t="n">
        <v>46721</v>
      </c>
      <c r="C2528" s="177" t="n">
        <v>46727</v>
      </c>
      <c r="D2528" t="inlineStr">
        <is>
          <t>BW20271130</t>
        </is>
      </c>
      <c r="E2528" t="n">
        <v>2027</v>
      </c>
      <c r="F2528" t="inlineStr">
        <is>
          <t>Grudzień</t>
        </is>
      </c>
      <c r="G2528" t="inlineStr">
        <is>
          <t>Czw</t>
        </is>
      </c>
      <c r="H2528">
        <f>'Floor Hours Engine'!$E$4</f>
        <v/>
      </c>
      <c r="I2528" t="inlineStr">
        <is>
          <t>W1</t>
        </is>
      </c>
      <c r="J2528" t="inlineStr">
        <is>
          <t>2027_Grudzień_W1</t>
        </is>
      </c>
    </row>
    <row r="2529">
      <c r="A2529" s="177" t="n">
        <v>46724</v>
      </c>
      <c r="B2529" s="177" t="n">
        <v>46721</v>
      </c>
      <c r="C2529" s="177" t="n">
        <v>46727</v>
      </c>
      <c r="D2529" t="inlineStr">
        <is>
          <t>BW20271130</t>
        </is>
      </c>
      <c r="E2529" t="n">
        <v>2027</v>
      </c>
      <c r="F2529" t="inlineStr">
        <is>
          <t>Grudzień</t>
        </is>
      </c>
      <c r="G2529" t="inlineStr">
        <is>
          <t>Pt</t>
        </is>
      </c>
      <c r="H2529">
        <f>'Floor Hours Engine'!$E$5</f>
        <v/>
      </c>
      <c r="I2529" t="inlineStr">
        <is>
          <t>W1</t>
        </is>
      </c>
      <c r="J2529" t="inlineStr">
        <is>
          <t>2027_Grudzień_W1</t>
        </is>
      </c>
    </row>
    <row r="2530">
      <c r="A2530" s="177" t="n">
        <v>46725</v>
      </c>
      <c r="B2530" s="177" t="n">
        <v>46721</v>
      </c>
      <c r="C2530" s="177" t="n">
        <v>46727</v>
      </c>
      <c r="D2530" t="inlineStr">
        <is>
          <t>BW20271130</t>
        </is>
      </c>
      <c r="E2530" t="n">
        <v>2027</v>
      </c>
      <c r="F2530" t="inlineStr">
        <is>
          <t>Grudzień</t>
        </is>
      </c>
      <c r="G2530" t="inlineStr">
        <is>
          <t>Sob</t>
        </is>
      </c>
      <c r="H2530">
        <f>'Floor Hours Engine'!$E$5</f>
        <v/>
      </c>
      <c r="I2530" t="inlineStr">
        <is>
          <t>W1</t>
        </is>
      </c>
      <c r="J2530" t="inlineStr">
        <is>
          <t>2027_Grudzień_W1</t>
        </is>
      </c>
    </row>
    <row r="2531">
      <c r="A2531" s="177" t="n">
        <v>46726</v>
      </c>
      <c r="B2531" s="177" t="n">
        <v>46721</v>
      </c>
      <c r="C2531" s="177" t="n">
        <v>46727</v>
      </c>
      <c r="D2531" t="inlineStr">
        <is>
          <t>BW20271130</t>
        </is>
      </c>
      <c r="E2531" t="n">
        <v>2027</v>
      </c>
      <c r="F2531" t="inlineStr">
        <is>
          <t>Grudzień</t>
        </is>
      </c>
      <c r="G2531" t="inlineStr">
        <is>
          <t>Nd</t>
        </is>
      </c>
      <c r="H2531">
        <f>'Floor Hours Engine'!$E$6</f>
        <v/>
      </c>
      <c r="I2531" t="inlineStr">
        <is>
          <t>W1</t>
        </is>
      </c>
      <c r="J2531" t="inlineStr">
        <is>
          <t>2027_Grudzień_W1</t>
        </is>
      </c>
    </row>
    <row r="2532">
      <c r="A2532" s="177" t="n">
        <v>46727</v>
      </c>
      <c r="B2532" s="177" t="n">
        <v>46721</v>
      </c>
      <c r="C2532" s="177" t="n">
        <v>46727</v>
      </c>
      <c r="D2532" t="inlineStr">
        <is>
          <t>BW20271130</t>
        </is>
      </c>
      <c r="E2532" t="n">
        <v>2027</v>
      </c>
      <c r="F2532" t="inlineStr">
        <is>
          <t>Grudzień</t>
        </is>
      </c>
      <c r="G2532" t="inlineStr">
        <is>
          <t>Pn</t>
        </is>
      </c>
      <c r="H2532">
        <f>'Floor Hours Engine'!$E$4</f>
        <v/>
      </c>
      <c r="I2532" t="inlineStr">
        <is>
          <t>W1</t>
        </is>
      </c>
      <c r="J2532" t="inlineStr">
        <is>
          <t>2027_Grudzień_W1</t>
        </is>
      </c>
    </row>
    <row r="2533">
      <c r="A2533" s="177" t="n">
        <v>46728</v>
      </c>
      <c r="B2533" s="177" t="n">
        <v>46728</v>
      </c>
      <c r="C2533" s="177" t="n">
        <v>46734</v>
      </c>
      <c r="D2533" t="inlineStr">
        <is>
          <t>BW20271207</t>
        </is>
      </c>
      <c r="E2533" t="n">
        <v>2027</v>
      </c>
      <c r="F2533" t="inlineStr">
        <is>
          <t>Grudzień</t>
        </is>
      </c>
      <c r="G2533" t="inlineStr">
        <is>
          <t>Wt</t>
        </is>
      </c>
      <c r="H2533">
        <f>'Floor Hours Engine'!$E$4</f>
        <v/>
      </c>
      <c r="I2533" t="inlineStr">
        <is>
          <t>W2</t>
        </is>
      </c>
      <c r="J2533" t="inlineStr">
        <is>
          <t>2027_Grudzień_W2</t>
        </is>
      </c>
    </row>
    <row r="2534">
      <c r="A2534" s="177" t="n">
        <v>46729</v>
      </c>
      <c r="B2534" s="177" t="n">
        <v>46728</v>
      </c>
      <c r="C2534" s="177" t="n">
        <v>46734</v>
      </c>
      <c r="D2534" t="inlineStr">
        <is>
          <t>BW20271207</t>
        </is>
      </c>
      <c r="E2534" t="n">
        <v>2027</v>
      </c>
      <c r="F2534" t="inlineStr">
        <is>
          <t>Grudzień</t>
        </is>
      </c>
      <c r="G2534" t="inlineStr">
        <is>
          <t>Śr</t>
        </is>
      </c>
      <c r="H2534">
        <f>'Floor Hours Engine'!$E$4</f>
        <v/>
      </c>
      <c r="I2534" t="inlineStr">
        <is>
          <t>W2</t>
        </is>
      </c>
      <c r="J2534" t="inlineStr">
        <is>
          <t>2027_Grudzień_W2</t>
        </is>
      </c>
    </row>
    <row r="2535">
      <c r="A2535" s="177" t="n">
        <v>46730</v>
      </c>
      <c r="B2535" s="177" t="n">
        <v>46728</v>
      </c>
      <c r="C2535" s="177" t="n">
        <v>46734</v>
      </c>
      <c r="D2535" t="inlineStr">
        <is>
          <t>BW20271207</t>
        </is>
      </c>
      <c r="E2535" t="n">
        <v>2027</v>
      </c>
      <c r="F2535" t="inlineStr">
        <is>
          <t>Grudzień</t>
        </is>
      </c>
      <c r="G2535" t="inlineStr">
        <is>
          <t>Czw</t>
        </is>
      </c>
      <c r="H2535">
        <f>'Floor Hours Engine'!$E$4</f>
        <v/>
      </c>
      <c r="I2535" t="inlineStr">
        <is>
          <t>W2</t>
        </is>
      </c>
      <c r="J2535" t="inlineStr">
        <is>
          <t>2027_Grudzień_W2</t>
        </is>
      </c>
    </row>
    <row r="2536">
      <c r="A2536" s="177" t="n">
        <v>46731</v>
      </c>
      <c r="B2536" s="177" t="n">
        <v>46728</v>
      </c>
      <c r="C2536" s="177" t="n">
        <v>46734</v>
      </c>
      <c r="D2536" t="inlineStr">
        <is>
          <t>BW20271207</t>
        </is>
      </c>
      <c r="E2536" t="n">
        <v>2027</v>
      </c>
      <c r="F2536" t="inlineStr">
        <is>
          <t>Grudzień</t>
        </is>
      </c>
      <c r="G2536" t="inlineStr">
        <is>
          <t>Pt</t>
        </is>
      </c>
      <c r="H2536">
        <f>'Floor Hours Engine'!$E$5</f>
        <v/>
      </c>
      <c r="I2536" t="inlineStr">
        <is>
          <t>W2</t>
        </is>
      </c>
      <c r="J2536" t="inlineStr">
        <is>
          <t>2027_Grudzień_W2</t>
        </is>
      </c>
    </row>
    <row r="2537">
      <c r="A2537" s="177" t="n">
        <v>46732</v>
      </c>
      <c r="B2537" s="177" t="n">
        <v>46728</v>
      </c>
      <c r="C2537" s="177" t="n">
        <v>46734</v>
      </c>
      <c r="D2537" t="inlineStr">
        <is>
          <t>BW20271207</t>
        </is>
      </c>
      <c r="E2537" t="n">
        <v>2027</v>
      </c>
      <c r="F2537" t="inlineStr">
        <is>
          <t>Grudzień</t>
        </is>
      </c>
      <c r="G2537" t="inlineStr">
        <is>
          <t>Sob</t>
        </is>
      </c>
      <c r="H2537">
        <f>'Floor Hours Engine'!$E$5</f>
        <v/>
      </c>
      <c r="I2537" t="inlineStr">
        <is>
          <t>W2</t>
        </is>
      </c>
      <c r="J2537" t="inlineStr">
        <is>
          <t>2027_Grudzień_W2</t>
        </is>
      </c>
    </row>
    <row r="2538">
      <c r="A2538" s="177" t="n">
        <v>46733</v>
      </c>
      <c r="B2538" s="177" t="n">
        <v>46728</v>
      </c>
      <c r="C2538" s="177" t="n">
        <v>46734</v>
      </c>
      <c r="D2538" t="inlineStr">
        <is>
          <t>BW20271207</t>
        </is>
      </c>
      <c r="E2538" t="n">
        <v>2027</v>
      </c>
      <c r="F2538" t="inlineStr">
        <is>
          <t>Grudzień</t>
        </is>
      </c>
      <c r="G2538" t="inlineStr">
        <is>
          <t>Nd</t>
        </is>
      </c>
      <c r="H2538">
        <f>'Floor Hours Engine'!$E$6</f>
        <v/>
      </c>
      <c r="I2538" t="inlineStr">
        <is>
          <t>W2</t>
        </is>
      </c>
      <c r="J2538" t="inlineStr">
        <is>
          <t>2027_Grudzień_W2</t>
        </is>
      </c>
    </row>
    <row r="2539">
      <c r="A2539" s="177" t="n">
        <v>46734</v>
      </c>
      <c r="B2539" s="177" t="n">
        <v>46728</v>
      </c>
      <c r="C2539" s="177" t="n">
        <v>46734</v>
      </c>
      <c r="D2539" t="inlineStr">
        <is>
          <t>BW20271207</t>
        </is>
      </c>
      <c r="E2539" t="n">
        <v>2027</v>
      </c>
      <c r="F2539" t="inlineStr">
        <is>
          <t>Grudzień</t>
        </is>
      </c>
      <c r="G2539" t="inlineStr">
        <is>
          <t>Pn</t>
        </is>
      </c>
      <c r="H2539">
        <f>'Floor Hours Engine'!$E$4</f>
        <v/>
      </c>
      <c r="I2539" t="inlineStr">
        <is>
          <t>W2</t>
        </is>
      </c>
      <c r="J2539" t="inlineStr">
        <is>
          <t>2027_Grudzień_W2</t>
        </is>
      </c>
    </row>
    <row r="2540">
      <c r="A2540" s="177" t="n">
        <v>46735</v>
      </c>
      <c r="B2540" s="177" t="n">
        <v>46735</v>
      </c>
      <c r="C2540" s="177" t="n">
        <v>46741</v>
      </c>
      <c r="D2540" t="inlineStr">
        <is>
          <t>BW20271214</t>
        </is>
      </c>
      <c r="E2540" t="n">
        <v>2027</v>
      </c>
      <c r="F2540" t="inlineStr">
        <is>
          <t>Grudzień</t>
        </is>
      </c>
      <c r="G2540" t="inlineStr">
        <is>
          <t>Wt</t>
        </is>
      </c>
      <c r="H2540">
        <f>'Floor Hours Engine'!$E$4</f>
        <v/>
      </c>
      <c r="I2540" t="inlineStr">
        <is>
          <t>W3</t>
        </is>
      </c>
      <c r="J2540" t="inlineStr">
        <is>
          <t>2027_Grudzień_W3</t>
        </is>
      </c>
    </row>
    <row r="2541">
      <c r="A2541" s="177" t="n">
        <v>46736</v>
      </c>
      <c r="B2541" s="177" t="n">
        <v>46735</v>
      </c>
      <c r="C2541" s="177" t="n">
        <v>46741</v>
      </c>
      <c r="D2541" t="inlineStr">
        <is>
          <t>BW20271214</t>
        </is>
      </c>
      <c r="E2541" t="n">
        <v>2027</v>
      </c>
      <c r="F2541" t="inlineStr">
        <is>
          <t>Grudzień</t>
        </is>
      </c>
      <c r="G2541" t="inlineStr">
        <is>
          <t>Śr</t>
        </is>
      </c>
      <c r="H2541">
        <f>'Floor Hours Engine'!$E$4</f>
        <v/>
      </c>
      <c r="I2541" t="inlineStr">
        <is>
          <t>W3</t>
        </is>
      </c>
      <c r="J2541" t="inlineStr">
        <is>
          <t>2027_Grudzień_W3</t>
        </is>
      </c>
    </row>
    <row r="2542">
      <c r="A2542" s="177" t="n">
        <v>46737</v>
      </c>
      <c r="B2542" s="177" t="n">
        <v>46735</v>
      </c>
      <c r="C2542" s="177" t="n">
        <v>46741</v>
      </c>
      <c r="D2542" t="inlineStr">
        <is>
          <t>BW20271214</t>
        </is>
      </c>
      <c r="E2542" t="n">
        <v>2027</v>
      </c>
      <c r="F2542" t="inlineStr">
        <is>
          <t>Grudzień</t>
        </is>
      </c>
      <c r="G2542" t="inlineStr">
        <is>
          <t>Czw</t>
        </is>
      </c>
      <c r="H2542">
        <f>'Floor Hours Engine'!$E$4</f>
        <v/>
      </c>
      <c r="I2542" t="inlineStr">
        <is>
          <t>W3</t>
        </is>
      </c>
      <c r="J2542" t="inlineStr">
        <is>
          <t>2027_Grudzień_W3</t>
        </is>
      </c>
    </row>
    <row r="2543">
      <c r="A2543" s="177" t="n">
        <v>46738</v>
      </c>
      <c r="B2543" s="177" t="n">
        <v>46735</v>
      </c>
      <c r="C2543" s="177" t="n">
        <v>46741</v>
      </c>
      <c r="D2543" t="inlineStr">
        <is>
          <t>BW20271214</t>
        </is>
      </c>
      <c r="E2543" t="n">
        <v>2027</v>
      </c>
      <c r="F2543" t="inlineStr">
        <is>
          <t>Grudzień</t>
        </is>
      </c>
      <c r="G2543" t="inlineStr">
        <is>
          <t>Pt</t>
        </is>
      </c>
      <c r="H2543">
        <f>'Floor Hours Engine'!$E$5</f>
        <v/>
      </c>
      <c r="I2543" t="inlineStr">
        <is>
          <t>W3</t>
        </is>
      </c>
      <c r="J2543" t="inlineStr">
        <is>
          <t>2027_Grudzień_W3</t>
        </is>
      </c>
    </row>
    <row r="2544">
      <c r="A2544" s="177" t="n">
        <v>46739</v>
      </c>
      <c r="B2544" s="177" t="n">
        <v>46735</v>
      </c>
      <c r="C2544" s="177" t="n">
        <v>46741</v>
      </c>
      <c r="D2544" t="inlineStr">
        <is>
          <t>BW20271214</t>
        </is>
      </c>
      <c r="E2544" t="n">
        <v>2027</v>
      </c>
      <c r="F2544" t="inlineStr">
        <is>
          <t>Grudzień</t>
        </is>
      </c>
      <c r="G2544" t="inlineStr">
        <is>
          <t>Sob</t>
        </is>
      </c>
      <c r="H2544">
        <f>'Floor Hours Engine'!$E$5</f>
        <v/>
      </c>
      <c r="I2544" t="inlineStr">
        <is>
          <t>W3</t>
        </is>
      </c>
      <c r="J2544" t="inlineStr">
        <is>
          <t>2027_Grudzień_W3</t>
        </is>
      </c>
    </row>
    <row r="2545">
      <c r="A2545" s="177" t="n">
        <v>46740</v>
      </c>
      <c r="B2545" s="177" t="n">
        <v>46735</v>
      </c>
      <c r="C2545" s="177" t="n">
        <v>46741</v>
      </c>
      <c r="D2545" t="inlineStr">
        <is>
          <t>BW20271214</t>
        </is>
      </c>
      <c r="E2545" t="n">
        <v>2027</v>
      </c>
      <c r="F2545" t="inlineStr">
        <is>
          <t>Grudzień</t>
        </is>
      </c>
      <c r="G2545" t="inlineStr">
        <is>
          <t>Nd</t>
        </is>
      </c>
      <c r="H2545">
        <f>'Floor Hours Engine'!$E$6</f>
        <v/>
      </c>
      <c r="I2545" t="inlineStr">
        <is>
          <t>W3</t>
        </is>
      </c>
      <c r="J2545" t="inlineStr">
        <is>
          <t>2027_Grudzień_W3</t>
        </is>
      </c>
    </row>
    <row r="2546">
      <c r="A2546" s="177" t="n">
        <v>46741</v>
      </c>
      <c r="B2546" s="177" t="n">
        <v>46735</v>
      </c>
      <c r="C2546" s="177" t="n">
        <v>46741</v>
      </c>
      <c r="D2546" t="inlineStr">
        <is>
          <t>BW20271214</t>
        </is>
      </c>
      <c r="E2546" t="n">
        <v>2027</v>
      </c>
      <c r="F2546" t="inlineStr">
        <is>
          <t>Grudzień</t>
        </is>
      </c>
      <c r="G2546" t="inlineStr">
        <is>
          <t>Pn</t>
        </is>
      </c>
      <c r="H2546">
        <f>'Floor Hours Engine'!$E$4</f>
        <v/>
      </c>
      <c r="I2546" t="inlineStr">
        <is>
          <t>W3</t>
        </is>
      </c>
      <c r="J2546" t="inlineStr">
        <is>
          <t>2027_Grudzień_W3</t>
        </is>
      </c>
    </row>
    <row r="2547">
      <c r="A2547" s="177" t="n">
        <v>46742</v>
      </c>
      <c r="B2547" s="177" t="n">
        <v>46742</v>
      </c>
      <c r="C2547" s="177" t="n">
        <v>46748</v>
      </c>
      <c r="D2547" t="inlineStr">
        <is>
          <t>BW20271221</t>
        </is>
      </c>
      <c r="E2547" t="n">
        <v>2027</v>
      </c>
      <c r="F2547" t="inlineStr">
        <is>
          <t>Grudzień</t>
        </is>
      </c>
      <c r="G2547" t="inlineStr">
        <is>
          <t>Wt</t>
        </is>
      </c>
      <c r="H2547">
        <f>'Floor Hours Engine'!$E$4</f>
        <v/>
      </c>
      <c r="I2547" t="inlineStr">
        <is>
          <t>W4</t>
        </is>
      </c>
      <c r="J2547" t="inlineStr">
        <is>
          <t>2027_Grudzień_W4</t>
        </is>
      </c>
    </row>
    <row r="2548">
      <c r="A2548" s="177" t="n">
        <v>46743</v>
      </c>
      <c r="B2548" s="177" t="n">
        <v>46742</v>
      </c>
      <c r="C2548" s="177" t="n">
        <v>46748</v>
      </c>
      <c r="D2548" t="inlineStr">
        <is>
          <t>BW20271221</t>
        </is>
      </c>
      <c r="E2548" t="n">
        <v>2027</v>
      </c>
      <c r="F2548" t="inlineStr">
        <is>
          <t>Grudzień</t>
        </is>
      </c>
      <c r="G2548" t="inlineStr">
        <is>
          <t>Śr</t>
        </is>
      </c>
      <c r="H2548">
        <f>'Floor Hours Engine'!$E$4</f>
        <v/>
      </c>
      <c r="I2548" t="inlineStr">
        <is>
          <t>W4</t>
        </is>
      </c>
      <c r="J2548" t="inlineStr">
        <is>
          <t>2027_Grudzień_W4</t>
        </is>
      </c>
    </row>
    <row r="2549">
      <c r="A2549" s="177" t="n">
        <v>46744</v>
      </c>
      <c r="B2549" s="177" t="n">
        <v>46742</v>
      </c>
      <c r="C2549" s="177" t="n">
        <v>46748</v>
      </c>
      <c r="D2549" t="inlineStr">
        <is>
          <t>BW20271221</t>
        </is>
      </c>
      <c r="E2549" t="n">
        <v>2027</v>
      </c>
      <c r="F2549" t="inlineStr">
        <is>
          <t>Grudzień</t>
        </is>
      </c>
      <c r="G2549" t="inlineStr">
        <is>
          <t>Czw</t>
        </is>
      </c>
      <c r="H2549">
        <f>'Floor Hours Engine'!$E$4</f>
        <v/>
      </c>
      <c r="I2549" t="inlineStr">
        <is>
          <t>W4</t>
        </is>
      </c>
      <c r="J2549" t="inlineStr">
        <is>
          <t>2027_Grudzień_W4</t>
        </is>
      </c>
    </row>
    <row r="2550">
      <c r="A2550" s="177" t="n">
        <v>46745</v>
      </c>
      <c r="B2550" s="177" t="n">
        <v>46742</v>
      </c>
      <c r="C2550" s="177" t="n">
        <v>46748</v>
      </c>
      <c r="D2550" t="inlineStr">
        <is>
          <t>BW20271221</t>
        </is>
      </c>
      <c r="E2550" t="n">
        <v>2027</v>
      </c>
      <c r="F2550" t="inlineStr">
        <is>
          <t>Grudzień</t>
        </is>
      </c>
      <c r="G2550" t="inlineStr">
        <is>
          <t>Pt</t>
        </is>
      </c>
      <c r="H2550">
        <f>'Floor Hours Engine'!$E$5</f>
        <v/>
      </c>
      <c r="I2550" t="inlineStr">
        <is>
          <t>W4</t>
        </is>
      </c>
      <c r="J2550" t="inlineStr">
        <is>
          <t>2027_Grudzień_W4</t>
        </is>
      </c>
    </row>
    <row r="2551">
      <c r="A2551" s="177" t="n">
        <v>46746</v>
      </c>
      <c r="B2551" s="177" t="n">
        <v>46742</v>
      </c>
      <c r="C2551" s="177" t="n">
        <v>46748</v>
      </c>
      <c r="D2551" t="inlineStr">
        <is>
          <t>BW20271221</t>
        </is>
      </c>
      <c r="E2551" t="n">
        <v>2027</v>
      </c>
      <c r="F2551" t="inlineStr">
        <is>
          <t>Grudzień</t>
        </is>
      </c>
      <c r="G2551" t="inlineStr">
        <is>
          <t>Sob</t>
        </is>
      </c>
      <c r="H2551">
        <f>'Floor Hours Engine'!$E$5</f>
        <v/>
      </c>
      <c r="I2551" t="inlineStr">
        <is>
          <t>W4</t>
        </is>
      </c>
      <c r="J2551" t="inlineStr">
        <is>
          <t>2027_Grudzień_W4</t>
        </is>
      </c>
    </row>
    <row r="2552">
      <c r="A2552" s="177" t="n">
        <v>46747</v>
      </c>
      <c r="B2552" s="177" t="n">
        <v>46742</v>
      </c>
      <c r="C2552" s="177" t="n">
        <v>46748</v>
      </c>
      <c r="D2552" t="inlineStr">
        <is>
          <t>BW20271221</t>
        </is>
      </c>
      <c r="E2552" t="n">
        <v>2027</v>
      </c>
      <c r="F2552" t="inlineStr">
        <is>
          <t>Grudzień</t>
        </is>
      </c>
      <c r="G2552" t="inlineStr">
        <is>
          <t>Nd</t>
        </is>
      </c>
      <c r="H2552">
        <f>'Floor Hours Engine'!$E$6</f>
        <v/>
      </c>
      <c r="I2552" t="inlineStr">
        <is>
          <t>W4</t>
        </is>
      </c>
      <c r="J2552" t="inlineStr">
        <is>
          <t>2027_Grudzień_W4</t>
        </is>
      </c>
    </row>
    <row r="2553">
      <c r="A2553" s="177" t="n">
        <v>46748</v>
      </c>
      <c r="B2553" s="177" t="n">
        <v>46742</v>
      </c>
      <c r="C2553" s="177" t="n">
        <v>46748</v>
      </c>
      <c r="D2553" t="inlineStr">
        <is>
          <t>BW20271221</t>
        </is>
      </c>
      <c r="E2553" t="n">
        <v>2027</v>
      </c>
      <c r="F2553" t="inlineStr">
        <is>
          <t>Grudzień</t>
        </is>
      </c>
      <c r="G2553" t="inlineStr">
        <is>
          <t>Pn</t>
        </is>
      </c>
      <c r="H2553">
        <f>'Floor Hours Engine'!$E$4</f>
        <v/>
      </c>
      <c r="I2553" t="inlineStr">
        <is>
          <t>W4</t>
        </is>
      </c>
      <c r="J2553" t="inlineStr">
        <is>
          <t>2027_Grudzień_W4</t>
        </is>
      </c>
    </row>
    <row r="2554">
      <c r="A2554" s="177" t="n">
        <v>46749</v>
      </c>
      <c r="B2554" s="177" t="n">
        <v>46749</v>
      </c>
      <c r="C2554" s="177" t="n">
        <v>46755</v>
      </c>
      <c r="D2554" t="inlineStr">
        <is>
          <t>BW20271228</t>
        </is>
      </c>
      <c r="E2554" t="n">
        <v>2027</v>
      </c>
      <c r="F2554" t="inlineStr">
        <is>
          <t>Grudzień</t>
        </is>
      </c>
      <c r="G2554" t="inlineStr">
        <is>
          <t>Wt</t>
        </is>
      </c>
      <c r="H2554">
        <f>'Floor Hours Engine'!$E$4</f>
        <v/>
      </c>
      <c r="I2554" t="inlineStr">
        <is>
          <t>W5</t>
        </is>
      </c>
      <c r="J2554" t="inlineStr">
        <is>
          <t>2027_Grudzień_W5</t>
        </is>
      </c>
    </row>
    <row r="2555">
      <c r="A2555" s="177" t="n">
        <v>46750</v>
      </c>
      <c r="B2555" s="177" t="n">
        <v>46749</v>
      </c>
      <c r="C2555" s="177" t="n">
        <v>46755</v>
      </c>
      <c r="D2555" t="inlineStr">
        <is>
          <t>BW20271228</t>
        </is>
      </c>
      <c r="E2555" t="n">
        <v>2027</v>
      </c>
      <c r="F2555" t="inlineStr">
        <is>
          <t>Grudzień</t>
        </is>
      </c>
      <c r="G2555" t="inlineStr">
        <is>
          <t>Śr</t>
        </is>
      </c>
      <c r="H2555">
        <f>'Floor Hours Engine'!$E$4</f>
        <v/>
      </c>
      <c r="I2555" t="inlineStr">
        <is>
          <t>W5</t>
        </is>
      </c>
      <c r="J2555" t="inlineStr">
        <is>
          <t>2027_Grudzień_W5</t>
        </is>
      </c>
    </row>
    <row r="2556">
      <c r="A2556" s="177" t="n">
        <v>46751</v>
      </c>
      <c r="B2556" s="177" t="n">
        <v>46749</v>
      </c>
      <c r="C2556" s="177" t="n">
        <v>46755</v>
      </c>
      <c r="D2556" t="inlineStr">
        <is>
          <t>BW20271228</t>
        </is>
      </c>
      <c r="E2556" t="n">
        <v>2027</v>
      </c>
      <c r="F2556" t="inlineStr">
        <is>
          <t>Grudzień</t>
        </is>
      </c>
      <c r="G2556" t="inlineStr">
        <is>
          <t>Czw</t>
        </is>
      </c>
      <c r="H2556">
        <f>'Floor Hours Engine'!$E$4</f>
        <v/>
      </c>
      <c r="I2556" t="inlineStr">
        <is>
          <t>W5</t>
        </is>
      </c>
      <c r="J2556" t="inlineStr">
        <is>
          <t>2027_Grudzień_W5</t>
        </is>
      </c>
    </row>
    <row r="2557">
      <c r="A2557" s="177" t="n">
        <v>46752</v>
      </c>
      <c r="B2557" s="177" t="n">
        <v>46749</v>
      </c>
      <c r="C2557" s="177" t="n">
        <v>46755</v>
      </c>
      <c r="D2557" t="inlineStr">
        <is>
          <t>BW20271228</t>
        </is>
      </c>
      <c r="E2557" t="n">
        <v>2027</v>
      </c>
      <c r="F2557" t="inlineStr">
        <is>
          <t>Grudzień</t>
        </is>
      </c>
      <c r="G2557" t="inlineStr">
        <is>
          <t>Pt</t>
        </is>
      </c>
      <c r="H2557">
        <f>'Floor Hours Engine'!$E$5</f>
        <v/>
      </c>
      <c r="I2557" t="inlineStr">
        <is>
          <t>W5</t>
        </is>
      </c>
      <c r="J2557" t="inlineStr">
        <is>
          <t>2027_Grudzień_W5</t>
        </is>
      </c>
    </row>
    <row r="2558">
      <c r="A2558" s="177" t="n">
        <v>46753</v>
      </c>
      <c r="B2558" s="177" t="n">
        <v>46749</v>
      </c>
      <c r="C2558" s="177" t="n">
        <v>46755</v>
      </c>
      <c r="D2558" t="inlineStr">
        <is>
          <t>BW20271228</t>
        </is>
      </c>
      <c r="E2558" t="n">
        <v>2028</v>
      </c>
      <c r="F2558" t="inlineStr">
        <is>
          <t>Styczeń</t>
        </is>
      </c>
      <c r="G2558" t="inlineStr">
        <is>
          <t>Sob</t>
        </is>
      </c>
      <c r="H2558">
        <f>'Floor Hours Engine'!$E$5</f>
        <v/>
      </c>
      <c r="I2558" t="inlineStr">
        <is>
          <t>W1</t>
        </is>
      </c>
      <c r="J2558" t="inlineStr">
        <is>
          <t>2028_Styczeń_W1</t>
        </is>
      </c>
    </row>
    <row r="2559">
      <c r="A2559" s="177" t="n">
        <v>46754</v>
      </c>
      <c r="B2559" s="177" t="n">
        <v>46749</v>
      </c>
      <c r="C2559" s="177" t="n">
        <v>46755</v>
      </c>
      <c r="D2559" t="inlineStr">
        <is>
          <t>BW20271228</t>
        </is>
      </c>
      <c r="E2559" t="n">
        <v>2028</v>
      </c>
      <c r="F2559" t="inlineStr">
        <is>
          <t>Styczeń</t>
        </is>
      </c>
      <c r="G2559" t="inlineStr">
        <is>
          <t>Nd</t>
        </is>
      </c>
      <c r="H2559">
        <f>'Floor Hours Engine'!$E$6</f>
        <v/>
      </c>
      <c r="I2559" t="inlineStr">
        <is>
          <t>W1</t>
        </is>
      </c>
      <c r="J2559" t="inlineStr">
        <is>
          <t>2028_Styczeń_W1</t>
        </is>
      </c>
    </row>
    <row r="2560">
      <c r="A2560" s="177" t="n">
        <v>46755</v>
      </c>
      <c r="B2560" s="177" t="n">
        <v>46749</v>
      </c>
      <c r="C2560" s="177" t="n">
        <v>46755</v>
      </c>
      <c r="D2560" t="inlineStr">
        <is>
          <t>BW20271228</t>
        </is>
      </c>
      <c r="E2560" t="n">
        <v>2028</v>
      </c>
      <c r="F2560" t="inlineStr">
        <is>
          <t>Styczeń</t>
        </is>
      </c>
      <c r="G2560" t="inlineStr">
        <is>
          <t>Pn</t>
        </is>
      </c>
      <c r="H2560">
        <f>'Floor Hours Engine'!$E$4</f>
        <v/>
      </c>
      <c r="I2560" t="inlineStr">
        <is>
          <t>W1</t>
        </is>
      </c>
      <c r="J2560" t="inlineStr">
        <is>
          <t>2028_Styczeń_W1</t>
        </is>
      </c>
    </row>
    <row r="2561">
      <c r="A2561" s="177" t="n">
        <v>46756</v>
      </c>
      <c r="B2561" s="177" t="n">
        <v>46756</v>
      </c>
      <c r="C2561" s="177" t="n">
        <v>46762</v>
      </c>
      <c r="D2561" t="inlineStr">
        <is>
          <t>BW20280104</t>
        </is>
      </c>
      <c r="E2561" t="n">
        <v>2028</v>
      </c>
      <c r="F2561" t="inlineStr">
        <is>
          <t>Styczeń</t>
        </is>
      </c>
      <c r="G2561" t="inlineStr">
        <is>
          <t>Wt</t>
        </is>
      </c>
      <c r="H2561">
        <f>'Floor Hours Engine'!$E$4</f>
        <v/>
      </c>
      <c r="I2561" t="inlineStr">
        <is>
          <t>W2</t>
        </is>
      </c>
      <c r="J2561" t="inlineStr">
        <is>
          <t>2028_Styczeń_W2</t>
        </is>
      </c>
    </row>
    <row r="2562">
      <c r="A2562" s="177" t="n">
        <v>46757</v>
      </c>
      <c r="B2562" s="177" t="n">
        <v>46756</v>
      </c>
      <c r="C2562" s="177" t="n">
        <v>46762</v>
      </c>
      <c r="D2562" t="inlineStr">
        <is>
          <t>BW20280104</t>
        </is>
      </c>
      <c r="E2562" t="n">
        <v>2028</v>
      </c>
      <c r="F2562" t="inlineStr">
        <is>
          <t>Styczeń</t>
        </is>
      </c>
      <c r="G2562" t="inlineStr">
        <is>
          <t>Śr</t>
        </is>
      </c>
      <c r="H2562">
        <f>'Floor Hours Engine'!$E$4</f>
        <v/>
      </c>
      <c r="I2562" t="inlineStr">
        <is>
          <t>W2</t>
        </is>
      </c>
      <c r="J2562" t="inlineStr">
        <is>
          <t>2028_Styczeń_W2</t>
        </is>
      </c>
    </row>
    <row r="2563">
      <c r="A2563" s="177" t="n">
        <v>46758</v>
      </c>
      <c r="B2563" s="177" t="n">
        <v>46756</v>
      </c>
      <c r="C2563" s="177" t="n">
        <v>46762</v>
      </c>
      <c r="D2563" t="inlineStr">
        <is>
          <t>BW20280104</t>
        </is>
      </c>
      <c r="E2563" t="n">
        <v>2028</v>
      </c>
      <c r="F2563" t="inlineStr">
        <is>
          <t>Styczeń</t>
        </is>
      </c>
      <c r="G2563" t="inlineStr">
        <is>
          <t>Czw</t>
        </is>
      </c>
      <c r="H2563">
        <f>'Floor Hours Engine'!$E$4</f>
        <v/>
      </c>
      <c r="I2563" t="inlineStr">
        <is>
          <t>W2</t>
        </is>
      </c>
      <c r="J2563" t="inlineStr">
        <is>
          <t>2028_Styczeń_W2</t>
        </is>
      </c>
    </row>
    <row r="2564">
      <c r="A2564" s="177" t="n">
        <v>46759</v>
      </c>
      <c r="B2564" s="177" t="n">
        <v>46756</v>
      </c>
      <c r="C2564" s="177" t="n">
        <v>46762</v>
      </c>
      <c r="D2564" t="inlineStr">
        <is>
          <t>BW20280104</t>
        </is>
      </c>
      <c r="E2564" t="n">
        <v>2028</v>
      </c>
      <c r="F2564" t="inlineStr">
        <is>
          <t>Styczeń</t>
        </is>
      </c>
      <c r="G2564" t="inlineStr">
        <is>
          <t>Pt</t>
        </is>
      </c>
      <c r="H2564">
        <f>'Floor Hours Engine'!$E$5</f>
        <v/>
      </c>
      <c r="I2564" t="inlineStr">
        <is>
          <t>W2</t>
        </is>
      </c>
      <c r="J2564" t="inlineStr">
        <is>
          <t>2028_Styczeń_W2</t>
        </is>
      </c>
    </row>
    <row r="2565">
      <c r="A2565" s="177" t="n">
        <v>46760</v>
      </c>
      <c r="B2565" s="177" t="n">
        <v>46756</v>
      </c>
      <c r="C2565" s="177" t="n">
        <v>46762</v>
      </c>
      <c r="D2565" t="inlineStr">
        <is>
          <t>BW20280104</t>
        </is>
      </c>
      <c r="E2565" t="n">
        <v>2028</v>
      </c>
      <c r="F2565" t="inlineStr">
        <is>
          <t>Styczeń</t>
        </is>
      </c>
      <c r="G2565" t="inlineStr">
        <is>
          <t>Sob</t>
        </is>
      </c>
      <c r="H2565">
        <f>'Floor Hours Engine'!$E$5</f>
        <v/>
      </c>
      <c r="I2565" t="inlineStr">
        <is>
          <t>W2</t>
        </is>
      </c>
      <c r="J2565" t="inlineStr">
        <is>
          <t>2028_Styczeń_W2</t>
        </is>
      </c>
    </row>
    <row r="2566">
      <c r="A2566" s="177" t="n">
        <v>46761</v>
      </c>
      <c r="B2566" s="177" t="n">
        <v>46756</v>
      </c>
      <c r="C2566" s="177" t="n">
        <v>46762</v>
      </c>
      <c r="D2566" t="inlineStr">
        <is>
          <t>BW20280104</t>
        </is>
      </c>
      <c r="E2566" t="n">
        <v>2028</v>
      </c>
      <c r="F2566" t="inlineStr">
        <is>
          <t>Styczeń</t>
        </is>
      </c>
      <c r="G2566" t="inlineStr">
        <is>
          <t>Nd</t>
        </is>
      </c>
      <c r="H2566">
        <f>'Floor Hours Engine'!$E$6</f>
        <v/>
      </c>
      <c r="I2566" t="inlineStr">
        <is>
          <t>W2</t>
        </is>
      </c>
      <c r="J2566" t="inlineStr">
        <is>
          <t>2028_Styczeń_W2</t>
        </is>
      </c>
    </row>
    <row r="2567">
      <c r="A2567" s="177" t="n">
        <v>46762</v>
      </c>
      <c r="B2567" s="177" t="n">
        <v>46756</v>
      </c>
      <c r="C2567" s="177" t="n">
        <v>46762</v>
      </c>
      <c r="D2567" t="inlineStr">
        <is>
          <t>BW20280104</t>
        </is>
      </c>
      <c r="E2567" t="n">
        <v>2028</v>
      </c>
      <c r="F2567" t="inlineStr">
        <is>
          <t>Styczeń</t>
        </is>
      </c>
      <c r="G2567" t="inlineStr">
        <is>
          <t>Pn</t>
        </is>
      </c>
      <c r="H2567">
        <f>'Floor Hours Engine'!$E$4</f>
        <v/>
      </c>
      <c r="I2567" t="inlineStr">
        <is>
          <t>W2</t>
        </is>
      </c>
      <c r="J2567" t="inlineStr">
        <is>
          <t>2028_Styczeń_W2</t>
        </is>
      </c>
    </row>
    <row r="2568">
      <c r="A2568" s="177" t="n">
        <v>46763</v>
      </c>
      <c r="B2568" s="177" t="n">
        <v>46763</v>
      </c>
      <c r="C2568" s="177" t="n">
        <v>46769</v>
      </c>
      <c r="D2568" t="inlineStr">
        <is>
          <t>BW20280111</t>
        </is>
      </c>
      <c r="E2568" t="n">
        <v>2028</v>
      </c>
      <c r="F2568" t="inlineStr">
        <is>
          <t>Styczeń</t>
        </is>
      </c>
      <c r="G2568" t="inlineStr">
        <is>
          <t>Wt</t>
        </is>
      </c>
      <c r="H2568">
        <f>'Floor Hours Engine'!$E$4</f>
        <v/>
      </c>
      <c r="I2568" t="inlineStr">
        <is>
          <t>W3</t>
        </is>
      </c>
      <c r="J2568" t="inlineStr">
        <is>
          <t>2028_Styczeń_W3</t>
        </is>
      </c>
    </row>
    <row r="2569">
      <c r="A2569" s="177" t="n">
        <v>46764</v>
      </c>
      <c r="B2569" s="177" t="n">
        <v>46763</v>
      </c>
      <c r="C2569" s="177" t="n">
        <v>46769</v>
      </c>
      <c r="D2569" t="inlineStr">
        <is>
          <t>BW20280111</t>
        </is>
      </c>
      <c r="E2569" t="n">
        <v>2028</v>
      </c>
      <c r="F2569" t="inlineStr">
        <is>
          <t>Styczeń</t>
        </is>
      </c>
      <c r="G2569" t="inlineStr">
        <is>
          <t>Śr</t>
        </is>
      </c>
      <c r="H2569">
        <f>'Floor Hours Engine'!$E$4</f>
        <v/>
      </c>
      <c r="I2569" t="inlineStr">
        <is>
          <t>W3</t>
        </is>
      </c>
      <c r="J2569" t="inlineStr">
        <is>
          <t>2028_Styczeń_W3</t>
        </is>
      </c>
    </row>
    <row r="2570">
      <c r="A2570" s="177" t="n">
        <v>46765</v>
      </c>
      <c r="B2570" s="177" t="n">
        <v>46763</v>
      </c>
      <c r="C2570" s="177" t="n">
        <v>46769</v>
      </c>
      <c r="D2570" t="inlineStr">
        <is>
          <t>BW20280111</t>
        </is>
      </c>
      <c r="E2570" t="n">
        <v>2028</v>
      </c>
      <c r="F2570" t="inlineStr">
        <is>
          <t>Styczeń</t>
        </is>
      </c>
      <c r="G2570" t="inlineStr">
        <is>
          <t>Czw</t>
        </is>
      </c>
      <c r="H2570">
        <f>'Floor Hours Engine'!$E$4</f>
        <v/>
      </c>
      <c r="I2570" t="inlineStr">
        <is>
          <t>W3</t>
        </is>
      </c>
      <c r="J2570" t="inlineStr">
        <is>
          <t>2028_Styczeń_W3</t>
        </is>
      </c>
    </row>
    <row r="2571">
      <c r="A2571" s="177" t="n">
        <v>46766</v>
      </c>
      <c r="B2571" s="177" t="n">
        <v>46763</v>
      </c>
      <c r="C2571" s="177" t="n">
        <v>46769</v>
      </c>
      <c r="D2571" t="inlineStr">
        <is>
          <t>BW20280111</t>
        </is>
      </c>
      <c r="E2571" t="n">
        <v>2028</v>
      </c>
      <c r="F2571" t="inlineStr">
        <is>
          <t>Styczeń</t>
        </is>
      </c>
      <c r="G2571" t="inlineStr">
        <is>
          <t>Pt</t>
        </is>
      </c>
      <c r="H2571">
        <f>'Floor Hours Engine'!$E$5</f>
        <v/>
      </c>
      <c r="I2571" t="inlineStr">
        <is>
          <t>W3</t>
        </is>
      </c>
      <c r="J2571" t="inlineStr">
        <is>
          <t>2028_Styczeń_W3</t>
        </is>
      </c>
    </row>
    <row r="2572">
      <c r="A2572" s="177" t="n">
        <v>46767</v>
      </c>
      <c r="B2572" s="177" t="n">
        <v>46763</v>
      </c>
      <c r="C2572" s="177" t="n">
        <v>46769</v>
      </c>
      <c r="D2572" t="inlineStr">
        <is>
          <t>BW20280111</t>
        </is>
      </c>
      <c r="E2572" t="n">
        <v>2028</v>
      </c>
      <c r="F2572" t="inlineStr">
        <is>
          <t>Styczeń</t>
        </is>
      </c>
      <c r="G2572" t="inlineStr">
        <is>
          <t>Sob</t>
        </is>
      </c>
      <c r="H2572">
        <f>'Floor Hours Engine'!$E$5</f>
        <v/>
      </c>
      <c r="I2572" t="inlineStr">
        <is>
          <t>W3</t>
        </is>
      </c>
      <c r="J2572" t="inlineStr">
        <is>
          <t>2028_Styczeń_W3</t>
        </is>
      </c>
    </row>
    <row r="2573">
      <c r="A2573" s="177" t="n">
        <v>46768</v>
      </c>
      <c r="B2573" s="177" t="n">
        <v>46763</v>
      </c>
      <c r="C2573" s="177" t="n">
        <v>46769</v>
      </c>
      <c r="D2573" t="inlineStr">
        <is>
          <t>BW20280111</t>
        </is>
      </c>
      <c r="E2573" t="n">
        <v>2028</v>
      </c>
      <c r="F2573" t="inlineStr">
        <is>
          <t>Styczeń</t>
        </is>
      </c>
      <c r="G2573" t="inlineStr">
        <is>
          <t>Nd</t>
        </is>
      </c>
      <c r="H2573">
        <f>'Floor Hours Engine'!$E$6</f>
        <v/>
      </c>
      <c r="I2573" t="inlineStr">
        <is>
          <t>W3</t>
        </is>
      </c>
      <c r="J2573" t="inlineStr">
        <is>
          <t>2028_Styczeń_W3</t>
        </is>
      </c>
    </row>
    <row r="2574">
      <c r="A2574" s="177" t="n">
        <v>46769</v>
      </c>
      <c r="B2574" s="177" t="n">
        <v>46763</v>
      </c>
      <c r="C2574" s="177" t="n">
        <v>46769</v>
      </c>
      <c r="D2574" t="inlineStr">
        <is>
          <t>BW20280111</t>
        </is>
      </c>
      <c r="E2574" t="n">
        <v>2028</v>
      </c>
      <c r="F2574" t="inlineStr">
        <is>
          <t>Styczeń</t>
        </is>
      </c>
      <c r="G2574" t="inlineStr">
        <is>
          <t>Pn</t>
        </is>
      </c>
      <c r="H2574">
        <f>'Floor Hours Engine'!$E$4</f>
        <v/>
      </c>
      <c r="I2574" t="inlineStr">
        <is>
          <t>W3</t>
        </is>
      </c>
      <c r="J2574" t="inlineStr">
        <is>
          <t>2028_Styczeń_W3</t>
        </is>
      </c>
    </row>
    <row r="2575">
      <c r="A2575" s="177" t="n">
        <v>46770</v>
      </c>
      <c r="B2575" s="177" t="n">
        <v>46770</v>
      </c>
      <c r="C2575" s="177" t="n">
        <v>46776</v>
      </c>
      <c r="D2575" t="inlineStr">
        <is>
          <t>BW20280118</t>
        </is>
      </c>
      <c r="E2575" t="n">
        <v>2028</v>
      </c>
      <c r="F2575" t="inlineStr">
        <is>
          <t>Styczeń</t>
        </is>
      </c>
      <c r="G2575" t="inlineStr">
        <is>
          <t>Wt</t>
        </is>
      </c>
      <c r="H2575">
        <f>'Floor Hours Engine'!$E$4</f>
        <v/>
      </c>
      <c r="I2575" t="inlineStr">
        <is>
          <t>W4</t>
        </is>
      </c>
      <c r="J2575" t="inlineStr">
        <is>
          <t>2028_Styczeń_W4</t>
        </is>
      </c>
    </row>
    <row r="2576">
      <c r="A2576" s="177" t="n">
        <v>46771</v>
      </c>
      <c r="B2576" s="177" t="n">
        <v>46770</v>
      </c>
      <c r="C2576" s="177" t="n">
        <v>46776</v>
      </c>
      <c r="D2576" t="inlineStr">
        <is>
          <t>BW20280118</t>
        </is>
      </c>
      <c r="E2576" t="n">
        <v>2028</v>
      </c>
      <c r="F2576" t="inlineStr">
        <is>
          <t>Styczeń</t>
        </is>
      </c>
      <c r="G2576" t="inlineStr">
        <is>
          <t>Śr</t>
        </is>
      </c>
      <c r="H2576">
        <f>'Floor Hours Engine'!$E$4</f>
        <v/>
      </c>
      <c r="I2576" t="inlineStr">
        <is>
          <t>W4</t>
        </is>
      </c>
      <c r="J2576" t="inlineStr">
        <is>
          <t>2028_Styczeń_W4</t>
        </is>
      </c>
    </row>
    <row r="2577">
      <c r="A2577" s="177" t="n">
        <v>46772</v>
      </c>
      <c r="B2577" s="177" t="n">
        <v>46770</v>
      </c>
      <c r="C2577" s="177" t="n">
        <v>46776</v>
      </c>
      <c r="D2577" t="inlineStr">
        <is>
          <t>BW20280118</t>
        </is>
      </c>
      <c r="E2577" t="n">
        <v>2028</v>
      </c>
      <c r="F2577" t="inlineStr">
        <is>
          <t>Styczeń</t>
        </is>
      </c>
      <c r="G2577" t="inlineStr">
        <is>
          <t>Czw</t>
        </is>
      </c>
      <c r="H2577">
        <f>'Floor Hours Engine'!$E$4</f>
        <v/>
      </c>
      <c r="I2577" t="inlineStr">
        <is>
          <t>W4</t>
        </is>
      </c>
      <c r="J2577" t="inlineStr">
        <is>
          <t>2028_Styczeń_W4</t>
        </is>
      </c>
    </row>
    <row r="2578">
      <c r="A2578" s="177" t="n">
        <v>46773</v>
      </c>
      <c r="B2578" s="177" t="n">
        <v>46770</v>
      </c>
      <c r="C2578" s="177" t="n">
        <v>46776</v>
      </c>
      <c r="D2578" t="inlineStr">
        <is>
          <t>BW20280118</t>
        </is>
      </c>
      <c r="E2578" t="n">
        <v>2028</v>
      </c>
      <c r="F2578" t="inlineStr">
        <is>
          <t>Styczeń</t>
        </is>
      </c>
      <c r="G2578" t="inlineStr">
        <is>
          <t>Pt</t>
        </is>
      </c>
      <c r="H2578">
        <f>'Floor Hours Engine'!$E$5</f>
        <v/>
      </c>
      <c r="I2578" t="inlineStr">
        <is>
          <t>W4</t>
        </is>
      </c>
      <c r="J2578" t="inlineStr">
        <is>
          <t>2028_Styczeń_W4</t>
        </is>
      </c>
    </row>
    <row r="2579">
      <c r="A2579" s="177" t="n">
        <v>46774</v>
      </c>
      <c r="B2579" s="177" t="n">
        <v>46770</v>
      </c>
      <c r="C2579" s="177" t="n">
        <v>46776</v>
      </c>
      <c r="D2579" t="inlineStr">
        <is>
          <t>BW20280118</t>
        </is>
      </c>
      <c r="E2579" t="n">
        <v>2028</v>
      </c>
      <c r="F2579" t="inlineStr">
        <is>
          <t>Styczeń</t>
        </is>
      </c>
      <c r="G2579" t="inlineStr">
        <is>
          <t>Sob</t>
        </is>
      </c>
      <c r="H2579">
        <f>'Floor Hours Engine'!$E$5</f>
        <v/>
      </c>
      <c r="I2579" t="inlineStr">
        <is>
          <t>W4</t>
        </is>
      </c>
      <c r="J2579" t="inlineStr">
        <is>
          <t>2028_Styczeń_W4</t>
        </is>
      </c>
    </row>
    <row r="2580">
      <c r="A2580" s="177" t="n">
        <v>46775</v>
      </c>
      <c r="B2580" s="177" t="n">
        <v>46770</v>
      </c>
      <c r="C2580" s="177" t="n">
        <v>46776</v>
      </c>
      <c r="D2580" t="inlineStr">
        <is>
          <t>BW20280118</t>
        </is>
      </c>
      <c r="E2580" t="n">
        <v>2028</v>
      </c>
      <c r="F2580" t="inlineStr">
        <is>
          <t>Styczeń</t>
        </is>
      </c>
      <c r="G2580" t="inlineStr">
        <is>
          <t>Nd</t>
        </is>
      </c>
      <c r="H2580">
        <f>'Floor Hours Engine'!$E$6</f>
        <v/>
      </c>
      <c r="I2580" t="inlineStr">
        <is>
          <t>W4</t>
        </is>
      </c>
      <c r="J2580" t="inlineStr">
        <is>
          <t>2028_Styczeń_W4</t>
        </is>
      </c>
    </row>
    <row r="2581">
      <c r="A2581" s="177" t="n">
        <v>46776</v>
      </c>
      <c r="B2581" s="177" t="n">
        <v>46770</v>
      </c>
      <c r="C2581" s="177" t="n">
        <v>46776</v>
      </c>
      <c r="D2581" t="inlineStr">
        <is>
          <t>BW20280118</t>
        </is>
      </c>
      <c r="E2581" t="n">
        <v>2028</v>
      </c>
      <c r="F2581" t="inlineStr">
        <is>
          <t>Styczeń</t>
        </is>
      </c>
      <c r="G2581" t="inlineStr">
        <is>
          <t>Pn</t>
        </is>
      </c>
      <c r="H2581">
        <f>'Floor Hours Engine'!$E$4</f>
        <v/>
      </c>
      <c r="I2581" t="inlineStr">
        <is>
          <t>W4</t>
        </is>
      </c>
      <c r="J2581" t="inlineStr">
        <is>
          <t>2028_Styczeń_W4</t>
        </is>
      </c>
    </row>
    <row r="2582">
      <c r="A2582" s="177" t="n">
        <v>46777</v>
      </c>
      <c r="B2582" s="177" t="n">
        <v>46777</v>
      </c>
      <c r="C2582" s="177" t="n">
        <v>46783</v>
      </c>
      <c r="D2582" t="inlineStr">
        <is>
          <t>BW20280125</t>
        </is>
      </c>
      <c r="E2582" t="n">
        <v>2028</v>
      </c>
      <c r="F2582" t="inlineStr">
        <is>
          <t>Styczeń</t>
        </is>
      </c>
      <c r="G2582" t="inlineStr">
        <is>
          <t>Wt</t>
        </is>
      </c>
      <c r="H2582">
        <f>'Floor Hours Engine'!$E$4</f>
        <v/>
      </c>
      <c r="I2582" t="inlineStr">
        <is>
          <t>W5</t>
        </is>
      </c>
      <c r="J2582" t="inlineStr">
        <is>
          <t>2028_Styczeń_W5</t>
        </is>
      </c>
    </row>
    <row r="2583">
      <c r="A2583" s="177" t="n">
        <v>46778</v>
      </c>
      <c r="B2583" s="177" t="n">
        <v>46777</v>
      </c>
      <c r="C2583" s="177" t="n">
        <v>46783</v>
      </c>
      <c r="D2583" t="inlineStr">
        <is>
          <t>BW20280125</t>
        </is>
      </c>
      <c r="E2583" t="n">
        <v>2028</v>
      </c>
      <c r="F2583" t="inlineStr">
        <is>
          <t>Styczeń</t>
        </is>
      </c>
      <c r="G2583" t="inlineStr">
        <is>
          <t>Śr</t>
        </is>
      </c>
      <c r="H2583">
        <f>'Floor Hours Engine'!$E$4</f>
        <v/>
      </c>
      <c r="I2583" t="inlineStr">
        <is>
          <t>W5</t>
        </is>
      </c>
      <c r="J2583" t="inlineStr">
        <is>
          <t>2028_Styczeń_W5</t>
        </is>
      </c>
    </row>
    <row r="2584">
      <c r="A2584" s="177" t="n">
        <v>46779</v>
      </c>
      <c r="B2584" s="177" t="n">
        <v>46777</v>
      </c>
      <c r="C2584" s="177" t="n">
        <v>46783</v>
      </c>
      <c r="D2584" t="inlineStr">
        <is>
          <t>BW20280125</t>
        </is>
      </c>
      <c r="E2584" t="n">
        <v>2028</v>
      </c>
      <c r="F2584" t="inlineStr">
        <is>
          <t>Styczeń</t>
        </is>
      </c>
      <c r="G2584" t="inlineStr">
        <is>
          <t>Czw</t>
        </is>
      </c>
      <c r="H2584">
        <f>'Floor Hours Engine'!$E$4</f>
        <v/>
      </c>
      <c r="I2584" t="inlineStr">
        <is>
          <t>W5</t>
        </is>
      </c>
      <c r="J2584" t="inlineStr">
        <is>
          <t>2028_Styczeń_W5</t>
        </is>
      </c>
    </row>
    <row r="2585">
      <c r="A2585" s="177" t="n">
        <v>46780</v>
      </c>
      <c r="B2585" s="177" t="n">
        <v>46777</v>
      </c>
      <c r="C2585" s="177" t="n">
        <v>46783</v>
      </c>
      <c r="D2585" t="inlineStr">
        <is>
          <t>BW20280125</t>
        </is>
      </c>
      <c r="E2585" t="n">
        <v>2028</v>
      </c>
      <c r="F2585" t="inlineStr">
        <is>
          <t>Styczeń</t>
        </is>
      </c>
      <c r="G2585" t="inlineStr">
        <is>
          <t>Pt</t>
        </is>
      </c>
      <c r="H2585">
        <f>'Floor Hours Engine'!$E$5</f>
        <v/>
      </c>
      <c r="I2585" t="inlineStr">
        <is>
          <t>W5</t>
        </is>
      </c>
      <c r="J2585" t="inlineStr">
        <is>
          <t>2028_Styczeń_W5</t>
        </is>
      </c>
    </row>
    <row r="2586">
      <c r="A2586" s="177" t="n">
        <v>46781</v>
      </c>
      <c r="B2586" s="177" t="n">
        <v>46777</v>
      </c>
      <c r="C2586" s="177" t="n">
        <v>46783</v>
      </c>
      <c r="D2586" t="inlineStr">
        <is>
          <t>BW20280125</t>
        </is>
      </c>
      <c r="E2586" t="n">
        <v>2028</v>
      </c>
      <c r="F2586" t="inlineStr">
        <is>
          <t>Styczeń</t>
        </is>
      </c>
      <c r="G2586" t="inlineStr">
        <is>
          <t>Sob</t>
        </is>
      </c>
      <c r="H2586">
        <f>'Floor Hours Engine'!$E$5</f>
        <v/>
      </c>
      <c r="I2586" t="inlineStr">
        <is>
          <t>W5</t>
        </is>
      </c>
      <c r="J2586" t="inlineStr">
        <is>
          <t>2028_Styczeń_W5</t>
        </is>
      </c>
    </row>
    <row r="2587">
      <c r="A2587" s="177" t="n">
        <v>46782</v>
      </c>
      <c r="B2587" s="177" t="n">
        <v>46777</v>
      </c>
      <c r="C2587" s="177" t="n">
        <v>46783</v>
      </c>
      <c r="D2587" t="inlineStr">
        <is>
          <t>BW20280125</t>
        </is>
      </c>
      <c r="E2587" t="n">
        <v>2028</v>
      </c>
      <c r="F2587" t="inlineStr">
        <is>
          <t>Styczeń</t>
        </is>
      </c>
      <c r="G2587" t="inlineStr">
        <is>
          <t>Nd</t>
        </is>
      </c>
      <c r="H2587">
        <f>'Floor Hours Engine'!$E$6</f>
        <v/>
      </c>
      <c r="I2587" t="inlineStr">
        <is>
          <t>W5</t>
        </is>
      </c>
      <c r="J2587" t="inlineStr">
        <is>
          <t>2028_Styczeń_W5</t>
        </is>
      </c>
    </row>
    <row r="2588">
      <c r="A2588" s="177" t="n">
        <v>46783</v>
      </c>
      <c r="B2588" s="177" t="n">
        <v>46777</v>
      </c>
      <c r="C2588" s="177" t="n">
        <v>46783</v>
      </c>
      <c r="D2588" t="inlineStr">
        <is>
          <t>BW20280125</t>
        </is>
      </c>
      <c r="E2588" t="n">
        <v>2028</v>
      </c>
      <c r="F2588" t="inlineStr">
        <is>
          <t>Styczeń</t>
        </is>
      </c>
      <c r="G2588" t="inlineStr">
        <is>
          <t>Pn</t>
        </is>
      </c>
      <c r="H2588">
        <f>'Floor Hours Engine'!$E$4</f>
        <v/>
      </c>
      <c r="I2588" t="inlineStr">
        <is>
          <t>W5</t>
        </is>
      </c>
      <c r="J2588" t="inlineStr">
        <is>
          <t>2028_Styczeń_W5</t>
        </is>
      </c>
    </row>
    <row r="2589">
      <c r="A2589" s="177" t="n">
        <v>46784</v>
      </c>
      <c r="B2589" s="177" t="n">
        <v>46784</v>
      </c>
      <c r="C2589" s="177" t="n">
        <v>46790</v>
      </c>
      <c r="D2589" t="inlineStr">
        <is>
          <t>BW20280201</t>
        </is>
      </c>
      <c r="E2589" t="n">
        <v>2028</v>
      </c>
      <c r="F2589" t="inlineStr">
        <is>
          <t>Luty</t>
        </is>
      </c>
      <c r="G2589" t="inlineStr">
        <is>
          <t>Wt</t>
        </is>
      </c>
      <c r="H2589">
        <f>'Floor Hours Engine'!$E$4</f>
        <v/>
      </c>
      <c r="I2589" t="inlineStr">
        <is>
          <t>W1</t>
        </is>
      </c>
      <c r="J2589" t="inlineStr">
        <is>
          <t>2028_Luty_W1</t>
        </is>
      </c>
    </row>
    <row r="2590">
      <c r="A2590" s="177" t="n">
        <v>46785</v>
      </c>
      <c r="B2590" s="177" t="n">
        <v>46784</v>
      </c>
      <c r="C2590" s="177" t="n">
        <v>46790</v>
      </c>
      <c r="D2590" t="inlineStr">
        <is>
          <t>BW20280201</t>
        </is>
      </c>
      <c r="E2590" t="n">
        <v>2028</v>
      </c>
      <c r="F2590" t="inlineStr">
        <is>
          <t>Luty</t>
        </is>
      </c>
      <c r="G2590" t="inlineStr">
        <is>
          <t>Śr</t>
        </is>
      </c>
      <c r="H2590">
        <f>'Floor Hours Engine'!$E$4</f>
        <v/>
      </c>
      <c r="I2590" t="inlineStr">
        <is>
          <t>W1</t>
        </is>
      </c>
      <c r="J2590" t="inlineStr">
        <is>
          <t>2028_Luty_W1</t>
        </is>
      </c>
    </row>
    <row r="2591">
      <c r="A2591" s="177" t="n">
        <v>46786</v>
      </c>
      <c r="B2591" s="177" t="n">
        <v>46784</v>
      </c>
      <c r="C2591" s="177" t="n">
        <v>46790</v>
      </c>
      <c r="D2591" t="inlineStr">
        <is>
          <t>BW20280201</t>
        </is>
      </c>
      <c r="E2591" t="n">
        <v>2028</v>
      </c>
      <c r="F2591" t="inlineStr">
        <is>
          <t>Luty</t>
        </is>
      </c>
      <c r="G2591" t="inlineStr">
        <is>
          <t>Czw</t>
        </is>
      </c>
      <c r="H2591">
        <f>'Floor Hours Engine'!$E$4</f>
        <v/>
      </c>
      <c r="I2591" t="inlineStr">
        <is>
          <t>W1</t>
        </is>
      </c>
      <c r="J2591" t="inlineStr">
        <is>
          <t>2028_Luty_W1</t>
        </is>
      </c>
    </row>
    <row r="2592">
      <c r="A2592" s="177" t="n">
        <v>46787</v>
      </c>
      <c r="B2592" s="177" t="n">
        <v>46784</v>
      </c>
      <c r="C2592" s="177" t="n">
        <v>46790</v>
      </c>
      <c r="D2592" t="inlineStr">
        <is>
          <t>BW20280201</t>
        </is>
      </c>
      <c r="E2592" t="n">
        <v>2028</v>
      </c>
      <c r="F2592" t="inlineStr">
        <is>
          <t>Luty</t>
        </is>
      </c>
      <c r="G2592" t="inlineStr">
        <is>
          <t>Pt</t>
        </is>
      </c>
      <c r="H2592">
        <f>'Floor Hours Engine'!$E$5</f>
        <v/>
      </c>
      <c r="I2592" t="inlineStr">
        <is>
          <t>W1</t>
        </is>
      </c>
      <c r="J2592" t="inlineStr">
        <is>
          <t>2028_Luty_W1</t>
        </is>
      </c>
    </row>
    <row r="2593">
      <c r="A2593" s="177" t="n">
        <v>46788</v>
      </c>
      <c r="B2593" s="177" t="n">
        <v>46784</v>
      </c>
      <c r="C2593" s="177" t="n">
        <v>46790</v>
      </c>
      <c r="D2593" t="inlineStr">
        <is>
          <t>BW20280201</t>
        </is>
      </c>
      <c r="E2593" t="n">
        <v>2028</v>
      </c>
      <c r="F2593" t="inlineStr">
        <is>
          <t>Luty</t>
        </is>
      </c>
      <c r="G2593" t="inlineStr">
        <is>
          <t>Sob</t>
        </is>
      </c>
      <c r="H2593">
        <f>'Floor Hours Engine'!$E$5</f>
        <v/>
      </c>
      <c r="I2593" t="inlineStr">
        <is>
          <t>W1</t>
        </is>
      </c>
      <c r="J2593" t="inlineStr">
        <is>
          <t>2028_Luty_W1</t>
        </is>
      </c>
    </row>
    <row r="2594">
      <c r="A2594" s="177" t="n">
        <v>46789</v>
      </c>
      <c r="B2594" s="177" t="n">
        <v>46784</v>
      </c>
      <c r="C2594" s="177" t="n">
        <v>46790</v>
      </c>
      <c r="D2594" t="inlineStr">
        <is>
          <t>BW20280201</t>
        </is>
      </c>
      <c r="E2594" t="n">
        <v>2028</v>
      </c>
      <c r="F2594" t="inlineStr">
        <is>
          <t>Luty</t>
        </is>
      </c>
      <c r="G2594" t="inlineStr">
        <is>
          <t>Nd</t>
        </is>
      </c>
      <c r="H2594">
        <f>'Floor Hours Engine'!$E$6</f>
        <v/>
      </c>
      <c r="I2594" t="inlineStr">
        <is>
          <t>W1</t>
        </is>
      </c>
      <c r="J2594" t="inlineStr">
        <is>
          <t>2028_Luty_W1</t>
        </is>
      </c>
    </row>
    <row r="2595">
      <c r="A2595" s="177" t="n">
        <v>46790</v>
      </c>
      <c r="B2595" s="177" t="n">
        <v>46784</v>
      </c>
      <c r="C2595" s="177" t="n">
        <v>46790</v>
      </c>
      <c r="D2595" t="inlineStr">
        <is>
          <t>BW20280201</t>
        </is>
      </c>
      <c r="E2595" t="n">
        <v>2028</v>
      </c>
      <c r="F2595" t="inlineStr">
        <is>
          <t>Luty</t>
        </is>
      </c>
      <c r="G2595" t="inlineStr">
        <is>
          <t>Pn</t>
        </is>
      </c>
      <c r="H2595">
        <f>'Floor Hours Engine'!$E$4</f>
        <v/>
      </c>
      <c r="I2595" t="inlineStr">
        <is>
          <t>W1</t>
        </is>
      </c>
      <c r="J2595" t="inlineStr">
        <is>
          <t>2028_Luty_W1</t>
        </is>
      </c>
    </row>
    <row r="2596">
      <c r="A2596" s="177" t="n">
        <v>46791</v>
      </c>
      <c r="B2596" s="177" t="n">
        <v>46791</v>
      </c>
      <c r="C2596" s="177" t="n">
        <v>46797</v>
      </c>
      <c r="D2596" t="inlineStr">
        <is>
          <t>BW20280208</t>
        </is>
      </c>
      <c r="E2596" t="n">
        <v>2028</v>
      </c>
      <c r="F2596" t="inlineStr">
        <is>
          <t>Luty</t>
        </is>
      </c>
      <c r="G2596" t="inlineStr">
        <is>
          <t>Wt</t>
        </is>
      </c>
      <c r="H2596">
        <f>'Floor Hours Engine'!$E$4</f>
        <v/>
      </c>
      <c r="I2596" t="inlineStr">
        <is>
          <t>W2</t>
        </is>
      </c>
      <c r="J2596" t="inlineStr">
        <is>
          <t>2028_Luty_W2</t>
        </is>
      </c>
    </row>
    <row r="2597">
      <c r="A2597" s="177" t="n">
        <v>46792</v>
      </c>
      <c r="B2597" s="177" t="n">
        <v>46791</v>
      </c>
      <c r="C2597" s="177" t="n">
        <v>46797</v>
      </c>
      <c r="D2597" t="inlineStr">
        <is>
          <t>BW20280208</t>
        </is>
      </c>
      <c r="E2597" t="n">
        <v>2028</v>
      </c>
      <c r="F2597" t="inlineStr">
        <is>
          <t>Luty</t>
        </is>
      </c>
      <c r="G2597" t="inlineStr">
        <is>
          <t>Śr</t>
        </is>
      </c>
      <c r="H2597">
        <f>'Floor Hours Engine'!$E$4</f>
        <v/>
      </c>
      <c r="I2597" t="inlineStr">
        <is>
          <t>W2</t>
        </is>
      </c>
      <c r="J2597" t="inlineStr">
        <is>
          <t>2028_Luty_W2</t>
        </is>
      </c>
    </row>
    <row r="2598">
      <c r="A2598" s="177" t="n">
        <v>46793</v>
      </c>
      <c r="B2598" s="177" t="n">
        <v>46791</v>
      </c>
      <c r="C2598" s="177" t="n">
        <v>46797</v>
      </c>
      <c r="D2598" t="inlineStr">
        <is>
          <t>BW20280208</t>
        </is>
      </c>
      <c r="E2598" t="n">
        <v>2028</v>
      </c>
      <c r="F2598" t="inlineStr">
        <is>
          <t>Luty</t>
        </is>
      </c>
      <c r="G2598" t="inlineStr">
        <is>
          <t>Czw</t>
        </is>
      </c>
      <c r="H2598">
        <f>'Floor Hours Engine'!$E$4</f>
        <v/>
      </c>
      <c r="I2598" t="inlineStr">
        <is>
          <t>W2</t>
        </is>
      </c>
      <c r="J2598" t="inlineStr">
        <is>
          <t>2028_Luty_W2</t>
        </is>
      </c>
    </row>
    <row r="2599">
      <c r="A2599" s="177" t="n">
        <v>46794</v>
      </c>
      <c r="B2599" s="177" t="n">
        <v>46791</v>
      </c>
      <c r="C2599" s="177" t="n">
        <v>46797</v>
      </c>
      <c r="D2599" t="inlineStr">
        <is>
          <t>BW20280208</t>
        </is>
      </c>
      <c r="E2599" t="n">
        <v>2028</v>
      </c>
      <c r="F2599" t="inlineStr">
        <is>
          <t>Luty</t>
        </is>
      </c>
      <c r="G2599" t="inlineStr">
        <is>
          <t>Pt</t>
        </is>
      </c>
      <c r="H2599">
        <f>'Floor Hours Engine'!$E$5</f>
        <v/>
      </c>
      <c r="I2599" t="inlineStr">
        <is>
          <t>W2</t>
        </is>
      </c>
      <c r="J2599" t="inlineStr">
        <is>
          <t>2028_Luty_W2</t>
        </is>
      </c>
    </row>
    <row r="2600">
      <c r="A2600" s="177" t="n">
        <v>46795</v>
      </c>
      <c r="B2600" s="177" t="n">
        <v>46791</v>
      </c>
      <c r="C2600" s="177" t="n">
        <v>46797</v>
      </c>
      <c r="D2600" t="inlineStr">
        <is>
          <t>BW20280208</t>
        </is>
      </c>
      <c r="E2600" t="n">
        <v>2028</v>
      </c>
      <c r="F2600" t="inlineStr">
        <is>
          <t>Luty</t>
        </is>
      </c>
      <c r="G2600" t="inlineStr">
        <is>
          <t>Sob</t>
        </is>
      </c>
      <c r="H2600">
        <f>'Floor Hours Engine'!$E$5</f>
        <v/>
      </c>
      <c r="I2600" t="inlineStr">
        <is>
          <t>W2</t>
        </is>
      </c>
      <c r="J2600" t="inlineStr">
        <is>
          <t>2028_Luty_W2</t>
        </is>
      </c>
    </row>
    <row r="2601">
      <c r="A2601" s="177" t="n">
        <v>46796</v>
      </c>
      <c r="B2601" s="177" t="n">
        <v>46791</v>
      </c>
      <c r="C2601" s="177" t="n">
        <v>46797</v>
      </c>
      <c r="D2601" t="inlineStr">
        <is>
          <t>BW20280208</t>
        </is>
      </c>
      <c r="E2601" t="n">
        <v>2028</v>
      </c>
      <c r="F2601" t="inlineStr">
        <is>
          <t>Luty</t>
        </is>
      </c>
      <c r="G2601" t="inlineStr">
        <is>
          <t>Nd</t>
        </is>
      </c>
      <c r="H2601">
        <f>'Floor Hours Engine'!$E$6</f>
        <v/>
      </c>
      <c r="I2601" t="inlineStr">
        <is>
          <t>W2</t>
        </is>
      </c>
      <c r="J2601" t="inlineStr">
        <is>
          <t>2028_Luty_W2</t>
        </is>
      </c>
    </row>
    <row r="2602">
      <c r="A2602" s="177" t="n">
        <v>46797</v>
      </c>
      <c r="B2602" s="177" t="n">
        <v>46791</v>
      </c>
      <c r="C2602" s="177" t="n">
        <v>46797</v>
      </c>
      <c r="D2602" t="inlineStr">
        <is>
          <t>BW20280208</t>
        </is>
      </c>
      <c r="E2602" t="n">
        <v>2028</v>
      </c>
      <c r="F2602" t="inlineStr">
        <is>
          <t>Luty</t>
        </is>
      </c>
      <c r="G2602" t="inlineStr">
        <is>
          <t>Pn</t>
        </is>
      </c>
      <c r="H2602">
        <f>'Floor Hours Engine'!$E$4</f>
        <v/>
      </c>
      <c r="I2602" t="inlineStr">
        <is>
          <t>W2</t>
        </is>
      </c>
      <c r="J2602" t="inlineStr">
        <is>
          <t>2028_Luty_W2</t>
        </is>
      </c>
    </row>
    <row r="2603">
      <c r="A2603" s="177" t="n">
        <v>46798</v>
      </c>
      <c r="B2603" s="177" t="n">
        <v>46798</v>
      </c>
      <c r="C2603" s="177" t="n">
        <v>46804</v>
      </c>
      <c r="D2603" t="inlineStr">
        <is>
          <t>BW20280215</t>
        </is>
      </c>
      <c r="E2603" t="n">
        <v>2028</v>
      </c>
      <c r="F2603" t="inlineStr">
        <is>
          <t>Luty</t>
        </is>
      </c>
      <c r="G2603" t="inlineStr">
        <is>
          <t>Wt</t>
        </is>
      </c>
      <c r="H2603">
        <f>'Floor Hours Engine'!$E$4</f>
        <v/>
      </c>
      <c r="I2603" t="inlineStr">
        <is>
          <t>W3</t>
        </is>
      </c>
      <c r="J2603" t="inlineStr">
        <is>
          <t>2028_Luty_W3</t>
        </is>
      </c>
    </row>
    <row r="2604">
      <c r="A2604" s="177" t="n">
        <v>46799</v>
      </c>
      <c r="B2604" s="177" t="n">
        <v>46798</v>
      </c>
      <c r="C2604" s="177" t="n">
        <v>46804</v>
      </c>
      <c r="D2604" t="inlineStr">
        <is>
          <t>BW20280215</t>
        </is>
      </c>
      <c r="E2604" t="n">
        <v>2028</v>
      </c>
      <c r="F2604" t="inlineStr">
        <is>
          <t>Luty</t>
        </is>
      </c>
      <c r="G2604" t="inlineStr">
        <is>
          <t>Śr</t>
        </is>
      </c>
      <c r="H2604">
        <f>'Floor Hours Engine'!$E$4</f>
        <v/>
      </c>
      <c r="I2604" t="inlineStr">
        <is>
          <t>W3</t>
        </is>
      </c>
      <c r="J2604" t="inlineStr">
        <is>
          <t>2028_Luty_W3</t>
        </is>
      </c>
    </row>
    <row r="2605">
      <c r="A2605" s="177" t="n">
        <v>46800</v>
      </c>
      <c r="B2605" s="177" t="n">
        <v>46798</v>
      </c>
      <c r="C2605" s="177" t="n">
        <v>46804</v>
      </c>
      <c r="D2605" t="inlineStr">
        <is>
          <t>BW20280215</t>
        </is>
      </c>
      <c r="E2605" t="n">
        <v>2028</v>
      </c>
      <c r="F2605" t="inlineStr">
        <is>
          <t>Luty</t>
        </is>
      </c>
      <c r="G2605" t="inlineStr">
        <is>
          <t>Czw</t>
        </is>
      </c>
      <c r="H2605">
        <f>'Floor Hours Engine'!$E$4</f>
        <v/>
      </c>
      <c r="I2605" t="inlineStr">
        <is>
          <t>W3</t>
        </is>
      </c>
      <c r="J2605" t="inlineStr">
        <is>
          <t>2028_Luty_W3</t>
        </is>
      </c>
    </row>
    <row r="2606">
      <c r="A2606" s="177" t="n">
        <v>46801</v>
      </c>
      <c r="B2606" s="177" t="n">
        <v>46798</v>
      </c>
      <c r="C2606" s="177" t="n">
        <v>46804</v>
      </c>
      <c r="D2606" t="inlineStr">
        <is>
          <t>BW20280215</t>
        </is>
      </c>
      <c r="E2606" t="n">
        <v>2028</v>
      </c>
      <c r="F2606" t="inlineStr">
        <is>
          <t>Luty</t>
        </is>
      </c>
      <c r="G2606" t="inlineStr">
        <is>
          <t>Pt</t>
        </is>
      </c>
      <c r="H2606">
        <f>'Floor Hours Engine'!$E$5</f>
        <v/>
      </c>
      <c r="I2606" t="inlineStr">
        <is>
          <t>W3</t>
        </is>
      </c>
      <c r="J2606" t="inlineStr">
        <is>
          <t>2028_Luty_W3</t>
        </is>
      </c>
    </row>
    <row r="2607">
      <c r="A2607" s="177" t="n">
        <v>46802</v>
      </c>
      <c r="B2607" s="177" t="n">
        <v>46798</v>
      </c>
      <c r="C2607" s="177" t="n">
        <v>46804</v>
      </c>
      <c r="D2607" t="inlineStr">
        <is>
          <t>BW20280215</t>
        </is>
      </c>
      <c r="E2607" t="n">
        <v>2028</v>
      </c>
      <c r="F2607" t="inlineStr">
        <is>
          <t>Luty</t>
        </is>
      </c>
      <c r="G2607" t="inlineStr">
        <is>
          <t>Sob</t>
        </is>
      </c>
      <c r="H2607">
        <f>'Floor Hours Engine'!$E$5</f>
        <v/>
      </c>
      <c r="I2607" t="inlineStr">
        <is>
          <t>W3</t>
        </is>
      </c>
      <c r="J2607" t="inlineStr">
        <is>
          <t>2028_Luty_W3</t>
        </is>
      </c>
    </row>
    <row r="2608">
      <c r="A2608" s="177" t="n">
        <v>46803</v>
      </c>
      <c r="B2608" s="177" t="n">
        <v>46798</v>
      </c>
      <c r="C2608" s="177" t="n">
        <v>46804</v>
      </c>
      <c r="D2608" t="inlineStr">
        <is>
          <t>BW20280215</t>
        </is>
      </c>
      <c r="E2608" t="n">
        <v>2028</v>
      </c>
      <c r="F2608" t="inlineStr">
        <is>
          <t>Luty</t>
        </is>
      </c>
      <c r="G2608" t="inlineStr">
        <is>
          <t>Nd</t>
        </is>
      </c>
      <c r="H2608">
        <f>'Floor Hours Engine'!$E$6</f>
        <v/>
      </c>
      <c r="I2608" t="inlineStr">
        <is>
          <t>W3</t>
        </is>
      </c>
      <c r="J2608" t="inlineStr">
        <is>
          <t>2028_Luty_W3</t>
        </is>
      </c>
    </row>
    <row r="2609">
      <c r="A2609" s="177" t="n">
        <v>46804</v>
      </c>
      <c r="B2609" s="177" t="n">
        <v>46798</v>
      </c>
      <c r="C2609" s="177" t="n">
        <v>46804</v>
      </c>
      <c r="D2609" t="inlineStr">
        <is>
          <t>BW20280215</t>
        </is>
      </c>
      <c r="E2609" t="n">
        <v>2028</v>
      </c>
      <c r="F2609" t="inlineStr">
        <is>
          <t>Luty</t>
        </is>
      </c>
      <c r="G2609" t="inlineStr">
        <is>
          <t>Pn</t>
        </is>
      </c>
      <c r="H2609">
        <f>'Floor Hours Engine'!$E$4</f>
        <v/>
      </c>
      <c r="I2609" t="inlineStr">
        <is>
          <t>W3</t>
        </is>
      </c>
      <c r="J2609" t="inlineStr">
        <is>
          <t>2028_Luty_W3</t>
        </is>
      </c>
    </row>
    <row r="2610">
      <c r="A2610" s="177" t="n">
        <v>46805</v>
      </c>
      <c r="B2610" s="177" t="n">
        <v>46805</v>
      </c>
      <c r="C2610" s="177" t="n">
        <v>46811</v>
      </c>
      <c r="D2610" t="inlineStr">
        <is>
          <t>BW20280222</t>
        </is>
      </c>
      <c r="E2610" t="n">
        <v>2028</v>
      </c>
      <c r="F2610" t="inlineStr">
        <is>
          <t>Luty</t>
        </is>
      </c>
      <c r="G2610" t="inlineStr">
        <is>
          <t>Wt</t>
        </is>
      </c>
      <c r="H2610">
        <f>'Floor Hours Engine'!$E$4</f>
        <v/>
      </c>
      <c r="I2610" t="inlineStr">
        <is>
          <t>W4</t>
        </is>
      </c>
      <c r="J2610" t="inlineStr">
        <is>
          <t>2028_Luty_W4</t>
        </is>
      </c>
    </row>
    <row r="2611">
      <c r="A2611" s="177" t="n">
        <v>46806</v>
      </c>
      <c r="B2611" s="177" t="n">
        <v>46805</v>
      </c>
      <c r="C2611" s="177" t="n">
        <v>46811</v>
      </c>
      <c r="D2611" t="inlineStr">
        <is>
          <t>BW20280222</t>
        </is>
      </c>
      <c r="E2611" t="n">
        <v>2028</v>
      </c>
      <c r="F2611" t="inlineStr">
        <is>
          <t>Luty</t>
        </is>
      </c>
      <c r="G2611" t="inlineStr">
        <is>
          <t>Śr</t>
        </is>
      </c>
      <c r="H2611">
        <f>'Floor Hours Engine'!$E$4</f>
        <v/>
      </c>
      <c r="I2611" t="inlineStr">
        <is>
          <t>W4</t>
        </is>
      </c>
      <c r="J2611" t="inlineStr">
        <is>
          <t>2028_Luty_W4</t>
        </is>
      </c>
    </row>
    <row r="2612">
      <c r="A2612" s="177" t="n">
        <v>46807</v>
      </c>
      <c r="B2612" s="177" t="n">
        <v>46805</v>
      </c>
      <c r="C2612" s="177" t="n">
        <v>46811</v>
      </c>
      <c r="D2612" t="inlineStr">
        <is>
          <t>BW20280222</t>
        </is>
      </c>
      <c r="E2612" t="n">
        <v>2028</v>
      </c>
      <c r="F2612" t="inlineStr">
        <is>
          <t>Luty</t>
        </is>
      </c>
      <c r="G2612" t="inlineStr">
        <is>
          <t>Czw</t>
        </is>
      </c>
      <c r="H2612">
        <f>'Floor Hours Engine'!$E$4</f>
        <v/>
      </c>
      <c r="I2612" t="inlineStr">
        <is>
          <t>W4</t>
        </is>
      </c>
      <c r="J2612" t="inlineStr">
        <is>
          <t>2028_Luty_W4</t>
        </is>
      </c>
    </row>
    <row r="2613">
      <c r="A2613" s="177" t="n">
        <v>46808</v>
      </c>
      <c r="B2613" s="177" t="n">
        <v>46805</v>
      </c>
      <c r="C2613" s="177" t="n">
        <v>46811</v>
      </c>
      <c r="D2613" t="inlineStr">
        <is>
          <t>BW20280222</t>
        </is>
      </c>
      <c r="E2613" t="n">
        <v>2028</v>
      </c>
      <c r="F2613" t="inlineStr">
        <is>
          <t>Luty</t>
        </is>
      </c>
      <c r="G2613" t="inlineStr">
        <is>
          <t>Pt</t>
        </is>
      </c>
      <c r="H2613">
        <f>'Floor Hours Engine'!$E$5</f>
        <v/>
      </c>
      <c r="I2613" t="inlineStr">
        <is>
          <t>W4</t>
        </is>
      </c>
      <c r="J2613" t="inlineStr">
        <is>
          <t>2028_Luty_W4</t>
        </is>
      </c>
    </row>
    <row r="2614">
      <c r="A2614" s="177" t="n">
        <v>46809</v>
      </c>
      <c r="B2614" s="177" t="n">
        <v>46805</v>
      </c>
      <c r="C2614" s="177" t="n">
        <v>46811</v>
      </c>
      <c r="D2614" t="inlineStr">
        <is>
          <t>BW20280222</t>
        </is>
      </c>
      <c r="E2614" t="n">
        <v>2028</v>
      </c>
      <c r="F2614" t="inlineStr">
        <is>
          <t>Luty</t>
        </is>
      </c>
      <c r="G2614" t="inlineStr">
        <is>
          <t>Sob</t>
        </is>
      </c>
      <c r="H2614">
        <f>'Floor Hours Engine'!$E$5</f>
        <v/>
      </c>
      <c r="I2614" t="inlineStr">
        <is>
          <t>W4</t>
        </is>
      </c>
      <c r="J2614" t="inlineStr">
        <is>
          <t>2028_Luty_W4</t>
        </is>
      </c>
    </row>
    <row r="2615">
      <c r="A2615" s="177" t="n">
        <v>46810</v>
      </c>
      <c r="B2615" s="177" t="n">
        <v>46805</v>
      </c>
      <c r="C2615" s="177" t="n">
        <v>46811</v>
      </c>
      <c r="D2615" t="inlineStr">
        <is>
          <t>BW20280222</t>
        </is>
      </c>
      <c r="E2615" t="n">
        <v>2028</v>
      </c>
      <c r="F2615" t="inlineStr">
        <is>
          <t>Luty</t>
        </is>
      </c>
      <c r="G2615" t="inlineStr">
        <is>
          <t>Nd</t>
        </is>
      </c>
      <c r="H2615">
        <f>'Floor Hours Engine'!$E$6</f>
        <v/>
      </c>
      <c r="I2615" t="inlineStr">
        <is>
          <t>W4</t>
        </is>
      </c>
      <c r="J2615" t="inlineStr">
        <is>
          <t>2028_Luty_W4</t>
        </is>
      </c>
    </row>
    <row r="2616">
      <c r="A2616" s="177" t="n">
        <v>46811</v>
      </c>
      <c r="B2616" s="177" t="n">
        <v>46805</v>
      </c>
      <c r="C2616" s="177" t="n">
        <v>46811</v>
      </c>
      <c r="D2616" t="inlineStr">
        <is>
          <t>BW20280222</t>
        </is>
      </c>
      <c r="E2616" t="n">
        <v>2028</v>
      </c>
      <c r="F2616" t="inlineStr">
        <is>
          <t>Luty</t>
        </is>
      </c>
      <c r="G2616" t="inlineStr">
        <is>
          <t>Pn</t>
        </is>
      </c>
      <c r="H2616">
        <f>'Floor Hours Engine'!$E$4</f>
        <v/>
      </c>
      <c r="I2616" t="inlineStr">
        <is>
          <t>W4</t>
        </is>
      </c>
      <c r="J2616" t="inlineStr">
        <is>
          <t>2028_Luty_W4</t>
        </is>
      </c>
    </row>
    <row r="2617">
      <c r="A2617" s="177" t="n">
        <v>46812</v>
      </c>
      <c r="B2617" s="177" t="n">
        <v>46812</v>
      </c>
      <c r="C2617" s="177" t="n">
        <v>46818</v>
      </c>
      <c r="D2617" t="inlineStr">
        <is>
          <t>BW20280229</t>
        </is>
      </c>
      <c r="E2617" t="n">
        <v>2028</v>
      </c>
      <c r="F2617" t="inlineStr">
        <is>
          <t>Luty</t>
        </is>
      </c>
      <c r="G2617" t="inlineStr">
        <is>
          <t>Wt</t>
        </is>
      </c>
      <c r="H2617">
        <f>'Floor Hours Engine'!$E$4</f>
        <v/>
      </c>
      <c r="I2617" t="inlineStr">
        <is>
          <t>W5</t>
        </is>
      </c>
      <c r="J2617" t="inlineStr">
        <is>
          <t>2028_Luty_W5</t>
        </is>
      </c>
    </row>
    <row r="2618">
      <c r="A2618" s="177" t="n">
        <v>46813</v>
      </c>
      <c r="B2618" s="177" t="n">
        <v>46812</v>
      </c>
      <c r="C2618" s="177" t="n">
        <v>46818</v>
      </c>
      <c r="D2618" t="inlineStr">
        <is>
          <t>BW20280229</t>
        </is>
      </c>
      <c r="E2618" t="n">
        <v>2028</v>
      </c>
      <c r="F2618" t="inlineStr">
        <is>
          <t>Marzec</t>
        </is>
      </c>
      <c r="G2618" t="inlineStr">
        <is>
          <t>Śr</t>
        </is>
      </c>
      <c r="H2618">
        <f>'Floor Hours Engine'!$E$4</f>
        <v/>
      </c>
      <c r="I2618" t="inlineStr">
        <is>
          <t>W1</t>
        </is>
      </c>
      <c r="J2618" t="inlineStr">
        <is>
          <t>2028_Marzec_W1</t>
        </is>
      </c>
    </row>
    <row r="2619">
      <c r="A2619" s="177" t="n">
        <v>46814</v>
      </c>
      <c r="B2619" s="177" t="n">
        <v>46812</v>
      </c>
      <c r="C2619" s="177" t="n">
        <v>46818</v>
      </c>
      <c r="D2619" t="inlineStr">
        <is>
          <t>BW20280229</t>
        </is>
      </c>
      <c r="E2619" t="n">
        <v>2028</v>
      </c>
      <c r="F2619" t="inlineStr">
        <is>
          <t>Marzec</t>
        </is>
      </c>
      <c r="G2619" t="inlineStr">
        <is>
          <t>Czw</t>
        </is>
      </c>
      <c r="H2619">
        <f>'Floor Hours Engine'!$E$4</f>
        <v/>
      </c>
      <c r="I2619" t="inlineStr">
        <is>
          <t>W1</t>
        </is>
      </c>
      <c r="J2619" t="inlineStr">
        <is>
          <t>2028_Marzec_W1</t>
        </is>
      </c>
    </row>
    <row r="2620">
      <c r="A2620" s="177" t="n">
        <v>46815</v>
      </c>
      <c r="B2620" s="177" t="n">
        <v>46812</v>
      </c>
      <c r="C2620" s="177" t="n">
        <v>46818</v>
      </c>
      <c r="D2620" t="inlineStr">
        <is>
          <t>BW20280229</t>
        </is>
      </c>
      <c r="E2620" t="n">
        <v>2028</v>
      </c>
      <c r="F2620" t="inlineStr">
        <is>
          <t>Marzec</t>
        </is>
      </c>
      <c r="G2620" t="inlineStr">
        <is>
          <t>Pt</t>
        </is>
      </c>
      <c r="H2620">
        <f>'Floor Hours Engine'!$E$5</f>
        <v/>
      </c>
      <c r="I2620" t="inlineStr">
        <is>
          <t>W1</t>
        </is>
      </c>
      <c r="J2620" t="inlineStr">
        <is>
          <t>2028_Marzec_W1</t>
        </is>
      </c>
    </row>
    <row r="2621">
      <c r="A2621" s="177" t="n">
        <v>46816</v>
      </c>
      <c r="B2621" s="177" t="n">
        <v>46812</v>
      </c>
      <c r="C2621" s="177" t="n">
        <v>46818</v>
      </c>
      <c r="D2621" t="inlineStr">
        <is>
          <t>BW20280229</t>
        </is>
      </c>
      <c r="E2621" t="n">
        <v>2028</v>
      </c>
      <c r="F2621" t="inlineStr">
        <is>
          <t>Marzec</t>
        </is>
      </c>
      <c r="G2621" t="inlineStr">
        <is>
          <t>Sob</t>
        </is>
      </c>
      <c r="H2621">
        <f>'Floor Hours Engine'!$E$5</f>
        <v/>
      </c>
      <c r="I2621" t="inlineStr">
        <is>
          <t>W1</t>
        </is>
      </c>
      <c r="J2621" t="inlineStr">
        <is>
          <t>2028_Marzec_W1</t>
        </is>
      </c>
    </row>
    <row r="2622">
      <c r="A2622" s="177" t="n">
        <v>46817</v>
      </c>
      <c r="B2622" s="177" t="n">
        <v>46812</v>
      </c>
      <c r="C2622" s="177" t="n">
        <v>46818</v>
      </c>
      <c r="D2622" t="inlineStr">
        <is>
          <t>BW20280229</t>
        </is>
      </c>
      <c r="E2622" t="n">
        <v>2028</v>
      </c>
      <c r="F2622" t="inlineStr">
        <is>
          <t>Marzec</t>
        </is>
      </c>
      <c r="G2622" t="inlineStr">
        <is>
          <t>Nd</t>
        </is>
      </c>
      <c r="H2622">
        <f>'Floor Hours Engine'!$E$6</f>
        <v/>
      </c>
      <c r="I2622" t="inlineStr">
        <is>
          <t>W1</t>
        </is>
      </c>
      <c r="J2622" t="inlineStr">
        <is>
          <t>2028_Marzec_W1</t>
        </is>
      </c>
    </row>
    <row r="2623">
      <c r="A2623" s="177" t="n">
        <v>46818</v>
      </c>
      <c r="B2623" s="177" t="n">
        <v>46812</v>
      </c>
      <c r="C2623" s="177" t="n">
        <v>46818</v>
      </c>
      <c r="D2623" t="inlineStr">
        <is>
          <t>BW20280229</t>
        </is>
      </c>
      <c r="E2623" t="n">
        <v>2028</v>
      </c>
      <c r="F2623" t="inlineStr">
        <is>
          <t>Marzec</t>
        </is>
      </c>
      <c r="G2623" t="inlineStr">
        <is>
          <t>Pn</t>
        </is>
      </c>
      <c r="H2623">
        <f>'Floor Hours Engine'!$E$4</f>
        <v/>
      </c>
      <c r="I2623" t="inlineStr">
        <is>
          <t>W1</t>
        </is>
      </c>
      <c r="J2623" t="inlineStr">
        <is>
          <t>2028_Marzec_W1</t>
        </is>
      </c>
    </row>
    <row r="2624">
      <c r="A2624" s="177" t="n">
        <v>46819</v>
      </c>
      <c r="B2624" s="177" t="n">
        <v>46819</v>
      </c>
      <c r="C2624" s="177" t="n">
        <v>46825</v>
      </c>
      <c r="D2624" t="inlineStr">
        <is>
          <t>BW20280307</t>
        </is>
      </c>
      <c r="E2624" t="n">
        <v>2028</v>
      </c>
      <c r="F2624" t="inlineStr">
        <is>
          <t>Marzec</t>
        </is>
      </c>
      <c r="G2624" t="inlineStr">
        <is>
          <t>Wt</t>
        </is>
      </c>
      <c r="H2624">
        <f>'Floor Hours Engine'!$E$4</f>
        <v/>
      </c>
      <c r="I2624" t="inlineStr">
        <is>
          <t>W2</t>
        </is>
      </c>
      <c r="J2624" t="inlineStr">
        <is>
          <t>2028_Marzec_W2</t>
        </is>
      </c>
    </row>
    <row r="2625">
      <c r="A2625" s="177" t="n">
        <v>46820</v>
      </c>
      <c r="B2625" s="177" t="n">
        <v>46819</v>
      </c>
      <c r="C2625" s="177" t="n">
        <v>46825</v>
      </c>
      <c r="D2625" t="inlineStr">
        <is>
          <t>BW20280307</t>
        </is>
      </c>
      <c r="E2625" t="n">
        <v>2028</v>
      </c>
      <c r="F2625" t="inlineStr">
        <is>
          <t>Marzec</t>
        </is>
      </c>
      <c r="G2625" t="inlineStr">
        <is>
          <t>Śr</t>
        </is>
      </c>
      <c r="H2625">
        <f>'Floor Hours Engine'!$E$4</f>
        <v/>
      </c>
      <c r="I2625" t="inlineStr">
        <is>
          <t>W2</t>
        </is>
      </c>
      <c r="J2625" t="inlineStr">
        <is>
          <t>2028_Marzec_W2</t>
        </is>
      </c>
    </row>
    <row r="2626">
      <c r="A2626" s="177" t="n">
        <v>46821</v>
      </c>
      <c r="B2626" s="177" t="n">
        <v>46819</v>
      </c>
      <c r="C2626" s="177" t="n">
        <v>46825</v>
      </c>
      <c r="D2626" t="inlineStr">
        <is>
          <t>BW20280307</t>
        </is>
      </c>
      <c r="E2626" t="n">
        <v>2028</v>
      </c>
      <c r="F2626" t="inlineStr">
        <is>
          <t>Marzec</t>
        </is>
      </c>
      <c r="G2626" t="inlineStr">
        <is>
          <t>Czw</t>
        </is>
      </c>
      <c r="H2626">
        <f>'Floor Hours Engine'!$E$4</f>
        <v/>
      </c>
      <c r="I2626" t="inlineStr">
        <is>
          <t>W2</t>
        </is>
      </c>
      <c r="J2626" t="inlineStr">
        <is>
          <t>2028_Marzec_W2</t>
        </is>
      </c>
    </row>
    <row r="2627">
      <c r="A2627" s="177" t="n">
        <v>46822</v>
      </c>
      <c r="B2627" s="177" t="n">
        <v>46819</v>
      </c>
      <c r="C2627" s="177" t="n">
        <v>46825</v>
      </c>
      <c r="D2627" t="inlineStr">
        <is>
          <t>BW20280307</t>
        </is>
      </c>
      <c r="E2627" t="n">
        <v>2028</v>
      </c>
      <c r="F2627" t="inlineStr">
        <is>
          <t>Marzec</t>
        </is>
      </c>
      <c r="G2627" t="inlineStr">
        <is>
          <t>Pt</t>
        </is>
      </c>
      <c r="H2627">
        <f>'Floor Hours Engine'!$E$5</f>
        <v/>
      </c>
      <c r="I2627" t="inlineStr">
        <is>
          <t>W2</t>
        </is>
      </c>
      <c r="J2627" t="inlineStr">
        <is>
          <t>2028_Marzec_W2</t>
        </is>
      </c>
    </row>
    <row r="2628">
      <c r="A2628" s="177" t="n">
        <v>46823</v>
      </c>
      <c r="B2628" s="177" t="n">
        <v>46819</v>
      </c>
      <c r="C2628" s="177" t="n">
        <v>46825</v>
      </c>
      <c r="D2628" t="inlineStr">
        <is>
          <t>BW20280307</t>
        </is>
      </c>
      <c r="E2628" t="n">
        <v>2028</v>
      </c>
      <c r="F2628" t="inlineStr">
        <is>
          <t>Marzec</t>
        </is>
      </c>
      <c r="G2628" t="inlineStr">
        <is>
          <t>Sob</t>
        </is>
      </c>
      <c r="H2628">
        <f>'Floor Hours Engine'!$E$5</f>
        <v/>
      </c>
      <c r="I2628" t="inlineStr">
        <is>
          <t>W2</t>
        </is>
      </c>
      <c r="J2628" t="inlineStr">
        <is>
          <t>2028_Marzec_W2</t>
        </is>
      </c>
    </row>
    <row r="2629">
      <c r="A2629" s="177" t="n">
        <v>46824</v>
      </c>
      <c r="B2629" s="177" t="n">
        <v>46819</v>
      </c>
      <c r="C2629" s="177" t="n">
        <v>46825</v>
      </c>
      <c r="D2629" t="inlineStr">
        <is>
          <t>BW20280307</t>
        </is>
      </c>
      <c r="E2629" t="n">
        <v>2028</v>
      </c>
      <c r="F2629" t="inlineStr">
        <is>
          <t>Marzec</t>
        </is>
      </c>
      <c r="G2629" t="inlineStr">
        <is>
          <t>Nd</t>
        </is>
      </c>
      <c r="H2629">
        <f>'Floor Hours Engine'!$E$6</f>
        <v/>
      </c>
      <c r="I2629" t="inlineStr">
        <is>
          <t>W2</t>
        </is>
      </c>
      <c r="J2629" t="inlineStr">
        <is>
          <t>2028_Marzec_W2</t>
        </is>
      </c>
    </row>
    <row r="2630">
      <c r="A2630" s="177" t="n">
        <v>46825</v>
      </c>
      <c r="B2630" s="177" t="n">
        <v>46819</v>
      </c>
      <c r="C2630" s="177" t="n">
        <v>46825</v>
      </c>
      <c r="D2630" t="inlineStr">
        <is>
          <t>BW20280307</t>
        </is>
      </c>
      <c r="E2630" t="n">
        <v>2028</v>
      </c>
      <c r="F2630" t="inlineStr">
        <is>
          <t>Marzec</t>
        </is>
      </c>
      <c r="G2630" t="inlineStr">
        <is>
          <t>Pn</t>
        </is>
      </c>
      <c r="H2630">
        <f>'Floor Hours Engine'!$E$4</f>
        <v/>
      </c>
      <c r="I2630" t="inlineStr">
        <is>
          <t>W2</t>
        </is>
      </c>
      <c r="J2630" t="inlineStr">
        <is>
          <t>2028_Marzec_W2</t>
        </is>
      </c>
    </row>
    <row r="2631">
      <c r="A2631" s="177" t="n">
        <v>46826</v>
      </c>
      <c r="B2631" s="177" t="n">
        <v>46826</v>
      </c>
      <c r="C2631" s="177" t="n">
        <v>46832</v>
      </c>
      <c r="D2631" t="inlineStr">
        <is>
          <t>BW20280314</t>
        </is>
      </c>
      <c r="E2631" t="n">
        <v>2028</v>
      </c>
      <c r="F2631" t="inlineStr">
        <is>
          <t>Marzec</t>
        </is>
      </c>
      <c r="G2631" t="inlineStr">
        <is>
          <t>Wt</t>
        </is>
      </c>
      <c r="H2631">
        <f>'Floor Hours Engine'!$E$4</f>
        <v/>
      </c>
      <c r="I2631" t="inlineStr">
        <is>
          <t>W3</t>
        </is>
      </c>
      <c r="J2631" t="inlineStr">
        <is>
          <t>2028_Marzec_W3</t>
        </is>
      </c>
    </row>
    <row r="2632">
      <c r="A2632" s="177" t="n">
        <v>46827</v>
      </c>
      <c r="B2632" s="177" t="n">
        <v>46826</v>
      </c>
      <c r="C2632" s="177" t="n">
        <v>46832</v>
      </c>
      <c r="D2632" t="inlineStr">
        <is>
          <t>BW20280314</t>
        </is>
      </c>
      <c r="E2632" t="n">
        <v>2028</v>
      </c>
      <c r="F2632" t="inlineStr">
        <is>
          <t>Marzec</t>
        </is>
      </c>
      <c r="G2632" t="inlineStr">
        <is>
          <t>Śr</t>
        </is>
      </c>
      <c r="H2632">
        <f>'Floor Hours Engine'!$E$4</f>
        <v/>
      </c>
      <c r="I2632" t="inlineStr">
        <is>
          <t>W3</t>
        </is>
      </c>
      <c r="J2632" t="inlineStr">
        <is>
          <t>2028_Marzec_W3</t>
        </is>
      </c>
    </row>
    <row r="2633">
      <c r="A2633" s="177" t="n">
        <v>46828</v>
      </c>
      <c r="B2633" s="177" t="n">
        <v>46826</v>
      </c>
      <c r="C2633" s="177" t="n">
        <v>46832</v>
      </c>
      <c r="D2633" t="inlineStr">
        <is>
          <t>BW20280314</t>
        </is>
      </c>
      <c r="E2633" t="n">
        <v>2028</v>
      </c>
      <c r="F2633" t="inlineStr">
        <is>
          <t>Marzec</t>
        </is>
      </c>
      <c r="G2633" t="inlineStr">
        <is>
          <t>Czw</t>
        </is>
      </c>
      <c r="H2633">
        <f>'Floor Hours Engine'!$E$4</f>
        <v/>
      </c>
      <c r="I2633" t="inlineStr">
        <is>
          <t>W3</t>
        </is>
      </c>
      <c r="J2633" t="inlineStr">
        <is>
          <t>2028_Marzec_W3</t>
        </is>
      </c>
    </row>
    <row r="2634">
      <c r="A2634" s="177" t="n">
        <v>46829</v>
      </c>
      <c r="B2634" s="177" t="n">
        <v>46826</v>
      </c>
      <c r="C2634" s="177" t="n">
        <v>46832</v>
      </c>
      <c r="D2634" t="inlineStr">
        <is>
          <t>BW20280314</t>
        </is>
      </c>
      <c r="E2634" t="n">
        <v>2028</v>
      </c>
      <c r="F2634" t="inlineStr">
        <is>
          <t>Marzec</t>
        </is>
      </c>
      <c r="G2634" t="inlineStr">
        <is>
          <t>Pt</t>
        </is>
      </c>
      <c r="H2634">
        <f>'Floor Hours Engine'!$E$5</f>
        <v/>
      </c>
      <c r="I2634" t="inlineStr">
        <is>
          <t>W3</t>
        </is>
      </c>
      <c r="J2634" t="inlineStr">
        <is>
          <t>2028_Marzec_W3</t>
        </is>
      </c>
    </row>
    <row r="2635">
      <c r="A2635" s="177" t="n">
        <v>46830</v>
      </c>
      <c r="B2635" s="177" t="n">
        <v>46826</v>
      </c>
      <c r="C2635" s="177" t="n">
        <v>46832</v>
      </c>
      <c r="D2635" t="inlineStr">
        <is>
          <t>BW20280314</t>
        </is>
      </c>
      <c r="E2635" t="n">
        <v>2028</v>
      </c>
      <c r="F2635" t="inlineStr">
        <is>
          <t>Marzec</t>
        </is>
      </c>
      <c r="G2635" t="inlineStr">
        <is>
          <t>Sob</t>
        </is>
      </c>
      <c r="H2635">
        <f>'Floor Hours Engine'!$E$5</f>
        <v/>
      </c>
      <c r="I2635" t="inlineStr">
        <is>
          <t>W3</t>
        </is>
      </c>
      <c r="J2635" t="inlineStr">
        <is>
          <t>2028_Marzec_W3</t>
        </is>
      </c>
    </row>
    <row r="2636">
      <c r="A2636" s="177" t="n">
        <v>46831</v>
      </c>
      <c r="B2636" s="177" t="n">
        <v>46826</v>
      </c>
      <c r="C2636" s="177" t="n">
        <v>46832</v>
      </c>
      <c r="D2636" t="inlineStr">
        <is>
          <t>BW20280314</t>
        </is>
      </c>
      <c r="E2636" t="n">
        <v>2028</v>
      </c>
      <c r="F2636" t="inlineStr">
        <is>
          <t>Marzec</t>
        </is>
      </c>
      <c r="G2636" t="inlineStr">
        <is>
          <t>Nd</t>
        </is>
      </c>
      <c r="H2636">
        <f>'Floor Hours Engine'!$E$6</f>
        <v/>
      </c>
      <c r="I2636" t="inlineStr">
        <is>
          <t>W3</t>
        </is>
      </c>
      <c r="J2636" t="inlineStr">
        <is>
          <t>2028_Marzec_W3</t>
        </is>
      </c>
    </row>
    <row r="2637">
      <c r="A2637" s="177" t="n">
        <v>46832</v>
      </c>
      <c r="B2637" s="177" t="n">
        <v>46826</v>
      </c>
      <c r="C2637" s="177" t="n">
        <v>46832</v>
      </c>
      <c r="D2637" t="inlineStr">
        <is>
          <t>BW20280314</t>
        </is>
      </c>
      <c r="E2637" t="n">
        <v>2028</v>
      </c>
      <c r="F2637" t="inlineStr">
        <is>
          <t>Marzec</t>
        </is>
      </c>
      <c r="G2637" t="inlineStr">
        <is>
          <t>Pn</t>
        </is>
      </c>
      <c r="H2637">
        <f>'Floor Hours Engine'!$E$4</f>
        <v/>
      </c>
      <c r="I2637" t="inlineStr">
        <is>
          <t>W3</t>
        </is>
      </c>
      <c r="J2637" t="inlineStr">
        <is>
          <t>2028_Marzec_W3</t>
        </is>
      </c>
    </row>
    <row r="2638">
      <c r="A2638" s="177" t="n">
        <v>46833</v>
      </c>
      <c r="B2638" s="177" t="n">
        <v>46833</v>
      </c>
      <c r="C2638" s="177" t="n">
        <v>46839</v>
      </c>
      <c r="D2638" t="inlineStr">
        <is>
          <t>BW20280321</t>
        </is>
      </c>
      <c r="E2638" t="n">
        <v>2028</v>
      </c>
      <c r="F2638" t="inlineStr">
        <is>
          <t>Marzec</t>
        </is>
      </c>
      <c r="G2638" t="inlineStr">
        <is>
          <t>Wt</t>
        </is>
      </c>
      <c r="H2638">
        <f>'Floor Hours Engine'!$E$4</f>
        <v/>
      </c>
      <c r="I2638" t="inlineStr">
        <is>
          <t>W4</t>
        </is>
      </c>
      <c r="J2638" t="inlineStr">
        <is>
          <t>2028_Marzec_W4</t>
        </is>
      </c>
    </row>
    <row r="2639">
      <c r="A2639" s="177" t="n">
        <v>46834</v>
      </c>
      <c r="B2639" s="177" t="n">
        <v>46833</v>
      </c>
      <c r="C2639" s="177" t="n">
        <v>46839</v>
      </c>
      <c r="D2639" t="inlineStr">
        <is>
          <t>BW20280321</t>
        </is>
      </c>
      <c r="E2639" t="n">
        <v>2028</v>
      </c>
      <c r="F2639" t="inlineStr">
        <is>
          <t>Marzec</t>
        </is>
      </c>
      <c r="G2639" t="inlineStr">
        <is>
          <t>Śr</t>
        </is>
      </c>
      <c r="H2639">
        <f>'Floor Hours Engine'!$E$4</f>
        <v/>
      </c>
      <c r="I2639" t="inlineStr">
        <is>
          <t>W4</t>
        </is>
      </c>
      <c r="J2639" t="inlineStr">
        <is>
          <t>2028_Marzec_W4</t>
        </is>
      </c>
    </row>
    <row r="2640">
      <c r="A2640" s="177" t="n">
        <v>46835</v>
      </c>
      <c r="B2640" s="177" t="n">
        <v>46833</v>
      </c>
      <c r="C2640" s="177" t="n">
        <v>46839</v>
      </c>
      <c r="D2640" t="inlineStr">
        <is>
          <t>BW20280321</t>
        </is>
      </c>
      <c r="E2640" t="n">
        <v>2028</v>
      </c>
      <c r="F2640" t="inlineStr">
        <is>
          <t>Marzec</t>
        </is>
      </c>
      <c r="G2640" t="inlineStr">
        <is>
          <t>Czw</t>
        </is>
      </c>
      <c r="H2640">
        <f>'Floor Hours Engine'!$E$4</f>
        <v/>
      </c>
      <c r="I2640" t="inlineStr">
        <is>
          <t>W4</t>
        </is>
      </c>
      <c r="J2640" t="inlineStr">
        <is>
          <t>2028_Marzec_W4</t>
        </is>
      </c>
    </row>
    <row r="2641">
      <c r="A2641" s="177" t="n">
        <v>46836</v>
      </c>
      <c r="B2641" s="177" t="n">
        <v>46833</v>
      </c>
      <c r="C2641" s="177" t="n">
        <v>46839</v>
      </c>
      <c r="D2641" t="inlineStr">
        <is>
          <t>BW20280321</t>
        </is>
      </c>
      <c r="E2641" t="n">
        <v>2028</v>
      </c>
      <c r="F2641" t="inlineStr">
        <is>
          <t>Marzec</t>
        </is>
      </c>
      <c r="G2641" t="inlineStr">
        <is>
          <t>Pt</t>
        </is>
      </c>
      <c r="H2641">
        <f>'Floor Hours Engine'!$E$5</f>
        <v/>
      </c>
      <c r="I2641" t="inlineStr">
        <is>
          <t>W4</t>
        </is>
      </c>
      <c r="J2641" t="inlineStr">
        <is>
          <t>2028_Marzec_W4</t>
        </is>
      </c>
    </row>
    <row r="2642">
      <c r="A2642" s="177" t="n">
        <v>46837</v>
      </c>
      <c r="B2642" s="177" t="n">
        <v>46833</v>
      </c>
      <c r="C2642" s="177" t="n">
        <v>46839</v>
      </c>
      <c r="D2642" t="inlineStr">
        <is>
          <t>BW20280321</t>
        </is>
      </c>
      <c r="E2642" t="n">
        <v>2028</v>
      </c>
      <c r="F2642" t="inlineStr">
        <is>
          <t>Marzec</t>
        </is>
      </c>
      <c r="G2642" t="inlineStr">
        <is>
          <t>Sob</t>
        </is>
      </c>
      <c r="H2642">
        <f>'Floor Hours Engine'!$E$5</f>
        <v/>
      </c>
      <c r="I2642" t="inlineStr">
        <is>
          <t>W4</t>
        </is>
      </c>
      <c r="J2642" t="inlineStr">
        <is>
          <t>2028_Marzec_W4</t>
        </is>
      </c>
    </row>
    <row r="2643">
      <c r="A2643" s="177" t="n">
        <v>46838</v>
      </c>
      <c r="B2643" s="177" t="n">
        <v>46833</v>
      </c>
      <c r="C2643" s="177" t="n">
        <v>46839</v>
      </c>
      <c r="D2643" t="inlineStr">
        <is>
          <t>BW20280321</t>
        </is>
      </c>
      <c r="E2643" t="n">
        <v>2028</v>
      </c>
      <c r="F2643" t="inlineStr">
        <is>
          <t>Marzec</t>
        </is>
      </c>
      <c r="G2643" t="inlineStr">
        <is>
          <t>Nd</t>
        </is>
      </c>
      <c r="H2643">
        <f>'Floor Hours Engine'!$E$6</f>
        <v/>
      </c>
      <c r="I2643" t="inlineStr">
        <is>
          <t>W4</t>
        </is>
      </c>
      <c r="J2643" t="inlineStr">
        <is>
          <t>2028_Marzec_W4</t>
        </is>
      </c>
    </row>
    <row r="2644">
      <c r="A2644" s="177" t="n">
        <v>46839</v>
      </c>
      <c r="B2644" s="177" t="n">
        <v>46833</v>
      </c>
      <c r="C2644" s="177" t="n">
        <v>46839</v>
      </c>
      <c r="D2644" t="inlineStr">
        <is>
          <t>BW20280321</t>
        </is>
      </c>
      <c r="E2644" t="n">
        <v>2028</v>
      </c>
      <c r="F2644" t="inlineStr">
        <is>
          <t>Marzec</t>
        </is>
      </c>
      <c r="G2644" t="inlineStr">
        <is>
          <t>Pn</t>
        </is>
      </c>
      <c r="H2644">
        <f>'Floor Hours Engine'!$E$4</f>
        <v/>
      </c>
      <c r="I2644" t="inlineStr">
        <is>
          <t>W4</t>
        </is>
      </c>
      <c r="J2644" t="inlineStr">
        <is>
          <t>2028_Marzec_W4</t>
        </is>
      </c>
    </row>
    <row r="2645">
      <c r="A2645" s="177" t="n">
        <v>46840</v>
      </c>
      <c r="B2645" s="177" t="n">
        <v>46840</v>
      </c>
      <c r="C2645" s="177" t="n">
        <v>46846</v>
      </c>
      <c r="D2645" t="inlineStr">
        <is>
          <t>BW20280328</t>
        </is>
      </c>
      <c r="E2645" t="n">
        <v>2028</v>
      </c>
      <c r="F2645" t="inlineStr">
        <is>
          <t>Marzec</t>
        </is>
      </c>
      <c r="G2645" t="inlineStr">
        <is>
          <t>Wt</t>
        </is>
      </c>
      <c r="H2645">
        <f>'Floor Hours Engine'!$E$4</f>
        <v/>
      </c>
      <c r="I2645" t="inlineStr">
        <is>
          <t>W5</t>
        </is>
      </c>
      <c r="J2645" t="inlineStr">
        <is>
          <t>2028_Marzec_W5</t>
        </is>
      </c>
    </row>
    <row r="2646">
      <c r="A2646" s="177" t="n">
        <v>46841</v>
      </c>
      <c r="B2646" s="177" t="n">
        <v>46840</v>
      </c>
      <c r="C2646" s="177" t="n">
        <v>46846</v>
      </c>
      <c r="D2646" t="inlineStr">
        <is>
          <t>BW20280328</t>
        </is>
      </c>
      <c r="E2646" t="n">
        <v>2028</v>
      </c>
      <c r="F2646" t="inlineStr">
        <is>
          <t>Marzec</t>
        </is>
      </c>
      <c r="G2646" t="inlineStr">
        <is>
          <t>Śr</t>
        </is>
      </c>
      <c r="H2646">
        <f>'Floor Hours Engine'!$E$4</f>
        <v/>
      </c>
      <c r="I2646" t="inlineStr">
        <is>
          <t>W5</t>
        </is>
      </c>
      <c r="J2646" t="inlineStr">
        <is>
          <t>2028_Marzec_W5</t>
        </is>
      </c>
    </row>
    <row r="2647">
      <c r="A2647" s="177" t="n">
        <v>46842</v>
      </c>
      <c r="B2647" s="177" t="n">
        <v>46840</v>
      </c>
      <c r="C2647" s="177" t="n">
        <v>46846</v>
      </c>
      <c r="D2647" t="inlineStr">
        <is>
          <t>BW20280328</t>
        </is>
      </c>
      <c r="E2647" t="n">
        <v>2028</v>
      </c>
      <c r="F2647" t="inlineStr">
        <is>
          <t>Marzec</t>
        </is>
      </c>
      <c r="G2647" t="inlineStr">
        <is>
          <t>Czw</t>
        </is>
      </c>
      <c r="H2647">
        <f>'Floor Hours Engine'!$E$4</f>
        <v/>
      </c>
      <c r="I2647" t="inlineStr">
        <is>
          <t>W5</t>
        </is>
      </c>
      <c r="J2647" t="inlineStr">
        <is>
          <t>2028_Marzec_W5</t>
        </is>
      </c>
    </row>
    <row r="2648">
      <c r="A2648" s="177" t="n">
        <v>46843</v>
      </c>
      <c r="B2648" s="177" t="n">
        <v>46840</v>
      </c>
      <c r="C2648" s="177" t="n">
        <v>46846</v>
      </c>
      <c r="D2648" t="inlineStr">
        <is>
          <t>BW20280328</t>
        </is>
      </c>
      <c r="E2648" t="n">
        <v>2028</v>
      </c>
      <c r="F2648" t="inlineStr">
        <is>
          <t>Marzec</t>
        </is>
      </c>
      <c r="G2648" t="inlineStr">
        <is>
          <t>Pt</t>
        </is>
      </c>
      <c r="H2648">
        <f>'Floor Hours Engine'!$E$5</f>
        <v/>
      </c>
      <c r="I2648" t="inlineStr">
        <is>
          <t>W5</t>
        </is>
      </c>
      <c r="J2648" t="inlineStr">
        <is>
          <t>2028_Marzec_W5</t>
        </is>
      </c>
    </row>
    <row r="2649">
      <c r="A2649" s="177" t="n">
        <v>46844</v>
      </c>
      <c r="B2649" s="177" t="n">
        <v>46840</v>
      </c>
      <c r="C2649" s="177" t="n">
        <v>46846</v>
      </c>
      <c r="D2649" t="inlineStr">
        <is>
          <t>BW20280328</t>
        </is>
      </c>
      <c r="E2649" t="n">
        <v>2028</v>
      </c>
      <c r="F2649" t="inlineStr">
        <is>
          <t>Kwiecień</t>
        </is>
      </c>
      <c r="G2649" t="inlineStr">
        <is>
          <t>Sob</t>
        </is>
      </c>
      <c r="H2649">
        <f>'Floor Hours Engine'!$E$5</f>
        <v/>
      </c>
      <c r="I2649" t="inlineStr">
        <is>
          <t>W1</t>
        </is>
      </c>
      <c r="J2649" t="inlineStr">
        <is>
          <t>2028_Kwiecień_W1</t>
        </is>
      </c>
    </row>
    <row r="2650">
      <c r="A2650" s="177" t="n">
        <v>46845</v>
      </c>
      <c r="B2650" s="177" t="n">
        <v>46840</v>
      </c>
      <c r="C2650" s="177" t="n">
        <v>46846</v>
      </c>
      <c r="D2650" t="inlineStr">
        <is>
          <t>BW20280328</t>
        </is>
      </c>
      <c r="E2650" t="n">
        <v>2028</v>
      </c>
      <c r="F2650" t="inlineStr">
        <is>
          <t>Kwiecień</t>
        </is>
      </c>
      <c r="G2650" t="inlineStr">
        <is>
          <t>Nd</t>
        </is>
      </c>
      <c r="H2650">
        <f>'Floor Hours Engine'!$E$6</f>
        <v/>
      </c>
      <c r="I2650" t="inlineStr">
        <is>
          <t>W1</t>
        </is>
      </c>
      <c r="J2650" t="inlineStr">
        <is>
          <t>2028_Kwiecień_W1</t>
        </is>
      </c>
    </row>
    <row r="2651">
      <c r="A2651" s="177" t="n">
        <v>46846</v>
      </c>
      <c r="B2651" s="177" t="n">
        <v>46840</v>
      </c>
      <c r="C2651" s="177" t="n">
        <v>46846</v>
      </c>
      <c r="D2651" t="inlineStr">
        <is>
          <t>BW20280328</t>
        </is>
      </c>
      <c r="E2651" t="n">
        <v>2028</v>
      </c>
      <c r="F2651" t="inlineStr">
        <is>
          <t>Kwiecień</t>
        </is>
      </c>
      <c r="G2651" t="inlineStr">
        <is>
          <t>Pn</t>
        </is>
      </c>
      <c r="H2651">
        <f>'Floor Hours Engine'!$E$4</f>
        <v/>
      </c>
      <c r="I2651" t="inlineStr">
        <is>
          <t>W1</t>
        </is>
      </c>
      <c r="J2651" t="inlineStr">
        <is>
          <t>2028_Kwiecień_W1</t>
        </is>
      </c>
    </row>
    <row r="2652">
      <c r="A2652" s="177" t="n">
        <v>46847</v>
      </c>
      <c r="B2652" s="177" t="n">
        <v>46847</v>
      </c>
      <c r="C2652" s="177" t="n">
        <v>46853</v>
      </c>
      <c r="D2652" t="inlineStr">
        <is>
          <t>BW20280404</t>
        </is>
      </c>
      <c r="E2652" t="n">
        <v>2028</v>
      </c>
      <c r="F2652" t="inlineStr">
        <is>
          <t>Kwiecień</t>
        </is>
      </c>
      <c r="G2652" t="inlineStr">
        <is>
          <t>Wt</t>
        </is>
      </c>
      <c r="H2652">
        <f>'Floor Hours Engine'!$E$4</f>
        <v/>
      </c>
      <c r="I2652" t="inlineStr">
        <is>
          <t>W2</t>
        </is>
      </c>
      <c r="J2652" t="inlineStr">
        <is>
          <t>2028_Kwiecień_W2</t>
        </is>
      </c>
    </row>
    <row r="2653">
      <c r="A2653" s="177" t="n">
        <v>46848</v>
      </c>
      <c r="B2653" s="177" t="n">
        <v>46847</v>
      </c>
      <c r="C2653" s="177" t="n">
        <v>46853</v>
      </c>
      <c r="D2653" t="inlineStr">
        <is>
          <t>BW20280404</t>
        </is>
      </c>
      <c r="E2653" t="n">
        <v>2028</v>
      </c>
      <c r="F2653" t="inlineStr">
        <is>
          <t>Kwiecień</t>
        </is>
      </c>
      <c r="G2653" t="inlineStr">
        <is>
          <t>Śr</t>
        </is>
      </c>
      <c r="H2653">
        <f>'Floor Hours Engine'!$E$4</f>
        <v/>
      </c>
      <c r="I2653" t="inlineStr">
        <is>
          <t>W2</t>
        </is>
      </c>
      <c r="J2653" t="inlineStr">
        <is>
          <t>2028_Kwiecień_W2</t>
        </is>
      </c>
    </row>
    <row r="2654">
      <c r="A2654" s="177" t="n">
        <v>46849</v>
      </c>
      <c r="B2654" s="177" t="n">
        <v>46847</v>
      </c>
      <c r="C2654" s="177" t="n">
        <v>46853</v>
      </c>
      <c r="D2654" t="inlineStr">
        <is>
          <t>BW20280404</t>
        </is>
      </c>
      <c r="E2654" t="n">
        <v>2028</v>
      </c>
      <c r="F2654" t="inlineStr">
        <is>
          <t>Kwiecień</t>
        </is>
      </c>
      <c r="G2654" t="inlineStr">
        <is>
          <t>Czw</t>
        </is>
      </c>
      <c r="H2654">
        <f>'Floor Hours Engine'!$E$4</f>
        <v/>
      </c>
      <c r="I2654" t="inlineStr">
        <is>
          <t>W2</t>
        </is>
      </c>
      <c r="J2654" t="inlineStr">
        <is>
          <t>2028_Kwiecień_W2</t>
        </is>
      </c>
    </row>
    <row r="2655">
      <c r="A2655" s="177" t="n">
        <v>46850</v>
      </c>
      <c r="B2655" s="177" t="n">
        <v>46847</v>
      </c>
      <c r="C2655" s="177" t="n">
        <v>46853</v>
      </c>
      <c r="D2655" t="inlineStr">
        <is>
          <t>BW20280404</t>
        </is>
      </c>
      <c r="E2655" t="n">
        <v>2028</v>
      </c>
      <c r="F2655" t="inlineStr">
        <is>
          <t>Kwiecień</t>
        </is>
      </c>
      <c r="G2655" t="inlineStr">
        <is>
          <t>Pt</t>
        </is>
      </c>
      <c r="H2655">
        <f>'Floor Hours Engine'!$E$5</f>
        <v/>
      </c>
      <c r="I2655" t="inlineStr">
        <is>
          <t>W2</t>
        </is>
      </c>
      <c r="J2655" t="inlineStr">
        <is>
          <t>2028_Kwiecień_W2</t>
        </is>
      </c>
    </row>
    <row r="2656">
      <c r="A2656" s="177" t="n">
        <v>46851</v>
      </c>
      <c r="B2656" s="177" t="n">
        <v>46847</v>
      </c>
      <c r="C2656" s="177" t="n">
        <v>46853</v>
      </c>
      <c r="D2656" t="inlineStr">
        <is>
          <t>BW20280404</t>
        </is>
      </c>
      <c r="E2656" t="n">
        <v>2028</v>
      </c>
      <c r="F2656" t="inlineStr">
        <is>
          <t>Kwiecień</t>
        </is>
      </c>
      <c r="G2656" t="inlineStr">
        <is>
          <t>Sob</t>
        </is>
      </c>
      <c r="H2656">
        <f>'Floor Hours Engine'!$E$5</f>
        <v/>
      </c>
      <c r="I2656" t="inlineStr">
        <is>
          <t>W2</t>
        </is>
      </c>
      <c r="J2656" t="inlineStr">
        <is>
          <t>2028_Kwiecień_W2</t>
        </is>
      </c>
    </row>
    <row r="2657">
      <c r="A2657" s="177" t="n">
        <v>46852</v>
      </c>
      <c r="B2657" s="177" t="n">
        <v>46847</v>
      </c>
      <c r="C2657" s="177" t="n">
        <v>46853</v>
      </c>
      <c r="D2657" t="inlineStr">
        <is>
          <t>BW20280404</t>
        </is>
      </c>
      <c r="E2657" t="n">
        <v>2028</v>
      </c>
      <c r="F2657" t="inlineStr">
        <is>
          <t>Kwiecień</t>
        </is>
      </c>
      <c r="G2657" t="inlineStr">
        <is>
          <t>Nd</t>
        </is>
      </c>
      <c r="H2657">
        <f>'Floor Hours Engine'!$E$6</f>
        <v/>
      </c>
      <c r="I2657" t="inlineStr">
        <is>
          <t>W2</t>
        </is>
      </c>
      <c r="J2657" t="inlineStr">
        <is>
          <t>2028_Kwiecień_W2</t>
        </is>
      </c>
    </row>
    <row r="2658">
      <c r="A2658" s="177" t="n">
        <v>46853</v>
      </c>
      <c r="B2658" s="177" t="n">
        <v>46847</v>
      </c>
      <c r="C2658" s="177" t="n">
        <v>46853</v>
      </c>
      <c r="D2658" t="inlineStr">
        <is>
          <t>BW20280404</t>
        </is>
      </c>
      <c r="E2658" t="n">
        <v>2028</v>
      </c>
      <c r="F2658" t="inlineStr">
        <is>
          <t>Kwiecień</t>
        </is>
      </c>
      <c r="G2658" t="inlineStr">
        <is>
          <t>Pn</t>
        </is>
      </c>
      <c r="H2658">
        <f>'Floor Hours Engine'!$E$4</f>
        <v/>
      </c>
      <c r="I2658" t="inlineStr">
        <is>
          <t>W2</t>
        </is>
      </c>
      <c r="J2658" t="inlineStr">
        <is>
          <t>2028_Kwiecień_W2</t>
        </is>
      </c>
    </row>
    <row r="2659">
      <c r="A2659" s="177" t="n">
        <v>46854</v>
      </c>
      <c r="B2659" s="177" t="n">
        <v>46854</v>
      </c>
      <c r="C2659" s="177" t="n">
        <v>46860</v>
      </c>
      <c r="D2659" t="inlineStr">
        <is>
          <t>BW20280411</t>
        </is>
      </c>
      <c r="E2659" t="n">
        <v>2028</v>
      </c>
      <c r="F2659" t="inlineStr">
        <is>
          <t>Kwiecień</t>
        </is>
      </c>
      <c r="G2659" t="inlineStr">
        <is>
          <t>Wt</t>
        </is>
      </c>
      <c r="H2659">
        <f>'Floor Hours Engine'!$E$4</f>
        <v/>
      </c>
      <c r="I2659" t="inlineStr">
        <is>
          <t>W3</t>
        </is>
      </c>
      <c r="J2659" t="inlineStr">
        <is>
          <t>2028_Kwiecień_W3</t>
        </is>
      </c>
    </row>
    <row r="2660">
      <c r="A2660" s="177" t="n">
        <v>46855</v>
      </c>
      <c r="B2660" s="177" t="n">
        <v>46854</v>
      </c>
      <c r="C2660" s="177" t="n">
        <v>46860</v>
      </c>
      <c r="D2660" t="inlineStr">
        <is>
          <t>BW20280411</t>
        </is>
      </c>
      <c r="E2660" t="n">
        <v>2028</v>
      </c>
      <c r="F2660" t="inlineStr">
        <is>
          <t>Kwiecień</t>
        </is>
      </c>
      <c r="G2660" t="inlineStr">
        <is>
          <t>Śr</t>
        </is>
      </c>
      <c r="H2660">
        <f>'Floor Hours Engine'!$E$4</f>
        <v/>
      </c>
      <c r="I2660" t="inlineStr">
        <is>
          <t>W3</t>
        </is>
      </c>
      <c r="J2660" t="inlineStr">
        <is>
          <t>2028_Kwiecień_W3</t>
        </is>
      </c>
    </row>
    <row r="2661">
      <c r="A2661" s="177" t="n">
        <v>46856</v>
      </c>
      <c r="B2661" s="177" t="n">
        <v>46854</v>
      </c>
      <c r="C2661" s="177" t="n">
        <v>46860</v>
      </c>
      <c r="D2661" t="inlineStr">
        <is>
          <t>BW20280411</t>
        </is>
      </c>
      <c r="E2661" t="n">
        <v>2028</v>
      </c>
      <c r="F2661" t="inlineStr">
        <is>
          <t>Kwiecień</t>
        </is>
      </c>
      <c r="G2661" t="inlineStr">
        <is>
          <t>Czw</t>
        </is>
      </c>
      <c r="H2661">
        <f>'Floor Hours Engine'!$E$4</f>
        <v/>
      </c>
      <c r="I2661" t="inlineStr">
        <is>
          <t>W3</t>
        </is>
      </c>
      <c r="J2661" t="inlineStr">
        <is>
          <t>2028_Kwiecień_W3</t>
        </is>
      </c>
    </row>
    <row r="2662">
      <c r="A2662" s="177" t="n">
        <v>46857</v>
      </c>
      <c r="B2662" s="177" t="n">
        <v>46854</v>
      </c>
      <c r="C2662" s="177" t="n">
        <v>46860</v>
      </c>
      <c r="D2662" t="inlineStr">
        <is>
          <t>BW20280411</t>
        </is>
      </c>
      <c r="E2662" t="n">
        <v>2028</v>
      </c>
      <c r="F2662" t="inlineStr">
        <is>
          <t>Kwiecień</t>
        </is>
      </c>
      <c r="G2662" t="inlineStr">
        <is>
          <t>Pt</t>
        </is>
      </c>
      <c r="H2662">
        <f>'Floor Hours Engine'!$E$5</f>
        <v/>
      </c>
      <c r="I2662" t="inlineStr">
        <is>
          <t>W3</t>
        </is>
      </c>
      <c r="J2662" t="inlineStr">
        <is>
          <t>2028_Kwiecień_W3</t>
        </is>
      </c>
    </row>
    <row r="2663">
      <c r="A2663" s="177" t="n">
        <v>46858</v>
      </c>
      <c r="B2663" s="177" t="n">
        <v>46854</v>
      </c>
      <c r="C2663" s="177" t="n">
        <v>46860</v>
      </c>
      <c r="D2663" t="inlineStr">
        <is>
          <t>BW20280411</t>
        </is>
      </c>
      <c r="E2663" t="n">
        <v>2028</v>
      </c>
      <c r="F2663" t="inlineStr">
        <is>
          <t>Kwiecień</t>
        </is>
      </c>
      <c r="G2663" t="inlineStr">
        <is>
          <t>Sob</t>
        </is>
      </c>
      <c r="H2663">
        <f>'Floor Hours Engine'!$E$5</f>
        <v/>
      </c>
      <c r="I2663" t="inlineStr">
        <is>
          <t>W3</t>
        </is>
      </c>
      <c r="J2663" t="inlineStr">
        <is>
          <t>2028_Kwiecień_W3</t>
        </is>
      </c>
    </row>
    <row r="2664">
      <c r="A2664" s="177" t="n">
        <v>46859</v>
      </c>
      <c r="B2664" s="177" t="n">
        <v>46854</v>
      </c>
      <c r="C2664" s="177" t="n">
        <v>46860</v>
      </c>
      <c r="D2664" t="inlineStr">
        <is>
          <t>BW20280411</t>
        </is>
      </c>
      <c r="E2664" t="n">
        <v>2028</v>
      </c>
      <c r="F2664" t="inlineStr">
        <is>
          <t>Kwiecień</t>
        </is>
      </c>
      <c r="G2664" t="inlineStr">
        <is>
          <t>Nd</t>
        </is>
      </c>
      <c r="H2664">
        <f>'Floor Hours Engine'!$E$6</f>
        <v/>
      </c>
      <c r="I2664" t="inlineStr">
        <is>
          <t>W3</t>
        </is>
      </c>
      <c r="J2664" t="inlineStr">
        <is>
          <t>2028_Kwiecień_W3</t>
        </is>
      </c>
    </row>
    <row r="2665">
      <c r="A2665" s="177" t="n">
        <v>46860</v>
      </c>
      <c r="B2665" s="177" t="n">
        <v>46854</v>
      </c>
      <c r="C2665" s="177" t="n">
        <v>46860</v>
      </c>
      <c r="D2665" t="inlineStr">
        <is>
          <t>BW20280411</t>
        </is>
      </c>
      <c r="E2665" t="n">
        <v>2028</v>
      </c>
      <c r="F2665" t="inlineStr">
        <is>
          <t>Kwiecień</t>
        </is>
      </c>
      <c r="G2665" t="inlineStr">
        <is>
          <t>Pn</t>
        </is>
      </c>
      <c r="H2665">
        <f>'Floor Hours Engine'!$E$4</f>
        <v/>
      </c>
      <c r="I2665" t="inlineStr">
        <is>
          <t>W3</t>
        </is>
      </c>
      <c r="J2665" t="inlineStr">
        <is>
          <t>2028_Kwiecień_W3</t>
        </is>
      </c>
    </row>
    <row r="2666">
      <c r="A2666" s="177" t="n">
        <v>46861</v>
      </c>
      <c r="B2666" s="177" t="n">
        <v>46861</v>
      </c>
      <c r="C2666" s="177" t="n">
        <v>46867</v>
      </c>
      <c r="D2666" t="inlineStr">
        <is>
          <t>BW20280418</t>
        </is>
      </c>
      <c r="E2666" t="n">
        <v>2028</v>
      </c>
      <c r="F2666" t="inlineStr">
        <is>
          <t>Kwiecień</t>
        </is>
      </c>
      <c r="G2666" t="inlineStr">
        <is>
          <t>Wt</t>
        </is>
      </c>
      <c r="H2666">
        <f>'Floor Hours Engine'!$E$4</f>
        <v/>
      </c>
      <c r="I2666" t="inlineStr">
        <is>
          <t>W4</t>
        </is>
      </c>
      <c r="J2666" t="inlineStr">
        <is>
          <t>2028_Kwiecień_W4</t>
        </is>
      </c>
    </row>
    <row r="2667">
      <c r="A2667" s="177" t="n">
        <v>46862</v>
      </c>
      <c r="B2667" s="177" t="n">
        <v>46861</v>
      </c>
      <c r="C2667" s="177" t="n">
        <v>46867</v>
      </c>
      <c r="D2667" t="inlineStr">
        <is>
          <t>BW20280418</t>
        </is>
      </c>
      <c r="E2667" t="n">
        <v>2028</v>
      </c>
      <c r="F2667" t="inlineStr">
        <is>
          <t>Kwiecień</t>
        </is>
      </c>
      <c r="G2667" t="inlineStr">
        <is>
          <t>Śr</t>
        </is>
      </c>
      <c r="H2667">
        <f>'Floor Hours Engine'!$E$4</f>
        <v/>
      </c>
      <c r="I2667" t="inlineStr">
        <is>
          <t>W4</t>
        </is>
      </c>
      <c r="J2667" t="inlineStr">
        <is>
          <t>2028_Kwiecień_W4</t>
        </is>
      </c>
    </row>
    <row r="2668">
      <c r="A2668" s="177" t="n">
        <v>46863</v>
      </c>
      <c r="B2668" s="177" t="n">
        <v>46861</v>
      </c>
      <c r="C2668" s="177" t="n">
        <v>46867</v>
      </c>
      <c r="D2668" t="inlineStr">
        <is>
          <t>BW20280418</t>
        </is>
      </c>
      <c r="E2668" t="n">
        <v>2028</v>
      </c>
      <c r="F2668" t="inlineStr">
        <is>
          <t>Kwiecień</t>
        </is>
      </c>
      <c r="G2668" t="inlineStr">
        <is>
          <t>Czw</t>
        </is>
      </c>
      <c r="H2668">
        <f>'Floor Hours Engine'!$E$4</f>
        <v/>
      </c>
      <c r="I2668" t="inlineStr">
        <is>
          <t>W4</t>
        </is>
      </c>
      <c r="J2668" t="inlineStr">
        <is>
          <t>2028_Kwiecień_W4</t>
        </is>
      </c>
    </row>
    <row r="2669">
      <c r="A2669" s="177" t="n">
        <v>46864</v>
      </c>
      <c r="B2669" s="177" t="n">
        <v>46861</v>
      </c>
      <c r="C2669" s="177" t="n">
        <v>46867</v>
      </c>
      <c r="D2669" t="inlineStr">
        <is>
          <t>BW20280418</t>
        </is>
      </c>
      <c r="E2669" t="n">
        <v>2028</v>
      </c>
      <c r="F2669" t="inlineStr">
        <is>
          <t>Kwiecień</t>
        </is>
      </c>
      <c r="G2669" t="inlineStr">
        <is>
          <t>Pt</t>
        </is>
      </c>
      <c r="H2669">
        <f>'Floor Hours Engine'!$E$5</f>
        <v/>
      </c>
      <c r="I2669" t="inlineStr">
        <is>
          <t>W4</t>
        </is>
      </c>
      <c r="J2669" t="inlineStr">
        <is>
          <t>2028_Kwiecień_W4</t>
        </is>
      </c>
    </row>
    <row r="2670">
      <c r="A2670" s="177" t="n">
        <v>46865</v>
      </c>
      <c r="B2670" s="177" t="n">
        <v>46861</v>
      </c>
      <c r="C2670" s="177" t="n">
        <v>46867</v>
      </c>
      <c r="D2670" t="inlineStr">
        <is>
          <t>BW20280418</t>
        </is>
      </c>
      <c r="E2670" t="n">
        <v>2028</v>
      </c>
      <c r="F2670" t="inlineStr">
        <is>
          <t>Kwiecień</t>
        </is>
      </c>
      <c r="G2670" t="inlineStr">
        <is>
          <t>Sob</t>
        </is>
      </c>
      <c r="H2670">
        <f>'Floor Hours Engine'!$E$5</f>
        <v/>
      </c>
      <c r="I2670" t="inlineStr">
        <is>
          <t>W4</t>
        </is>
      </c>
      <c r="J2670" t="inlineStr">
        <is>
          <t>2028_Kwiecień_W4</t>
        </is>
      </c>
    </row>
    <row r="2671">
      <c r="A2671" s="177" t="n">
        <v>46866</v>
      </c>
      <c r="B2671" s="177" t="n">
        <v>46861</v>
      </c>
      <c r="C2671" s="177" t="n">
        <v>46867</v>
      </c>
      <c r="D2671" t="inlineStr">
        <is>
          <t>BW20280418</t>
        </is>
      </c>
      <c r="E2671" t="n">
        <v>2028</v>
      </c>
      <c r="F2671" t="inlineStr">
        <is>
          <t>Kwiecień</t>
        </is>
      </c>
      <c r="G2671" t="inlineStr">
        <is>
          <t>Nd</t>
        </is>
      </c>
      <c r="H2671">
        <f>'Floor Hours Engine'!$E$6</f>
        <v/>
      </c>
      <c r="I2671" t="inlineStr">
        <is>
          <t>W4</t>
        </is>
      </c>
      <c r="J2671" t="inlineStr">
        <is>
          <t>2028_Kwiecień_W4</t>
        </is>
      </c>
    </row>
    <row r="2672">
      <c r="A2672" s="177" t="n">
        <v>46867</v>
      </c>
      <c r="B2672" s="177" t="n">
        <v>46861</v>
      </c>
      <c r="C2672" s="177" t="n">
        <v>46867</v>
      </c>
      <c r="D2672" t="inlineStr">
        <is>
          <t>BW20280418</t>
        </is>
      </c>
      <c r="E2672" t="n">
        <v>2028</v>
      </c>
      <c r="F2672" t="inlineStr">
        <is>
          <t>Kwiecień</t>
        </is>
      </c>
      <c r="G2672" t="inlineStr">
        <is>
          <t>Pn</t>
        </is>
      </c>
      <c r="H2672">
        <f>'Floor Hours Engine'!$E$4</f>
        <v/>
      </c>
      <c r="I2672" t="inlineStr">
        <is>
          <t>W4</t>
        </is>
      </c>
      <c r="J2672" t="inlineStr">
        <is>
          <t>2028_Kwiecień_W4</t>
        </is>
      </c>
    </row>
    <row r="2673">
      <c r="A2673" s="177" t="n">
        <v>46868</v>
      </c>
      <c r="B2673" s="177" t="n">
        <v>46868</v>
      </c>
      <c r="C2673" s="177" t="n">
        <v>46874</v>
      </c>
      <c r="D2673" t="inlineStr">
        <is>
          <t>BW20280425</t>
        </is>
      </c>
      <c r="E2673" t="n">
        <v>2028</v>
      </c>
      <c r="F2673" t="inlineStr">
        <is>
          <t>Kwiecień</t>
        </is>
      </c>
      <c r="G2673" t="inlineStr">
        <is>
          <t>Wt</t>
        </is>
      </c>
      <c r="H2673">
        <f>'Floor Hours Engine'!$E$4</f>
        <v/>
      </c>
      <c r="I2673" t="inlineStr">
        <is>
          <t>W5</t>
        </is>
      </c>
      <c r="J2673" t="inlineStr">
        <is>
          <t>2028_Kwiecień_W5</t>
        </is>
      </c>
    </row>
    <row r="2674">
      <c r="A2674" s="177" t="n">
        <v>46869</v>
      </c>
      <c r="B2674" s="177" t="n">
        <v>46868</v>
      </c>
      <c r="C2674" s="177" t="n">
        <v>46874</v>
      </c>
      <c r="D2674" t="inlineStr">
        <is>
          <t>BW20280425</t>
        </is>
      </c>
      <c r="E2674" t="n">
        <v>2028</v>
      </c>
      <c r="F2674" t="inlineStr">
        <is>
          <t>Kwiecień</t>
        </is>
      </c>
      <c r="G2674" t="inlineStr">
        <is>
          <t>Śr</t>
        </is>
      </c>
      <c r="H2674">
        <f>'Floor Hours Engine'!$E$4</f>
        <v/>
      </c>
      <c r="I2674" t="inlineStr">
        <is>
          <t>W5</t>
        </is>
      </c>
      <c r="J2674" t="inlineStr">
        <is>
          <t>2028_Kwiecień_W5</t>
        </is>
      </c>
    </row>
    <row r="2675">
      <c r="A2675" s="177" t="n">
        <v>46870</v>
      </c>
      <c r="B2675" s="177" t="n">
        <v>46868</v>
      </c>
      <c r="C2675" s="177" t="n">
        <v>46874</v>
      </c>
      <c r="D2675" t="inlineStr">
        <is>
          <t>BW20280425</t>
        </is>
      </c>
      <c r="E2675" t="n">
        <v>2028</v>
      </c>
      <c r="F2675" t="inlineStr">
        <is>
          <t>Kwiecień</t>
        </is>
      </c>
      <c r="G2675" t="inlineStr">
        <is>
          <t>Czw</t>
        </is>
      </c>
      <c r="H2675">
        <f>'Floor Hours Engine'!$E$4</f>
        <v/>
      </c>
      <c r="I2675" t="inlineStr">
        <is>
          <t>W5</t>
        </is>
      </c>
      <c r="J2675" t="inlineStr">
        <is>
          <t>2028_Kwiecień_W5</t>
        </is>
      </c>
    </row>
    <row r="2676">
      <c r="A2676" s="177" t="n">
        <v>46871</v>
      </c>
      <c r="B2676" s="177" t="n">
        <v>46868</v>
      </c>
      <c r="C2676" s="177" t="n">
        <v>46874</v>
      </c>
      <c r="D2676" t="inlineStr">
        <is>
          <t>BW20280425</t>
        </is>
      </c>
      <c r="E2676" t="n">
        <v>2028</v>
      </c>
      <c r="F2676" t="inlineStr">
        <is>
          <t>Kwiecień</t>
        </is>
      </c>
      <c r="G2676" t="inlineStr">
        <is>
          <t>Pt</t>
        </is>
      </c>
      <c r="H2676">
        <f>'Floor Hours Engine'!$E$5</f>
        <v/>
      </c>
      <c r="I2676" t="inlineStr">
        <is>
          <t>W5</t>
        </is>
      </c>
      <c r="J2676" t="inlineStr">
        <is>
          <t>2028_Kwiecień_W5</t>
        </is>
      </c>
    </row>
    <row r="2677">
      <c r="A2677" s="177" t="n">
        <v>46872</v>
      </c>
      <c r="B2677" s="177" t="n">
        <v>46868</v>
      </c>
      <c r="C2677" s="177" t="n">
        <v>46874</v>
      </c>
      <c r="D2677" t="inlineStr">
        <is>
          <t>BW20280425</t>
        </is>
      </c>
      <c r="E2677" t="n">
        <v>2028</v>
      </c>
      <c r="F2677" t="inlineStr">
        <is>
          <t>Kwiecień</t>
        </is>
      </c>
      <c r="G2677" t="inlineStr">
        <is>
          <t>Sob</t>
        </is>
      </c>
      <c r="H2677">
        <f>'Floor Hours Engine'!$E$5</f>
        <v/>
      </c>
      <c r="I2677" t="inlineStr">
        <is>
          <t>W5</t>
        </is>
      </c>
      <c r="J2677" t="inlineStr">
        <is>
          <t>2028_Kwiecień_W5</t>
        </is>
      </c>
    </row>
    <row r="2678">
      <c r="A2678" s="177" t="n">
        <v>46873</v>
      </c>
      <c r="B2678" s="177" t="n">
        <v>46868</v>
      </c>
      <c r="C2678" s="177" t="n">
        <v>46874</v>
      </c>
      <c r="D2678" t="inlineStr">
        <is>
          <t>BW20280425</t>
        </is>
      </c>
      <c r="E2678" t="n">
        <v>2028</v>
      </c>
      <c r="F2678" t="inlineStr">
        <is>
          <t>Kwiecień</t>
        </is>
      </c>
      <c r="G2678" t="inlineStr">
        <is>
          <t>Nd</t>
        </is>
      </c>
      <c r="H2678">
        <f>'Floor Hours Engine'!$E$6</f>
        <v/>
      </c>
      <c r="I2678" t="inlineStr">
        <is>
          <t>W5</t>
        </is>
      </c>
      <c r="J2678" t="inlineStr">
        <is>
          <t>2028_Kwiecień_W5</t>
        </is>
      </c>
    </row>
    <row r="2679">
      <c r="A2679" s="177" t="n">
        <v>46874</v>
      </c>
      <c r="B2679" s="177" t="n">
        <v>46868</v>
      </c>
      <c r="C2679" s="177" t="n">
        <v>46874</v>
      </c>
      <c r="D2679" t="inlineStr">
        <is>
          <t>BW20280425</t>
        </is>
      </c>
      <c r="E2679" t="n">
        <v>2028</v>
      </c>
      <c r="F2679" t="inlineStr">
        <is>
          <t>Maj</t>
        </is>
      </c>
      <c r="G2679" t="inlineStr">
        <is>
          <t>Pn</t>
        </is>
      </c>
      <c r="H2679">
        <f>'Floor Hours Engine'!$E$4</f>
        <v/>
      </c>
      <c r="I2679" t="inlineStr">
        <is>
          <t>W1</t>
        </is>
      </c>
      <c r="J2679" t="inlineStr">
        <is>
          <t>2028_Maj_W1</t>
        </is>
      </c>
    </row>
    <row r="2680">
      <c r="A2680" s="177" t="n">
        <v>46875</v>
      </c>
      <c r="B2680" s="177" t="n">
        <v>46875</v>
      </c>
      <c r="C2680" s="177" t="n">
        <v>46881</v>
      </c>
      <c r="D2680" t="inlineStr">
        <is>
          <t>BW20280502</t>
        </is>
      </c>
      <c r="E2680" t="n">
        <v>2028</v>
      </c>
      <c r="F2680" t="inlineStr">
        <is>
          <t>Maj</t>
        </is>
      </c>
      <c r="G2680" t="inlineStr">
        <is>
          <t>Wt</t>
        </is>
      </c>
      <c r="H2680">
        <f>'Floor Hours Engine'!$E$4</f>
        <v/>
      </c>
      <c r="I2680" t="inlineStr">
        <is>
          <t>W2</t>
        </is>
      </c>
      <c r="J2680" t="inlineStr">
        <is>
          <t>2028_Maj_W2</t>
        </is>
      </c>
    </row>
    <row r="2681">
      <c r="A2681" s="177" t="n">
        <v>46876</v>
      </c>
      <c r="B2681" s="177" t="n">
        <v>46875</v>
      </c>
      <c r="C2681" s="177" t="n">
        <v>46881</v>
      </c>
      <c r="D2681" t="inlineStr">
        <is>
          <t>BW20280502</t>
        </is>
      </c>
      <c r="E2681" t="n">
        <v>2028</v>
      </c>
      <c r="F2681" t="inlineStr">
        <is>
          <t>Maj</t>
        </is>
      </c>
      <c r="G2681" t="inlineStr">
        <is>
          <t>Śr</t>
        </is>
      </c>
      <c r="H2681">
        <f>'Floor Hours Engine'!$E$4</f>
        <v/>
      </c>
      <c r="I2681" t="inlineStr">
        <is>
          <t>W2</t>
        </is>
      </c>
      <c r="J2681" t="inlineStr">
        <is>
          <t>2028_Maj_W2</t>
        </is>
      </c>
    </row>
    <row r="2682">
      <c r="A2682" s="177" t="n">
        <v>46877</v>
      </c>
      <c r="B2682" s="177" t="n">
        <v>46875</v>
      </c>
      <c r="C2682" s="177" t="n">
        <v>46881</v>
      </c>
      <c r="D2682" t="inlineStr">
        <is>
          <t>BW20280502</t>
        </is>
      </c>
      <c r="E2682" t="n">
        <v>2028</v>
      </c>
      <c r="F2682" t="inlineStr">
        <is>
          <t>Maj</t>
        </is>
      </c>
      <c r="G2682" t="inlineStr">
        <is>
          <t>Czw</t>
        </is>
      </c>
      <c r="H2682">
        <f>'Floor Hours Engine'!$E$4</f>
        <v/>
      </c>
      <c r="I2682" t="inlineStr">
        <is>
          <t>W2</t>
        </is>
      </c>
      <c r="J2682" t="inlineStr">
        <is>
          <t>2028_Maj_W2</t>
        </is>
      </c>
    </row>
    <row r="2683">
      <c r="A2683" s="177" t="n">
        <v>46878</v>
      </c>
      <c r="B2683" s="177" t="n">
        <v>46875</v>
      </c>
      <c r="C2683" s="177" t="n">
        <v>46881</v>
      </c>
      <c r="D2683" t="inlineStr">
        <is>
          <t>BW20280502</t>
        </is>
      </c>
      <c r="E2683" t="n">
        <v>2028</v>
      </c>
      <c r="F2683" t="inlineStr">
        <is>
          <t>Maj</t>
        </is>
      </c>
      <c r="G2683" t="inlineStr">
        <is>
          <t>Pt</t>
        </is>
      </c>
      <c r="H2683">
        <f>'Floor Hours Engine'!$E$5</f>
        <v/>
      </c>
      <c r="I2683" t="inlineStr">
        <is>
          <t>W2</t>
        </is>
      </c>
      <c r="J2683" t="inlineStr">
        <is>
          <t>2028_Maj_W2</t>
        </is>
      </c>
    </row>
    <row r="2684">
      <c r="A2684" s="177" t="n">
        <v>46879</v>
      </c>
      <c r="B2684" s="177" t="n">
        <v>46875</v>
      </c>
      <c r="C2684" s="177" t="n">
        <v>46881</v>
      </c>
      <c r="D2684" t="inlineStr">
        <is>
          <t>BW20280502</t>
        </is>
      </c>
      <c r="E2684" t="n">
        <v>2028</v>
      </c>
      <c r="F2684" t="inlineStr">
        <is>
          <t>Maj</t>
        </is>
      </c>
      <c r="G2684" t="inlineStr">
        <is>
          <t>Sob</t>
        </is>
      </c>
      <c r="H2684">
        <f>'Floor Hours Engine'!$E$5</f>
        <v/>
      </c>
      <c r="I2684" t="inlineStr">
        <is>
          <t>W2</t>
        </is>
      </c>
      <c r="J2684" t="inlineStr">
        <is>
          <t>2028_Maj_W2</t>
        </is>
      </c>
    </row>
    <row r="2685">
      <c r="A2685" s="177" t="n">
        <v>46880</v>
      </c>
      <c r="B2685" s="177" t="n">
        <v>46875</v>
      </c>
      <c r="C2685" s="177" t="n">
        <v>46881</v>
      </c>
      <c r="D2685" t="inlineStr">
        <is>
          <t>BW20280502</t>
        </is>
      </c>
      <c r="E2685" t="n">
        <v>2028</v>
      </c>
      <c r="F2685" t="inlineStr">
        <is>
          <t>Maj</t>
        </is>
      </c>
      <c r="G2685" t="inlineStr">
        <is>
          <t>Nd</t>
        </is>
      </c>
      <c r="H2685">
        <f>'Floor Hours Engine'!$E$6</f>
        <v/>
      </c>
      <c r="I2685" t="inlineStr">
        <is>
          <t>W2</t>
        </is>
      </c>
      <c r="J2685" t="inlineStr">
        <is>
          <t>2028_Maj_W2</t>
        </is>
      </c>
    </row>
    <row r="2686">
      <c r="A2686" s="177" t="n">
        <v>46881</v>
      </c>
      <c r="B2686" s="177" t="n">
        <v>46875</v>
      </c>
      <c r="C2686" s="177" t="n">
        <v>46881</v>
      </c>
      <c r="D2686" t="inlineStr">
        <is>
          <t>BW20280502</t>
        </is>
      </c>
      <c r="E2686" t="n">
        <v>2028</v>
      </c>
      <c r="F2686" t="inlineStr">
        <is>
          <t>Maj</t>
        </is>
      </c>
      <c r="G2686" t="inlineStr">
        <is>
          <t>Pn</t>
        </is>
      </c>
      <c r="H2686">
        <f>'Floor Hours Engine'!$E$4</f>
        <v/>
      </c>
      <c r="I2686" t="inlineStr">
        <is>
          <t>W2</t>
        </is>
      </c>
      <c r="J2686" t="inlineStr">
        <is>
          <t>2028_Maj_W2</t>
        </is>
      </c>
    </row>
    <row r="2687">
      <c r="A2687" s="177" t="n">
        <v>46882</v>
      </c>
      <c r="B2687" s="177" t="n">
        <v>46882</v>
      </c>
      <c r="C2687" s="177" t="n">
        <v>46888</v>
      </c>
      <c r="D2687" t="inlineStr">
        <is>
          <t>BW20280509</t>
        </is>
      </c>
      <c r="E2687" t="n">
        <v>2028</v>
      </c>
      <c r="F2687" t="inlineStr">
        <is>
          <t>Maj</t>
        </is>
      </c>
      <c r="G2687" t="inlineStr">
        <is>
          <t>Wt</t>
        </is>
      </c>
      <c r="H2687">
        <f>'Floor Hours Engine'!$E$4</f>
        <v/>
      </c>
      <c r="I2687" t="inlineStr">
        <is>
          <t>W3</t>
        </is>
      </c>
      <c r="J2687" t="inlineStr">
        <is>
          <t>2028_Maj_W3</t>
        </is>
      </c>
    </row>
    <row r="2688">
      <c r="A2688" s="177" t="n">
        <v>46883</v>
      </c>
      <c r="B2688" s="177" t="n">
        <v>46882</v>
      </c>
      <c r="C2688" s="177" t="n">
        <v>46888</v>
      </c>
      <c r="D2688" t="inlineStr">
        <is>
          <t>BW20280509</t>
        </is>
      </c>
      <c r="E2688" t="n">
        <v>2028</v>
      </c>
      <c r="F2688" t="inlineStr">
        <is>
          <t>Maj</t>
        </is>
      </c>
      <c r="G2688" t="inlineStr">
        <is>
          <t>Śr</t>
        </is>
      </c>
      <c r="H2688">
        <f>'Floor Hours Engine'!$E$4</f>
        <v/>
      </c>
      <c r="I2688" t="inlineStr">
        <is>
          <t>W3</t>
        </is>
      </c>
      <c r="J2688" t="inlineStr">
        <is>
          <t>2028_Maj_W3</t>
        </is>
      </c>
    </row>
    <row r="2689">
      <c r="A2689" s="177" t="n">
        <v>46884</v>
      </c>
      <c r="B2689" s="177" t="n">
        <v>46882</v>
      </c>
      <c r="C2689" s="177" t="n">
        <v>46888</v>
      </c>
      <c r="D2689" t="inlineStr">
        <is>
          <t>BW20280509</t>
        </is>
      </c>
      <c r="E2689" t="n">
        <v>2028</v>
      </c>
      <c r="F2689" t="inlineStr">
        <is>
          <t>Maj</t>
        </is>
      </c>
      <c r="G2689" t="inlineStr">
        <is>
          <t>Czw</t>
        </is>
      </c>
      <c r="H2689">
        <f>'Floor Hours Engine'!$E$4</f>
        <v/>
      </c>
      <c r="I2689" t="inlineStr">
        <is>
          <t>W3</t>
        </is>
      </c>
      <c r="J2689" t="inlineStr">
        <is>
          <t>2028_Maj_W3</t>
        </is>
      </c>
    </row>
    <row r="2690">
      <c r="A2690" s="177" t="n">
        <v>46885</v>
      </c>
      <c r="B2690" s="177" t="n">
        <v>46882</v>
      </c>
      <c r="C2690" s="177" t="n">
        <v>46888</v>
      </c>
      <c r="D2690" t="inlineStr">
        <is>
          <t>BW20280509</t>
        </is>
      </c>
      <c r="E2690" t="n">
        <v>2028</v>
      </c>
      <c r="F2690" t="inlineStr">
        <is>
          <t>Maj</t>
        </is>
      </c>
      <c r="G2690" t="inlineStr">
        <is>
          <t>Pt</t>
        </is>
      </c>
      <c r="H2690">
        <f>'Floor Hours Engine'!$E$5</f>
        <v/>
      </c>
      <c r="I2690" t="inlineStr">
        <is>
          <t>W3</t>
        </is>
      </c>
      <c r="J2690" t="inlineStr">
        <is>
          <t>2028_Maj_W3</t>
        </is>
      </c>
    </row>
    <row r="2691">
      <c r="A2691" s="177" t="n">
        <v>46886</v>
      </c>
      <c r="B2691" s="177" t="n">
        <v>46882</v>
      </c>
      <c r="C2691" s="177" t="n">
        <v>46888</v>
      </c>
      <c r="D2691" t="inlineStr">
        <is>
          <t>BW20280509</t>
        </is>
      </c>
      <c r="E2691" t="n">
        <v>2028</v>
      </c>
      <c r="F2691" t="inlineStr">
        <is>
          <t>Maj</t>
        </is>
      </c>
      <c r="G2691" t="inlineStr">
        <is>
          <t>Sob</t>
        </is>
      </c>
      <c r="H2691">
        <f>'Floor Hours Engine'!$E$5</f>
        <v/>
      </c>
      <c r="I2691" t="inlineStr">
        <is>
          <t>W3</t>
        </is>
      </c>
      <c r="J2691" t="inlineStr">
        <is>
          <t>2028_Maj_W3</t>
        </is>
      </c>
    </row>
    <row r="2692">
      <c r="A2692" s="177" t="n">
        <v>46887</v>
      </c>
      <c r="B2692" s="177" t="n">
        <v>46882</v>
      </c>
      <c r="C2692" s="177" t="n">
        <v>46888</v>
      </c>
      <c r="D2692" t="inlineStr">
        <is>
          <t>BW20280509</t>
        </is>
      </c>
      <c r="E2692" t="n">
        <v>2028</v>
      </c>
      <c r="F2692" t="inlineStr">
        <is>
          <t>Maj</t>
        </is>
      </c>
      <c r="G2692" t="inlineStr">
        <is>
          <t>Nd</t>
        </is>
      </c>
      <c r="H2692">
        <f>'Floor Hours Engine'!$E$6</f>
        <v/>
      </c>
      <c r="I2692" t="inlineStr">
        <is>
          <t>W3</t>
        </is>
      </c>
      <c r="J2692" t="inlineStr">
        <is>
          <t>2028_Maj_W3</t>
        </is>
      </c>
    </row>
    <row r="2693">
      <c r="A2693" s="177" t="n">
        <v>46888</v>
      </c>
      <c r="B2693" s="177" t="n">
        <v>46882</v>
      </c>
      <c r="C2693" s="177" t="n">
        <v>46888</v>
      </c>
      <c r="D2693" t="inlineStr">
        <is>
          <t>BW20280509</t>
        </is>
      </c>
      <c r="E2693" t="n">
        <v>2028</v>
      </c>
      <c r="F2693" t="inlineStr">
        <is>
          <t>Maj</t>
        </is>
      </c>
      <c r="G2693" t="inlineStr">
        <is>
          <t>Pn</t>
        </is>
      </c>
      <c r="H2693">
        <f>'Floor Hours Engine'!$E$4</f>
        <v/>
      </c>
      <c r="I2693" t="inlineStr">
        <is>
          <t>W3</t>
        </is>
      </c>
      <c r="J2693" t="inlineStr">
        <is>
          <t>2028_Maj_W3</t>
        </is>
      </c>
    </row>
    <row r="2694">
      <c r="A2694" s="177" t="n">
        <v>46889</v>
      </c>
      <c r="B2694" s="177" t="n">
        <v>46889</v>
      </c>
      <c r="C2694" s="177" t="n">
        <v>46895</v>
      </c>
      <c r="D2694" t="inlineStr">
        <is>
          <t>BW20280516</t>
        </is>
      </c>
      <c r="E2694" t="n">
        <v>2028</v>
      </c>
      <c r="F2694" t="inlineStr">
        <is>
          <t>Maj</t>
        </is>
      </c>
      <c r="G2694" t="inlineStr">
        <is>
          <t>Wt</t>
        </is>
      </c>
      <c r="H2694">
        <f>'Floor Hours Engine'!$E$4</f>
        <v/>
      </c>
      <c r="I2694" t="inlineStr">
        <is>
          <t>W4</t>
        </is>
      </c>
      <c r="J2694" t="inlineStr">
        <is>
          <t>2028_Maj_W4</t>
        </is>
      </c>
    </row>
    <row r="2695">
      <c r="A2695" s="177" t="n">
        <v>46890</v>
      </c>
      <c r="B2695" s="177" t="n">
        <v>46889</v>
      </c>
      <c r="C2695" s="177" t="n">
        <v>46895</v>
      </c>
      <c r="D2695" t="inlineStr">
        <is>
          <t>BW20280516</t>
        </is>
      </c>
      <c r="E2695" t="n">
        <v>2028</v>
      </c>
      <c r="F2695" t="inlineStr">
        <is>
          <t>Maj</t>
        </is>
      </c>
      <c r="G2695" t="inlineStr">
        <is>
          <t>Śr</t>
        </is>
      </c>
      <c r="H2695">
        <f>'Floor Hours Engine'!$E$4</f>
        <v/>
      </c>
      <c r="I2695" t="inlineStr">
        <is>
          <t>W4</t>
        </is>
      </c>
      <c r="J2695" t="inlineStr">
        <is>
          <t>2028_Maj_W4</t>
        </is>
      </c>
    </row>
    <row r="2696">
      <c r="A2696" s="177" t="n">
        <v>46891</v>
      </c>
      <c r="B2696" s="177" t="n">
        <v>46889</v>
      </c>
      <c r="C2696" s="177" t="n">
        <v>46895</v>
      </c>
      <c r="D2696" t="inlineStr">
        <is>
          <t>BW20280516</t>
        </is>
      </c>
      <c r="E2696" t="n">
        <v>2028</v>
      </c>
      <c r="F2696" t="inlineStr">
        <is>
          <t>Maj</t>
        </is>
      </c>
      <c r="G2696" t="inlineStr">
        <is>
          <t>Czw</t>
        </is>
      </c>
      <c r="H2696">
        <f>'Floor Hours Engine'!$E$4</f>
        <v/>
      </c>
      <c r="I2696" t="inlineStr">
        <is>
          <t>W4</t>
        </is>
      </c>
      <c r="J2696" t="inlineStr">
        <is>
          <t>2028_Maj_W4</t>
        </is>
      </c>
    </row>
    <row r="2697">
      <c r="A2697" s="177" t="n">
        <v>46892</v>
      </c>
      <c r="B2697" s="177" t="n">
        <v>46889</v>
      </c>
      <c r="C2697" s="177" t="n">
        <v>46895</v>
      </c>
      <c r="D2697" t="inlineStr">
        <is>
          <t>BW20280516</t>
        </is>
      </c>
      <c r="E2697" t="n">
        <v>2028</v>
      </c>
      <c r="F2697" t="inlineStr">
        <is>
          <t>Maj</t>
        </is>
      </c>
      <c r="G2697" t="inlineStr">
        <is>
          <t>Pt</t>
        </is>
      </c>
      <c r="H2697">
        <f>'Floor Hours Engine'!$E$5</f>
        <v/>
      </c>
      <c r="I2697" t="inlineStr">
        <is>
          <t>W4</t>
        </is>
      </c>
      <c r="J2697" t="inlineStr">
        <is>
          <t>2028_Maj_W4</t>
        </is>
      </c>
    </row>
    <row r="2698">
      <c r="A2698" s="177" t="n">
        <v>46893</v>
      </c>
      <c r="B2698" s="177" t="n">
        <v>46889</v>
      </c>
      <c r="C2698" s="177" t="n">
        <v>46895</v>
      </c>
      <c r="D2698" t="inlineStr">
        <is>
          <t>BW20280516</t>
        </is>
      </c>
      <c r="E2698" t="n">
        <v>2028</v>
      </c>
      <c r="F2698" t="inlineStr">
        <is>
          <t>Maj</t>
        </is>
      </c>
      <c r="G2698" t="inlineStr">
        <is>
          <t>Sob</t>
        </is>
      </c>
      <c r="H2698">
        <f>'Floor Hours Engine'!$E$5</f>
        <v/>
      </c>
      <c r="I2698" t="inlineStr">
        <is>
          <t>W4</t>
        </is>
      </c>
      <c r="J2698" t="inlineStr">
        <is>
          <t>2028_Maj_W4</t>
        </is>
      </c>
    </row>
    <row r="2699">
      <c r="A2699" s="177" t="n">
        <v>46894</v>
      </c>
      <c r="B2699" s="177" t="n">
        <v>46889</v>
      </c>
      <c r="C2699" s="177" t="n">
        <v>46895</v>
      </c>
      <c r="D2699" t="inlineStr">
        <is>
          <t>BW20280516</t>
        </is>
      </c>
      <c r="E2699" t="n">
        <v>2028</v>
      </c>
      <c r="F2699" t="inlineStr">
        <is>
          <t>Maj</t>
        </is>
      </c>
      <c r="G2699" t="inlineStr">
        <is>
          <t>Nd</t>
        </is>
      </c>
      <c r="H2699">
        <f>'Floor Hours Engine'!$E$6</f>
        <v/>
      </c>
      <c r="I2699" t="inlineStr">
        <is>
          <t>W4</t>
        </is>
      </c>
      <c r="J2699" t="inlineStr">
        <is>
          <t>2028_Maj_W4</t>
        </is>
      </c>
    </row>
    <row r="2700">
      <c r="A2700" s="177" t="n">
        <v>46895</v>
      </c>
      <c r="B2700" s="177" t="n">
        <v>46889</v>
      </c>
      <c r="C2700" s="177" t="n">
        <v>46895</v>
      </c>
      <c r="D2700" t="inlineStr">
        <is>
          <t>BW20280516</t>
        </is>
      </c>
      <c r="E2700" t="n">
        <v>2028</v>
      </c>
      <c r="F2700" t="inlineStr">
        <is>
          <t>Maj</t>
        </is>
      </c>
      <c r="G2700" t="inlineStr">
        <is>
          <t>Pn</t>
        </is>
      </c>
      <c r="H2700">
        <f>'Floor Hours Engine'!$E$4</f>
        <v/>
      </c>
      <c r="I2700" t="inlineStr">
        <is>
          <t>W4</t>
        </is>
      </c>
      <c r="J2700" t="inlineStr">
        <is>
          <t>2028_Maj_W4</t>
        </is>
      </c>
    </row>
    <row r="2701">
      <c r="A2701" s="177" t="n">
        <v>46896</v>
      </c>
      <c r="B2701" s="177" t="n">
        <v>46896</v>
      </c>
      <c r="C2701" s="177" t="n">
        <v>46902</v>
      </c>
      <c r="D2701" t="inlineStr">
        <is>
          <t>BW20280523</t>
        </is>
      </c>
      <c r="E2701" t="n">
        <v>2028</v>
      </c>
      <c r="F2701" t="inlineStr">
        <is>
          <t>Maj</t>
        </is>
      </c>
      <c r="G2701" t="inlineStr">
        <is>
          <t>Wt</t>
        </is>
      </c>
      <c r="H2701">
        <f>'Floor Hours Engine'!$E$4</f>
        <v/>
      </c>
      <c r="I2701" t="inlineStr">
        <is>
          <t>W5</t>
        </is>
      </c>
      <c r="J2701" t="inlineStr">
        <is>
          <t>2028_Maj_W5</t>
        </is>
      </c>
    </row>
    <row r="2702">
      <c r="A2702" s="177" t="n">
        <v>46897</v>
      </c>
      <c r="B2702" s="177" t="n">
        <v>46896</v>
      </c>
      <c r="C2702" s="177" t="n">
        <v>46902</v>
      </c>
      <c r="D2702" t="inlineStr">
        <is>
          <t>BW20280523</t>
        </is>
      </c>
      <c r="E2702" t="n">
        <v>2028</v>
      </c>
      <c r="F2702" t="inlineStr">
        <is>
          <t>Maj</t>
        </is>
      </c>
      <c r="G2702" t="inlineStr">
        <is>
          <t>Śr</t>
        </is>
      </c>
      <c r="H2702">
        <f>'Floor Hours Engine'!$E$4</f>
        <v/>
      </c>
      <c r="I2702" t="inlineStr">
        <is>
          <t>W5</t>
        </is>
      </c>
      <c r="J2702" t="inlineStr">
        <is>
          <t>2028_Maj_W5</t>
        </is>
      </c>
    </row>
    <row r="2703">
      <c r="A2703" s="177" t="n">
        <v>46898</v>
      </c>
      <c r="B2703" s="177" t="n">
        <v>46896</v>
      </c>
      <c r="C2703" s="177" t="n">
        <v>46902</v>
      </c>
      <c r="D2703" t="inlineStr">
        <is>
          <t>BW20280523</t>
        </is>
      </c>
      <c r="E2703" t="n">
        <v>2028</v>
      </c>
      <c r="F2703" t="inlineStr">
        <is>
          <t>Maj</t>
        </is>
      </c>
      <c r="G2703" t="inlineStr">
        <is>
          <t>Czw</t>
        </is>
      </c>
      <c r="H2703">
        <f>'Floor Hours Engine'!$E$4</f>
        <v/>
      </c>
      <c r="I2703" t="inlineStr">
        <is>
          <t>W5</t>
        </is>
      </c>
      <c r="J2703" t="inlineStr">
        <is>
          <t>2028_Maj_W5</t>
        </is>
      </c>
    </row>
    <row r="2704">
      <c r="A2704" s="177" t="n">
        <v>46899</v>
      </c>
      <c r="B2704" s="177" t="n">
        <v>46896</v>
      </c>
      <c r="C2704" s="177" t="n">
        <v>46902</v>
      </c>
      <c r="D2704" t="inlineStr">
        <is>
          <t>BW20280523</t>
        </is>
      </c>
      <c r="E2704" t="n">
        <v>2028</v>
      </c>
      <c r="F2704" t="inlineStr">
        <is>
          <t>Maj</t>
        </is>
      </c>
      <c r="G2704" t="inlineStr">
        <is>
          <t>Pt</t>
        </is>
      </c>
      <c r="H2704">
        <f>'Floor Hours Engine'!$E$5</f>
        <v/>
      </c>
      <c r="I2704" t="inlineStr">
        <is>
          <t>W5</t>
        </is>
      </c>
      <c r="J2704" t="inlineStr">
        <is>
          <t>2028_Maj_W5</t>
        </is>
      </c>
    </row>
    <row r="2705">
      <c r="A2705" s="177" t="n">
        <v>46900</v>
      </c>
      <c r="B2705" s="177" t="n">
        <v>46896</v>
      </c>
      <c r="C2705" s="177" t="n">
        <v>46902</v>
      </c>
      <c r="D2705" t="inlineStr">
        <is>
          <t>BW20280523</t>
        </is>
      </c>
      <c r="E2705" t="n">
        <v>2028</v>
      </c>
      <c r="F2705" t="inlineStr">
        <is>
          <t>Maj</t>
        </is>
      </c>
      <c r="G2705" t="inlineStr">
        <is>
          <t>Sob</t>
        </is>
      </c>
      <c r="H2705">
        <f>'Floor Hours Engine'!$E$5</f>
        <v/>
      </c>
      <c r="I2705" t="inlineStr">
        <is>
          <t>W5</t>
        </is>
      </c>
      <c r="J2705" t="inlineStr">
        <is>
          <t>2028_Maj_W5</t>
        </is>
      </c>
    </row>
    <row r="2706">
      <c r="A2706" s="177" t="n">
        <v>46901</v>
      </c>
      <c r="B2706" s="177" t="n">
        <v>46896</v>
      </c>
      <c r="C2706" s="177" t="n">
        <v>46902</v>
      </c>
      <c r="D2706" t="inlineStr">
        <is>
          <t>BW20280523</t>
        </is>
      </c>
      <c r="E2706" t="n">
        <v>2028</v>
      </c>
      <c r="F2706" t="inlineStr">
        <is>
          <t>Maj</t>
        </is>
      </c>
      <c r="G2706" t="inlineStr">
        <is>
          <t>Nd</t>
        </is>
      </c>
      <c r="H2706">
        <f>'Floor Hours Engine'!$E$6</f>
        <v/>
      </c>
      <c r="I2706" t="inlineStr">
        <is>
          <t>W5</t>
        </is>
      </c>
      <c r="J2706" t="inlineStr">
        <is>
          <t>2028_Maj_W5</t>
        </is>
      </c>
    </row>
    <row r="2707">
      <c r="A2707" s="177" t="n">
        <v>46902</v>
      </c>
      <c r="B2707" s="177" t="n">
        <v>46896</v>
      </c>
      <c r="C2707" s="177" t="n">
        <v>46902</v>
      </c>
      <c r="D2707" t="inlineStr">
        <is>
          <t>BW20280523</t>
        </is>
      </c>
      <c r="E2707" t="n">
        <v>2028</v>
      </c>
      <c r="F2707" t="inlineStr">
        <is>
          <t>Maj</t>
        </is>
      </c>
      <c r="G2707" t="inlineStr">
        <is>
          <t>Pn</t>
        </is>
      </c>
      <c r="H2707">
        <f>'Floor Hours Engine'!$E$4</f>
        <v/>
      </c>
      <c r="I2707" t="inlineStr">
        <is>
          <t>W5</t>
        </is>
      </c>
      <c r="J2707" t="inlineStr">
        <is>
          <t>2028_Maj_W5</t>
        </is>
      </c>
    </row>
    <row r="2708">
      <c r="A2708" s="177" t="n">
        <v>46903</v>
      </c>
      <c r="B2708" s="177" t="n">
        <v>46903</v>
      </c>
      <c r="C2708" s="177" t="n">
        <v>46909</v>
      </c>
      <c r="D2708" t="inlineStr">
        <is>
          <t>BW20280530</t>
        </is>
      </c>
      <c r="E2708" t="n">
        <v>2028</v>
      </c>
      <c r="F2708" t="inlineStr">
        <is>
          <t>Maj</t>
        </is>
      </c>
      <c r="G2708" t="inlineStr">
        <is>
          <t>Wt</t>
        </is>
      </c>
      <c r="H2708">
        <f>'Floor Hours Engine'!$E$4</f>
        <v/>
      </c>
      <c r="I2708" t="inlineStr">
        <is>
          <t>W6</t>
        </is>
      </c>
      <c r="J2708" t="inlineStr">
        <is>
          <t>2028_Maj_W6</t>
        </is>
      </c>
    </row>
    <row r="2709">
      <c r="A2709" s="177" t="n">
        <v>46904</v>
      </c>
      <c r="B2709" s="177" t="n">
        <v>46903</v>
      </c>
      <c r="C2709" s="177" t="n">
        <v>46909</v>
      </c>
      <c r="D2709" t="inlineStr">
        <is>
          <t>BW20280530</t>
        </is>
      </c>
      <c r="E2709" t="n">
        <v>2028</v>
      </c>
      <c r="F2709" t="inlineStr">
        <is>
          <t>Maj</t>
        </is>
      </c>
      <c r="G2709" t="inlineStr">
        <is>
          <t>Śr</t>
        </is>
      </c>
      <c r="H2709">
        <f>'Floor Hours Engine'!$E$4</f>
        <v/>
      </c>
      <c r="I2709" t="inlineStr">
        <is>
          <t>W6</t>
        </is>
      </c>
      <c r="J2709" t="inlineStr">
        <is>
          <t>2028_Maj_W6</t>
        </is>
      </c>
    </row>
    <row r="2710">
      <c r="A2710" s="177" t="n">
        <v>46905</v>
      </c>
      <c r="B2710" s="177" t="n">
        <v>46903</v>
      </c>
      <c r="C2710" s="177" t="n">
        <v>46909</v>
      </c>
      <c r="D2710" t="inlineStr">
        <is>
          <t>BW20280530</t>
        </is>
      </c>
      <c r="E2710" t="n">
        <v>2028</v>
      </c>
      <c r="F2710" t="inlineStr">
        <is>
          <t>Czerwiec</t>
        </is>
      </c>
      <c r="G2710" t="inlineStr">
        <is>
          <t>Czw</t>
        </is>
      </c>
      <c r="H2710">
        <f>'Floor Hours Engine'!$E$4</f>
        <v/>
      </c>
      <c r="I2710" t="inlineStr">
        <is>
          <t>W1</t>
        </is>
      </c>
      <c r="J2710" t="inlineStr">
        <is>
          <t>2028_Czerwiec_W1</t>
        </is>
      </c>
    </row>
    <row r="2711">
      <c r="A2711" s="177" t="n">
        <v>46906</v>
      </c>
      <c r="B2711" s="177" t="n">
        <v>46903</v>
      </c>
      <c r="C2711" s="177" t="n">
        <v>46909</v>
      </c>
      <c r="D2711" t="inlineStr">
        <is>
          <t>BW20280530</t>
        </is>
      </c>
      <c r="E2711" t="n">
        <v>2028</v>
      </c>
      <c r="F2711" t="inlineStr">
        <is>
          <t>Czerwiec</t>
        </is>
      </c>
      <c r="G2711" t="inlineStr">
        <is>
          <t>Pt</t>
        </is>
      </c>
      <c r="H2711">
        <f>'Floor Hours Engine'!$E$5</f>
        <v/>
      </c>
      <c r="I2711" t="inlineStr">
        <is>
          <t>W1</t>
        </is>
      </c>
      <c r="J2711" t="inlineStr">
        <is>
          <t>2028_Czerwiec_W1</t>
        </is>
      </c>
    </row>
    <row r="2712">
      <c r="A2712" s="177" t="n">
        <v>46907</v>
      </c>
      <c r="B2712" s="177" t="n">
        <v>46903</v>
      </c>
      <c r="C2712" s="177" t="n">
        <v>46909</v>
      </c>
      <c r="D2712" t="inlineStr">
        <is>
          <t>BW20280530</t>
        </is>
      </c>
      <c r="E2712" t="n">
        <v>2028</v>
      </c>
      <c r="F2712" t="inlineStr">
        <is>
          <t>Czerwiec</t>
        </is>
      </c>
      <c r="G2712" t="inlineStr">
        <is>
          <t>Sob</t>
        </is>
      </c>
      <c r="H2712">
        <f>'Floor Hours Engine'!$E$5</f>
        <v/>
      </c>
      <c r="I2712" t="inlineStr">
        <is>
          <t>W1</t>
        </is>
      </c>
      <c r="J2712" t="inlineStr">
        <is>
          <t>2028_Czerwiec_W1</t>
        </is>
      </c>
    </row>
    <row r="2713">
      <c r="A2713" s="177" t="n">
        <v>46908</v>
      </c>
      <c r="B2713" s="177" t="n">
        <v>46903</v>
      </c>
      <c r="C2713" s="177" t="n">
        <v>46909</v>
      </c>
      <c r="D2713" t="inlineStr">
        <is>
          <t>BW20280530</t>
        </is>
      </c>
      <c r="E2713" t="n">
        <v>2028</v>
      </c>
      <c r="F2713" t="inlineStr">
        <is>
          <t>Czerwiec</t>
        </is>
      </c>
      <c r="G2713" t="inlineStr">
        <is>
          <t>Nd</t>
        </is>
      </c>
      <c r="H2713">
        <f>'Floor Hours Engine'!$E$6</f>
        <v/>
      </c>
      <c r="I2713" t="inlineStr">
        <is>
          <t>W1</t>
        </is>
      </c>
      <c r="J2713" t="inlineStr">
        <is>
          <t>2028_Czerwiec_W1</t>
        </is>
      </c>
    </row>
    <row r="2714">
      <c r="A2714" s="177" t="n">
        <v>46909</v>
      </c>
      <c r="B2714" s="177" t="n">
        <v>46903</v>
      </c>
      <c r="C2714" s="177" t="n">
        <v>46909</v>
      </c>
      <c r="D2714" t="inlineStr">
        <is>
          <t>BW20280530</t>
        </is>
      </c>
      <c r="E2714" t="n">
        <v>2028</v>
      </c>
      <c r="F2714" t="inlineStr">
        <is>
          <t>Czerwiec</t>
        </is>
      </c>
      <c r="G2714" t="inlineStr">
        <is>
          <t>Pn</t>
        </is>
      </c>
      <c r="H2714">
        <f>'Floor Hours Engine'!$E$4</f>
        <v/>
      </c>
      <c r="I2714" t="inlineStr">
        <is>
          <t>W1</t>
        </is>
      </c>
      <c r="J2714" t="inlineStr">
        <is>
          <t>2028_Czerwiec_W1</t>
        </is>
      </c>
    </row>
    <row r="2715">
      <c r="A2715" s="177" t="n">
        <v>46910</v>
      </c>
      <c r="B2715" s="177" t="n">
        <v>46910</v>
      </c>
      <c r="C2715" s="177" t="n">
        <v>46916</v>
      </c>
      <c r="D2715" t="inlineStr">
        <is>
          <t>BW20280606</t>
        </is>
      </c>
      <c r="E2715" t="n">
        <v>2028</v>
      </c>
      <c r="F2715" t="inlineStr">
        <is>
          <t>Czerwiec</t>
        </is>
      </c>
      <c r="G2715" t="inlineStr">
        <is>
          <t>Wt</t>
        </is>
      </c>
      <c r="H2715">
        <f>'Floor Hours Engine'!$E$4</f>
        <v/>
      </c>
      <c r="I2715" t="inlineStr">
        <is>
          <t>W2</t>
        </is>
      </c>
      <c r="J2715" t="inlineStr">
        <is>
          <t>2028_Czerwiec_W2</t>
        </is>
      </c>
    </row>
    <row r="2716">
      <c r="A2716" s="177" t="n">
        <v>46911</v>
      </c>
      <c r="B2716" s="177" t="n">
        <v>46910</v>
      </c>
      <c r="C2716" s="177" t="n">
        <v>46916</v>
      </c>
      <c r="D2716" t="inlineStr">
        <is>
          <t>BW20280606</t>
        </is>
      </c>
      <c r="E2716" t="n">
        <v>2028</v>
      </c>
      <c r="F2716" t="inlineStr">
        <is>
          <t>Czerwiec</t>
        </is>
      </c>
      <c r="G2716" t="inlineStr">
        <is>
          <t>Śr</t>
        </is>
      </c>
      <c r="H2716">
        <f>'Floor Hours Engine'!$E$4</f>
        <v/>
      </c>
      <c r="I2716" t="inlineStr">
        <is>
          <t>W2</t>
        </is>
      </c>
      <c r="J2716" t="inlineStr">
        <is>
          <t>2028_Czerwiec_W2</t>
        </is>
      </c>
    </row>
    <row r="2717">
      <c r="A2717" s="177" t="n">
        <v>46912</v>
      </c>
      <c r="B2717" s="177" t="n">
        <v>46910</v>
      </c>
      <c r="C2717" s="177" t="n">
        <v>46916</v>
      </c>
      <c r="D2717" t="inlineStr">
        <is>
          <t>BW20280606</t>
        </is>
      </c>
      <c r="E2717" t="n">
        <v>2028</v>
      </c>
      <c r="F2717" t="inlineStr">
        <is>
          <t>Czerwiec</t>
        </is>
      </c>
      <c r="G2717" t="inlineStr">
        <is>
          <t>Czw</t>
        </is>
      </c>
      <c r="H2717">
        <f>'Floor Hours Engine'!$E$4</f>
        <v/>
      </c>
      <c r="I2717" t="inlineStr">
        <is>
          <t>W2</t>
        </is>
      </c>
      <c r="J2717" t="inlineStr">
        <is>
          <t>2028_Czerwiec_W2</t>
        </is>
      </c>
    </row>
    <row r="2718">
      <c r="A2718" s="177" t="n">
        <v>46913</v>
      </c>
      <c r="B2718" s="177" t="n">
        <v>46910</v>
      </c>
      <c r="C2718" s="177" t="n">
        <v>46916</v>
      </c>
      <c r="D2718" t="inlineStr">
        <is>
          <t>BW20280606</t>
        </is>
      </c>
      <c r="E2718" t="n">
        <v>2028</v>
      </c>
      <c r="F2718" t="inlineStr">
        <is>
          <t>Czerwiec</t>
        </is>
      </c>
      <c r="G2718" t="inlineStr">
        <is>
          <t>Pt</t>
        </is>
      </c>
      <c r="H2718">
        <f>'Floor Hours Engine'!$E$5</f>
        <v/>
      </c>
      <c r="I2718" t="inlineStr">
        <is>
          <t>W2</t>
        </is>
      </c>
      <c r="J2718" t="inlineStr">
        <is>
          <t>2028_Czerwiec_W2</t>
        </is>
      </c>
    </row>
    <row r="2719">
      <c r="A2719" s="177" t="n">
        <v>46914</v>
      </c>
      <c r="B2719" s="177" t="n">
        <v>46910</v>
      </c>
      <c r="C2719" s="177" t="n">
        <v>46916</v>
      </c>
      <c r="D2719" t="inlineStr">
        <is>
          <t>BW20280606</t>
        </is>
      </c>
      <c r="E2719" t="n">
        <v>2028</v>
      </c>
      <c r="F2719" t="inlineStr">
        <is>
          <t>Czerwiec</t>
        </is>
      </c>
      <c r="G2719" t="inlineStr">
        <is>
          <t>Sob</t>
        </is>
      </c>
      <c r="H2719">
        <f>'Floor Hours Engine'!$E$5</f>
        <v/>
      </c>
      <c r="I2719" t="inlineStr">
        <is>
          <t>W2</t>
        </is>
      </c>
      <c r="J2719" t="inlineStr">
        <is>
          <t>2028_Czerwiec_W2</t>
        </is>
      </c>
    </row>
    <row r="2720">
      <c r="A2720" s="177" t="n">
        <v>46915</v>
      </c>
      <c r="B2720" s="177" t="n">
        <v>46910</v>
      </c>
      <c r="C2720" s="177" t="n">
        <v>46916</v>
      </c>
      <c r="D2720" t="inlineStr">
        <is>
          <t>BW20280606</t>
        </is>
      </c>
      <c r="E2720" t="n">
        <v>2028</v>
      </c>
      <c r="F2720" t="inlineStr">
        <is>
          <t>Czerwiec</t>
        </is>
      </c>
      <c r="G2720" t="inlineStr">
        <is>
          <t>Nd</t>
        </is>
      </c>
      <c r="H2720">
        <f>'Floor Hours Engine'!$E$6</f>
        <v/>
      </c>
      <c r="I2720" t="inlineStr">
        <is>
          <t>W2</t>
        </is>
      </c>
      <c r="J2720" t="inlineStr">
        <is>
          <t>2028_Czerwiec_W2</t>
        </is>
      </c>
    </row>
    <row r="2721">
      <c r="A2721" s="177" t="n">
        <v>46916</v>
      </c>
      <c r="B2721" s="177" t="n">
        <v>46910</v>
      </c>
      <c r="C2721" s="177" t="n">
        <v>46916</v>
      </c>
      <c r="D2721" t="inlineStr">
        <is>
          <t>BW20280606</t>
        </is>
      </c>
      <c r="E2721" t="n">
        <v>2028</v>
      </c>
      <c r="F2721" t="inlineStr">
        <is>
          <t>Czerwiec</t>
        </is>
      </c>
      <c r="G2721" t="inlineStr">
        <is>
          <t>Pn</t>
        </is>
      </c>
      <c r="H2721">
        <f>'Floor Hours Engine'!$E$4</f>
        <v/>
      </c>
      <c r="I2721" t="inlineStr">
        <is>
          <t>W2</t>
        </is>
      </c>
      <c r="J2721" t="inlineStr">
        <is>
          <t>2028_Czerwiec_W2</t>
        </is>
      </c>
    </row>
    <row r="2722">
      <c r="A2722" s="177" t="n">
        <v>46917</v>
      </c>
      <c r="B2722" s="177" t="n">
        <v>46917</v>
      </c>
      <c r="C2722" s="177" t="n">
        <v>46923</v>
      </c>
      <c r="D2722" t="inlineStr">
        <is>
          <t>BW20280613</t>
        </is>
      </c>
      <c r="E2722" t="n">
        <v>2028</v>
      </c>
      <c r="F2722" t="inlineStr">
        <is>
          <t>Czerwiec</t>
        </is>
      </c>
      <c r="G2722" t="inlineStr">
        <is>
          <t>Wt</t>
        </is>
      </c>
      <c r="H2722">
        <f>'Floor Hours Engine'!$E$4</f>
        <v/>
      </c>
      <c r="I2722" t="inlineStr">
        <is>
          <t>W3</t>
        </is>
      </c>
      <c r="J2722" t="inlineStr">
        <is>
          <t>2028_Czerwiec_W3</t>
        </is>
      </c>
    </row>
    <row r="2723">
      <c r="A2723" s="177" t="n">
        <v>46918</v>
      </c>
      <c r="B2723" s="177" t="n">
        <v>46917</v>
      </c>
      <c r="C2723" s="177" t="n">
        <v>46923</v>
      </c>
      <c r="D2723" t="inlineStr">
        <is>
          <t>BW20280613</t>
        </is>
      </c>
      <c r="E2723" t="n">
        <v>2028</v>
      </c>
      <c r="F2723" t="inlineStr">
        <is>
          <t>Czerwiec</t>
        </is>
      </c>
      <c r="G2723" t="inlineStr">
        <is>
          <t>Śr</t>
        </is>
      </c>
      <c r="H2723">
        <f>'Floor Hours Engine'!$E$4</f>
        <v/>
      </c>
      <c r="I2723" t="inlineStr">
        <is>
          <t>W3</t>
        </is>
      </c>
      <c r="J2723" t="inlineStr">
        <is>
          <t>2028_Czerwiec_W3</t>
        </is>
      </c>
    </row>
    <row r="2724">
      <c r="A2724" s="177" t="n">
        <v>46919</v>
      </c>
      <c r="B2724" s="177" t="n">
        <v>46917</v>
      </c>
      <c r="C2724" s="177" t="n">
        <v>46923</v>
      </c>
      <c r="D2724" t="inlineStr">
        <is>
          <t>BW20280613</t>
        </is>
      </c>
      <c r="E2724" t="n">
        <v>2028</v>
      </c>
      <c r="F2724" t="inlineStr">
        <is>
          <t>Czerwiec</t>
        </is>
      </c>
      <c r="G2724" t="inlineStr">
        <is>
          <t>Czw</t>
        </is>
      </c>
      <c r="H2724">
        <f>'Floor Hours Engine'!$E$4</f>
        <v/>
      </c>
      <c r="I2724" t="inlineStr">
        <is>
          <t>W3</t>
        </is>
      </c>
      <c r="J2724" t="inlineStr">
        <is>
          <t>2028_Czerwiec_W3</t>
        </is>
      </c>
    </row>
    <row r="2725">
      <c r="A2725" s="177" t="n">
        <v>46920</v>
      </c>
      <c r="B2725" s="177" t="n">
        <v>46917</v>
      </c>
      <c r="C2725" s="177" t="n">
        <v>46923</v>
      </c>
      <c r="D2725" t="inlineStr">
        <is>
          <t>BW20280613</t>
        </is>
      </c>
      <c r="E2725" t="n">
        <v>2028</v>
      </c>
      <c r="F2725" t="inlineStr">
        <is>
          <t>Czerwiec</t>
        </is>
      </c>
      <c r="G2725" t="inlineStr">
        <is>
          <t>Pt</t>
        </is>
      </c>
      <c r="H2725">
        <f>'Floor Hours Engine'!$E$5</f>
        <v/>
      </c>
      <c r="I2725" t="inlineStr">
        <is>
          <t>W3</t>
        </is>
      </c>
      <c r="J2725" t="inlineStr">
        <is>
          <t>2028_Czerwiec_W3</t>
        </is>
      </c>
    </row>
    <row r="2726">
      <c r="A2726" s="177" t="n">
        <v>46921</v>
      </c>
      <c r="B2726" s="177" t="n">
        <v>46917</v>
      </c>
      <c r="C2726" s="177" t="n">
        <v>46923</v>
      </c>
      <c r="D2726" t="inlineStr">
        <is>
          <t>BW20280613</t>
        </is>
      </c>
      <c r="E2726" t="n">
        <v>2028</v>
      </c>
      <c r="F2726" t="inlineStr">
        <is>
          <t>Czerwiec</t>
        </is>
      </c>
      <c r="G2726" t="inlineStr">
        <is>
          <t>Sob</t>
        </is>
      </c>
      <c r="H2726">
        <f>'Floor Hours Engine'!$E$5</f>
        <v/>
      </c>
      <c r="I2726" t="inlineStr">
        <is>
          <t>W3</t>
        </is>
      </c>
      <c r="J2726" t="inlineStr">
        <is>
          <t>2028_Czerwiec_W3</t>
        </is>
      </c>
    </row>
    <row r="2727">
      <c r="A2727" s="177" t="n">
        <v>46922</v>
      </c>
      <c r="B2727" s="177" t="n">
        <v>46917</v>
      </c>
      <c r="C2727" s="177" t="n">
        <v>46923</v>
      </c>
      <c r="D2727" t="inlineStr">
        <is>
          <t>BW20280613</t>
        </is>
      </c>
      <c r="E2727" t="n">
        <v>2028</v>
      </c>
      <c r="F2727" t="inlineStr">
        <is>
          <t>Czerwiec</t>
        </is>
      </c>
      <c r="G2727" t="inlineStr">
        <is>
          <t>Nd</t>
        </is>
      </c>
      <c r="H2727">
        <f>'Floor Hours Engine'!$E$6</f>
        <v/>
      </c>
      <c r="I2727" t="inlineStr">
        <is>
          <t>W3</t>
        </is>
      </c>
      <c r="J2727" t="inlineStr">
        <is>
          <t>2028_Czerwiec_W3</t>
        </is>
      </c>
    </row>
    <row r="2728">
      <c r="A2728" s="177" t="n">
        <v>46923</v>
      </c>
      <c r="B2728" s="177" t="n">
        <v>46917</v>
      </c>
      <c r="C2728" s="177" t="n">
        <v>46923</v>
      </c>
      <c r="D2728" t="inlineStr">
        <is>
          <t>BW20280613</t>
        </is>
      </c>
      <c r="E2728" t="n">
        <v>2028</v>
      </c>
      <c r="F2728" t="inlineStr">
        <is>
          <t>Czerwiec</t>
        </is>
      </c>
      <c r="G2728" t="inlineStr">
        <is>
          <t>Pn</t>
        </is>
      </c>
      <c r="H2728">
        <f>'Floor Hours Engine'!$E$4</f>
        <v/>
      </c>
      <c r="I2728" t="inlineStr">
        <is>
          <t>W3</t>
        </is>
      </c>
      <c r="J2728" t="inlineStr">
        <is>
          <t>2028_Czerwiec_W3</t>
        </is>
      </c>
    </row>
    <row r="2729">
      <c r="A2729" s="177" t="n">
        <v>46924</v>
      </c>
      <c r="B2729" s="177" t="n">
        <v>46924</v>
      </c>
      <c r="C2729" s="177" t="n">
        <v>46930</v>
      </c>
      <c r="D2729" t="inlineStr">
        <is>
          <t>BW20280620</t>
        </is>
      </c>
      <c r="E2729" t="n">
        <v>2028</v>
      </c>
      <c r="F2729" t="inlineStr">
        <is>
          <t>Czerwiec</t>
        </is>
      </c>
      <c r="G2729" t="inlineStr">
        <is>
          <t>Wt</t>
        </is>
      </c>
      <c r="H2729">
        <f>'Floor Hours Engine'!$E$4</f>
        <v/>
      </c>
      <c r="I2729" t="inlineStr">
        <is>
          <t>W4</t>
        </is>
      </c>
      <c r="J2729" t="inlineStr">
        <is>
          <t>2028_Czerwiec_W4</t>
        </is>
      </c>
    </row>
    <row r="2730">
      <c r="A2730" s="177" t="n">
        <v>46925</v>
      </c>
      <c r="B2730" s="177" t="n">
        <v>46924</v>
      </c>
      <c r="C2730" s="177" t="n">
        <v>46930</v>
      </c>
      <c r="D2730" t="inlineStr">
        <is>
          <t>BW20280620</t>
        </is>
      </c>
      <c r="E2730" t="n">
        <v>2028</v>
      </c>
      <c r="F2730" t="inlineStr">
        <is>
          <t>Czerwiec</t>
        </is>
      </c>
      <c r="G2730" t="inlineStr">
        <is>
          <t>Śr</t>
        </is>
      </c>
      <c r="H2730">
        <f>'Floor Hours Engine'!$E$4</f>
        <v/>
      </c>
      <c r="I2730" t="inlineStr">
        <is>
          <t>W4</t>
        </is>
      </c>
      <c r="J2730" t="inlineStr">
        <is>
          <t>2028_Czerwiec_W4</t>
        </is>
      </c>
    </row>
    <row r="2731">
      <c r="A2731" s="177" t="n">
        <v>46926</v>
      </c>
      <c r="B2731" s="177" t="n">
        <v>46924</v>
      </c>
      <c r="C2731" s="177" t="n">
        <v>46930</v>
      </c>
      <c r="D2731" t="inlineStr">
        <is>
          <t>BW20280620</t>
        </is>
      </c>
      <c r="E2731" t="n">
        <v>2028</v>
      </c>
      <c r="F2731" t="inlineStr">
        <is>
          <t>Czerwiec</t>
        </is>
      </c>
      <c r="G2731" t="inlineStr">
        <is>
          <t>Czw</t>
        </is>
      </c>
      <c r="H2731">
        <f>'Floor Hours Engine'!$E$4</f>
        <v/>
      </c>
      <c r="I2731" t="inlineStr">
        <is>
          <t>W4</t>
        </is>
      </c>
      <c r="J2731" t="inlineStr">
        <is>
          <t>2028_Czerwiec_W4</t>
        </is>
      </c>
    </row>
    <row r="2732">
      <c r="A2732" s="177" t="n">
        <v>46927</v>
      </c>
      <c r="B2732" s="177" t="n">
        <v>46924</v>
      </c>
      <c r="C2732" s="177" t="n">
        <v>46930</v>
      </c>
      <c r="D2732" t="inlineStr">
        <is>
          <t>BW20280620</t>
        </is>
      </c>
      <c r="E2732" t="n">
        <v>2028</v>
      </c>
      <c r="F2732" t="inlineStr">
        <is>
          <t>Czerwiec</t>
        </is>
      </c>
      <c r="G2732" t="inlineStr">
        <is>
          <t>Pt</t>
        </is>
      </c>
      <c r="H2732">
        <f>'Floor Hours Engine'!$E$5</f>
        <v/>
      </c>
      <c r="I2732" t="inlineStr">
        <is>
          <t>W4</t>
        </is>
      </c>
      <c r="J2732" t="inlineStr">
        <is>
          <t>2028_Czerwiec_W4</t>
        </is>
      </c>
    </row>
    <row r="2733">
      <c r="A2733" s="177" t="n">
        <v>46928</v>
      </c>
      <c r="B2733" s="177" t="n">
        <v>46924</v>
      </c>
      <c r="C2733" s="177" t="n">
        <v>46930</v>
      </c>
      <c r="D2733" t="inlineStr">
        <is>
          <t>BW20280620</t>
        </is>
      </c>
      <c r="E2733" t="n">
        <v>2028</v>
      </c>
      <c r="F2733" t="inlineStr">
        <is>
          <t>Czerwiec</t>
        </is>
      </c>
      <c r="G2733" t="inlineStr">
        <is>
          <t>Sob</t>
        </is>
      </c>
      <c r="H2733">
        <f>'Floor Hours Engine'!$E$5</f>
        <v/>
      </c>
      <c r="I2733" t="inlineStr">
        <is>
          <t>W4</t>
        </is>
      </c>
      <c r="J2733" t="inlineStr">
        <is>
          <t>2028_Czerwiec_W4</t>
        </is>
      </c>
    </row>
    <row r="2734">
      <c r="A2734" s="177" t="n">
        <v>46929</v>
      </c>
      <c r="B2734" s="177" t="n">
        <v>46924</v>
      </c>
      <c r="C2734" s="177" t="n">
        <v>46930</v>
      </c>
      <c r="D2734" t="inlineStr">
        <is>
          <t>BW20280620</t>
        </is>
      </c>
      <c r="E2734" t="n">
        <v>2028</v>
      </c>
      <c r="F2734" t="inlineStr">
        <is>
          <t>Czerwiec</t>
        </is>
      </c>
      <c r="G2734" t="inlineStr">
        <is>
          <t>Nd</t>
        </is>
      </c>
      <c r="H2734">
        <f>'Floor Hours Engine'!$E$6</f>
        <v/>
      </c>
      <c r="I2734" t="inlineStr">
        <is>
          <t>W4</t>
        </is>
      </c>
      <c r="J2734" t="inlineStr">
        <is>
          <t>2028_Czerwiec_W4</t>
        </is>
      </c>
    </row>
    <row r="2735">
      <c r="A2735" s="177" t="n">
        <v>46930</v>
      </c>
      <c r="B2735" s="177" t="n">
        <v>46924</v>
      </c>
      <c r="C2735" s="177" t="n">
        <v>46930</v>
      </c>
      <c r="D2735" t="inlineStr">
        <is>
          <t>BW20280620</t>
        </is>
      </c>
      <c r="E2735" t="n">
        <v>2028</v>
      </c>
      <c r="F2735" t="inlineStr">
        <is>
          <t>Czerwiec</t>
        </is>
      </c>
      <c r="G2735" t="inlineStr">
        <is>
          <t>Pn</t>
        </is>
      </c>
      <c r="H2735">
        <f>'Floor Hours Engine'!$E$4</f>
        <v/>
      </c>
      <c r="I2735" t="inlineStr">
        <is>
          <t>W4</t>
        </is>
      </c>
      <c r="J2735" t="inlineStr">
        <is>
          <t>2028_Czerwiec_W4</t>
        </is>
      </c>
    </row>
    <row r="2736">
      <c r="A2736" s="177" t="n">
        <v>46931</v>
      </c>
      <c r="B2736" s="177" t="n">
        <v>46931</v>
      </c>
      <c r="C2736" s="177" t="n">
        <v>46937</v>
      </c>
      <c r="D2736" t="inlineStr">
        <is>
          <t>BW20280627</t>
        </is>
      </c>
      <c r="E2736" t="n">
        <v>2028</v>
      </c>
      <c r="F2736" t="inlineStr">
        <is>
          <t>Czerwiec</t>
        </is>
      </c>
      <c r="G2736" t="inlineStr">
        <is>
          <t>Wt</t>
        </is>
      </c>
      <c r="H2736">
        <f>'Floor Hours Engine'!$E$4</f>
        <v/>
      </c>
      <c r="I2736" t="inlineStr">
        <is>
          <t>W5</t>
        </is>
      </c>
      <c r="J2736" t="inlineStr">
        <is>
          <t>2028_Czerwiec_W5</t>
        </is>
      </c>
    </row>
    <row r="2737">
      <c r="A2737" s="177" t="n">
        <v>46932</v>
      </c>
      <c r="B2737" s="177" t="n">
        <v>46931</v>
      </c>
      <c r="C2737" s="177" t="n">
        <v>46937</v>
      </c>
      <c r="D2737" t="inlineStr">
        <is>
          <t>BW20280627</t>
        </is>
      </c>
      <c r="E2737" t="n">
        <v>2028</v>
      </c>
      <c r="F2737" t="inlineStr">
        <is>
          <t>Czerwiec</t>
        </is>
      </c>
      <c r="G2737" t="inlineStr">
        <is>
          <t>Śr</t>
        </is>
      </c>
      <c r="H2737">
        <f>'Floor Hours Engine'!$E$4</f>
        <v/>
      </c>
      <c r="I2737" t="inlineStr">
        <is>
          <t>W5</t>
        </is>
      </c>
      <c r="J2737" t="inlineStr">
        <is>
          <t>2028_Czerwiec_W5</t>
        </is>
      </c>
    </row>
    <row r="2738">
      <c r="A2738" s="177" t="n">
        <v>46933</v>
      </c>
      <c r="B2738" s="177" t="n">
        <v>46931</v>
      </c>
      <c r="C2738" s="177" t="n">
        <v>46937</v>
      </c>
      <c r="D2738" t="inlineStr">
        <is>
          <t>BW20280627</t>
        </is>
      </c>
      <c r="E2738" t="n">
        <v>2028</v>
      </c>
      <c r="F2738" t="inlineStr">
        <is>
          <t>Czerwiec</t>
        </is>
      </c>
      <c r="G2738" t="inlineStr">
        <is>
          <t>Czw</t>
        </is>
      </c>
      <c r="H2738">
        <f>'Floor Hours Engine'!$E$4</f>
        <v/>
      </c>
      <c r="I2738" t="inlineStr">
        <is>
          <t>W5</t>
        </is>
      </c>
      <c r="J2738" t="inlineStr">
        <is>
          <t>2028_Czerwiec_W5</t>
        </is>
      </c>
    </row>
    <row r="2739">
      <c r="A2739" s="177" t="n">
        <v>46934</v>
      </c>
      <c r="B2739" s="177" t="n">
        <v>46931</v>
      </c>
      <c r="C2739" s="177" t="n">
        <v>46937</v>
      </c>
      <c r="D2739" t="inlineStr">
        <is>
          <t>BW20280627</t>
        </is>
      </c>
      <c r="E2739" t="n">
        <v>2028</v>
      </c>
      <c r="F2739" t="inlineStr">
        <is>
          <t>Czerwiec</t>
        </is>
      </c>
      <c r="G2739" t="inlineStr">
        <is>
          <t>Pt</t>
        </is>
      </c>
      <c r="H2739">
        <f>'Floor Hours Engine'!$E$5</f>
        <v/>
      </c>
      <c r="I2739" t="inlineStr">
        <is>
          <t>W5</t>
        </is>
      </c>
      <c r="J2739" t="inlineStr">
        <is>
          <t>2028_Czerwiec_W5</t>
        </is>
      </c>
    </row>
    <row r="2740">
      <c r="A2740" s="177" t="n">
        <v>46935</v>
      </c>
      <c r="B2740" s="177" t="n">
        <v>46931</v>
      </c>
      <c r="C2740" s="177" t="n">
        <v>46937</v>
      </c>
      <c r="D2740" t="inlineStr">
        <is>
          <t>BW20280627</t>
        </is>
      </c>
      <c r="E2740" t="n">
        <v>2028</v>
      </c>
      <c r="F2740" t="inlineStr">
        <is>
          <t>Lipiec</t>
        </is>
      </c>
      <c r="G2740" t="inlineStr">
        <is>
          <t>Sob</t>
        </is>
      </c>
      <c r="H2740">
        <f>'Floor Hours Engine'!$E$5</f>
        <v/>
      </c>
      <c r="I2740" t="inlineStr">
        <is>
          <t>W1</t>
        </is>
      </c>
      <c r="J2740" t="inlineStr">
        <is>
          <t>2028_Lipiec_W1</t>
        </is>
      </c>
    </row>
    <row r="2741">
      <c r="A2741" s="177" t="n">
        <v>46936</v>
      </c>
      <c r="B2741" s="177" t="n">
        <v>46931</v>
      </c>
      <c r="C2741" s="177" t="n">
        <v>46937</v>
      </c>
      <c r="D2741" t="inlineStr">
        <is>
          <t>BW20280627</t>
        </is>
      </c>
      <c r="E2741" t="n">
        <v>2028</v>
      </c>
      <c r="F2741" t="inlineStr">
        <is>
          <t>Lipiec</t>
        </is>
      </c>
      <c r="G2741" t="inlineStr">
        <is>
          <t>Nd</t>
        </is>
      </c>
      <c r="H2741">
        <f>'Floor Hours Engine'!$E$6</f>
        <v/>
      </c>
      <c r="I2741" t="inlineStr">
        <is>
          <t>W1</t>
        </is>
      </c>
      <c r="J2741" t="inlineStr">
        <is>
          <t>2028_Lipiec_W1</t>
        </is>
      </c>
    </row>
    <row r="2742">
      <c r="A2742" s="177" t="n">
        <v>46937</v>
      </c>
      <c r="B2742" s="177" t="n">
        <v>46931</v>
      </c>
      <c r="C2742" s="177" t="n">
        <v>46937</v>
      </c>
      <c r="D2742" t="inlineStr">
        <is>
          <t>BW20280627</t>
        </is>
      </c>
      <c r="E2742" t="n">
        <v>2028</v>
      </c>
      <c r="F2742" t="inlineStr">
        <is>
          <t>Lipiec</t>
        </is>
      </c>
      <c r="G2742" t="inlineStr">
        <is>
          <t>Pn</t>
        </is>
      </c>
      <c r="H2742">
        <f>'Floor Hours Engine'!$E$4</f>
        <v/>
      </c>
      <c r="I2742" t="inlineStr">
        <is>
          <t>W1</t>
        </is>
      </c>
      <c r="J2742" t="inlineStr">
        <is>
          <t>2028_Lipiec_W1</t>
        </is>
      </c>
    </row>
    <row r="2743">
      <c r="A2743" s="177" t="n">
        <v>46938</v>
      </c>
      <c r="B2743" s="177" t="n">
        <v>46938</v>
      </c>
      <c r="C2743" s="177" t="n">
        <v>46944</v>
      </c>
      <c r="D2743" t="inlineStr">
        <is>
          <t>BW20280704</t>
        </is>
      </c>
      <c r="E2743" t="n">
        <v>2028</v>
      </c>
      <c r="F2743" t="inlineStr">
        <is>
          <t>Lipiec</t>
        </is>
      </c>
      <c r="G2743" t="inlineStr">
        <is>
          <t>Wt</t>
        </is>
      </c>
      <c r="H2743">
        <f>'Floor Hours Engine'!$E$4</f>
        <v/>
      </c>
      <c r="I2743" t="inlineStr">
        <is>
          <t>W2</t>
        </is>
      </c>
      <c r="J2743" t="inlineStr">
        <is>
          <t>2028_Lipiec_W2</t>
        </is>
      </c>
    </row>
    <row r="2744">
      <c r="A2744" s="177" t="n">
        <v>46939</v>
      </c>
      <c r="B2744" s="177" t="n">
        <v>46938</v>
      </c>
      <c r="C2744" s="177" t="n">
        <v>46944</v>
      </c>
      <c r="D2744" t="inlineStr">
        <is>
          <t>BW20280704</t>
        </is>
      </c>
      <c r="E2744" t="n">
        <v>2028</v>
      </c>
      <c r="F2744" t="inlineStr">
        <is>
          <t>Lipiec</t>
        </is>
      </c>
      <c r="G2744" t="inlineStr">
        <is>
          <t>Śr</t>
        </is>
      </c>
      <c r="H2744">
        <f>'Floor Hours Engine'!$E$4</f>
        <v/>
      </c>
      <c r="I2744" t="inlineStr">
        <is>
          <t>W2</t>
        </is>
      </c>
      <c r="J2744" t="inlineStr">
        <is>
          <t>2028_Lipiec_W2</t>
        </is>
      </c>
    </row>
    <row r="2745">
      <c r="A2745" s="177" t="n">
        <v>46940</v>
      </c>
      <c r="B2745" s="177" t="n">
        <v>46938</v>
      </c>
      <c r="C2745" s="177" t="n">
        <v>46944</v>
      </c>
      <c r="D2745" t="inlineStr">
        <is>
          <t>BW20280704</t>
        </is>
      </c>
      <c r="E2745" t="n">
        <v>2028</v>
      </c>
      <c r="F2745" t="inlineStr">
        <is>
          <t>Lipiec</t>
        </is>
      </c>
      <c r="G2745" t="inlineStr">
        <is>
          <t>Czw</t>
        </is>
      </c>
      <c r="H2745">
        <f>'Floor Hours Engine'!$E$4</f>
        <v/>
      </c>
      <c r="I2745" t="inlineStr">
        <is>
          <t>W2</t>
        </is>
      </c>
      <c r="J2745" t="inlineStr">
        <is>
          <t>2028_Lipiec_W2</t>
        </is>
      </c>
    </row>
    <row r="2746">
      <c r="A2746" s="177" t="n">
        <v>46941</v>
      </c>
      <c r="B2746" s="177" t="n">
        <v>46938</v>
      </c>
      <c r="C2746" s="177" t="n">
        <v>46944</v>
      </c>
      <c r="D2746" t="inlineStr">
        <is>
          <t>BW20280704</t>
        </is>
      </c>
      <c r="E2746" t="n">
        <v>2028</v>
      </c>
      <c r="F2746" t="inlineStr">
        <is>
          <t>Lipiec</t>
        </is>
      </c>
      <c r="G2746" t="inlineStr">
        <is>
          <t>Pt</t>
        </is>
      </c>
      <c r="H2746">
        <f>'Floor Hours Engine'!$E$5</f>
        <v/>
      </c>
      <c r="I2746" t="inlineStr">
        <is>
          <t>W2</t>
        </is>
      </c>
      <c r="J2746" t="inlineStr">
        <is>
          <t>2028_Lipiec_W2</t>
        </is>
      </c>
    </row>
    <row r="2747">
      <c r="A2747" s="177" t="n">
        <v>46942</v>
      </c>
      <c r="B2747" s="177" t="n">
        <v>46938</v>
      </c>
      <c r="C2747" s="177" t="n">
        <v>46944</v>
      </c>
      <c r="D2747" t="inlineStr">
        <is>
          <t>BW20280704</t>
        </is>
      </c>
      <c r="E2747" t="n">
        <v>2028</v>
      </c>
      <c r="F2747" t="inlineStr">
        <is>
          <t>Lipiec</t>
        </is>
      </c>
      <c r="G2747" t="inlineStr">
        <is>
          <t>Sob</t>
        </is>
      </c>
      <c r="H2747">
        <f>'Floor Hours Engine'!$E$5</f>
        <v/>
      </c>
      <c r="I2747" t="inlineStr">
        <is>
          <t>W2</t>
        </is>
      </c>
      <c r="J2747" t="inlineStr">
        <is>
          <t>2028_Lipiec_W2</t>
        </is>
      </c>
    </row>
    <row r="2748">
      <c r="A2748" s="177" t="n">
        <v>46943</v>
      </c>
      <c r="B2748" s="177" t="n">
        <v>46938</v>
      </c>
      <c r="C2748" s="177" t="n">
        <v>46944</v>
      </c>
      <c r="D2748" t="inlineStr">
        <is>
          <t>BW20280704</t>
        </is>
      </c>
      <c r="E2748" t="n">
        <v>2028</v>
      </c>
      <c r="F2748" t="inlineStr">
        <is>
          <t>Lipiec</t>
        </is>
      </c>
      <c r="G2748" t="inlineStr">
        <is>
          <t>Nd</t>
        </is>
      </c>
      <c r="H2748">
        <f>'Floor Hours Engine'!$E$6</f>
        <v/>
      </c>
      <c r="I2748" t="inlineStr">
        <is>
          <t>W2</t>
        </is>
      </c>
      <c r="J2748" t="inlineStr">
        <is>
          <t>2028_Lipiec_W2</t>
        </is>
      </c>
    </row>
    <row r="2749">
      <c r="A2749" s="177" t="n">
        <v>46944</v>
      </c>
      <c r="B2749" s="177" t="n">
        <v>46938</v>
      </c>
      <c r="C2749" s="177" t="n">
        <v>46944</v>
      </c>
      <c r="D2749" t="inlineStr">
        <is>
          <t>BW20280704</t>
        </is>
      </c>
      <c r="E2749" t="n">
        <v>2028</v>
      </c>
      <c r="F2749" t="inlineStr">
        <is>
          <t>Lipiec</t>
        </is>
      </c>
      <c r="G2749" t="inlineStr">
        <is>
          <t>Pn</t>
        </is>
      </c>
      <c r="H2749">
        <f>'Floor Hours Engine'!$E$4</f>
        <v/>
      </c>
      <c r="I2749" t="inlineStr">
        <is>
          <t>W2</t>
        </is>
      </c>
      <c r="J2749" t="inlineStr">
        <is>
          <t>2028_Lipiec_W2</t>
        </is>
      </c>
    </row>
    <row r="2750">
      <c r="A2750" s="177" t="n">
        <v>46945</v>
      </c>
      <c r="B2750" s="177" t="n">
        <v>46945</v>
      </c>
      <c r="C2750" s="177" t="n">
        <v>46951</v>
      </c>
      <c r="D2750" t="inlineStr">
        <is>
          <t>BW20280711</t>
        </is>
      </c>
      <c r="E2750" t="n">
        <v>2028</v>
      </c>
      <c r="F2750" t="inlineStr">
        <is>
          <t>Lipiec</t>
        </is>
      </c>
      <c r="G2750" t="inlineStr">
        <is>
          <t>Wt</t>
        </is>
      </c>
      <c r="H2750">
        <f>'Floor Hours Engine'!$E$4</f>
        <v/>
      </c>
      <c r="I2750" t="inlineStr">
        <is>
          <t>W3</t>
        </is>
      </c>
      <c r="J2750" t="inlineStr">
        <is>
          <t>2028_Lipiec_W3</t>
        </is>
      </c>
    </row>
    <row r="2751">
      <c r="A2751" s="177" t="n">
        <v>46946</v>
      </c>
      <c r="B2751" s="177" t="n">
        <v>46945</v>
      </c>
      <c r="C2751" s="177" t="n">
        <v>46951</v>
      </c>
      <c r="D2751" t="inlineStr">
        <is>
          <t>BW20280711</t>
        </is>
      </c>
      <c r="E2751" t="n">
        <v>2028</v>
      </c>
      <c r="F2751" t="inlineStr">
        <is>
          <t>Lipiec</t>
        </is>
      </c>
      <c r="G2751" t="inlineStr">
        <is>
          <t>Śr</t>
        </is>
      </c>
      <c r="H2751">
        <f>'Floor Hours Engine'!$E$4</f>
        <v/>
      </c>
      <c r="I2751" t="inlineStr">
        <is>
          <t>W3</t>
        </is>
      </c>
      <c r="J2751" t="inlineStr">
        <is>
          <t>2028_Lipiec_W3</t>
        </is>
      </c>
    </row>
    <row r="2752">
      <c r="A2752" s="177" t="n">
        <v>46947</v>
      </c>
      <c r="B2752" s="177" t="n">
        <v>46945</v>
      </c>
      <c r="C2752" s="177" t="n">
        <v>46951</v>
      </c>
      <c r="D2752" t="inlineStr">
        <is>
          <t>BW20280711</t>
        </is>
      </c>
      <c r="E2752" t="n">
        <v>2028</v>
      </c>
      <c r="F2752" t="inlineStr">
        <is>
          <t>Lipiec</t>
        </is>
      </c>
      <c r="G2752" t="inlineStr">
        <is>
          <t>Czw</t>
        </is>
      </c>
      <c r="H2752">
        <f>'Floor Hours Engine'!$E$4</f>
        <v/>
      </c>
      <c r="I2752" t="inlineStr">
        <is>
          <t>W3</t>
        </is>
      </c>
      <c r="J2752" t="inlineStr">
        <is>
          <t>2028_Lipiec_W3</t>
        </is>
      </c>
    </row>
    <row r="2753">
      <c r="A2753" s="177" t="n">
        <v>46948</v>
      </c>
      <c r="B2753" s="177" t="n">
        <v>46945</v>
      </c>
      <c r="C2753" s="177" t="n">
        <v>46951</v>
      </c>
      <c r="D2753" t="inlineStr">
        <is>
          <t>BW20280711</t>
        </is>
      </c>
      <c r="E2753" t="n">
        <v>2028</v>
      </c>
      <c r="F2753" t="inlineStr">
        <is>
          <t>Lipiec</t>
        </is>
      </c>
      <c r="G2753" t="inlineStr">
        <is>
          <t>Pt</t>
        </is>
      </c>
      <c r="H2753">
        <f>'Floor Hours Engine'!$E$5</f>
        <v/>
      </c>
      <c r="I2753" t="inlineStr">
        <is>
          <t>W3</t>
        </is>
      </c>
      <c r="J2753" t="inlineStr">
        <is>
          <t>2028_Lipiec_W3</t>
        </is>
      </c>
    </row>
    <row r="2754">
      <c r="A2754" s="177" t="n">
        <v>46949</v>
      </c>
      <c r="B2754" s="177" t="n">
        <v>46945</v>
      </c>
      <c r="C2754" s="177" t="n">
        <v>46951</v>
      </c>
      <c r="D2754" t="inlineStr">
        <is>
          <t>BW20280711</t>
        </is>
      </c>
      <c r="E2754" t="n">
        <v>2028</v>
      </c>
      <c r="F2754" t="inlineStr">
        <is>
          <t>Lipiec</t>
        </is>
      </c>
      <c r="G2754" t="inlineStr">
        <is>
          <t>Sob</t>
        </is>
      </c>
      <c r="H2754">
        <f>'Floor Hours Engine'!$E$5</f>
        <v/>
      </c>
      <c r="I2754" t="inlineStr">
        <is>
          <t>W3</t>
        </is>
      </c>
      <c r="J2754" t="inlineStr">
        <is>
          <t>2028_Lipiec_W3</t>
        </is>
      </c>
    </row>
    <row r="2755">
      <c r="A2755" s="177" t="n">
        <v>46950</v>
      </c>
      <c r="B2755" s="177" t="n">
        <v>46945</v>
      </c>
      <c r="C2755" s="177" t="n">
        <v>46951</v>
      </c>
      <c r="D2755" t="inlineStr">
        <is>
          <t>BW20280711</t>
        </is>
      </c>
      <c r="E2755" t="n">
        <v>2028</v>
      </c>
      <c r="F2755" t="inlineStr">
        <is>
          <t>Lipiec</t>
        </is>
      </c>
      <c r="G2755" t="inlineStr">
        <is>
          <t>Nd</t>
        </is>
      </c>
      <c r="H2755">
        <f>'Floor Hours Engine'!$E$6</f>
        <v/>
      </c>
      <c r="I2755" t="inlineStr">
        <is>
          <t>W3</t>
        </is>
      </c>
      <c r="J2755" t="inlineStr">
        <is>
          <t>2028_Lipiec_W3</t>
        </is>
      </c>
    </row>
    <row r="2756">
      <c r="A2756" s="177" t="n">
        <v>46951</v>
      </c>
      <c r="B2756" s="177" t="n">
        <v>46945</v>
      </c>
      <c r="C2756" s="177" t="n">
        <v>46951</v>
      </c>
      <c r="D2756" t="inlineStr">
        <is>
          <t>BW20280711</t>
        </is>
      </c>
      <c r="E2756" t="n">
        <v>2028</v>
      </c>
      <c r="F2756" t="inlineStr">
        <is>
          <t>Lipiec</t>
        </is>
      </c>
      <c r="G2756" t="inlineStr">
        <is>
          <t>Pn</t>
        </is>
      </c>
      <c r="H2756">
        <f>'Floor Hours Engine'!$E$4</f>
        <v/>
      </c>
      <c r="I2756" t="inlineStr">
        <is>
          <t>W3</t>
        </is>
      </c>
      <c r="J2756" t="inlineStr">
        <is>
          <t>2028_Lipiec_W3</t>
        </is>
      </c>
    </row>
    <row r="2757">
      <c r="A2757" s="177" t="n">
        <v>46952</v>
      </c>
      <c r="B2757" s="177" t="n">
        <v>46952</v>
      </c>
      <c r="C2757" s="177" t="n">
        <v>46958</v>
      </c>
      <c r="D2757" t="inlineStr">
        <is>
          <t>BW20280718</t>
        </is>
      </c>
      <c r="E2757" t="n">
        <v>2028</v>
      </c>
      <c r="F2757" t="inlineStr">
        <is>
          <t>Lipiec</t>
        </is>
      </c>
      <c r="G2757" t="inlineStr">
        <is>
          <t>Wt</t>
        </is>
      </c>
      <c r="H2757">
        <f>'Floor Hours Engine'!$E$4</f>
        <v/>
      </c>
      <c r="I2757" t="inlineStr">
        <is>
          <t>W4</t>
        </is>
      </c>
      <c r="J2757" t="inlineStr">
        <is>
          <t>2028_Lipiec_W4</t>
        </is>
      </c>
    </row>
    <row r="2758">
      <c r="A2758" s="177" t="n">
        <v>46953</v>
      </c>
      <c r="B2758" s="177" t="n">
        <v>46952</v>
      </c>
      <c r="C2758" s="177" t="n">
        <v>46958</v>
      </c>
      <c r="D2758" t="inlineStr">
        <is>
          <t>BW20280718</t>
        </is>
      </c>
      <c r="E2758" t="n">
        <v>2028</v>
      </c>
      <c r="F2758" t="inlineStr">
        <is>
          <t>Lipiec</t>
        </is>
      </c>
      <c r="G2758" t="inlineStr">
        <is>
          <t>Śr</t>
        </is>
      </c>
      <c r="H2758">
        <f>'Floor Hours Engine'!$E$4</f>
        <v/>
      </c>
      <c r="I2758" t="inlineStr">
        <is>
          <t>W4</t>
        </is>
      </c>
      <c r="J2758" t="inlineStr">
        <is>
          <t>2028_Lipiec_W4</t>
        </is>
      </c>
    </row>
    <row r="2759">
      <c r="A2759" s="177" t="n">
        <v>46954</v>
      </c>
      <c r="B2759" s="177" t="n">
        <v>46952</v>
      </c>
      <c r="C2759" s="177" t="n">
        <v>46958</v>
      </c>
      <c r="D2759" t="inlineStr">
        <is>
          <t>BW20280718</t>
        </is>
      </c>
      <c r="E2759" t="n">
        <v>2028</v>
      </c>
      <c r="F2759" t="inlineStr">
        <is>
          <t>Lipiec</t>
        </is>
      </c>
      <c r="G2759" t="inlineStr">
        <is>
          <t>Czw</t>
        </is>
      </c>
      <c r="H2759">
        <f>'Floor Hours Engine'!$E$4</f>
        <v/>
      </c>
      <c r="I2759" t="inlineStr">
        <is>
          <t>W4</t>
        </is>
      </c>
      <c r="J2759" t="inlineStr">
        <is>
          <t>2028_Lipiec_W4</t>
        </is>
      </c>
    </row>
    <row r="2760">
      <c r="A2760" s="177" t="n">
        <v>46955</v>
      </c>
      <c r="B2760" s="177" t="n">
        <v>46952</v>
      </c>
      <c r="C2760" s="177" t="n">
        <v>46958</v>
      </c>
      <c r="D2760" t="inlineStr">
        <is>
          <t>BW20280718</t>
        </is>
      </c>
      <c r="E2760" t="n">
        <v>2028</v>
      </c>
      <c r="F2760" t="inlineStr">
        <is>
          <t>Lipiec</t>
        </is>
      </c>
      <c r="G2760" t="inlineStr">
        <is>
          <t>Pt</t>
        </is>
      </c>
      <c r="H2760">
        <f>'Floor Hours Engine'!$E$5</f>
        <v/>
      </c>
      <c r="I2760" t="inlineStr">
        <is>
          <t>W4</t>
        </is>
      </c>
      <c r="J2760" t="inlineStr">
        <is>
          <t>2028_Lipiec_W4</t>
        </is>
      </c>
    </row>
    <row r="2761">
      <c r="A2761" s="177" t="n">
        <v>46956</v>
      </c>
      <c r="B2761" s="177" t="n">
        <v>46952</v>
      </c>
      <c r="C2761" s="177" t="n">
        <v>46958</v>
      </c>
      <c r="D2761" t="inlineStr">
        <is>
          <t>BW20280718</t>
        </is>
      </c>
      <c r="E2761" t="n">
        <v>2028</v>
      </c>
      <c r="F2761" t="inlineStr">
        <is>
          <t>Lipiec</t>
        </is>
      </c>
      <c r="G2761" t="inlineStr">
        <is>
          <t>Sob</t>
        </is>
      </c>
      <c r="H2761">
        <f>'Floor Hours Engine'!$E$5</f>
        <v/>
      </c>
      <c r="I2761" t="inlineStr">
        <is>
          <t>W4</t>
        </is>
      </c>
      <c r="J2761" t="inlineStr">
        <is>
          <t>2028_Lipiec_W4</t>
        </is>
      </c>
    </row>
    <row r="2762">
      <c r="A2762" s="177" t="n">
        <v>46957</v>
      </c>
      <c r="B2762" s="177" t="n">
        <v>46952</v>
      </c>
      <c r="C2762" s="177" t="n">
        <v>46958</v>
      </c>
      <c r="D2762" t="inlineStr">
        <is>
          <t>BW20280718</t>
        </is>
      </c>
      <c r="E2762" t="n">
        <v>2028</v>
      </c>
      <c r="F2762" t="inlineStr">
        <is>
          <t>Lipiec</t>
        </is>
      </c>
      <c r="G2762" t="inlineStr">
        <is>
          <t>Nd</t>
        </is>
      </c>
      <c r="H2762">
        <f>'Floor Hours Engine'!$E$6</f>
        <v/>
      </c>
      <c r="I2762" t="inlineStr">
        <is>
          <t>W4</t>
        </is>
      </c>
      <c r="J2762" t="inlineStr">
        <is>
          <t>2028_Lipiec_W4</t>
        </is>
      </c>
    </row>
    <row r="2763">
      <c r="A2763" s="177" t="n">
        <v>46958</v>
      </c>
      <c r="B2763" s="177" t="n">
        <v>46952</v>
      </c>
      <c r="C2763" s="177" t="n">
        <v>46958</v>
      </c>
      <c r="D2763" t="inlineStr">
        <is>
          <t>BW20280718</t>
        </is>
      </c>
      <c r="E2763" t="n">
        <v>2028</v>
      </c>
      <c r="F2763" t="inlineStr">
        <is>
          <t>Lipiec</t>
        </is>
      </c>
      <c r="G2763" t="inlineStr">
        <is>
          <t>Pn</t>
        </is>
      </c>
      <c r="H2763">
        <f>'Floor Hours Engine'!$E$4</f>
        <v/>
      </c>
      <c r="I2763" t="inlineStr">
        <is>
          <t>W4</t>
        </is>
      </c>
      <c r="J2763" t="inlineStr">
        <is>
          <t>2028_Lipiec_W4</t>
        </is>
      </c>
    </row>
    <row r="2764">
      <c r="A2764" s="177" t="n">
        <v>46959</v>
      </c>
      <c r="B2764" s="177" t="n">
        <v>46959</v>
      </c>
      <c r="C2764" s="177" t="n">
        <v>46965</v>
      </c>
      <c r="D2764" t="inlineStr">
        <is>
          <t>BW20280725</t>
        </is>
      </c>
      <c r="E2764" t="n">
        <v>2028</v>
      </c>
      <c r="F2764" t="inlineStr">
        <is>
          <t>Lipiec</t>
        </is>
      </c>
      <c r="G2764" t="inlineStr">
        <is>
          <t>Wt</t>
        </is>
      </c>
      <c r="H2764">
        <f>'Floor Hours Engine'!$E$4</f>
        <v/>
      </c>
      <c r="I2764" t="inlineStr">
        <is>
          <t>W5</t>
        </is>
      </c>
      <c r="J2764" t="inlineStr">
        <is>
          <t>2028_Lipiec_W5</t>
        </is>
      </c>
    </row>
    <row r="2765">
      <c r="A2765" s="177" t="n">
        <v>46960</v>
      </c>
      <c r="B2765" s="177" t="n">
        <v>46959</v>
      </c>
      <c r="C2765" s="177" t="n">
        <v>46965</v>
      </c>
      <c r="D2765" t="inlineStr">
        <is>
          <t>BW20280725</t>
        </is>
      </c>
      <c r="E2765" t="n">
        <v>2028</v>
      </c>
      <c r="F2765" t="inlineStr">
        <is>
          <t>Lipiec</t>
        </is>
      </c>
      <c r="G2765" t="inlineStr">
        <is>
          <t>Śr</t>
        </is>
      </c>
      <c r="H2765">
        <f>'Floor Hours Engine'!$E$4</f>
        <v/>
      </c>
      <c r="I2765" t="inlineStr">
        <is>
          <t>W5</t>
        </is>
      </c>
      <c r="J2765" t="inlineStr">
        <is>
          <t>2028_Lipiec_W5</t>
        </is>
      </c>
    </row>
    <row r="2766">
      <c r="A2766" s="177" t="n">
        <v>46961</v>
      </c>
      <c r="B2766" s="177" t="n">
        <v>46959</v>
      </c>
      <c r="C2766" s="177" t="n">
        <v>46965</v>
      </c>
      <c r="D2766" t="inlineStr">
        <is>
          <t>BW20280725</t>
        </is>
      </c>
      <c r="E2766" t="n">
        <v>2028</v>
      </c>
      <c r="F2766" t="inlineStr">
        <is>
          <t>Lipiec</t>
        </is>
      </c>
      <c r="G2766" t="inlineStr">
        <is>
          <t>Czw</t>
        </is>
      </c>
      <c r="H2766">
        <f>'Floor Hours Engine'!$E$4</f>
        <v/>
      </c>
      <c r="I2766" t="inlineStr">
        <is>
          <t>W5</t>
        </is>
      </c>
      <c r="J2766" t="inlineStr">
        <is>
          <t>2028_Lipiec_W5</t>
        </is>
      </c>
    </row>
    <row r="2767">
      <c r="A2767" s="177" t="n">
        <v>46962</v>
      </c>
      <c r="B2767" s="177" t="n">
        <v>46959</v>
      </c>
      <c r="C2767" s="177" t="n">
        <v>46965</v>
      </c>
      <c r="D2767" t="inlineStr">
        <is>
          <t>BW20280725</t>
        </is>
      </c>
      <c r="E2767" t="n">
        <v>2028</v>
      </c>
      <c r="F2767" t="inlineStr">
        <is>
          <t>Lipiec</t>
        </is>
      </c>
      <c r="G2767" t="inlineStr">
        <is>
          <t>Pt</t>
        </is>
      </c>
      <c r="H2767">
        <f>'Floor Hours Engine'!$E$5</f>
        <v/>
      </c>
      <c r="I2767" t="inlineStr">
        <is>
          <t>W5</t>
        </is>
      </c>
      <c r="J2767" t="inlineStr">
        <is>
          <t>2028_Lipiec_W5</t>
        </is>
      </c>
    </row>
    <row r="2768">
      <c r="A2768" s="177" t="n">
        <v>46963</v>
      </c>
      <c r="B2768" s="177" t="n">
        <v>46959</v>
      </c>
      <c r="C2768" s="177" t="n">
        <v>46965</v>
      </c>
      <c r="D2768" t="inlineStr">
        <is>
          <t>BW20280725</t>
        </is>
      </c>
      <c r="E2768" t="n">
        <v>2028</v>
      </c>
      <c r="F2768" t="inlineStr">
        <is>
          <t>Lipiec</t>
        </is>
      </c>
      <c r="G2768" t="inlineStr">
        <is>
          <t>Sob</t>
        </is>
      </c>
      <c r="H2768">
        <f>'Floor Hours Engine'!$E$5</f>
        <v/>
      </c>
      <c r="I2768" t="inlineStr">
        <is>
          <t>W5</t>
        </is>
      </c>
      <c r="J2768" t="inlineStr">
        <is>
          <t>2028_Lipiec_W5</t>
        </is>
      </c>
    </row>
    <row r="2769">
      <c r="A2769" s="177" t="n">
        <v>46964</v>
      </c>
      <c r="B2769" s="177" t="n">
        <v>46959</v>
      </c>
      <c r="C2769" s="177" t="n">
        <v>46965</v>
      </c>
      <c r="D2769" t="inlineStr">
        <is>
          <t>BW20280725</t>
        </is>
      </c>
      <c r="E2769" t="n">
        <v>2028</v>
      </c>
      <c r="F2769" t="inlineStr">
        <is>
          <t>Lipiec</t>
        </is>
      </c>
      <c r="G2769" t="inlineStr">
        <is>
          <t>Nd</t>
        </is>
      </c>
      <c r="H2769">
        <f>'Floor Hours Engine'!$E$6</f>
        <v/>
      </c>
      <c r="I2769" t="inlineStr">
        <is>
          <t>W5</t>
        </is>
      </c>
      <c r="J2769" t="inlineStr">
        <is>
          <t>2028_Lipiec_W5</t>
        </is>
      </c>
    </row>
    <row r="2770">
      <c r="A2770" s="177" t="n">
        <v>46965</v>
      </c>
      <c r="B2770" s="177" t="n">
        <v>46959</v>
      </c>
      <c r="C2770" s="177" t="n">
        <v>46965</v>
      </c>
      <c r="D2770" t="inlineStr">
        <is>
          <t>BW20280725</t>
        </is>
      </c>
      <c r="E2770" t="n">
        <v>2028</v>
      </c>
      <c r="F2770" t="inlineStr">
        <is>
          <t>Lipiec</t>
        </is>
      </c>
      <c r="G2770" t="inlineStr">
        <is>
          <t>Pn</t>
        </is>
      </c>
      <c r="H2770">
        <f>'Floor Hours Engine'!$E$4</f>
        <v/>
      </c>
      <c r="I2770" t="inlineStr">
        <is>
          <t>W5</t>
        </is>
      </c>
      <c r="J2770" t="inlineStr">
        <is>
          <t>2028_Lipiec_W5</t>
        </is>
      </c>
    </row>
    <row r="2771">
      <c r="A2771" s="177" t="n">
        <v>46966</v>
      </c>
      <c r="B2771" s="177" t="n">
        <v>46966</v>
      </c>
      <c r="C2771" s="177" t="n">
        <v>46972</v>
      </c>
      <c r="D2771" t="inlineStr">
        <is>
          <t>BW20280801</t>
        </is>
      </c>
      <c r="E2771" t="n">
        <v>2028</v>
      </c>
      <c r="F2771" t="inlineStr">
        <is>
          <t>Sierpień</t>
        </is>
      </c>
      <c r="G2771" t="inlineStr">
        <is>
          <t>Wt</t>
        </is>
      </c>
      <c r="H2771">
        <f>'Floor Hours Engine'!$E$4</f>
        <v/>
      </c>
      <c r="I2771" t="inlineStr">
        <is>
          <t>W1</t>
        </is>
      </c>
      <c r="J2771" t="inlineStr">
        <is>
          <t>2028_Sierpień_W1</t>
        </is>
      </c>
    </row>
    <row r="2772">
      <c r="A2772" s="177" t="n">
        <v>46967</v>
      </c>
      <c r="B2772" s="177" t="n">
        <v>46966</v>
      </c>
      <c r="C2772" s="177" t="n">
        <v>46972</v>
      </c>
      <c r="D2772" t="inlineStr">
        <is>
          <t>BW20280801</t>
        </is>
      </c>
      <c r="E2772" t="n">
        <v>2028</v>
      </c>
      <c r="F2772" t="inlineStr">
        <is>
          <t>Sierpień</t>
        </is>
      </c>
      <c r="G2772" t="inlineStr">
        <is>
          <t>Śr</t>
        </is>
      </c>
      <c r="H2772">
        <f>'Floor Hours Engine'!$E$4</f>
        <v/>
      </c>
      <c r="I2772" t="inlineStr">
        <is>
          <t>W1</t>
        </is>
      </c>
      <c r="J2772" t="inlineStr">
        <is>
          <t>2028_Sierpień_W1</t>
        </is>
      </c>
    </row>
    <row r="2773">
      <c r="A2773" s="177" t="n">
        <v>46968</v>
      </c>
      <c r="B2773" s="177" t="n">
        <v>46966</v>
      </c>
      <c r="C2773" s="177" t="n">
        <v>46972</v>
      </c>
      <c r="D2773" t="inlineStr">
        <is>
          <t>BW20280801</t>
        </is>
      </c>
      <c r="E2773" t="n">
        <v>2028</v>
      </c>
      <c r="F2773" t="inlineStr">
        <is>
          <t>Sierpień</t>
        </is>
      </c>
      <c r="G2773" t="inlineStr">
        <is>
          <t>Czw</t>
        </is>
      </c>
      <c r="H2773">
        <f>'Floor Hours Engine'!$E$4</f>
        <v/>
      </c>
      <c r="I2773" t="inlineStr">
        <is>
          <t>W1</t>
        </is>
      </c>
      <c r="J2773" t="inlineStr">
        <is>
          <t>2028_Sierpień_W1</t>
        </is>
      </c>
    </row>
    <row r="2774">
      <c r="A2774" s="177" t="n">
        <v>46969</v>
      </c>
      <c r="B2774" s="177" t="n">
        <v>46966</v>
      </c>
      <c r="C2774" s="177" t="n">
        <v>46972</v>
      </c>
      <c r="D2774" t="inlineStr">
        <is>
          <t>BW20280801</t>
        </is>
      </c>
      <c r="E2774" t="n">
        <v>2028</v>
      </c>
      <c r="F2774" t="inlineStr">
        <is>
          <t>Sierpień</t>
        </is>
      </c>
      <c r="G2774" t="inlineStr">
        <is>
          <t>Pt</t>
        </is>
      </c>
      <c r="H2774">
        <f>'Floor Hours Engine'!$E$5</f>
        <v/>
      </c>
      <c r="I2774" t="inlineStr">
        <is>
          <t>W1</t>
        </is>
      </c>
      <c r="J2774" t="inlineStr">
        <is>
          <t>2028_Sierpień_W1</t>
        </is>
      </c>
    </row>
    <row r="2775">
      <c r="A2775" s="177" t="n">
        <v>46970</v>
      </c>
      <c r="B2775" s="177" t="n">
        <v>46966</v>
      </c>
      <c r="C2775" s="177" t="n">
        <v>46972</v>
      </c>
      <c r="D2775" t="inlineStr">
        <is>
          <t>BW20280801</t>
        </is>
      </c>
      <c r="E2775" t="n">
        <v>2028</v>
      </c>
      <c r="F2775" t="inlineStr">
        <is>
          <t>Sierpień</t>
        </is>
      </c>
      <c r="G2775" t="inlineStr">
        <is>
          <t>Sob</t>
        </is>
      </c>
      <c r="H2775">
        <f>'Floor Hours Engine'!$E$5</f>
        <v/>
      </c>
      <c r="I2775" t="inlineStr">
        <is>
          <t>W1</t>
        </is>
      </c>
      <c r="J2775" t="inlineStr">
        <is>
          <t>2028_Sierpień_W1</t>
        </is>
      </c>
    </row>
    <row r="2776">
      <c r="A2776" s="177" t="n">
        <v>46971</v>
      </c>
      <c r="B2776" s="177" t="n">
        <v>46966</v>
      </c>
      <c r="C2776" s="177" t="n">
        <v>46972</v>
      </c>
      <c r="D2776" t="inlineStr">
        <is>
          <t>BW20280801</t>
        </is>
      </c>
      <c r="E2776" t="n">
        <v>2028</v>
      </c>
      <c r="F2776" t="inlineStr">
        <is>
          <t>Sierpień</t>
        </is>
      </c>
      <c r="G2776" t="inlineStr">
        <is>
          <t>Nd</t>
        </is>
      </c>
      <c r="H2776">
        <f>'Floor Hours Engine'!$E$6</f>
        <v/>
      </c>
      <c r="I2776" t="inlineStr">
        <is>
          <t>W1</t>
        </is>
      </c>
      <c r="J2776" t="inlineStr">
        <is>
          <t>2028_Sierpień_W1</t>
        </is>
      </c>
    </row>
    <row r="2777">
      <c r="A2777" s="177" t="n">
        <v>46972</v>
      </c>
      <c r="B2777" s="177" t="n">
        <v>46966</v>
      </c>
      <c r="C2777" s="177" t="n">
        <v>46972</v>
      </c>
      <c r="D2777" t="inlineStr">
        <is>
          <t>BW20280801</t>
        </is>
      </c>
      <c r="E2777" t="n">
        <v>2028</v>
      </c>
      <c r="F2777" t="inlineStr">
        <is>
          <t>Sierpień</t>
        </is>
      </c>
      <c r="G2777" t="inlineStr">
        <is>
          <t>Pn</t>
        </is>
      </c>
      <c r="H2777">
        <f>'Floor Hours Engine'!$E$4</f>
        <v/>
      </c>
      <c r="I2777" t="inlineStr">
        <is>
          <t>W1</t>
        </is>
      </c>
      <c r="J2777" t="inlineStr">
        <is>
          <t>2028_Sierpień_W1</t>
        </is>
      </c>
    </row>
    <row r="2778">
      <c r="A2778" s="177" t="n">
        <v>46973</v>
      </c>
      <c r="B2778" s="177" t="n">
        <v>46973</v>
      </c>
      <c r="C2778" s="177" t="n">
        <v>46979</v>
      </c>
      <c r="D2778" t="inlineStr">
        <is>
          <t>BW20280808</t>
        </is>
      </c>
      <c r="E2778" t="n">
        <v>2028</v>
      </c>
      <c r="F2778" t="inlineStr">
        <is>
          <t>Sierpień</t>
        </is>
      </c>
      <c r="G2778" t="inlineStr">
        <is>
          <t>Wt</t>
        </is>
      </c>
      <c r="H2778">
        <f>'Floor Hours Engine'!$E$4</f>
        <v/>
      </c>
      <c r="I2778" t="inlineStr">
        <is>
          <t>W2</t>
        </is>
      </c>
      <c r="J2778" t="inlineStr">
        <is>
          <t>2028_Sierpień_W2</t>
        </is>
      </c>
    </row>
    <row r="2779">
      <c r="A2779" s="177" t="n">
        <v>46974</v>
      </c>
      <c r="B2779" s="177" t="n">
        <v>46973</v>
      </c>
      <c r="C2779" s="177" t="n">
        <v>46979</v>
      </c>
      <c r="D2779" t="inlineStr">
        <is>
          <t>BW20280808</t>
        </is>
      </c>
      <c r="E2779" t="n">
        <v>2028</v>
      </c>
      <c r="F2779" t="inlineStr">
        <is>
          <t>Sierpień</t>
        </is>
      </c>
      <c r="G2779" t="inlineStr">
        <is>
          <t>Śr</t>
        </is>
      </c>
      <c r="H2779">
        <f>'Floor Hours Engine'!$E$4</f>
        <v/>
      </c>
      <c r="I2779" t="inlineStr">
        <is>
          <t>W2</t>
        </is>
      </c>
      <c r="J2779" t="inlineStr">
        <is>
          <t>2028_Sierpień_W2</t>
        </is>
      </c>
    </row>
    <row r="2780">
      <c r="A2780" s="177" t="n">
        <v>46975</v>
      </c>
      <c r="B2780" s="177" t="n">
        <v>46973</v>
      </c>
      <c r="C2780" s="177" t="n">
        <v>46979</v>
      </c>
      <c r="D2780" t="inlineStr">
        <is>
          <t>BW20280808</t>
        </is>
      </c>
      <c r="E2780" t="n">
        <v>2028</v>
      </c>
      <c r="F2780" t="inlineStr">
        <is>
          <t>Sierpień</t>
        </is>
      </c>
      <c r="G2780" t="inlineStr">
        <is>
          <t>Czw</t>
        </is>
      </c>
      <c r="H2780">
        <f>'Floor Hours Engine'!$E$4</f>
        <v/>
      </c>
      <c r="I2780" t="inlineStr">
        <is>
          <t>W2</t>
        </is>
      </c>
      <c r="J2780" t="inlineStr">
        <is>
          <t>2028_Sierpień_W2</t>
        </is>
      </c>
    </row>
    <row r="2781">
      <c r="A2781" s="177" t="n">
        <v>46976</v>
      </c>
      <c r="B2781" s="177" t="n">
        <v>46973</v>
      </c>
      <c r="C2781" s="177" t="n">
        <v>46979</v>
      </c>
      <c r="D2781" t="inlineStr">
        <is>
          <t>BW20280808</t>
        </is>
      </c>
      <c r="E2781" t="n">
        <v>2028</v>
      </c>
      <c r="F2781" t="inlineStr">
        <is>
          <t>Sierpień</t>
        </is>
      </c>
      <c r="G2781" t="inlineStr">
        <is>
          <t>Pt</t>
        </is>
      </c>
      <c r="H2781">
        <f>'Floor Hours Engine'!$E$5</f>
        <v/>
      </c>
      <c r="I2781" t="inlineStr">
        <is>
          <t>W2</t>
        </is>
      </c>
      <c r="J2781" t="inlineStr">
        <is>
          <t>2028_Sierpień_W2</t>
        </is>
      </c>
    </row>
    <row r="2782">
      <c r="A2782" s="177" t="n">
        <v>46977</v>
      </c>
      <c r="B2782" s="177" t="n">
        <v>46973</v>
      </c>
      <c r="C2782" s="177" t="n">
        <v>46979</v>
      </c>
      <c r="D2782" t="inlineStr">
        <is>
          <t>BW20280808</t>
        </is>
      </c>
      <c r="E2782" t="n">
        <v>2028</v>
      </c>
      <c r="F2782" t="inlineStr">
        <is>
          <t>Sierpień</t>
        </is>
      </c>
      <c r="G2782" t="inlineStr">
        <is>
          <t>Sob</t>
        </is>
      </c>
      <c r="H2782">
        <f>'Floor Hours Engine'!$E$5</f>
        <v/>
      </c>
      <c r="I2782" t="inlineStr">
        <is>
          <t>W2</t>
        </is>
      </c>
      <c r="J2782" t="inlineStr">
        <is>
          <t>2028_Sierpień_W2</t>
        </is>
      </c>
    </row>
    <row r="2783">
      <c r="A2783" s="177" t="n">
        <v>46978</v>
      </c>
      <c r="B2783" s="177" t="n">
        <v>46973</v>
      </c>
      <c r="C2783" s="177" t="n">
        <v>46979</v>
      </c>
      <c r="D2783" t="inlineStr">
        <is>
          <t>BW20280808</t>
        </is>
      </c>
      <c r="E2783" t="n">
        <v>2028</v>
      </c>
      <c r="F2783" t="inlineStr">
        <is>
          <t>Sierpień</t>
        </is>
      </c>
      <c r="G2783" t="inlineStr">
        <is>
          <t>Nd</t>
        </is>
      </c>
      <c r="H2783">
        <f>'Floor Hours Engine'!$E$6</f>
        <v/>
      </c>
      <c r="I2783" t="inlineStr">
        <is>
          <t>W2</t>
        </is>
      </c>
      <c r="J2783" t="inlineStr">
        <is>
          <t>2028_Sierpień_W2</t>
        </is>
      </c>
    </row>
    <row r="2784">
      <c r="A2784" s="177" t="n">
        <v>46979</v>
      </c>
      <c r="B2784" s="177" t="n">
        <v>46973</v>
      </c>
      <c r="C2784" s="177" t="n">
        <v>46979</v>
      </c>
      <c r="D2784" t="inlineStr">
        <is>
          <t>BW20280808</t>
        </is>
      </c>
      <c r="E2784" t="n">
        <v>2028</v>
      </c>
      <c r="F2784" t="inlineStr">
        <is>
          <t>Sierpień</t>
        </is>
      </c>
      <c r="G2784" t="inlineStr">
        <is>
          <t>Pn</t>
        </is>
      </c>
      <c r="H2784">
        <f>'Floor Hours Engine'!$E$4</f>
        <v/>
      </c>
      <c r="I2784" t="inlineStr">
        <is>
          <t>W2</t>
        </is>
      </c>
      <c r="J2784" t="inlineStr">
        <is>
          <t>2028_Sierpień_W2</t>
        </is>
      </c>
    </row>
    <row r="2785">
      <c r="A2785" s="177" t="n">
        <v>46980</v>
      </c>
      <c r="B2785" s="177" t="n">
        <v>46980</v>
      </c>
      <c r="C2785" s="177" t="n">
        <v>46986</v>
      </c>
      <c r="D2785" t="inlineStr">
        <is>
          <t>BW20280815</t>
        </is>
      </c>
      <c r="E2785" t="n">
        <v>2028</v>
      </c>
      <c r="F2785" t="inlineStr">
        <is>
          <t>Sierpień</t>
        </is>
      </c>
      <c r="G2785" t="inlineStr">
        <is>
          <t>Wt</t>
        </is>
      </c>
      <c r="H2785">
        <f>'Floor Hours Engine'!$E$4</f>
        <v/>
      </c>
      <c r="I2785" t="inlineStr">
        <is>
          <t>W3</t>
        </is>
      </c>
      <c r="J2785" t="inlineStr">
        <is>
          <t>2028_Sierpień_W3</t>
        </is>
      </c>
    </row>
    <row r="2786">
      <c r="A2786" s="177" t="n">
        <v>46981</v>
      </c>
      <c r="B2786" s="177" t="n">
        <v>46980</v>
      </c>
      <c r="C2786" s="177" t="n">
        <v>46986</v>
      </c>
      <c r="D2786" t="inlineStr">
        <is>
          <t>BW20280815</t>
        </is>
      </c>
      <c r="E2786" t="n">
        <v>2028</v>
      </c>
      <c r="F2786" t="inlineStr">
        <is>
          <t>Sierpień</t>
        </is>
      </c>
      <c r="G2786" t="inlineStr">
        <is>
          <t>Śr</t>
        </is>
      </c>
      <c r="H2786">
        <f>'Floor Hours Engine'!$E$4</f>
        <v/>
      </c>
      <c r="I2786" t="inlineStr">
        <is>
          <t>W3</t>
        </is>
      </c>
      <c r="J2786" t="inlineStr">
        <is>
          <t>2028_Sierpień_W3</t>
        </is>
      </c>
    </row>
    <row r="2787">
      <c r="A2787" s="177" t="n">
        <v>46982</v>
      </c>
      <c r="B2787" s="177" t="n">
        <v>46980</v>
      </c>
      <c r="C2787" s="177" t="n">
        <v>46986</v>
      </c>
      <c r="D2787" t="inlineStr">
        <is>
          <t>BW20280815</t>
        </is>
      </c>
      <c r="E2787" t="n">
        <v>2028</v>
      </c>
      <c r="F2787" t="inlineStr">
        <is>
          <t>Sierpień</t>
        </is>
      </c>
      <c r="G2787" t="inlineStr">
        <is>
          <t>Czw</t>
        </is>
      </c>
      <c r="H2787">
        <f>'Floor Hours Engine'!$E$4</f>
        <v/>
      </c>
      <c r="I2787" t="inlineStr">
        <is>
          <t>W3</t>
        </is>
      </c>
      <c r="J2787" t="inlineStr">
        <is>
          <t>2028_Sierpień_W3</t>
        </is>
      </c>
    </row>
    <row r="2788">
      <c r="A2788" s="177" t="n">
        <v>46983</v>
      </c>
      <c r="B2788" s="177" t="n">
        <v>46980</v>
      </c>
      <c r="C2788" s="177" t="n">
        <v>46986</v>
      </c>
      <c r="D2788" t="inlineStr">
        <is>
          <t>BW20280815</t>
        </is>
      </c>
      <c r="E2788" t="n">
        <v>2028</v>
      </c>
      <c r="F2788" t="inlineStr">
        <is>
          <t>Sierpień</t>
        </is>
      </c>
      <c r="G2788" t="inlineStr">
        <is>
          <t>Pt</t>
        </is>
      </c>
      <c r="H2788">
        <f>'Floor Hours Engine'!$E$5</f>
        <v/>
      </c>
      <c r="I2788" t="inlineStr">
        <is>
          <t>W3</t>
        </is>
      </c>
      <c r="J2788" t="inlineStr">
        <is>
          <t>2028_Sierpień_W3</t>
        </is>
      </c>
    </row>
    <row r="2789">
      <c r="A2789" s="177" t="n">
        <v>46984</v>
      </c>
      <c r="B2789" s="177" t="n">
        <v>46980</v>
      </c>
      <c r="C2789" s="177" t="n">
        <v>46986</v>
      </c>
      <c r="D2789" t="inlineStr">
        <is>
          <t>BW20280815</t>
        </is>
      </c>
      <c r="E2789" t="n">
        <v>2028</v>
      </c>
      <c r="F2789" t="inlineStr">
        <is>
          <t>Sierpień</t>
        </is>
      </c>
      <c r="G2789" t="inlineStr">
        <is>
          <t>Sob</t>
        </is>
      </c>
      <c r="H2789">
        <f>'Floor Hours Engine'!$E$5</f>
        <v/>
      </c>
      <c r="I2789" t="inlineStr">
        <is>
          <t>W3</t>
        </is>
      </c>
      <c r="J2789" t="inlineStr">
        <is>
          <t>2028_Sierpień_W3</t>
        </is>
      </c>
    </row>
    <row r="2790">
      <c r="A2790" s="177" t="n">
        <v>46985</v>
      </c>
      <c r="B2790" s="177" t="n">
        <v>46980</v>
      </c>
      <c r="C2790" s="177" t="n">
        <v>46986</v>
      </c>
      <c r="D2790" t="inlineStr">
        <is>
          <t>BW20280815</t>
        </is>
      </c>
      <c r="E2790" t="n">
        <v>2028</v>
      </c>
      <c r="F2790" t="inlineStr">
        <is>
          <t>Sierpień</t>
        </is>
      </c>
      <c r="G2790" t="inlineStr">
        <is>
          <t>Nd</t>
        </is>
      </c>
      <c r="H2790">
        <f>'Floor Hours Engine'!$E$6</f>
        <v/>
      </c>
      <c r="I2790" t="inlineStr">
        <is>
          <t>W3</t>
        </is>
      </c>
      <c r="J2790" t="inlineStr">
        <is>
          <t>2028_Sierpień_W3</t>
        </is>
      </c>
    </row>
    <row r="2791">
      <c r="A2791" s="177" t="n">
        <v>46986</v>
      </c>
      <c r="B2791" s="177" t="n">
        <v>46980</v>
      </c>
      <c r="C2791" s="177" t="n">
        <v>46986</v>
      </c>
      <c r="D2791" t="inlineStr">
        <is>
          <t>BW20280815</t>
        </is>
      </c>
      <c r="E2791" t="n">
        <v>2028</v>
      </c>
      <c r="F2791" t="inlineStr">
        <is>
          <t>Sierpień</t>
        </is>
      </c>
      <c r="G2791" t="inlineStr">
        <is>
          <t>Pn</t>
        </is>
      </c>
      <c r="H2791">
        <f>'Floor Hours Engine'!$E$4</f>
        <v/>
      </c>
      <c r="I2791" t="inlineStr">
        <is>
          <t>W3</t>
        </is>
      </c>
      <c r="J2791" t="inlineStr">
        <is>
          <t>2028_Sierpień_W3</t>
        </is>
      </c>
    </row>
    <row r="2792">
      <c r="A2792" s="177" t="n">
        <v>46987</v>
      </c>
      <c r="B2792" s="177" t="n">
        <v>46987</v>
      </c>
      <c r="C2792" s="177" t="n">
        <v>46993</v>
      </c>
      <c r="D2792" t="inlineStr">
        <is>
          <t>BW20280822</t>
        </is>
      </c>
      <c r="E2792" t="n">
        <v>2028</v>
      </c>
      <c r="F2792" t="inlineStr">
        <is>
          <t>Sierpień</t>
        </is>
      </c>
      <c r="G2792" t="inlineStr">
        <is>
          <t>Wt</t>
        </is>
      </c>
      <c r="H2792">
        <f>'Floor Hours Engine'!$E$4</f>
        <v/>
      </c>
      <c r="I2792" t="inlineStr">
        <is>
          <t>W4</t>
        </is>
      </c>
      <c r="J2792" t="inlineStr">
        <is>
          <t>2028_Sierpień_W4</t>
        </is>
      </c>
    </row>
    <row r="2793">
      <c r="A2793" s="177" t="n">
        <v>46988</v>
      </c>
      <c r="B2793" s="177" t="n">
        <v>46987</v>
      </c>
      <c r="C2793" s="177" t="n">
        <v>46993</v>
      </c>
      <c r="D2793" t="inlineStr">
        <is>
          <t>BW20280822</t>
        </is>
      </c>
      <c r="E2793" t="n">
        <v>2028</v>
      </c>
      <c r="F2793" t="inlineStr">
        <is>
          <t>Sierpień</t>
        </is>
      </c>
      <c r="G2793" t="inlineStr">
        <is>
          <t>Śr</t>
        </is>
      </c>
      <c r="H2793">
        <f>'Floor Hours Engine'!$E$4</f>
        <v/>
      </c>
      <c r="I2793" t="inlineStr">
        <is>
          <t>W4</t>
        </is>
      </c>
      <c r="J2793" t="inlineStr">
        <is>
          <t>2028_Sierpień_W4</t>
        </is>
      </c>
    </row>
    <row r="2794">
      <c r="A2794" s="177" t="n">
        <v>46989</v>
      </c>
      <c r="B2794" s="177" t="n">
        <v>46987</v>
      </c>
      <c r="C2794" s="177" t="n">
        <v>46993</v>
      </c>
      <c r="D2794" t="inlineStr">
        <is>
          <t>BW20280822</t>
        </is>
      </c>
      <c r="E2794" t="n">
        <v>2028</v>
      </c>
      <c r="F2794" t="inlineStr">
        <is>
          <t>Sierpień</t>
        </is>
      </c>
      <c r="G2794" t="inlineStr">
        <is>
          <t>Czw</t>
        </is>
      </c>
      <c r="H2794">
        <f>'Floor Hours Engine'!$E$4</f>
        <v/>
      </c>
      <c r="I2794" t="inlineStr">
        <is>
          <t>W4</t>
        </is>
      </c>
      <c r="J2794" t="inlineStr">
        <is>
          <t>2028_Sierpień_W4</t>
        </is>
      </c>
    </row>
    <row r="2795">
      <c r="A2795" s="177" t="n">
        <v>46990</v>
      </c>
      <c r="B2795" s="177" t="n">
        <v>46987</v>
      </c>
      <c r="C2795" s="177" t="n">
        <v>46993</v>
      </c>
      <c r="D2795" t="inlineStr">
        <is>
          <t>BW20280822</t>
        </is>
      </c>
      <c r="E2795" t="n">
        <v>2028</v>
      </c>
      <c r="F2795" t="inlineStr">
        <is>
          <t>Sierpień</t>
        </is>
      </c>
      <c r="G2795" t="inlineStr">
        <is>
          <t>Pt</t>
        </is>
      </c>
      <c r="H2795">
        <f>'Floor Hours Engine'!$E$5</f>
        <v/>
      </c>
      <c r="I2795" t="inlineStr">
        <is>
          <t>W4</t>
        </is>
      </c>
      <c r="J2795" t="inlineStr">
        <is>
          <t>2028_Sierpień_W4</t>
        </is>
      </c>
    </row>
    <row r="2796">
      <c r="A2796" s="177" t="n">
        <v>46991</v>
      </c>
      <c r="B2796" s="177" t="n">
        <v>46987</v>
      </c>
      <c r="C2796" s="177" t="n">
        <v>46993</v>
      </c>
      <c r="D2796" t="inlineStr">
        <is>
          <t>BW20280822</t>
        </is>
      </c>
      <c r="E2796" t="n">
        <v>2028</v>
      </c>
      <c r="F2796" t="inlineStr">
        <is>
          <t>Sierpień</t>
        </is>
      </c>
      <c r="G2796" t="inlineStr">
        <is>
          <t>Sob</t>
        </is>
      </c>
      <c r="H2796">
        <f>'Floor Hours Engine'!$E$5</f>
        <v/>
      </c>
      <c r="I2796" t="inlineStr">
        <is>
          <t>W4</t>
        </is>
      </c>
      <c r="J2796" t="inlineStr">
        <is>
          <t>2028_Sierpień_W4</t>
        </is>
      </c>
    </row>
    <row r="2797">
      <c r="A2797" s="177" t="n">
        <v>46992</v>
      </c>
      <c r="B2797" s="177" t="n">
        <v>46987</v>
      </c>
      <c r="C2797" s="177" t="n">
        <v>46993</v>
      </c>
      <c r="D2797" t="inlineStr">
        <is>
          <t>BW20280822</t>
        </is>
      </c>
      <c r="E2797" t="n">
        <v>2028</v>
      </c>
      <c r="F2797" t="inlineStr">
        <is>
          <t>Sierpień</t>
        </is>
      </c>
      <c r="G2797" t="inlineStr">
        <is>
          <t>Nd</t>
        </is>
      </c>
      <c r="H2797">
        <f>'Floor Hours Engine'!$E$6</f>
        <v/>
      </c>
      <c r="I2797" t="inlineStr">
        <is>
          <t>W4</t>
        </is>
      </c>
      <c r="J2797" t="inlineStr">
        <is>
          <t>2028_Sierpień_W4</t>
        </is>
      </c>
    </row>
    <row r="2798">
      <c r="A2798" s="177" t="n">
        <v>46993</v>
      </c>
      <c r="B2798" s="177" t="n">
        <v>46987</v>
      </c>
      <c r="C2798" s="177" t="n">
        <v>46993</v>
      </c>
      <c r="D2798" t="inlineStr">
        <is>
          <t>BW20280822</t>
        </is>
      </c>
      <c r="E2798" t="n">
        <v>2028</v>
      </c>
      <c r="F2798" t="inlineStr">
        <is>
          <t>Sierpień</t>
        </is>
      </c>
      <c r="G2798" t="inlineStr">
        <is>
          <t>Pn</t>
        </is>
      </c>
      <c r="H2798">
        <f>'Floor Hours Engine'!$E$4</f>
        <v/>
      </c>
      <c r="I2798" t="inlineStr">
        <is>
          <t>W4</t>
        </is>
      </c>
      <c r="J2798" t="inlineStr">
        <is>
          <t>2028_Sierpień_W4</t>
        </is>
      </c>
    </row>
    <row r="2799">
      <c r="A2799" s="177" t="n">
        <v>46994</v>
      </c>
      <c r="B2799" s="177" t="n">
        <v>46994</v>
      </c>
      <c r="C2799" s="177" t="n">
        <v>47000</v>
      </c>
      <c r="D2799" t="inlineStr">
        <is>
          <t>BW20280829</t>
        </is>
      </c>
      <c r="E2799" t="n">
        <v>2028</v>
      </c>
      <c r="F2799" t="inlineStr">
        <is>
          <t>Sierpień</t>
        </is>
      </c>
      <c r="G2799" t="inlineStr">
        <is>
          <t>Wt</t>
        </is>
      </c>
      <c r="H2799">
        <f>'Floor Hours Engine'!$E$4</f>
        <v/>
      </c>
      <c r="I2799" t="inlineStr">
        <is>
          <t>W5</t>
        </is>
      </c>
      <c r="J2799" t="inlineStr">
        <is>
          <t>2028_Sierpień_W5</t>
        </is>
      </c>
    </row>
    <row r="2800">
      <c r="A2800" s="177" t="n">
        <v>46995</v>
      </c>
      <c r="B2800" s="177" t="n">
        <v>46994</v>
      </c>
      <c r="C2800" s="177" t="n">
        <v>47000</v>
      </c>
      <c r="D2800" t="inlineStr">
        <is>
          <t>BW20280829</t>
        </is>
      </c>
      <c r="E2800" t="n">
        <v>2028</v>
      </c>
      <c r="F2800" t="inlineStr">
        <is>
          <t>Sierpień</t>
        </is>
      </c>
      <c r="G2800" t="inlineStr">
        <is>
          <t>Śr</t>
        </is>
      </c>
      <c r="H2800">
        <f>'Floor Hours Engine'!$E$4</f>
        <v/>
      </c>
      <c r="I2800" t="inlineStr">
        <is>
          <t>W5</t>
        </is>
      </c>
      <c r="J2800" t="inlineStr">
        <is>
          <t>2028_Sierpień_W5</t>
        </is>
      </c>
    </row>
    <row r="2801">
      <c r="A2801" s="177" t="n">
        <v>46996</v>
      </c>
      <c r="B2801" s="177" t="n">
        <v>46994</v>
      </c>
      <c r="C2801" s="177" t="n">
        <v>47000</v>
      </c>
      <c r="D2801" t="inlineStr">
        <is>
          <t>BW20280829</t>
        </is>
      </c>
      <c r="E2801" t="n">
        <v>2028</v>
      </c>
      <c r="F2801" t="inlineStr">
        <is>
          <t>Sierpień</t>
        </is>
      </c>
      <c r="G2801" t="inlineStr">
        <is>
          <t>Czw</t>
        </is>
      </c>
      <c r="H2801">
        <f>'Floor Hours Engine'!$E$4</f>
        <v/>
      </c>
      <c r="I2801" t="inlineStr">
        <is>
          <t>W5</t>
        </is>
      </c>
      <c r="J2801" t="inlineStr">
        <is>
          <t>2028_Sierpień_W5</t>
        </is>
      </c>
    </row>
    <row r="2802">
      <c r="A2802" s="177" t="n">
        <v>46997</v>
      </c>
      <c r="B2802" s="177" t="n">
        <v>46994</v>
      </c>
      <c r="C2802" s="177" t="n">
        <v>47000</v>
      </c>
      <c r="D2802" t="inlineStr">
        <is>
          <t>BW20280829</t>
        </is>
      </c>
      <c r="E2802" t="n">
        <v>2028</v>
      </c>
      <c r="F2802" t="inlineStr">
        <is>
          <t>Wrzesień</t>
        </is>
      </c>
      <c r="G2802" t="inlineStr">
        <is>
          <t>Pt</t>
        </is>
      </c>
      <c r="H2802">
        <f>'Floor Hours Engine'!$E$5</f>
        <v/>
      </c>
      <c r="I2802" t="inlineStr">
        <is>
          <t>W1</t>
        </is>
      </c>
      <c r="J2802" t="inlineStr">
        <is>
          <t>2028_Wrzesień_W1</t>
        </is>
      </c>
    </row>
    <row r="2803">
      <c r="A2803" s="177" t="n">
        <v>46998</v>
      </c>
      <c r="B2803" s="177" t="n">
        <v>46994</v>
      </c>
      <c r="C2803" s="177" t="n">
        <v>47000</v>
      </c>
      <c r="D2803" t="inlineStr">
        <is>
          <t>BW20280829</t>
        </is>
      </c>
      <c r="E2803" t="n">
        <v>2028</v>
      </c>
      <c r="F2803" t="inlineStr">
        <is>
          <t>Wrzesień</t>
        </is>
      </c>
      <c r="G2803" t="inlineStr">
        <is>
          <t>Sob</t>
        </is>
      </c>
      <c r="H2803">
        <f>'Floor Hours Engine'!$E$5</f>
        <v/>
      </c>
      <c r="I2803" t="inlineStr">
        <is>
          <t>W1</t>
        </is>
      </c>
      <c r="J2803" t="inlineStr">
        <is>
          <t>2028_Wrzesień_W1</t>
        </is>
      </c>
    </row>
    <row r="2804">
      <c r="A2804" s="177" t="n">
        <v>46999</v>
      </c>
      <c r="B2804" s="177" t="n">
        <v>46994</v>
      </c>
      <c r="C2804" s="177" t="n">
        <v>47000</v>
      </c>
      <c r="D2804" t="inlineStr">
        <is>
          <t>BW20280829</t>
        </is>
      </c>
      <c r="E2804" t="n">
        <v>2028</v>
      </c>
      <c r="F2804" t="inlineStr">
        <is>
          <t>Wrzesień</t>
        </is>
      </c>
      <c r="G2804" t="inlineStr">
        <is>
          <t>Nd</t>
        </is>
      </c>
      <c r="H2804">
        <f>'Floor Hours Engine'!$E$6</f>
        <v/>
      </c>
      <c r="I2804" t="inlineStr">
        <is>
          <t>W1</t>
        </is>
      </c>
      <c r="J2804" t="inlineStr">
        <is>
          <t>2028_Wrzesień_W1</t>
        </is>
      </c>
    </row>
    <row r="2805">
      <c r="A2805" s="177" t="n">
        <v>47000</v>
      </c>
      <c r="B2805" s="177" t="n">
        <v>46994</v>
      </c>
      <c r="C2805" s="177" t="n">
        <v>47000</v>
      </c>
      <c r="D2805" t="inlineStr">
        <is>
          <t>BW20280829</t>
        </is>
      </c>
      <c r="E2805" t="n">
        <v>2028</v>
      </c>
      <c r="F2805" t="inlineStr">
        <is>
          <t>Wrzesień</t>
        </is>
      </c>
      <c r="G2805" t="inlineStr">
        <is>
          <t>Pn</t>
        </is>
      </c>
      <c r="H2805">
        <f>'Floor Hours Engine'!$E$4</f>
        <v/>
      </c>
      <c r="I2805" t="inlineStr">
        <is>
          <t>W1</t>
        </is>
      </c>
      <c r="J2805" t="inlineStr">
        <is>
          <t>2028_Wrzesień_W1</t>
        </is>
      </c>
    </row>
    <row r="2806">
      <c r="A2806" s="177" t="n">
        <v>47001</v>
      </c>
      <c r="B2806" s="177" t="n">
        <v>47001</v>
      </c>
      <c r="C2806" s="177" t="n">
        <v>47007</v>
      </c>
      <c r="D2806" t="inlineStr">
        <is>
          <t>BW20280905</t>
        </is>
      </c>
      <c r="E2806" t="n">
        <v>2028</v>
      </c>
      <c r="F2806" t="inlineStr">
        <is>
          <t>Wrzesień</t>
        </is>
      </c>
      <c r="G2806" t="inlineStr">
        <is>
          <t>Wt</t>
        </is>
      </c>
      <c r="H2806">
        <f>'Floor Hours Engine'!$E$4</f>
        <v/>
      </c>
      <c r="I2806" t="inlineStr">
        <is>
          <t>W2</t>
        </is>
      </c>
      <c r="J2806" t="inlineStr">
        <is>
          <t>2028_Wrzesień_W2</t>
        </is>
      </c>
    </row>
    <row r="2807">
      <c r="A2807" s="177" t="n">
        <v>47002</v>
      </c>
      <c r="B2807" s="177" t="n">
        <v>47001</v>
      </c>
      <c r="C2807" s="177" t="n">
        <v>47007</v>
      </c>
      <c r="D2807" t="inlineStr">
        <is>
          <t>BW20280905</t>
        </is>
      </c>
      <c r="E2807" t="n">
        <v>2028</v>
      </c>
      <c r="F2807" t="inlineStr">
        <is>
          <t>Wrzesień</t>
        </is>
      </c>
      <c r="G2807" t="inlineStr">
        <is>
          <t>Śr</t>
        </is>
      </c>
      <c r="H2807">
        <f>'Floor Hours Engine'!$E$4</f>
        <v/>
      </c>
      <c r="I2807" t="inlineStr">
        <is>
          <t>W2</t>
        </is>
      </c>
      <c r="J2807" t="inlineStr">
        <is>
          <t>2028_Wrzesień_W2</t>
        </is>
      </c>
    </row>
    <row r="2808">
      <c r="A2808" s="177" t="n">
        <v>47003</v>
      </c>
      <c r="B2808" s="177" t="n">
        <v>47001</v>
      </c>
      <c r="C2808" s="177" t="n">
        <v>47007</v>
      </c>
      <c r="D2808" t="inlineStr">
        <is>
          <t>BW20280905</t>
        </is>
      </c>
      <c r="E2808" t="n">
        <v>2028</v>
      </c>
      <c r="F2808" t="inlineStr">
        <is>
          <t>Wrzesień</t>
        </is>
      </c>
      <c r="G2808" t="inlineStr">
        <is>
          <t>Czw</t>
        </is>
      </c>
      <c r="H2808">
        <f>'Floor Hours Engine'!$E$4</f>
        <v/>
      </c>
      <c r="I2808" t="inlineStr">
        <is>
          <t>W2</t>
        </is>
      </c>
      <c r="J2808" t="inlineStr">
        <is>
          <t>2028_Wrzesień_W2</t>
        </is>
      </c>
    </row>
    <row r="2809">
      <c r="A2809" s="177" t="n">
        <v>47004</v>
      </c>
      <c r="B2809" s="177" t="n">
        <v>47001</v>
      </c>
      <c r="C2809" s="177" t="n">
        <v>47007</v>
      </c>
      <c r="D2809" t="inlineStr">
        <is>
          <t>BW20280905</t>
        </is>
      </c>
      <c r="E2809" t="n">
        <v>2028</v>
      </c>
      <c r="F2809" t="inlineStr">
        <is>
          <t>Wrzesień</t>
        </is>
      </c>
      <c r="G2809" t="inlineStr">
        <is>
          <t>Pt</t>
        </is>
      </c>
      <c r="H2809">
        <f>'Floor Hours Engine'!$E$5</f>
        <v/>
      </c>
      <c r="I2809" t="inlineStr">
        <is>
          <t>W2</t>
        </is>
      </c>
      <c r="J2809" t="inlineStr">
        <is>
          <t>2028_Wrzesień_W2</t>
        </is>
      </c>
    </row>
    <row r="2810">
      <c r="A2810" s="177" t="n">
        <v>47005</v>
      </c>
      <c r="B2810" s="177" t="n">
        <v>47001</v>
      </c>
      <c r="C2810" s="177" t="n">
        <v>47007</v>
      </c>
      <c r="D2810" t="inlineStr">
        <is>
          <t>BW20280905</t>
        </is>
      </c>
      <c r="E2810" t="n">
        <v>2028</v>
      </c>
      <c r="F2810" t="inlineStr">
        <is>
          <t>Wrzesień</t>
        </is>
      </c>
      <c r="G2810" t="inlineStr">
        <is>
          <t>Sob</t>
        </is>
      </c>
      <c r="H2810">
        <f>'Floor Hours Engine'!$E$5</f>
        <v/>
      </c>
      <c r="I2810" t="inlineStr">
        <is>
          <t>W2</t>
        </is>
      </c>
      <c r="J2810" t="inlineStr">
        <is>
          <t>2028_Wrzesień_W2</t>
        </is>
      </c>
    </row>
    <row r="2811">
      <c r="A2811" s="177" t="n">
        <v>47006</v>
      </c>
      <c r="B2811" s="177" t="n">
        <v>47001</v>
      </c>
      <c r="C2811" s="177" t="n">
        <v>47007</v>
      </c>
      <c r="D2811" t="inlineStr">
        <is>
          <t>BW20280905</t>
        </is>
      </c>
      <c r="E2811" t="n">
        <v>2028</v>
      </c>
      <c r="F2811" t="inlineStr">
        <is>
          <t>Wrzesień</t>
        </is>
      </c>
      <c r="G2811" t="inlineStr">
        <is>
          <t>Nd</t>
        </is>
      </c>
      <c r="H2811">
        <f>'Floor Hours Engine'!$E$6</f>
        <v/>
      </c>
      <c r="I2811" t="inlineStr">
        <is>
          <t>W2</t>
        </is>
      </c>
      <c r="J2811" t="inlineStr">
        <is>
          <t>2028_Wrzesień_W2</t>
        </is>
      </c>
    </row>
    <row r="2812">
      <c r="A2812" s="177" t="n">
        <v>47007</v>
      </c>
      <c r="B2812" s="177" t="n">
        <v>47001</v>
      </c>
      <c r="C2812" s="177" t="n">
        <v>47007</v>
      </c>
      <c r="D2812" t="inlineStr">
        <is>
          <t>BW20280905</t>
        </is>
      </c>
      <c r="E2812" t="n">
        <v>2028</v>
      </c>
      <c r="F2812" t="inlineStr">
        <is>
          <t>Wrzesień</t>
        </is>
      </c>
      <c r="G2812" t="inlineStr">
        <is>
          <t>Pn</t>
        </is>
      </c>
      <c r="H2812">
        <f>'Floor Hours Engine'!$E$4</f>
        <v/>
      </c>
      <c r="I2812" t="inlineStr">
        <is>
          <t>W2</t>
        </is>
      </c>
      <c r="J2812" t="inlineStr">
        <is>
          <t>2028_Wrzesień_W2</t>
        </is>
      </c>
    </row>
    <row r="2813">
      <c r="A2813" s="177" t="n">
        <v>47008</v>
      </c>
      <c r="B2813" s="177" t="n">
        <v>47008</v>
      </c>
      <c r="C2813" s="177" t="n">
        <v>47014</v>
      </c>
      <c r="D2813" t="inlineStr">
        <is>
          <t>BW20280912</t>
        </is>
      </c>
      <c r="E2813" t="n">
        <v>2028</v>
      </c>
      <c r="F2813" t="inlineStr">
        <is>
          <t>Wrzesień</t>
        </is>
      </c>
      <c r="G2813" t="inlineStr">
        <is>
          <t>Wt</t>
        </is>
      </c>
      <c r="H2813">
        <f>'Floor Hours Engine'!$E$4</f>
        <v/>
      </c>
      <c r="I2813" t="inlineStr">
        <is>
          <t>W3</t>
        </is>
      </c>
      <c r="J2813" t="inlineStr">
        <is>
          <t>2028_Wrzesień_W3</t>
        </is>
      </c>
    </row>
    <row r="2814">
      <c r="A2814" s="177" t="n">
        <v>47009</v>
      </c>
      <c r="B2814" s="177" t="n">
        <v>47008</v>
      </c>
      <c r="C2814" s="177" t="n">
        <v>47014</v>
      </c>
      <c r="D2814" t="inlineStr">
        <is>
          <t>BW20280912</t>
        </is>
      </c>
      <c r="E2814" t="n">
        <v>2028</v>
      </c>
      <c r="F2814" t="inlineStr">
        <is>
          <t>Wrzesień</t>
        </is>
      </c>
      <c r="G2814" t="inlineStr">
        <is>
          <t>Śr</t>
        </is>
      </c>
      <c r="H2814">
        <f>'Floor Hours Engine'!$E$4</f>
        <v/>
      </c>
      <c r="I2814" t="inlineStr">
        <is>
          <t>W3</t>
        </is>
      </c>
      <c r="J2814" t="inlineStr">
        <is>
          <t>2028_Wrzesień_W3</t>
        </is>
      </c>
    </row>
    <row r="2815">
      <c r="A2815" s="177" t="n">
        <v>47010</v>
      </c>
      <c r="B2815" s="177" t="n">
        <v>47008</v>
      </c>
      <c r="C2815" s="177" t="n">
        <v>47014</v>
      </c>
      <c r="D2815" t="inlineStr">
        <is>
          <t>BW20280912</t>
        </is>
      </c>
      <c r="E2815" t="n">
        <v>2028</v>
      </c>
      <c r="F2815" t="inlineStr">
        <is>
          <t>Wrzesień</t>
        </is>
      </c>
      <c r="G2815" t="inlineStr">
        <is>
          <t>Czw</t>
        </is>
      </c>
      <c r="H2815">
        <f>'Floor Hours Engine'!$E$4</f>
        <v/>
      </c>
      <c r="I2815" t="inlineStr">
        <is>
          <t>W3</t>
        </is>
      </c>
      <c r="J2815" t="inlineStr">
        <is>
          <t>2028_Wrzesień_W3</t>
        </is>
      </c>
    </row>
    <row r="2816">
      <c r="A2816" s="177" t="n">
        <v>47011</v>
      </c>
      <c r="B2816" s="177" t="n">
        <v>47008</v>
      </c>
      <c r="C2816" s="177" t="n">
        <v>47014</v>
      </c>
      <c r="D2816" t="inlineStr">
        <is>
          <t>BW20280912</t>
        </is>
      </c>
      <c r="E2816" t="n">
        <v>2028</v>
      </c>
      <c r="F2816" t="inlineStr">
        <is>
          <t>Wrzesień</t>
        </is>
      </c>
      <c r="G2816" t="inlineStr">
        <is>
          <t>Pt</t>
        </is>
      </c>
      <c r="H2816">
        <f>'Floor Hours Engine'!$E$5</f>
        <v/>
      </c>
      <c r="I2816" t="inlineStr">
        <is>
          <t>W3</t>
        </is>
      </c>
      <c r="J2816" t="inlineStr">
        <is>
          <t>2028_Wrzesień_W3</t>
        </is>
      </c>
    </row>
    <row r="2817">
      <c r="A2817" s="177" t="n">
        <v>47012</v>
      </c>
      <c r="B2817" s="177" t="n">
        <v>47008</v>
      </c>
      <c r="C2817" s="177" t="n">
        <v>47014</v>
      </c>
      <c r="D2817" t="inlineStr">
        <is>
          <t>BW20280912</t>
        </is>
      </c>
      <c r="E2817" t="n">
        <v>2028</v>
      </c>
      <c r="F2817" t="inlineStr">
        <is>
          <t>Wrzesień</t>
        </is>
      </c>
      <c r="G2817" t="inlineStr">
        <is>
          <t>Sob</t>
        </is>
      </c>
      <c r="H2817">
        <f>'Floor Hours Engine'!$E$5</f>
        <v/>
      </c>
      <c r="I2817" t="inlineStr">
        <is>
          <t>W3</t>
        </is>
      </c>
      <c r="J2817" t="inlineStr">
        <is>
          <t>2028_Wrzesień_W3</t>
        </is>
      </c>
    </row>
    <row r="2818">
      <c r="A2818" s="177" t="n">
        <v>47013</v>
      </c>
      <c r="B2818" s="177" t="n">
        <v>47008</v>
      </c>
      <c r="C2818" s="177" t="n">
        <v>47014</v>
      </c>
      <c r="D2818" t="inlineStr">
        <is>
          <t>BW20280912</t>
        </is>
      </c>
      <c r="E2818" t="n">
        <v>2028</v>
      </c>
      <c r="F2818" t="inlineStr">
        <is>
          <t>Wrzesień</t>
        </is>
      </c>
      <c r="G2818" t="inlineStr">
        <is>
          <t>Nd</t>
        </is>
      </c>
      <c r="H2818">
        <f>'Floor Hours Engine'!$E$6</f>
        <v/>
      </c>
      <c r="I2818" t="inlineStr">
        <is>
          <t>W3</t>
        </is>
      </c>
      <c r="J2818" t="inlineStr">
        <is>
          <t>2028_Wrzesień_W3</t>
        </is>
      </c>
    </row>
    <row r="2819">
      <c r="A2819" s="177" t="n">
        <v>47014</v>
      </c>
      <c r="B2819" s="177" t="n">
        <v>47008</v>
      </c>
      <c r="C2819" s="177" t="n">
        <v>47014</v>
      </c>
      <c r="D2819" t="inlineStr">
        <is>
          <t>BW20280912</t>
        </is>
      </c>
      <c r="E2819" t="n">
        <v>2028</v>
      </c>
      <c r="F2819" t="inlineStr">
        <is>
          <t>Wrzesień</t>
        </is>
      </c>
      <c r="G2819" t="inlineStr">
        <is>
          <t>Pn</t>
        </is>
      </c>
      <c r="H2819">
        <f>'Floor Hours Engine'!$E$4</f>
        <v/>
      </c>
      <c r="I2819" t="inlineStr">
        <is>
          <t>W3</t>
        </is>
      </c>
      <c r="J2819" t="inlineStr">
        <is>
          <t>2028_Wrzesień_W3</t>
        </is>
      </c>
    </row>
    <row r="2820">
      <c r="A2820" s="177" t="n">
        <v>47015</v>
      </c>
      <c r="B2820" s="177" t="n">
        <v>47015</v>
      </c>
      <c r="C2820" s="177" t="n">
        <v>47021</v>
      </c>
      <c r="D2820" t="inlineStr">
        <is>
          <t>BW20280919</t>
        </is>
      </c>
      <c r="E2820" t="n">
        <v>2028</v>
      </c>
      <c r="F2820" t="inlineStr">
        <is>
          <t>Wrzesień</t>
        </is>
      </c>
      <c r="G2820" t="inlineStr">
        <is>
          <t>Wt</t>
        </is>
      </c>
      <c r="H2820">
        <f>'Floor Hours Engine'!$E$4</f>
        <v/>
      </c>
      <c r="I2820" t="inlineStr">
        <is>
          <t>W4</t>
        </is>
      </c>
      <c r="J2820" t="inlineStr">
        <is>
          <t>2028_Wrzesień_W4</t>
        </is>
      </c>
    </row>
    <row r="2821">
      <c r="A2821" s="177" t="n">
        <v>47016</v>
      </c>
      <c r="B2821" s="177" t="n">
        <v>47015</v>
      </c>
      <c r="C2821" s="177" t="n">
        <v>47021</v>
      </c>
      <c r="D2821" t="inlineStr">
        <is>
          <t>BW20280919</t>
        </is>
      </c>
      <c r="E2821" t="n">
        <v>2028</v>
      </c>
      <c r="F2821" t="inlineStr">
        <is>
          <t>Wrzesień</t>
        </is>
      </c>
      <c r="G2821" t="inlineStr">
        <is>
          <t>Śr</t>
        </is>
      </c>
      <c r="H2821">
        <f>'Floor Hours Engine'!$E$4</f>
        <v/>
      </c>
      <c r="I2821" t="inlineStr">
        <is>
          <t>W4</t>
        </is>
      </c>
      <c r="J2821" t="inlineStr">
        <is>
          <t>2028_Wrzesień_W4</t>
        </is>
      </c>
    </row>
    <row r="2822">
      <c r="A2822" s="177" t="n">
        <v>47017</v>
      </c>
      <c r="B2822" s="177" t="n">
        <v>47015</v>
      </c>
      <c r="C2822" s="177" t="n">
        <v>47021</v>
      </c>
      <c r="D2822" t="inlineStr">
        <is>
          <t>BW20280919</t>
        </is>
      </c>
      <c r="E2822" t="n">
        <v>2028</v>
      </c>
      <c r="F2822" t="inlineStr">
        <is>
          <t>Wrzesień</t>
        </is>
      </c>
      <c r="G2822" t="inlineStr">
        <is>
          <t>Czw</t>
        </is>
      </c>
      <c r="H2822">
        <f>'Floor Hours Engine'!$E$4</f>
        <v/>
      </c>
      <c r="I2822" t="inlineStr">
        <is>
          <t>W4</t>
        </is>
      </c>
      <c r="J2822" t="inlineStr">
        <is>
          <t>2028_Wrzesień_W4</t>
        </is>
      </c>
    </row>
    <row r="2823">
      <c r="A2823" s="177" t="n">
        <v>47018</v>
      </c>
      <c r="B2823" s="177" t="n">
        <v>47015</v>
      </c>
      <c r="C2823" s="177" t="n">
        <v>47021</v>
      </c>
      <c r="D2823" t="inlineStr">
        <is>
          <t>BW20280919</t>
        </is>
      </c>
      <c r="E2823" t="n">
        <v>2028</v>
      </c>
      <c r="F2823" t="inlineStr">
        <is>
          <t>Wrzesień</t>
        </is>
      </c>
      <c r="G2823" t="inlineStr">
        <is>
          <t>Pt</t>
        </is>
      </c>
      <c r="H2823">
        <f>'Floor Hours Engine'!$E$5</f>
        <v/>
      </c>
      <c r="I2823" t="inlineStr">
        <is>
          <t>W4</t>
        </is>
      </c>
      <c r="J2823" t="inlineStr">
        <is>
          <t>2028_Wrzesień_W4</t>
        </is>
      </c>
    </row>
    <row r="2824">
      <c r="A2824" s="177" t="n">
        <v>47019</v>
      </c>
      <c r="B2824" s="177" t="n">
        <v>47015</v>
      </c>
      <c r="C2824" s="177" t="n">
        <v>47021</v>
      </c>
      <c r="D2824" t="inlineStr">
        <is>
          <t>BW20280919</t>
        </is>
      </c>
      <c r="E2824" t="n">
        <v>2028</v>
      </c>
      <c r="F2824" t="inlineStr">
        <is>
          <t>Wrzesień</t>
        </is>
      </c>
      <c r="G2824" t="inlineStr">
        <is>
          <t>Sob</t>
        </is>
      </c>
      <c r="H2824">
        <f>'Floor Hours Engine'!$E$5</f>
        <v/>
      </c>
      <c r="I2824" t="inlineStr">
        <is>
          <t>W4</t>
        </is>
      </c>
      <c r="J2824" t="inlineStr">
        <is>
          <t>2028_Wrzesień_W4</t>
        </is>
      </c>
    </row>
    <row r="2825">
      <c r="A2825" s="177" t="n">
        <v>47020</v>
      </c>
      <c r="B2825" s="177" t="n">
        <v>47015</v>
      </c>
      <c r="C2825" s="177" t="n">
        <v>47021</v>
      </c>
      <c r="D2825" t="inlineStr">
        <is>
          <t>BW20280919</t>
        </is>
      </c>
      <c r="E2825" t="n">
        <v>2028</v>
      </c>
      <c r="F2825" t="inlineStr">
        <is>
          <t>Wrzesień</t>
        </is>
      </c>
      <c r="G2825" t="inlineStr">
        <is>
          <t>Nd</t>
        </is>
      </c>
      <c r="H2825">
        <f>'Floor Hours Engine'!$E$6</f>
        <v/>
      </c>
      <c r="I2825" t="inlineStr">
        <is>
          <t>W4</t>
        </is>
      </c>
      <c r="J2825" t="inlineStr">
        <is>
          <t>2028_Wrzesień_W4</t>
        </is>
      </c>
    </row>
    <row r="2826">
      <c r="A2826" s="177" t="n">
        <v>47021</v>
      </c>
      <c r="B2826" s="177" t="n">
        <v>47015</v>
      </c>
      <c r="C2826" s="177" t="n">
        <v>47021</v>
      </c>
      <c r="D2826" t="inlineStr">
        <is>
          <t>BW20280919</t>
        </is>
      </c>
      <c r="E2826" t="n">
        <v>2028</v>
      </c>
      <c r="F2826" t="inlineStr">
        <is>
          <t>Wrzesień</t>
        </is>
      </c>
      <c r="G2826" t="inlineStr">
        <is>
          <t>Pn</t>
        </is>
      </c>
      <c r="H2826">
        <f>'Floor Hours Engine'!$E$4</f>
        <v/>
      </c>
      <c r="I2826" t="inlineStr">
        <is>
          <t>W4</t>
        </is>
      </c>
      <c r="J2826" t="inlineStr">
        <is>
          <t>2028_Wrzesień_W4</t>
        </is>
      </c>
    </row>
    <row r="2827">
      <c r="A2827" s="177" t="n">
        <v>47022</v>
      </c>
      <c r="B2827" s="177" t="n">
        <v>47022</v>
      </c>
      <c r="C2827" s="177" t="n">
        <v>47028</v>
      </c>
      <c r="D2827" t="inlineStr">
        <is>
          <t>BW20280926</t>
        </is>
      </c>
      <c r="E2827" t="n">
        <v>2028</v>
      </c>
      <c r="F2827" t="inlineStr">
        <is>
          <t>Wrzesień</t>
        </is>
      </c>
      <c r="G2827" t="inlineStr">
        <is>
          <t>Wt</t>
        </is>
      </c>
      <c r="H2827">
        <f>'Floor Hours Engine'!$E$4</f>
        <v/>
      </c>
      <c r="I2827" t="inlineStr">
        <is>
          <t>W5</t>
        </is>
      </c>
      <c r="J2827" t="inlineStr">
        <is>
          <t>2028_Wrzesień_W5</t>
        </is>
      </c>
    </row>
    <row r="2828">
      <c r="A2828" s="177" t="n">
        <v>47023</v>
      </c>
      <c r="B2828" s="177" t="n">
        <v>47022</v>
      </c>
      <c r="C2828" s="177" t="n">
        <v>47028</v>
      </c>
      <c r="D2828" t="inlineStr">
        <is>
          <t>BW20280926</t>
        </is>
      </c>
      <c r="E2828" t="n">
        <v>2028</v>
      </c>
      <c r="F2828" t="inlineStr">
        <is>
          <t>Wrzesień</t>
        </is>
      </c>
      <c r="G2828" t="inlineStr">
        <is>
          <t>Śr</t>
        </is>
      </c>
      <c r="H2828">
        <f>'Floor Hours Engine'!$E$4</f>
        <v/>
      </c>
      <c r="I2828" t="inlineStr">
        <is>
          <t>W5</t>
        </is>
      </c>
      <c r="J2828" t="inlineStr">
        <is>
          <t>2028_Wrzesień_W5</t>
        </is>
      </c>
    </row>
    <row r="2829">
      <c r="A2829" s="177" t="n">
        <v>47024</v>
      </c>
      <c r="B2829" s="177" t="n">
        <v>47022</v>
      </c>
      <c r="C2829" s="177" t="n">
        <v>47028</v>
      </c>
      <c r="D2829" t="inlineStr">
        <is>
          <t>BW20280926</t>
        </is>
      </c>
      <c r="E2829" t="n">
        <v>2028</v>
      </c>
      <c r="F2829" t="inlineStr">
        <is>
          <t>Wrzesień</t>
        </is>
      </c>
      <c r="G2829" t="inlineStr">
        <is>
          <t>Czw</t>
        </is>
      </c>
      <c r="H2829">
        <f>'Floor Hours Engine'!$E$4</f>
        <v/>
      </c>
      <c r="I2829" t="inlineStr">
        <is>
          <t>W5</t>
        </is>
      </c>
      <c r="J2829" t="inlineStr">
        <is>
          <t>2028_Wrzesień_W5</t>
        </is>
      </c>
    </row>
    <row r="2830">
      <c r="A2830" s="177" t="n">
        <v>47025</v>
      </c>
      <c r="B2830" s="177" t="n">
        <v>47022</v>
      </c>
      <c r="C2830" s="177" t="n">
        <v>47028</v>
      </c>
      <c r="D2830" t="inlineStr">
        <is>
          <t>BW20280926</t>
        </is>
      </c>
      <c r="E2830" t="n">
        <v>2028</v>
      </c>
      <c r="F2830" t="inlineStr">
        <is>
          <t>Wrzesień</t>
        </is>
      </c>
      <c r="G2830" t="inlineStr">
        <is>
          <t>Pt</t>
        </is>
      </c>
      <c r="H2830">
        <f>'Floor Hours Engine'!$E$5</f>
        <v/>
      </c>
      <c r="I2830" t="inlineStr">
        <is>
          <t>W5</t>
        </is>
      </c>
      <c r="J2830" t="inlineStr">
        <is>
          <t>2028_Wrzesień_W5</t>
        </is>
      </c>
    </row>
    <row r="2831">
      <c r="A2831" s="177" t="n">
        <v>47026</v>
      </c>
      <c r="B2831" s="177" t="n">
        <v>47022</v>
      </c>
      <c r="C2831" s="177" t="n">
        <v>47028</v>
      </c>
      <c r="D2831" t="inlineStr">
        <is>
          <t>BW20280926</t>
        </is>
      </c>
      <c r="E2831" t="n">
        <v>2028</v>
      </c>
      <c r="F2831" t="inlineStr">
        <is>
          <t>Wrzesień</t>
        </is>
      </c>
      <c r="G2831" t="inlineStr">
        <is>
          <t>Sob</t>
        </is>
      </c>
      <c r="H2831">
        <f>'Floor Hours Engine'!$E$5</f>
        <v/>
      </c>
      <c r="I2831" t="inlineStr">
        <is>
          <t>W5</t>
        </is>
      </c>
      <c r="J2831" t="inlineStr">
        <is>
          <t>2028_Wrzesień_W5</t>
        </is>
      </c>
    </row>
    <row r="2832">
      <c r="A2832" s="177" t="n">
        <v>47027</v>
      </c>
      <c r="B2832" s="177" t="n">
        <v>47022</v>
      </c>
      <c r="C2832" s="177" t="n">
        <v>47028</v>
      </c>
      <c r="D2832" t="inlineStr">
        <is>
          <t>BW20280926</t>
        </is>
      </c>
      <c r="E2832" t="n">
        <v>2028</v>
      </c>
      <c r="F2832" t="inlineStr">
        <is>
          <t>Październik</t>
        </is>
      </c>
      <c r="G2832" t="inlineStr">
        <is>
          <t>Nd</t>
        </is>
      </c>
      <c r="H2832">
        <f>'Floor Hours Engine'!$E$6</f>
        <v/>
      </c>
      <c r="I2832" t="inlineStr">
        <is>
          <t>W1</t>
        </is>
      </c>
      <c r="J2832" t="inlineStr">
        <is>
          <t>2028_Październik_W1</t>
        </is>
      </c>
    </row>
    <row r="2833">
      <c r="A2833" s="177" t="n">
        <v>47028</v>
      </c>
      <c r="B2833" s="177" t="n">
        <v>47022</v>
      </c>
      <c r="C2833" s="177" t="n">
        <v>47028</v>
      </c>
      <c r="D2833" t="inlineStr">
        <is>
          <t>BW20280926</t>
        </is>
      </c>
      <c r="E2833" t="n">
        <v>2028</v>
      </c>
      <c r="F2833" t="inlineStr">
        <is>
          <t>Październik</t>
        </is>
      </c>
      <c r="G2833" t="inlineStr">
        <is>
          <t>Pn</t>
        </is>
      </c>
      <c r="H2833">
        <f>'Floor Hours Engine'!$E$4</f>
        <v/>
      </c>
      <c r="I2833" t="inlineStr">
        <is>
          <t>W1</t>
        </is>
      </c>
      <c r="J2833" t="inlineStr">
        <is>
          <t>2028_Październik_W1</t>
        </is>
      </c>
    </row>
    <row r="2834">
      <c r="A2834" s="177" t="n">
        <v>47029</v>
      </c>
      <c r="B2834" s="177" t="n">
        <v>47029</v>
      </c>
      <c r="C2834" s="177" t="n">
        <v>47035</v>
      </c>
      <c r="D2834" t="inlineStr">
        <is>
          <t>BW20281003</t>
        </is>
      </c>
      <c r="E2834" t="n">
        <v>2028</v>
      </c>
      <c r="F2834" t="inlineStr">
        <is>
          <t>Październik</t>
        </is>
      </c>
      <c r="G2834" t="inlineStr">
        <is>
          <t>Wt</t>
        </is>
      </c>
      <c r="H2834">
        <f>'Floor Hours Engine'!$E$4</f>
        <v/>
      </c>
      <c r="I2834" t="inlineStr">
        <is>
          <t>W2</t>
        </is>
      </c>
      <c r="J2834" t="inlineStr">
        <is>
          <t>2028_Październik_W2</t>
        </is>
      </c>
    </row>
    <row r="2835">
      <c r="A2835" s="177" t="n">
        <v>47030</v>
      </c>
      <c r="B2835" s="177" t="n">
        <v>47029</v>
      </c>
      <c r="C2835" s="177" t="n">
        <v>47035</v>
      </c>
      <c r="D2835" t="inlineStr">
        <is>
          <t>BW20281003</t>
        </is>
      </c>
      <c r="E2835" t="n">
        <v>2028</v>
      </c>
      <c r="F2835" t="inlineStr">
        <is>
          <t>Październik</t>
        </is>
      </c>
      <c r="G2835" t="inlineStr">
        <is>
          <t>Śr</t>
        </is>
      </c>
      <c r="H2835">
        <f>'Floor Hours Engine'!$E$4</f>
        <v/>
      </c>
      <c r="I2835" t="inlineStr">
        <is>
          <t>W2</t>
        </is>
      </c>
      <c r="J2835" t="inlineStr">
        <is>
          <t>2028_Październik_W2</t>
        </is>
      </c>
    </row>
    <row r="2836">
      <c r="A2836" s="177" t="n">
        <v>47031</v>
      </c>
      <c r="B2836" s="177" t="n">
        <v>47029</v>
      </c>
      <c r="C2836" s="177" t="n">
        <v>47035</v>
      </c>
      <c r="D2836" t="inlineStr">
        <is>
          <t>BW20281003</t>
        </is>
      </c>
      <c r="E2836" t="n">
        <v>2028</v>
      </c>
      <c r="F2836" t="inlineStr">
        <is>
          <t>Październik</t>
        </is>
      </c>
      <c r="G2836" t="inlineStr">
        <is>
          <t>Czw</t>
        </is>
      </c>
      <c r="H2836">
        <f>'Floor Hours Engine'!$E$4</f>
        <v/>
      </c>
      <c r="I2836" t="inlineStr">
        <is>
          <t>W2</t>
        </is>
      </c>
      <c r="J2836" t="inlineStr">
        <is>
          <t>2028_Październik_W2</t>
        </is>
      </c>
    </row>
    <row r="2837">
      <c r="A2837" s="177" t="n">
        <v>47032</v>
      </c>
      <c r="B2837" s="177" t="n">
        <v>47029</v>
      </c>
      <c r="C2837" s="177" t="n">
        <v>47035</v>
      </c>
      <c r="D2837" t="inlineStr">
        <is>
          <t>BW20281003</t>
        </is>
      </c>
      <c r="E2837" t="n">
        <v>2028</v>
      </c>
      <c r="F2837" t="inlineStr">
        <is>
          <t>Październik</t>
        </is>
      </c>
      <c r="G2837" t="inlineStr">
        <is>
          <t>Pt</t>
        </is>
      </c>
      <c r="H2837">
        <f>'Floor Hours Engine'!$E$5</f>
        <v/>
      </c>
      <c r="I2837" t="inlineStr">
        <is>
          <t>W2</t>
        </is>
      </c>
      <c r="J2837" t="inlineStr">
        <is>
          <t>2028_Październik_W2</t>
        </is>
      </c>
    </row>
    <row r="2838">
      <c r="A2838" s="177" t="n">
        <v>47033</v>
      </c>
      <c r="B2838" s="177" t="n">
        <v>47029</v>
      </c>
      <c r="C2838" s="177" t="n">
        <v>47035</v>
      </c>
      <c r="D2838" t="inlineStr">
        <is>
          <t>BW20281003</t>
        </is>
      </c>
      <c r="E2838" t="n">
        <v>2028</v>
      </c>
      <c r="F2838" t="inlineStr">
        <is>
          <t>Październik</t>
        </is>
      </c>
      <c r="G2838" t="inlineStr">
        <is>
          <t>Sob</t>
        </is>
      </c>
      <c r="H2838">
        <f>'Floor Hours Engine'!$E$5</f>
        <v/>
      </c>
      <c r="I2838" t="inlineStr">
        <is>
          <t>W2</t>
        </is>
      </c>
      <c r="J2838" t="inlineStr">
        <is>
          <t>2028_Październik_W2</t>
        </is>
      </c>
    </row>
    <row r="2839">
      <c r="A2839" s="177" t="n">
        <v>47034</v>
      </c>
      <c r="B2839" s="177" t="n">
        <v>47029</v>
      </c>
      <c r="C2839" s="177" t="n">
        <v>47035</v>
      </c>
      <c r="D2839" t="inlineStr">
        <is>
          <t>BW20281003</t>
        </is>
      </c>
      <c r="E2839" t="n">
        <v>2028</v>
      </c>
      <c r="F2839" t="inlineStr">
        <is>
          <t>Październik</t>
        </is>
      </c>
      <c r="G2839" t="inlineStr">
        <is>
          <t>Nd</t>
        </is>
      </c>
      <c r="H2839">
        <f>'Floor Hours Engine'!$E$6</f>
        <v/>
      </c>
      <c r="I2839" t="inlineStr">
        <is>
          <t>W2</t>
        </is>
      </c>
      <c r="J2839" t="inlineStr">
        <is>
          <t>2028_Październik_W2</t>
        </is>
      </c>
    </row>
    <row r="2840">
      <c r="A2840" s="177" t="n">
        <v>47035</v>
      </c>
      <c r="B2840" s="177" t="n">
        <v>47029</v>
      </c>
      <c r="C2840" s="177" t="n">
        <v>47035</v>
      </c>
      <c r="D2840" t="inlineStr">
        <is>
          <t>BW20281003</t>
        </is>
      </c>
      <c r="E2840" t="n">
        <v>2028</v>
      </c>
      <c r="F2840" t="inlineStr">
        <is>
          <t>Październik</t>
        </is>
      </c>
      <c r="G2840" t="inlineStr">
        <is>
          <t>Pn</t>
        </is>
      </c>
      <c r="H2840">
        <f>'Floor Hours Engine'!$E$4</f>
        <v/>
      </c>
      <c r="I2840" t="inlineStr">
        <is>
          <t>W2</t>
        </is>
      </c>
      <c r="J2840" t="inlineStr">
        <is>
          <t>2028_Październik_W2</t>
        </is>
      </c>
    </row>
    <row r="2841">
      <c r="A2841" s="177" t="n">
        <v>47036</v>
      </c>
      <c r="B2841" s="177" t="n">
        <v>47036</v>
      </c>
      <c r="C2841" s="177" t="n">
        <v>47042</v>
      </c>
      <c r="D2841" t="inlineStr">
        <is>
          <t>BW20281010</t>
        </is>
      </c>
      <c r="E2841" t="n">
        <v>2028</v>
      </c>
      <c r="F2841" t="inlineStr">
        <is>
          <t>Październik</t>
        </is>
      </c>
      <c r="G2841" t="inlineStr">
        <is>
          <t>Wt</t>
        </is>
      </c>
      <c r="H2841">
        <f>'Floor Hours Engine'!$E$4</f>
        <v/>
      </c>
      <c r="I2841" t="inlineStr">
        <is>
          <t>W3</t>
        </is>
      </c>
      <c r="J2841" t="inlineStr">
        <is>
          <t>2028_Październik_W3</t>
        </is>
      </c>
    </row>
    <row r="2842">
      <c r="A2842" s="177" t="n">
        <v>47037</v>
      </c>
      <c r="B2842" s="177" t="n">
        <v>47036</v>
      </c>
      <c r="C2842" s="177" t="n">
        <v>47042</v>
      </c>
      <c r="D2842" t="inlineStr">
        <is>
          <t>BW20281010</t>
        </is>
      </c>
      <c r="E2842" t="n">
        <v>2028</v>
      </c>
      <c r="F2842" t="inlineStr">
        <is>
          <t>Październik</t>
        </is>
      </c>
      <c r="G2842" t="inlineStr">
        <is>
          <t>Śr</t>
        </is>
      </c>
      <c r="H2842">
        <f>'Floor Hours Engine'!$E$4</f>
        <v/>
      </c>
      <c r="I2842" t="inlineStr">
        <is>
          <t>W3</t>
        </is>
      </c>
      <c r="J2842" t="inlineStr">
        <is>
          <t>2028_Październik_W3</t>
        </is>
      </c>
    </row>
    <row r="2843">
      <c r="A2843" s="177" t="n">
        <v>47038</v>
      </c>
      <c r="B2843" s="177" t="n">
        <v>47036</v>
      </c>
      <c r="C2843" s="177" t="n">
        <v>47042</v>
      </c>
      <c r="D2843" t="inlineStr">
        <is>
          <t>BW20281010</t>
        </is>
      </c>
      <c r="E2843" t="n">
        <v>2028</v>
      </c>
      <c r="F2843" t="inlineStr">
        <is>
          <t>Październik</t>
        </is>
      </c>
      <c r="G2843" t="inlineStr">
        <is>
          <t>Czw</t>
        </is>
      </c>
      <c r="H2843">
        <f>'Floor Hours Engine'!$E$4</f>
        <v/>
      </c>
      <c r="I2843" t="inlineStr">
        <is>
          <t>W3</t>
        </is>
      </c>
      <c r="J2843" t="inlineStr">
        <is>
          <t>2028_Październik_W3</t>
        </is>
      </c>
    </row>
    <row r="2844">
      <c r="A2844" s="177" t="n">
        <v>47039</v>
      </c>
      <c r="B2844" s="177" t="n">
        <v>47036</v>
      </c>
      <c r="C2844" s="177" t="n">
        <v>47042</v>
      </c>
      <c r="D2844" t="inlineStr">
        <is>
          <t>BW20281010</t>
        </is>
      </c>
      <c r="E2844" t="n">
        <v>2028</v>
      </c>
      <c r="F2844" t="inlineStr">
        <is>
          <t>Październik</t>
        </is>
      </c>
      <c r="G2844" t="inlineStr">
        <is>
          <t>Pt</t>
        </is>
      </c>
      <c r="H2844">
        <f>'Floor Hours Engine'!$E$5</f>
        <v/>
      </c>
      <c r="I2844" t="inlineStr">
        <is>
          <t>W3</t>
        </is>
      </c>
      <c r="J2844" t="inlineStr">
        <is>
          <t>2028_Październik_W3</t>
        </is>
      </c>
    </row>
    <row r="2845">
      <c r="A2845" s="177" t="n">
        <v>47040</v>
      </c>
      <c r="B2845" s="177" t="n">
        <v>47036</v>
      </c>
      <c r="C2845" s="177" t="n">
        <v>47042</v>
      </c>
      <c r="D2845" t="inlineStr">
        <is>
          <t>BW20281010</t>
        </is>
      </c>
      <c r="E2845" t="n">
        <v>2028</v>
      </c>
      <c r="F2845" t="inlineStr">
        <is>
          <t>Październik</t>
        </is>
      </c>
      <c r="G2845" t="inlineStr">
        <is>
          <t>Sob</t>
        </is>
      </c>
      <c r="H2845">
        <f>'Floor Hours Engine'!$E$5</f>
        <v/>
      </c>
      <c r="I2845" t="inlineStr">
        <is>
          <t>W3</t>
        </is>
      </c>
      <c r="J2845" t="inlineStr">
        <is>
          <t>2028_Październik_W3</t>
        </is>
      </c>
    </row>
    <row r="2846">
      <c r="A2846" s="177" t="n">
        <v>47041</v>
      </c>
      <c r="B2846" s="177" t="n">
        <v>47036</v>
      </c>
      <c r="C2846" s="177" t="n">
        <v>47042</v>
      </c>
      <c r="D2846" t="inlineStr">
        <is>
          <t>BW20281010</t>
        </is>
      </c>
      <c r="E2846" t="n">
        <v>2028</v>
      </c>
      <c r="F2846" t="inlineStr">
        <is>
          <t>Październik</t>
        </is>
      </c>
      <c r="G2846" t="inlineStr">
        <is>
          <t>Nd</t>
        </is>
      </c>
      <c r="H2846">
        <f>'Floor Hours Engine'!$E$6</f>
        <v/>
      </c>
      <c r="I2846" t="inlineStr">
        <is>
          <t>W3</t>
        </is>
      </c>
      <c r="J2846" t="inlineStr">
        <is>
          <t>2028_Październik_W3</t>
        </is>
      </c>
    </row>
    <row r="2847">
      <c r="A2847" s="177" t="n">
        <v>47042</v>
      </c>
      <c r="B2847" s="177" t="n">
        <v>47036</v>
      </c>
      <c r="C2847" s="177" t="n">
        <v>47042</v>
      </c>
      <c r="D2847" t="inlineStr">
        <is>
          <t>BW20281010</t>
        </is>
      </c>
      <c r="E2847" t="n">
        <v>2028</v>
      </c>
      <c r="F2847" t="inlineStr">
        <is>
          <t>Październik</t>
        </is>
      </c>
      <c r="G2847" t="inlineStr">
        <is>
          <t>Pn</t>
        </is>
      </c>
      <c r="H2847">
        <f>'Floor Hours Engine'!$E$4</f>
        <v/>
      </c>
      <c r="I2847" t="inlineStr">
        <is>
          <t>W3</t>
        </is>
      </c>
      <c r="J2847" t="inlineStr">
        <is>
          <t>2028_Październik_W3</t>
        </is>
      </c>
    </row>
    <row r="2848">
      <c r="A2848" s="177" t="n">
        <v>47043</v>
      </c>
      <c r="B2848" s="177" t="n">
        <v>47043</v>
      </c>
      <c r="C2848" s="177" t="n">
        <v>47049</v>
      </c>
      <c r="D2848" t="inlineStr">
        <is>
          <t>BW20281017</t>
        </is>
      </c>
      <c r="E2848" t="n">
        <v>2028</v>
      </c>
      <c r="F2848" t="inlineStr">
        <is>
          <t>Październik</t>
        </is>
      </c>
      <c r="G2848" t="inlineStr">
        <is>
          <t>Wt</t>
        </is>
      </c>
      <c r="H2848">
        <f>'Floor Hours Engine'!$E$4</f>
        <v/>
      </c>
      <c r="I2848" t="inlineStr">
        <is>
          <t>W4</t>
        </is>
      </c>
      <c r="J2848" t="inlineStr">
        <is>
          <t>2028_Październik_W4</t>
        </is>
      </c>
    </row>
    <row r="2849">
      <c r="A2849" s="177" t="n">
        <v>47044</v>
      </c>
      <c r="B2849" s="177" t="n">
        <v>47043</v>
      </c>
      <c r="C2849" s="177" t="n">
        <v>47049</v>
      </c>
      <c r="D2849" t="inlineStr">
        <is>
          <t>BW20281017</t>
        </is>
      </c>
      <c r="E2849" t="n">
        <v>2028</v>
      </c>
      <c r="F2849" t="inlineStr">
        <is>
          <t>Październik</t>
        </is>
      </c>
      <c r="G2849" t="inlineStr">
        <is>
          <t>Śr</t>
        </is>
      </c>
      <c r="H2849">
        <f>'Floor Hours Engine'!$E$4</f>
        <v/>
      </c>
      <c r="I2849" t="inlineStr">
        <is>
          <t>W4</t>
        </is>
      </c>
      <c r="J2849" t="inlineStr">
        <is>
          <t>2028_Październik_W4</t>
        </is>
      </c>
    </row>
    <row r="2850">
      <c r="A2850" s="177" t="n">
        <v>47045</v>
      </c>
      <c r="B2850" s="177" t="n">
        <v>47043</v>
      </c>
      <c r="C2850" s="177" t="n">
        <v>47049</v>
      </c>
      <c r="D2850" t="inlineStr">
        <is>
          <t>BW20281017</t>
        </is>
      </c>
      <c r="E2850" t="n">
        <v>2028</v>
      </c>
      <c r="F2850" t="inlineStr">
        <is>
          <t>Październik</t>
        </is>
      </c>
      <c r="G2850" t="inlineStr">
        <is>
          <t>Czw</t>
        </is>
      </c>
      <c r="H2850">
        <f>'Floor Hours Engine'!$E$4</f>
        <v/>
      </c>
      <c r="I2850" t="inlineStr">
        <is>
          <t>W4</t>
        </is>
      </c>
      <c r="J2850" t="inlineStr">
        <is>
          <t>2028_Październik_W4</t>
        </is>
      </c>
    </row>
    <row r="2851">
      <c r="A2851" s="177" t="n">
        <v>47046</v>
      </c>
      <c r="B2851" s="177" t="n">
        <v>47043</v>
      </c>
      <c r="C2851" s="177" t="n">
        <v>47049</v>
      </c>
      <c r="D2851" t="inlineStr">
        <is>
          <t>BW20281017</t>
        </is>
      </c>
      <c r="E2851" t="n">
        <v>2028</v>
      </c>
      <c r="F2851" t="inlineStr">
        <is>
          <t>Październik</t>
        </is>
      </c>
      <c r="G2851" t="inlineStr">
        <is>
          <t>Pt</t>
        </is>
      </c>
      <c r="H2851">
        <f>'Floor Hours Engine'!$E$5</f>
        <v/>
      </c>
      <c r="I2851" t="inlineStr">
        <is>
          <t>W4</t>
        </is>
      </c>
      <c r="J2851" t="inlineStr">
        <is>
          <t>2028_Październik_W4</t>
        </is>
      </c>
    </row>
    <row r="2852">
      <c r="A2852" s="177" t="n">
        <v>47047</v>
      </c>
      <c r="B2852" s="177" t="n">
        <v>47043</v>
      </c>
      <c r="C2852" s="177" t="n">
        <v>47049</v>
      </c>
      <c r="D2852" t="inlineStr">
        <is>
          <t>BW20281017</t>
        </is>
      </c>
      <c r="E2852" t="n">
        <v>2028</v>
      </c>
      <c r="F2852" t="inlineStr">
        <is>
          <t>Październik</t>
        </is>
      </c>
      <c r="G2852" t="inlineStr">
        <is>
          <t>Sob</t>
        </is>
      </c>
      <c r="H2852">
        <f>'Floor Hours Engine'!$E$5</f>
        <v/>
      </c>
      <c r="I2852" t="inlineStr">
        <is>
          <t>W4</t>
        </is>
      </c>
      <c r="J2852" t="inlineStr">
        <is>
          <t>2028_Październik_W4</t>
        </is>
      </c>
    </row>
    <row r="2853">
      <c r="A2853" s="177" t="n">
        <v>47048</v>
      </c>
      <c r="B2853" s="177" t="n">
        <v>47043</v>
      </c>
      <c r="C2853" s="177" t="n">
        <v>47049</v>
      </c>
      <c r="D2853" t="inlineStr">
        <is>
          <t>BW20281017</t>
        </is>
      </c>
      <c r="E2853" t="n">
        <v>2028</v>
      </c>
      <c r="F2853" t="inlineStr">
        <is>
          <t>Październik</t>
        </is>
      </c>
      <c r="G2853" t="inlineStr">
        <is>
          <t>Nd</t>
        </is>
      </c>
      <c r="H2853">
        <f>'Floor Hours Engine'!$E$6</f>
        <v/>
      </c>
      <c r="I2853" t="inlineStr">
        <is>
          <t>W4</t>
        </is>
      </c>
      <c r="J2853" t="inlineStr">
        <is>
          <t>2028_Październik_W4</t>
        </is>
      </c>
    </row>
    <row r="2854">
      <c r="A2854" s="177" t="n">
        <v>47049</v>
      </c>
      <c r="B2854" s="177" t="n">
        <v>47043</v>
      </c>
      <c r="C2854" s="177" t="n">
        <v>47049</v>
      </c>
      <c r="D2854" t="inlineStr">
        <is>
          <t>BW20281017</t>
        </is>
      </c>
      <c r="E2854" t="n">
        <v>2028</v>
      </c>
      <c r="F2854" t="inlineStr">
        <is>
          <t>Październik</t>
        </is>
      </c>
      <c r="G2854" t="inlineStr">
        <is>
          <t>Pn</t>
        </is>
      </c>
      <c r="H2854">
        <f>'Floor Hours Engine'!$E$4</f>
        <v/>
      </c>
      <c r="I2854" t="inlineStr">
        <is>
          <t>W4</t>
        </is>
      </c>
      <c r="J2854" t="inlineStr">
        <is>
          <t>2028_Październik_W4</t>
        </is>
      </c>
    </row>
    <row r="2855">
      <c r="A2855" s="177" t="n">
        <v>47050</v>
      </c>
      <c r="B2855" s="177" t="n">
        <v>47050</v>
      </c>
      <c r="C2855" s="177" t="n">
        <v>47056</v>
      </c>
      <c r="D2855" t="inlineStr">
        <is>
          <t>BW20281024</t>
        </is>
      </c>
      <c r="E2855" t="n">
        <v>2028</v>
      </c>
      <c r="F2855" t="inlineStr">
        <is>
          <t>Październik</t>
        </is>
      </c>
      <c r="G2855" t="inlineStr">
        <is>
          <t>Wt</t>
        </is>
      </c>
      <c r="H2855">
        <f>'Floor Hours Engine'!$E$4</f>
        <v/>
      </c>
      <c r="I2855" t="inlineStr">
        <is>
          <t>W5</t>
        </is>
      </c>
      <c r="J2855" t="inlineStr">
        <is>
          <t>2028_Październik_W5</t>
        </is>
      </c>
    </row>
    <row r="2856">
      <c r="A2856" s="177" t="n">
        <v>47051</v>
      </c>
      <c r="B2856" s="177" t="n">
        <v>47050</v>
      </c>
      <c r="C2856" s="177" t="n">
        <v>47056</v>
      </c>
      <c r="D2856" t="inlineStr">
        <is>
          <t>BW20281024</t>
        </is>
      </c>
      <c r="E2856" t="n">
        <v>2028</v>
      </c>
      <c r="F2856" t="inlineStr">
        <is>
          <t>Październik</t>
        </is>
      </c>
      <c r="G2856" t="inlineStr">
        <is>
          <t>Śr</t>
        </is>
      </c>
      <c r="H2856">
        <f>'Floor Hours Engine'!$E$4</f>
        <v/>
      </c>
      <c r="I2856" t="inlineStr">
        <is>
          <t>W5</t>
        </is>
      </c>
      <c r="J2856" t="inlineStr">
        <is>
          <t>2028_Październik_W5</t>
        </is>
      </c>
    </row>
    <row r="2857">
      <c r="A2857" s="177" t="n">
        <v>47052</v>
      </c>
      <c r="B2857" s="177" t="n">
        <v>47050</v>
      </c>
      <c r="C2857" s="177" t="n">
        <v>47056</v>
      </c>
      <c r="D2857" t="inlineStr">
        <is>
          <t>BW20281024</t>
        </is>
      </c>
      <c r="E2857" t="n">
        <v>2028</v>
      </c>
      <c r="F2857" t="inlineStr">
        <is>
          <t>Październik</t>
        </is>
      </c>
      <c r="G2857" t="inlineStr">
        <is>
          <t>Czw</t>
        </is>
      </c>
      <c r="H2857">
        <f>'Floor Hours Engine'!$E$4</f>
        <v/>
      </c>
      <c r="I2857" t="inlineStr">
        <is>
          <t>W5</t>
        </is>
      </c>
      <c r="J2857" t="inlineStr">
        <is>
          <t>2028_Październik_W5</t>
        </is>
      </c>
    </row>
    <row r="2858">
      <c r="A2858" s="177" t="n">
        <v>47053</v>
      </c>
      <c r="B2858" s="177" t="n">
        <v>47050</v>
      </c>
      <c r="C2858" s="177" t="n">
        <v>47056</v>
      </c>
      <c r="D2858" t="inlineStr">
        <is>
          <t>BW20281024</t>
        </is>
      </c>
      <c r="E2858" t="n">
        <v>2028</v>
      </c>
      <c r="F2858" t="inlineStr">
        <is>
          <t>Październik</t>
        </is>
      </c>
      <c r="G2858" t="inlineStr">
        <is>
          <t>Pt</t>
        </is>
      </c>
      <c r="H2858">
        <f>'Floor Hours Engine'!$E$5</f>
        <v/>
      </c>
      <c r="I2858" t="inlineStr">
        <is>
          <t>W5</t>
        </is>
      </c>
      <c r="J2858" t="inlineStr">
        <is>
          <t>2028_Październik_W5</t>
        </is>
      </c>
    </row>
    <row r="2859">
      <c r="A2859" s="177" t="n">
        <v>47054</v>
      </c>
      <c r="B2859" s="177" t="n">
        <v>47050</v>
      </c>
      <c r="C2859" s="177" t="n">
        <v>47056</v>
      </c>
      <c r="D2859" t="inlineStr">
        <is>
          <t>BW20281024</t>
        </is>
      </c>
      <c r="E2859" t="n">
        <v>2028</v>
      </c>
      <c r="F2859" t="inlineStr">
        <is>
          <t>Październik</t>
        </is>
      </c>
      <c r="G2859" t="inlineStr">
        <is>
          <t>Sob</t>
        </is>
      </c>
      <c r="H2859">
        <f>'Floor Hours Engine'!$E$5</f>
        <v/>
      </c>
      <c r="I2859" t="inlineStr">
        <is>
          <t>W5</t>
        </is>
      </c>
      <c r="J2859" t="inlineStr">
        <is>
          <t>2028_Październik_W5</t>
        </is>
      </c>
    </row>
    <row r="2860">
      <c r="A2860" s="177" t="n">
        <v>47055</v>
      </c>
      <c r="B2860" s="177" t="n">
        <v>47050</v>
      </c>
      <c r="C2860" s="177" t="n">
        <v>47056</v>
      </c>
      <c r="D2860" t="inlineStr">
        <is>
          <t>BW20281024</t>
        </is>
      </c>
      <c r="E2860" t="n">
        <v>2028</v>
      </c>
      <c r="F2860" t="inlineStr">
        <is>
          <t>Październik</t>
        </is>
      </c>
      <c r="G2860" t="inlineStr">
        <is>
          <t>Nd</t>
        </is>
      </c>
      <c r="H2860">
        <f>'Floor Hours Engine'!$E$6</f>
        <v/>
      </c>
      <c r="I2860" t="inlineStr">
        <is>
          <t>W5</t>
        </is>
      </c>
      <c r="J2860" t="inlineStr">
        <is>
          <t>2028_Październik_W5</t>
        </is>
      </c>
    </row>
    <row r="2861">
      <c r="A2861" s="177" t="n">
        <v>47056</v>
      </c>
      <c r="B2861" s="177" t="n">
        <v>47050</v>
      </c>
      <c r="C2861" s="177" t="n">
        <v>47056</v>
      </c>
      <c r="D2861" t="inlineStr">
        <is>
          <t>BW20281024</t>
        </is>
      </c>
      <c r="E2861" t="n">
        <v>2028</v>
      </c>
      <c r="F2861" t="inlineStr">
        <is>
          <t>Październik</t>
        </is>
      </c>
      <c r="G2861" t="inlineStr">
        <is>
          <t>Pn</t>
        </is>
      </c>
      <c r="H2861">
        <f>'Floor Hours Engine'!$E$4</f>
        <v/>
      </c>
      <c r="I2861" t="inlineStr">
        <is>
          <t>W5</t>
        </is>
      </c>
      <c r="J2861" t="inlineStr">
        <is>
          <t>2028_Październik_W5</t>
        </is>
      </c>
    </row>
    <row r="2862">
      <c r="A2862" s="177" t="n">
        <v>47057</v>
      </c>
      <c r="B2862" s="177" t="n">
        <v>47057</v>
      </c>
      <c r="C2862" s="177" t="n">
        <v>47063</v>
      </c>
      <c r="D2862" t="inlineStr">
        <is>
          <t>BW20281031</t>
        </is>
      </c>
      <c r="E2862" t="n">
        <v>2028</v>
      </c>
      <c r="F2862" t="inlineStr">
        <is>
          <t>Październik</t>
        </is>
      </c>
      <c r="G2862" t="inlineStr">
        <is>
          <t>Wt</t>
        </is>
      </c>
      <c r="H2862">
        <f>'Floor Hours Engine'!$E$4</f>
        <v/>
      </c>
      <c r="I2862" t="inlineStr">
        <is>
          <t>W6</t>
        </is>
      </c>
      <c r="J2862" t="inlineStr">
        <is>
          <t>2028_Październik_W6</t>
        </is>
      </c>
    </row>
    <row r="2863">
      <c r="A2863" s="177" t="n">
        <v>47058</v>
      </c>
      <c r="B2863" s="177" t="n">
        <v>47057</v>
      </c>
      <c r="C2863" s="177" t="n">
        <v>47063</v>
      </c>
      <c r="D2863" t="inlineStr">
        <is>
          <t>BW20281031</t>
        </is>
      </c>
      <c r="E2863" t="n">
        <v>2028</v>
      </c>
      <c r="F2863" t="inlineStr">
        <is>
          <t>Listopad</t>
        </is>
      </c>
      <c r="G2863" t="inlineStr">
        <is>
          <t>Śr</t>
        </is>
      </c>
      <c r="H2863">
        <f>'Floor Hours Engine'!$E$4</f>
        <v/>
      </c>
      <c r="I2863" t="inlineStr">
        <is>
          <t>W1</t>
        </is>
      </c>
      <c r="J2863" t="inlineStr">
        <is>
          <t>2028_Listopad_W1</t>
        </is>
      </c>
    </row>
    <row r="2864">
      <c r="A2864" s="177" t="n">
        <v>47059</v>
      </c>
      <c r="B2864" s="177" t="n">
        <v>47057</v>
      </c>
      <c r="C2864" s="177" t="n">
        <v>47063</v>
      </c>
      <c r="D2864" t="inlineStr">
        <is>
          <t>BW20281031</t>
        </is>
      </c>
      <c r="E2864" t="n">
        <v>2028</v>
      </c>
      <c r="F2864" t="inlineStr">
        <is>
          <t>Listopad</t>
        </is>
      </c>
      <c r="G2864" t="inlineStr">
        <is>
          <t>Czw</t>
        </is>
      </c>
      <c r="H2864">
        <f>'Floor Hours Engine'!$E$4</f>
        <v/>
      </c>
      <c r="I2864" t="inlineStr">
        <is>
          <t>W1</t>
        </is>
      </c>
      <c r="J2864" t="inlineStr">
        <is>
          <t>2028_Listopad_W1</t>
        </is>
      </c>
    </row>
    <row r="2865">
      <c r="A2865" s="177" t="n">
        <v>47060</v>
      </c>
      <c r="B2865" s="177" t="n">
        <v>47057</v>
      </c>
      <c r="C2865" s="177" t="n">
        <v>47063</v>
      </c>
      <c r="D2865" t="inlineStr">
        <is>
          <t>BW20281031</t>
        </is>
      </c>
      <c r="E2865" t="n">
        <v>2028</v>
      </c>
      <c r="F2865" t="inlineStr">
        <is>
          <t>Listopad</t>
        </is>
      </c>
      <c r="G2865" t="inlineStr">
        <is>
          <t>Pt</t>
        </is>
      </c>
      <c r="H2865">
        <f>'Floor Hours Engine'!$E$5</f>
        <v/>
      </c>
      <c r="I2865" t="inlineStr">
        <is>
          <t>W1</t>
        </is>
      </c>
      <c r="J2865" t="inlineStr">
        <is>
          <t>2028_Listopad_W1</t>
        </is>
      </c>
    </row>
    <row r="2866">
      <c r="A2866" s="177" t="n">
        <v>47061</v>
      </c>
      <c r="B2866" s="177" t="n">
        <v>47057</v>
      </c>
      <c r="C2866" s="177" t="n">
        <v>47063</v>
      </c>
      <c r="D2866" t="inlineStr">
        <is>
          <t>BW20281031</t>
        </is>
      </c>
      <c r="E2866" t="n">
        <v>2028</v>
      </c>
      <c r="F2866" t="inlineStr">
        <is>
          <t>Listopad</t>
        </is>
      </c>
      <c r="G2866" t="inlineStr">
        <is>
          <t>Sob</t>
        </is>
      </c>
      <c r="H2866">
        <f>'Floor Hours Engine'!$E$5</f>
        <v/>
      </c>
      <c r="I2866" t="inlineStr">
        <is>
          <t>W1</t>
        </is>
      </c>
      <c r="J2866" t="inlineStr">
        <is>
          <t>2028_Listopad_W1</t>
        </is>
      </c>
    </row>
    <row r="2867">
      <c r="A2867" s="177" t="n">
        <v>47062</v>
      </c>
      <c r="B2867" s="177" t="n">
        <v>47057</v>
      </c>
      <c r="C2867" s="177" t="n">
        <v>47063</v>
      </c>
      <c r="D2867" t="inlineStr">
        <is>
          <t>BW20281031</t>
        </is>
      </c>
      <c r="E2867" t="n">
        <v>2028</v>
      </c>
      <c r="F2867" t="inlineStr">
        <is>
          <t>Listopad</t>
        </is>
      </c>
      <c r="G2867" t="inlineStr">
        <is>
          <t>Nd</t>
        </is>
      </c>
      <c r="H2867">
        <f>'Floor Hours Engine'!$E$6</f>
        <v/>
      </c>
      <c r="I2867" t="inlineStr">
        <is>
          <t>W1</t>
        </is>
      </c>
      <c r="J2867" t="inlineStr">
        <is>
          <t>2028_Listopad_W1</t>
        </is>
      </c>
    </row>
    <row r="2868">
      <c r="A2868" s="177" t="n">
        <v>47063</v>
      </c>
      <c r="B2868" s="177" t="n">
        <v>47057</v>
      </c>
      <c r="C2868" s="177" t="n">
        <v>47063</v>
      </c>
      <c r="D2868" t="inlineStr">
        <is>
          <t>BW20281031</t>
        </is>
      </c>
      <c r="E2868" t="n">
        <v>2028</v>
      </c>
      <c r="F2868" t="inlineStr">
        <is>
          <t>Listopad</t>
        </is>
      </c>
      <c r="G2868" t="inlineStr">
        <is>
          <t>Pn</t>
        </is>
      </c>
      <c r="H2868">
        <f>'Floor Hours Engine'!$E$4</f>
        <v/>
      </c>
      <c r="I2868" t="inlineStr">
        <is>
          <t>W1</t>
        </is>
      </c>
      <c r="J2868" t="inlineStr">
        <is>
          <t>2028_Listopad_W1</t>
        </is>
      </c>
    </row>
    <row r="2869">
      <c r="A2869" s="177" t="n">
        <v>47064</v>
      </c>
      <c r="B2869" s="177" t="n">
        <v>47064</v>
      </c>
      <c r="C2869" s="177" t="n">
        <v>47070</v>
      </c>
      <c r="D2869" t="inlineStr">
        <is>
          <t>BW20281107</t>
        </is>
      </c>
      <c r="E2869" t="n">
        <v>2028</v>
      </c>
      <c r="F2869" t="inlineStr">
        <is>
          <t>Listopad</t>
        </is>
      </c>
      <c r="G2869" t="inlineStr">
        <is>
          <t>Wt</t>
        </is>
      </c>
      <c r="H2869">
        <f>'Floor Hours Engine'!$E$4</f>
        <v/>
      </c>
      <c r="I2869" t="inlineStr">
        <is>
          <t>W2</t>
        </is>
      </c>
      <c r="J2869" t="inlineStr">
        <is>
          <t>2028_Listopad_W2</t>
        </is>
      </c>
    </row>
    <row r="2870">
      <c r="A2870" s="177" t="n">
        <v>47065</v>
      </c>
      <c r="B2870" s="177" t="n">
        <v>47064</v>
      </c>
      <c r="C2870" s="177" t="n">
        <v>47070</v>
      </c>
      <c r="D2870" t="inlineStr">
        <is>
          <t>BW20281107</t>
        </is>
      </c>
      <c r="E2870" t="n">
        <v>2028</v>
      </c>
      <c r="F2870" t="inlineStr">
        <is>
          <t>Listopad</t>
        </is>
      </c>
      <c r="G2870" t="inlineStr">
        <is>
          <t>Śr</t>
        </is>
      </c>
      <c r="H2870">
        <f>'Floor Hours Engine'!$E$4</f>
        <v/>
      </c>
      <c r="I2870" t="inlineStr">
        <is>
          <t>W2</t>
        </is>
      </c>
      <c r="J2870" t="inlineStr">
        <is>
          <t>2028_Listopad_W2</t>
        </is>
      </c>
    </row>
    <row r="2871">
      <c r="A2871" s="177" t="n">
        <v>47066</v>
      </c>
      <c r="B2871" s="177" t="n">
        <v>47064</v>
      </c>
      <c r="C2871" s="177" t="n">
        <v>47070</v>
      </c>
      <c r="D2871" t="inlineStr">
        <is>
          <t>BW20281107</t>
        </is>
      </c>
      <c r="E2871" t="n">
        <v>2028</v>
      </c>
      <c r="F2871" t="inlineStr">
        <is>
          <t>Listopad</t>
        </is>
      </c>
      <c r="G2871" t="inlineStr">
        <is>
          <t>Czw</t>
        </is>
      </c>
      <c r="H2871">
        <f>'Floor Hours Engine'!$E$4</f>
        <v/>
      </c>
      <c r="I2871" t="inlineStr">
        <is>
          <t>W2</t>
        </is>
      </c>
      <c r="J2871" t="inlineStr">
        <is>
          <t>2028_Listopad_W2</t>
        </is>
      </c>
    </row>
    <row r="2872">
      <c r="A2872" s="177" t="n">
        <v>47067</v>
      </c>
      <c r="B2872" s="177" t="n">
        <v>47064</v>
      </c>
      <c r="C2872" s="177" t="n">
        <v>47070</v>
      </c>
      <c r="D2872" t="inlineStr">
        <is>
          <t>BW20281107</t>
        </is>
      </c>
      <c r="E2872" t="n">
        <v>2028</v>
      </c>
      <c r="F2872" t="inlineStr">
        <is>
          <t>Listopad</t>
        </is>
      </c>
      <c r="G2872" t="inlineStr">
        <is>
          <t>Pt</t>
        </is>
      </c>
      <c r="H2872">
        <f>'Floor Hours Engine'!$E$5</f>
        <v/>
      </c>
      <c r="I2872" t="inlineStr">
        <is>
          <t>W2</t>
        </is>
      </c>
      <c r="J2872" t="inlineStr">
        <is>
          <t>2028_Listopad_W2</t>
        </is>
      </c>
    </row>
    <row r="2873">
      <c r="A2873" s="177" t="n">
        <v>47068</v>
      </c>
      <c r="B2873" s="177" t="n">
        <v>47064</v>
      </c>
      <c r="C2873" s="177" t="n">
        <v>47070</v>
      </c>
      <c r="D2873" t="inlineStr">
        <is>
          <t>BW20281107</t>
        </is>
      </c>
      <c r="E2873" t="n">
        <v>2028</v>
      </c>
      <c r="F2873" t="inlineStr">
        <is>
          <t>Listopad</t>
        </is>
      </c>
      <c r="G2873" t="inlineStr">
        <is>
          <t>Sob</t>
        </is>
      </c>
      <c r="H2873">
        <f>'Floor Hours Engine'!$E$5</f>
        <v/>
      </c>
      <c r="I2873" t="inlineStr">
        <is>
          <t>W2</t>
        </is>
      </c>
      <c r="J2873" t="inlineStr">
        <is>
          <t>2028_Listopad_W2</t>
        </is>
      </c>
    </row>
    <row r="2874">
      <c r="A2874" s="177" t="n">
        <v>47069</v>
      </c>
      <c r="B2874" s="177" t="n">
        <v>47064</v>
      </c>
      <c r="C2874" s="177" t="n">
        <v>47070</v>
      </c>
      <c r="D2874" t="inlineStr">
        <is>
          <t>BW20281107</t>
        </is>
      </c>
      <c r="E2874" t="n">
        <v>2028</v>
      </c>
      <c r="F2874" t="inlineStr">
        <is>
          <t>Listopad</t>
        </is>
      </c>
      <c r="G2874" t="inlineStr">
        <is>
          <t>Nd</t>
        </is>
      </c>
      <c r="H2874">
        <f>'Floor Hours Engine'!$E$6</f>
        <v/>
      </c>
      <c r="I2874" t="inlineStr">
        <is>
          <t>W2</t>
        </is>
      </c>
      <c r="J2874" t="inlineStr">
        <is>
          <t>2028_Listopad_W2</t>
        </is>
      </c>
    </row>
    <row r="2875">
      <c r="A2875" s="177" t="n">
        <v>47070</v>
      </c>
      <c r="B2875" s="177" t="n">
        <v>47064</v>
      </c>
      <c r="C2875" s="177" t="n">
        <v>47070</v>
      </c>
      <c r="D2875" t="inlineStr">
        <is>
          <t>BW20281107</t>
        </is>
      </c>
      <c r="E2875" t="n">
        <v>2028</v>
      </c>
      <c r="F2875" t="inlineStr">
        <is>
          <t>Listopad</t>
        </is>
      </c>
      <c r="G2875" t="inlineStr">
        <is>
          <t>Pn</t>
        </is>
      </c>
      <c r="H2875">
        <f>'Floor Hours Engine'!$E$4</f>
        <v/>
      </c>
      <c r="I2875" t="inlineStr">
        <is>
          <t>W2</t>
        </is>
      </c>
      <c r="J2875" t="inlineStr">
        <is>
          <t>2028_Listopad_W2</t>
        </is>
      </c>
    </row>
    <row r="2876">
      <c r="A2876" s="177" t="n">
        <v>47071</v>
      </c>
      <c r="B2876" s="177" t="n">
        <v>47071</v>
      </c>
      <c r="C2876" s="177" t="n">
        <v>47077</v>
      </c>
      <c r="D2876" t="inlineStr">
        <is>
          <t>BW20281114</t>
        </is>
      </c>
      <c r="E2876" t="n">
        <v>2028</v>
      </c>
      <c r="F2876" t="inlineStr">
        <is>
          <t>Listopad</t>
        </is>
      </c>
      <c r="G2876" t="inlineStr">
        <is>
          <t>Wt</t>
        </is>
      </c>
      <c r="H2876">
        <f>'Floor Hours Engine'!$E$4</f>
        <v/>
      </c>
      <c r="I2876" t="inlineStr">
        <is>
          <t>W3</t>
        </is>
      </c>
      <c r="J2876" t="inlineStr">
        <is>
          <t>2028_Listopad_W3</t>
        </is>
      </c>
    </row>
    <row r="2877">
      <c r="A2877" s="177" t="n">
        <v>47072</v>
      </c>
      <c r="B2877" s="177" t="n">
        <v>47071</v>
      </c>
      <c r="C2877" s="177" t="n">
        <v>47077</v>
      </c>
      <c r="D2877" t="inlineStr">
        <is>
          <t>BW20281114</t>
        </is>
      </c>
      <c r="E2877" t="n">
        <v>2028</v>
      </c>
      <c r="F2877" t="inlineStr">
        <is>
          <t>Listopad</t>
        </is>
      </c>
      <c r="G2877" t="inlineStr">
        <is>
          <t>Śr</t>
        </is>
      </c>
      <c r="H2877">
        <f>'Floor Hours Engine'!$E$4</f>
        <v/>
      </c>
      <c r="I2877" t="inlineStr">
        <is>
          <t>W3</t>
        </is>
      </c>
      <c r="J2877" t="inlineStr">
        <is>
          <t>2028_Listopad_W3</t>
        </is>
      </c>
    </row>
    <row r="2878">
      <c r="A2878" s="177" t="n">
        <v>47073</v>
      </c>
      <c r="B2878" s="177" t="n">
        <v>47071</v>
      </c>
      <c r="C2878" s="177" t="n">
        <v>47077</v>
      </c>
      <c r="D2878" t="inlineStr">
        <is>
          <t>BW20281114</t>
        </is>
      </c>
      <c r="E2878" t="n">
        <v>2028</v>
      </c>
      <c r="F2878" t="inlineStr">
        <is>
          <t>Listopad</t>
        </is>
      </c>
      <c r="G2878" t="inlineStr">
        <is>
          <t>Czw</t>
        </is>
      </c>
      <c r="H2878">
        <f>'Floor Hours Engine'!$E$4</f>
        <v/>
      </c>
      <c r="I2878" t="inlineStr">
        <is>
          <t>W3</t>
        </is>
      </c>
      <c r="J2878" t="inlineStr">
        <is>
          <t>2028_Listopad_W3</t>
        </is>
      </c>
    </row>
    <row r="2879">
      <c r="A2879" s="177" t="n">
        <v>47074</v>
      </c>
      <c r="B2879" s="177" t="n">
        <v>47071</v>
      </c>
      <c r="C2879" s="177" t="n">
        <v>47077</v>
      </c>
      <c r="D2879" t="inlineStr">
        <is>
          <t>BW20281114</t>
        </is>
      </c>
      <c r="E2879" t="n">
        <v>2028</v>
      </c>
      <c r="F2879" t="inlineStr">
        <is>
          <t>Listopad</t>
        </is>
      </c>
      <c r="G2879" t="inlineStr">
        <is>
          <t>Pt</t>
        </is>
      </c>
      <c r="H2879">
        <f>'Floor Hours Engine'!$E$5</f>
        <v/>
      </c>
      <c r="I2879" t="inlineStr">
        <is>
          <t>W3</t>
        </is>
      </c>
      <c r="J2879" t="inlineStr">
        <is>
          <t>2028_Listopad_W3</t>
        </is>
      </c>
    </row>
    <row r="2880">
      <c r="A2880" s="177" t="n">
        <v>47075</v>
      </c>
      <c r="B2880" s="177" t="n">
        <v>47071</v>
      </c>
      <c r="C2880" s="177" t="n">
        <v>47077</v>
      </c>
      <c r="D2880" t="inlineStr">
        <is>
          <t>BW20281114</t>
        </is>
      </c>
      <c r="E2880" t="n">
        <v>2028</v>
      </c>
      <c r="F2880" t="inlineStr">
        <is>
          <t>Listopad</t>
        </is>
      </c>
      <c r="G2880" t="inlineStr">
        <is>
          <t>Sob</t>
        </is>
      </c>
      <c r="H2880">
        <f>'Floor Hours Engine'!$E$5</f>
        <v/>
      </c>
      <c r="I2880" t="inlineStr">
        <is>
          <t>W3</t>
        </is>
      </c>
      <c r="J2880" t="inlineStr">
        <is>
          <t>2028_Listopad_W3</t>
        </is>
      </c>
    </row>
    <row r="2881">
      <c r="A2881" s="177" t="n">
        <v>47076</v>
      </c>
      <c r="B2881" s="177" t="n">
        <v>47071</v>
      </c>
      <c r="C2881" s="177" t="n">
        <v>47077</v>
      </c>
      <c r="D2881" t="inlineStr">
        <is>
          <t>BW20281114</t>
        </is>
      </c>
      <c r="E2881" t="n">
        <v>2028</v>
      </c>
      <c r="F2881" t="inlineStr">
        <is>
          <t>Listopad</t>
        </is>
      </c>
      <c r="G2881" t="inlineStr">
        <is>
          <t>Nd</t>
        </is>
      </c>
      <c r="H2881">
        <f>'Floor Hours Engine'!$E$6</f>
        <v/>
      </c>
      <c r="I2881" t="inlineStr">
        <is>
          <t>W3</t>
        </is>
      </c>
      <c r="J2881" t="inlineStr">
        <is>
          <t>2028_Listopad_W3</t>
        </is>
      </c>
    </row>
    <row r="2882">
      <c r="A2882" s="177" t="n">
        <v>47077</v>
      </c>
      <c r="B2882" s="177" t="n">
        <v>47071</v>
      </c>
      <c r="C2882" s="177" t="n">
        <v>47077</v>
      </c>
      <c r="D2882" t="inlineStr">
        <is>
          <t>BW20281114</t>
        </is>
      </c>
      <c r="E2882" t="n">
        <v>2028</v>
      </c>
      <c r="F2882" t="inlineStr">
        <is>
          <t>Listopad</t>
        </is>
      </c>
      <c r="G2882" t="inlineStr">
        <is>
          <t>Pn</t>
        </is>
      </c>
      <c r="H2882">
        <f>'Floor Hours Engine'!$E$4</f>
        <v/>
      </c>
      <c r="I2882" t="inlineStr">
        <is>
          <t>W3</t>
        </is>
      </c>
      <c r="J2882" t="inlineStr">
        <is>
          <t>2028_Listopad_W3</t>
        </is>
      </c>
    </row>
    <row r="2883">
      <c r="A2883" s="177" t="n">
        <v>47078</v>
      </c>
      <c r="B2883" s="177" t="n">
        <v>47078</v>
      </c>
      <c r="C2883" s="177" t="n">
        <v>47084</v>
      </c>
      <c r="D2883" t="inlineStr">
        <is>
          <t>BW20281121</t>
        </is>
      </c>
      <c r="E2883" t="n">
        <v>2028</v>
      </c>
      <c r="F2883" t="inlineStr">
        <is>
          <t>Listopad</t>
        </is>
      </c>
      <c r="G2883" t="inlineStr">
        <is>
          <t>Wt</t>
        </is>
      </c>
      <c r="H2883">
        <f>'Floor Hours Engine'!$E$4</f>
        <v/>
      </c>
      <c r="I2883" t="inlineStr">
        <is>
          <t>W4</t>
        </is>
      </c>
      <c r="J2883" t="inlineStr">
        <is>
          <t>2028_Listopad_W4</t>
        </is>
      </c>
    </row>
    <row r="2884">
      <c r="A2884" s="177" t="n">
        <v>47079</v>
      </c>
      <c r="B2884" s="177" t="n">
        <v>47078</v>
      </c>
      <c r="C2884" s="177" t="n">
        <v>47084</v>
      </c>
      <c r="D2884" t="inlineStr">
        <is>
          <t>BW20281121</t>
        </is>
      </c>
      <c r="E2884" t="n">
        <v>2028</v>
      </c>
      <c r="F2884" t="inlineStr">
        <is>
          <t>Listopad</t>
        </is>
      </c>
      <c r="G2884" t="inlineStr">
        <is>
          <t>Śr</t>
        </is>
      </c>
      <c r="H2884">
        <f>'Floor Hours Engine'!$E$4</f>
        <v/>
      </c>
      <c r="I2884" t="inlineStr">
        <is>
          <t>W4</t>
        </is>
      </c>
      <c r="J2884" t="inlineStr">
        <is>
          <t>2028_Listopad_W4</t>
        </is>
      </c>
    </row>
    <row r="2885">
      <c r="A2885" s="177" t="n">
        <v>47080</v>
      </c>
      <c r="B2885" s="177" t="n">
        <v>47078</v>
      </c>
      <c r="C2885" s="177" t="n">
        <v>47084</v>
      </c>
      <c r="D2885" t="inlineStr">
        <is>
          <t>BW20281121</t>
        </is>
      </c>
      <c r="E2885" t="n">
        <v>2028</v>
      </c>
      <c r="F2885" t="inlineStr">
        <is>
          <t>Listopad</t>
        </is>
      </c>
      <c r="G2885" t="inlineStr">
        <is>
          <t>Czw</t>
        </is>
      </c>
      <c r="H2885">
        <f>'Floor Hours Engine'!$E$4</f>
        <v/>
      </c>
      <c r="I2885" t="inlineStr">
        <is>
          <t>W4</t>
        </is>
      </c>
      <c r="J2885" t="inlineStr">
        <is>
          <t>2028_Listopad_W4</t>
        </is>
      </c>
    </row>
    <row r="2886">
      <c r="A2886" s="177" t="n">
        <v>47081</v>
      </c>
      <c r="B2886" s="177" t="n">
        <v>47078</v>
      </c>
      <c r="C2886" s="177" t="n">
        <v>47084</v>
      </c>
      <c r="D2886" t="inlineStr">
        <is>
          <t>BW20281121</t>
        </is>
      </c>
      <c r="E2886" t="n">
        <v>2028</v>
      </c>
      <c r="F2886" t="inlineStr">
        <is>
          <t>Listopad</t>
        </is>
      </c>
      <c r="G2886" t="inlineStr">
        <is>
          <t>Pt</t>
        </is>
      </c>
      <c r="H2886">
        <f>'Floor Hours Engine'!$E$5</f>
        <v/>
      </c>
      <c r="I2886" t="inlineStr">
        <is>
          <t>W4</t>
        </is>
      </c>
      <c r="J2886" t="inlineStr">
        <is>
          <t>2028_Listopad_W4</t>
        </is>
      </c>
    </row>
    <row r="2887">
      <c r="A2887" s="177" t="n">
        <v>47082</v>
      </c>
      <c r="B2887" s="177" t="n">
        <v>47078</v>
      </c>
      <c r="C2887" s="177" t="n">
        <v>47084</v>
      </c>
      <c r="D2887" t="inlineStr">
        <is>
          <t>BW20281121</t>
        </is>
      </c>
      <c r="E2887" t="n">
        <v>2028</v>
      </c>
      <c r="F2887" t="inlineStr">
        <is>
          <t>Listopad</t>
        </is>
      </c>
      <c r="G2887" t="inlineStr">
        <is>
          <t>Sob</t>
        </is>
      </c>
      <c r="H2887">
        <f>'Floor Hours Engine'!$E$5</f>
        <v/>
      </c>
      <c r="I2887" t="inlineStr">
        <is>
          <t>W4</t>
        </is>
      </c>
      <c r="J2887" t="inlineStr">
        <is>
          <t>2028_Listopad_W4</t>
        </is>
      </c>
    </row>
    <row r="2888">
      <c r="A2888" s="177" t="n">
        <v>47083</v>
      </c>
      <c r="B2888" s="177" t="n">
        <v>47078</v>
      </c>
      <c r="C2888" s="177" t="n">
        <v>47084</v>
      </c>
      <c r="D2888" t="inlineStr">
        <is>
          <t>BW20281121</t>
        </is>
      </c>
      <c r="E2888" t="n">
        <v>2028</v>
      </c>
      <c r="F2888" t="inlineStr">
        <is>
          <t>Listopad</t>
        </is>
      </c>
      <c r="G2888" t="inlineStr">
        <is>
          <t>Nd</t>
        </is>
      </c>
      <c r="H2888">
        <f>'Floor Hours Engine'!$E$6</f>
        <v/>
      </c>
      <c r="I2888" t="inlineStr">
        <is>
          <t>W4</t>
        </is>
      </c>
      <c r="J2888" t="inlineStr">
        <is>
          <t>2028_Listopad_W4</t>
        </is>
      </c>
    </row>
    <row r="2889">
      <c r="A2889" s="177" t="n">
        <v>47084</v>
      </c>
      <c r="B2889" s="177" t="n">
        <v>47078</v>
      </c>
      <c r="C2889" s="177" t="n">
        <v>47084</v>
      </c>
      <c r="D2889" t="inlineStr">
        <is>
          <t>BW20281121</t>
        </is>
      </c>
      <c r="E2889" t="n">
        <v>2028</v>
      </c>
      <c r="F2889" t="inlineStr">
        <is>
          <t>Listopad</t>
        </is>
      </c>
      <c r="G2889" t="inlineStr">
        <is>
          <t>Pn</t>
        </is>
      </c>
      <c r="H2889">
        <f>'Floor Hours Engine'!$E$4</f>
        <v/>
      </c>
      <c r="I2889" t="inlineStr">
        <is>
          <t>W4</t>
        </is>
      </c>
      <c r="J2889" t="inlineStr">
        <is>
          <t>2028_Listopad_W4</t>
        </is>
      </c>
    </row>
    <row r="2890">
      <c r="A2890" s="177" t="n">
        <v>47085</v>
      </c>
      <c r="B2890" s="177" t="n">
        <v>47085</v>
      </c>
      <c r="C2890" s="177" t="n">
        <v>47091</v>
      </c>
      <c r="D2890" t="inlineStr">
        <is>
          <t>BW20281128</t>
        </is>
      </c>
      <c r="E2890" t="n">
        <v>2028</v>
      </c>
      <c r="F2890" t="inlineStr">
        <is>
          <t>Listopad</t>
        </is>
      </c>
      <c r="G2890" t="inlineStr">
        <is>
          <t>Wt</t>
        </is>
      </c>
      <c r="H2890">
        <f>'Floor Hours Engine'!$E$4</f>
        <v/>
      </c>
      <c r="I2890" t="inlineStr">
        <is>
          <t>W5</t>
        </is>
      </c>
      <c r="J2890" t="inlineStr">
        <is>
          <t>2028_Listopad_W5</t>
        </is>
      </c>
    </row>
    <row r="2891">
      <c r="A2891" s="177" t="n">
        <v>47086</v>
      </c>
      <c r="B2891" s="177" t="n">
        <v>47085</v>
      </c>
      <c r="C2891" s="177" t="n">
        <v>47091</v>
      </c>
      <c r="D2891" t="inlineStr">
        <is>
          <t>BW20281128</t>
        </is>
      </c>
      <c r="E2891" t="n">
        <v>2028</v>
      </c>
      <c r="F2891" t="inlineStr">
        <is>
          <t>Listopad</t>
        </is>
      </c>
      <c r="G2891" t="inlineStr">
        <is>
          <t>Śr</t>
        </is>
      </c>
      <c r="H2891">
        <f>'Floor Hours Engine'!$E$4</f>
        <v/>
      </c>
      <c r="I2891" t="inlineStr">
        <is>
          <t>W5</t>
        </is>
      </c>
      <c r="J2891" t="inlineStr">
        <is>
          <t>2028_Listopad_W5</t>
        </is>
      </c>
    </row>
    <row r="2892">
      <c r="A2892" s="177" t="n">
        <v>47087</v>
      </c>
      <c r="B2892" s="177" t="n">
        <v>47085</v>
      </c>
      <c r="C2892" s="177" t="n">
        <v>47091</v>
      </c>
      <c r="D2892" t="inlineStr">
        <is>
          <t>BW20281128</t>
        </is>
      </c>
      <c r="E2892" t="n">
        <v>2028</v>
      </c>
      <c r="F2892" t="inlineStr">
        <is>
          <t>Listopad</t>
        </is>
      </c>
      <c r="G2892" t="inlineStr">
        <is>
          <t>Czw</t>
        </is>
      </c>
      <c r="H2892">
        <f>'Floor Hours Engine'!$E$4</f>
        <v/>
      </c>
      <c r="I2892" t="inlineStr">
        <is>
          <t>W5</t>
        </is>
      </c>
      <c r="J2892" t="inlineStr">
        <is>
          <t>2028_Listopad_W5</t>
        </is>
      </c>
    </row>
    <row r="2893">
      <c r="A2893" s="177" t="n">
        <v>47088</v>
      </c>
      <c r="B2893" s="177" t="n">
        <v>47085</v>
      </c>
      <c r="C2893" s="177" t="n">
        <v>47091</v>
      </c>
      <c r="D2893" t="inlineStr">
        <is>
          <t>BW20281128</t>
        </is>
      </c>
      <c r="E2893" t="n">
        <v>2028</v>
      </c>
      <c r="F2893" t="inlineStr">
        <is>
          <t>Grudzień</t>
        </is>
      </c>
      <c r="G2893" t="inlineStr">
        <is>
          <t>Pt</t>
        </is>
      </c>
      <c r="H2893">
        <f>'Floor Hours Engine'!$E$5</f>
        <v/>
      </c>
      <c r="I2893" t="inlineStr">
        <is>
          <t>W1</t>
        </is>
      </c>
      <c r="J2893" t="inlineStr">
        <is>
          <t>2028_Grudzień_W1</t>
        </is>
      </c>
    </row>
    <row r="2894">
      <c r="A2894" s="177" t="n">
        <v>47089</v>
      </c>
      <c r="B2894" s="177" t="n">
        <v>47085</v>
      </c>
      <c r="C2894" s="177" t="n">
        <v>47091</v>
      </c>
      <c r="D2894" t="inlineStr">
        <is>
          <t>BW20281128</t>
        </is>
      </c>
      <c r="E2894" t="n">
        <v>2028</v>
      </c>
      <c r="F2894" t="inlineStr">
        <is>
          <t>Grudzień</t>
        </is>
      </c>
      <c r="G2894" t="inlineStr">
        <is>
          <t>Sob</t>
        </is>
      </c>
      <c r="H2894">
        <f>'Floor Hours Engine'!$E$5</f>
        <v/>
      </c>
      <c r="I2894" t="inlineStr">
        <is>
          <t>W1</t>
        </is>
      </c>
      <c r="J2894" t="inlineStr">
        <is>
          <t>2028_Grudzień_W1</t>
        </is>
      </c>
    </row>
    <row r="2895">
      <c r="A2895" s="177" t="n">
        <v>47090</v>
      </c>
      <c r="B2895" s="177" t="n">
        <v>47085</v>
      </c>
      <c r="C2895" s="177" t="n">
        <v>47091</v>
      </c>
      <c r="D2895" t="inlineStr">
        <is>
          <t>BW20281128</t>
        </is>
      </c>
      <c r="E2895" t="n">
        <v>2028</v>
      </c>
      <c r="F2895" t="inlineStr">
        <is>
          <t>Grudzień</t>
        </is>
      </c>
      <c r="G2895" t="inlineStr">
        <is>
          <t>Nd</t>
        </is>
      </c>
      <c r="H2895">
        <f>'Floor Hours Engine'!$E$6</f>
        <v/>
      </c>
      <c r="I2895" t="inlineStr">
        <is>
          <t>W1</t>
        </is>
      </c>
      <c r="J2895" t="inlineStr">
        <is>
          <t>2028_Grudzień_W1</t>
        </is>
      </c>
    </row>
    <row r="2896">
      <c r="A2896" s="177" t="n">
        <v>47091</v>
      </c>
      <c r="B2896" s="177" t="n">
        <v>47085</v>
      </c>
      <c r="C2896" s="177" t="n">
        <v>47091</v>
      </c>
      <c r="D2896" t="inlineStr">
        <is>
          <t>BW20281128</t>
        </is>
      </c>
      <c r="E2896" t="n">
        <v>2028</v>
      </c>
      <c r="F2896" t="inlineStr">
        <is>
          <t>Grudzień</t>
        </is>
      </c>
      <c r="G2896" t="inlineStr">
        <is>
          <t>Pn</t>
        </is>
      </c>
      <c r="H2896">
        <f>'Floor Hours Engine'!$E$4</f>
        <v/>
      </c>
      <c r="I2896" t="inlineStr">
        <is>
          <t>W1</t>
        </is>
      </c>
      <c r="J2896" t="inlineStr">
        <is>
          <t>2028_Grudzień_W1</t>
        </is>
      </c>
    </row>
    <row r="2897">
      <c r="A2897" s="177" t="n">
        <v>47092</v>
      </c>
      <c r="B2897" s="177" t="n">
        <v>47092</v>
      </c>
      <c r="C2897" s="177" t="n">
        <v>47098</v>
      </c>
      <c r="D2897" t="inlineStr">
        <is>
          <t>BW20281205</t>
        </is>
      </c>
      <c r="E2897" t="n">
        <v>2028</v>
      </c>
      <c r="F2897" t="inlineStr">
        <is>
          <t>Grudzień</t>
        </is>
      </c>
      <c r="G2897" t="inlineStr">
        <is>
          <t>Wt</t>
        </is>
      </c>
      <c r="H2897">
        <f>'Floor Hours Engine'!$E$4</f>
        <v/>
      </c>
      <c r="I2897" t="inlineStr">
        <is>
          <t>W2</t>
        </is>
      </c>
      <c r="J2897" t="inlineStr">
        <is>
          <t>2028_Grudzień_W2</t>
        </is>
      </c>
    </row>
    <row r="2898">
      <c r="A2898" s="177" t="n">
        <v>47093</v>
      </c>
      <c r="B2898" s="177" t="n">
        <v>47092</v>
      </c>
      <c r="C2898" s="177" t="n">
        <v>47098</v>
      </c>
      <c r="D2898" t="inlineStr">
        <is>
          <t>BW20281205</t>
        </is>
      </c>
      <c r="E2898" t="n">
        <v>2028</v>
      </c>
      <c r="F2898" t="inlineStr">
        <is>
          <t>Grudzień</t>
        </is>
      </c>
      <c r="G2898" t="inlineStr">
        <is>
          <t>Śr</t>
        </is>
      </c>
      <c r="H2898">
        <f>'Floor Hours Engine'!$E$4</f>
        <v/>
      </c>
      <c r="I2898" t="inlineStr">
        <is>
          <t>W2</t>
        </is>
      </c>
      <c r="J2898" t="inlineStr">
        <is>
          <t>2028_Grudzień_W2</t>
        </is>
      </c>
    </row>
    <row r="2899">
      <c r="A2899" s="177" t="n">
        <v>47094</v>
      </c>
      <c r="B2899" s="177" t="n">
        <v>47092</v>
      </c>
      <c r="C2899" s="177" t="n">
        <v>47098</v>
      </c>
      <c r="D2899" t="inlineStr">
        <is>
          <t>BW20281205</t>
        </is>
      </c>
      <c r="E2899" t="n">
        <v>2028</v>
      </c>
      <c r="F2899" t="inlineStr">
        <is>
          <t>Grudzień</t>
        </is>
      </c>
      <c r="G2899" t="inlineStr">
        <is>
          <t>Czw</t>
        </is>
      </c>
      <c r="H2899">
        <f>'Floor Hours Engine'!$E$4</f>
        <v/>
      </c>
      <c r="I2899" t="inlineStr">
        <is>
          <t>W2</t>
        </is>
      </c>
      <c r="J2899" t="inlineStr">
        <is>
          <t>2028_Grudzień_W2</t>
        </is>
      </c>
    </row>
    <row r="2900">
      <c r="A2900" s="177" t="n">
        <v>47095</v>
      </c>
      <c r="B2900" s="177" t="n">
        <v>47092</v>
      </c>
      <c r="C2900" s="177" t="n">
        <v>47098</v>
      </c>
      <c r="D2900" t="inlineStr">
        <is>
          <t>BW20281205</t>
        </is>
      </c>
      <c r="E2900" t="n">
        <v>2028</v>
      </c>
      <c r="F2900" t="inlineStr">
        <is>
          <t>Grudzień</t>
        </is>
      </c>
      <c r="G2900" t="inlineStr">
        <is>
          <t>Pt</t>
        </is>
      </c>
      <c r="H2900">
        <f>'Floor Hours Engine'!$E$5</f>
        <v/>
      </c>
      <c r="I2900" t="inlineStr">
        <is>
          <t>W2</t>
        </is>
      </c>
      <c r="J2900" t="inlineStr">
        <is>
          <t>2028_Grudzień_W2</t>
        </is>
      </c>
    </row>
    <row r="2901">
      <c r="A2901" s="177" t="n">
        <v>47096</v>
      </c>
      <c r="B2901" s="177" t="n">
        <v>47092</v>
      </c>
      <c r="C2901" s="177" t="n">
        <v>47098</v>
      </c>
      <c r="D2901" t="inlineStr">
        <is>
          <t>BW20281205</t>
        </is>
      </c>
      <c r="E2901" t="n">
        <v>2028</v>
      </c>
      <c r="F2901" t="inlineStr">
        <is>
          <t>Grudzień</t>
        </is>
      </c>
      <c r="G2901" t="inlineStr">
        <is>
          <t>Sob</t>
        </is>
      </c>
      <c r="H2901">
        <f>'Floor Hours Engine'!$E$5</f>
        <v/>
      </c>
      <c r="I2901" t="inlineStr">
        <is>
          <t>W2</t>
        </is>
      </c>
      <c r="J2901" t="inlineStr">
        <is>
          <t>2028_Grudzień_W2</t>
        </is>
      </c>
    </row>
    <row r="2902">
      <c r="A2902" s="177" t="n">
        <v>47097</v>
      </c>
      <c r="B2902" s="177" t="n">
        <v>47092</v>
      </c>
      <c r="C2902" s="177" t="n">
        <v>47098</v>
      </c>
      <c r="D2902" t="inlineStr">
        <is>
          <t>BW20281205</t>
        </is>
      </c>
      <c r="E2902" t="n">
        <v>2028</v>
      </c>
      <c r="F2902" t="inlineStr">
        <is>
          <t>Grudzień</t>
        </is>
      </c>
      <c r="G2902" t="inlineStr">
        <is>
          <t>Nd</t>
        </is>
      </c>
      <c r="H2902">
        <f>'Floor Hours Engine'!$E$6</f>
        <v/>
      </c>
      <c r="I2902" t="inlineStr">
        <is>
          <t>W2</t>
        </is>
      </c>
      <c r="J2902" t="inlineStr">
        <is>
          <t>2028_Grudzień_W2</t>
        </is>
      </c>
    </row>
    <row r="2903">
      <c r="A2903" s="177" t="n">
        <v>47098</v>
      </c>
      <c r="B2903" s="177" t="n">
        <v>47092</v>
      </c>
      <c r="C2903" s="177" t="n">
        <v>47098</v>
      </c>
      <c r="D2903" t="inlineStr">
        <is>
          <t>BW20281205</t>
        </is>
      </c>
      <c r="E2903" t="n">
        <v>2028</v>
      </c>
      <c r="F2903" t="inlineStr">
        <is>
          <t>Grudzień</t>
        </is>
      </c>
      <c r="G2903" t="inlineStr">
        <is>
          <t>Pn</t>
        </is>
      </c>
      <c r="H2903">
        <f>'Floor Hours Engine'!$E$4</f>
        <v/>
      </c>
      <c r="I2903" t="inlineStr">
        <is>
          <t>W2</t>
        </is>
      </c>
      <c r="J2903" t="inlineStr">
        <is>
          <t>2028_Grudzień_W2</t>
        </is>
      </c>
    </row>
    <row r="2904">
      <c r="A2904" s="177" t="n">
        <v>47099</v>
      </c>
      <c r="B2904" s="177" t="n">
        <v>47099</v>
      </c>
      <c r="C2904" s="177" t="n">
        <v>47105</v>
      </c>
      <c r="D2904" t="inlineStr">
        <is>
          <t>BW20281212</t>
        </is>
      </c>
      <c r="E2904" t="n">
        <v>2028</v>
      </c>
      <c r="F2904" t="inlineStr">
        <is>
          <t>Grudzień</t>
        </is>
      </c>
      <c r="G2904" t="inlineStr">
        <is>
          <t>Wt</t>
        </is>
      </c>
      <c r="H2904">
        <f>'Floor Hours Engine'!$E$4</f>
        <v/>
      </c>
      <c r="I2904" t="inlineStr">
        <is>
          <t>W3</t>
        </is>
      </c>
      <c r="J2904" t="inlineStr">
        <is>
          <t>2028_Grudzień_W3</t>
        </is>
      </c>
    </row>
    <row r="2905">
      <c r="A2905" s="177" t="n">
        <v>47100</v>
      </c>
      <c r="B2905" s="177" t="n">
        <v>47099</v>
      </c>
      <c r="C2905" s="177" t="n">
        <v>47105</v>
      </c>
      <c r="D2905" t="inlineStr">
        <is>
          <t>BW20281212</t>
        </is>
      </c>
      <c r="E2905" t="n">
        <v>2028</v>
      </c>
      <c r="F2905" t="inlineStr">
        <is>
          <t>Grudzień</t>
        </is>
      </c>
      <c r="G2905" t="inlineStr">
        <is>
          <t>Śr</t>
        </is>
      </c>
      <c r="H2905">
        <f>'Floor Hours Engine'!$E$4</f>
        <v/>
      </c>
      <c r="I2905" t="inlineStr">
        <is>
          <t>W3</t>
        </is>
      </c>
      <c r="J2905" t="inlineStr">
        <is>
          <t>2028_Grudzień_W3</t>
        </is>
      </c>
    </row>
    <row r="2906">
      <c r="A2906" s="177" t="n">
        <v>47101</v>
      </c>
      <c r="B2906" s="177" t="n">
        <v>47099</v>
      </c>
      <c r="C2906" s="177" t="n">
        <v>47105</v>
      </c>
      <c r="D2906" t="inlineStr">
        <is>
          <t>BW20281212</t>
        </is>
      </c>
      <c r="E2906" t="n">
        <v>2028</v>
      </c>
      <c r="F2906" t="inlineStr">
        <is>
          <t>Grudzień</t>
        </is>
      </c>
      <c r="G2906" t="inlineStr">
        <is>
          <t>Czw</t>
        </is>
      </c>
      <c r="H2906">
        <f>'Floor Hours Engine'!$E$4</f>
        <v/>
      </c>
      <c r="I2906" t="inlineStr">
        <is>
          <t>W3</t>
        </is>
      </c>
      <c r="J2906" t="inlineStr">
        <is>
          <t>2028_Grudzień_W3</t>
        </is>
      </c>
    </row>
    <row r="2907">
      <c r="A2907" s="177" t="n">
        <v>47102</v>
      </c>
      <c r="B2907" s="177" t="n">
        <v>47099</v>
      </c>
      <c r="C2907" s="177" t="n">
        <v>47105</v>
      </c>
      <c r="D2907" t="inlineStr">
        <is>
          <t>BW20281212</t>
        </is>
      </c>
      <c r="E2907" t="n">
        <v>2028</v>
      </c>
      <c r="F2907" t="inlineStr">
        <is>
          <t>Grudzień</t>
        </is>
      </c>
      <c r="G2907" t="inlineStr">
        <is>
          <t>Pt</t>
        </is>
      </c>
      <c r="H2907">
        <f>'Floor Hours Engine'!$E$5</f>
        <v/>
      </c>
      <c r="I2907" t="inlineStr">
        <is>
          <t>W3</t>
        </is>
      </c>
      <c r="J2907" t="inlineStr">
        <is>
          <t>2028_Grudzień_W3</t>
        </is>
      </c>
    </row>
    <row r="2908">
      <c r="A2908" s="177" t="n">
        <v>47103</v>
      </c>
      <c r="B2908" s="177" t="n">
        <v>47099</v>
      </c>
      <c r="C2908" s="177" t="n">
        <v>47105</v>
      </c>
      <c r="D2908" t="inlineStr">
        <is>
          <t>BW20281212</t>
        </is>
      </c>
      <c r="E2908" t="n">
        <v>2028</v>
      </c>
      <c r="F2908" t="inlineStr">
        <is>
          <t>Grudzień</t>
        </is>
      </c>
      <c r="G2908" t="inlineStr">
        <is>
          <t>Sob</t>
        </is>
      </c>
      <c r="H2908">
        <f>'Floor Hours Engine'!$E$5</f>
        <v/>
      </c>
      <c r="I2908" t="inlineStr">
        <is>
          <t>W3</t>
        </is>
      </c>
      <c r="J2908" t="inlineStr">
        <is>
          <t>2028_Grudzień_W3</t>
        </is>
      </c>
    </row>
    <row r="2909">
      <c r="A2909" s="177" t="n">
        <v>47104</v>
      </c>
      <c r="B2909" s="177" t="n">
        <v>47099</v>
      </c>
      <c r="C2909" s="177" t="n">
        <v>47105</v>
      </c>
      <c r="D2909" t="inlineStr">
        <is>
          <t>BW20281212</t>
        </is>
      </c>
      <c r="E2909" t="n">
        <v>2028</v>
      </c>
      <c r="F2909" t="inlineStr">
        <is>
          <t>Grudzień</t>
        </is>
      </c>
      <c r="G2909" t="inlineStr">
        <is>
          <t>Nd</t>
        </is>
      </c>
      <c r="H2909">
        <f>'Floor Hours Engine'!$E$6</f>
        <v/>
      </c>
      <c r="I2909" t="inlineStr">
        <is>
          <t>W3</t>
        </is>
      </c>
      <c r="J2909" t="inlineStr">
        <is>
          <t>2028_Grudzień_W3</t>
        </is>
      </c>
    </row>
    <row r="2910">
      <c r="A2910" s="177" t="n">
        <v>47105</v>
      </c>
      <c r="B2910" s="177" t="n">
        <v>47099</v>
      </c>
      <c r="C2910" s="177" t="n">
        <v>47105</v>
      </c>
      <c r="D2910" t="inlineStr">
        <is>
          <t>BW20281212</t>
        </is>
      </c>
      <c r="E2910" t="n">
        <v>2028</v>
      </c>
      <c r="F2910" t="inlineStr">
        <is>
          <t>Grudzień</t>
        </is>
      </c>
      <c r="G2910" t="inlineStr">
        <is>
          <t>Pn</t>
        </is>
      </c>
      <c r="H2910">
        <f>'Floor Hours Engine'!$E$4</f>
        <v/>
      </c>
      <c r="I2910" t="inlineStr">
        <is>
          <t>W3</t>
        </is>
      </c>
      <c r="J2910" t="inlineStr">
        <is>
          <t>2028_Grudzień_W3</t>
        </is>
      </c>
    </row>
    <row r="2911">
      <c r="A2911" s="177" t="n">
        <v>47106</v>
      </c>
      <c r="B2911" s="177" t="n">
        <v>47106</v>
      </c>
      <c r="C2911" s="177" t="n">
        <v>47112</v>
      </c>
      <c r="D2911" t="inlineStr">
        <is>
          <t>BW20281219</t>
        </is>
      </c>
      <c r="E2911" t="n">
        <v>2028</v>
      </c>
      <c r="F2911" t="inlineStr">
        <is>
          <t>Grudzień</t>
        </is>
      </c>
      <c r="G2911" t="inlineStr">
        <is>
          <t>Wt</t>
        </is>
      </c>
      <c r="H2911">
        <f>'Floor Hours Engine'!$E$4</f>
        <v/>
      </c>
      <c r="I2911" t="inlineStr">
        <is>
          <t>W4</t>
        </is>
      </c>
      <c r="J2911" t="inlineStr">
        <is>
          <t>2028_Grudzień_W4</t>
        </is>
      </c>
    </row>
    <row r="2912">
      <c r="A2912" s="177" t="n">
        <v>47107</v>
      </c>
      <c r="B2912" s="177" t="n">
        <v>47106</v>
      </c>
      <c r="C2912" s="177" t="n">
        <v>47112</v>
      </c>
      <c r="D2912" t="inlineStr">
        <is>
          <t>BW20281219</t>
        </is>
      </c>
      <c r="E2912" t="n">
        <v>2028</v>
      </c>
      <c r="F2912" t="inlineStr">
        <is>
          <t>Grudzień</t>
        </is>
      </c>
      <c r="G2912" t="inlineStr">
        <is>
          <t>Śr</t>
        </is>
      </c>
      <c r="H2912">
        <f>'Floor Hours Engine'!$E$4</f>
        <v/>
      </c>
      <c r="I2912" t="inlineStr">
        <is>
          <t>W4</t>
        </is>
      </c>
      <c r="J2912" t="inlineStr">
        <is>
          <t>2028_Grudzień_W4</t>
        </is>
      </c>
    </row>
    <row r="2913">
      <c r="A2913" s="177" t="n">
        <v>47108</v>
      </c>
      <c r="B2913" s="177" t="n">
        <v>47106</v>
      </c>
      <c r="C2913" s="177" t="n">
        <v>47112</v>
      </c>
      <c r="D2913" t="inlineStr">
        <is>
          <t>BW20281219</t>
        </is>
      </c>
      <c r="E2913" t="n">
        <v>2028</v>
      </c>
      <c r="F2913" t="inlineStr">
        <is>
          <t>Grudzień</t>
        </is>
      </c>
      <c r="G2913" t="inlineStr">
        <is>
          <t>Czw</t>
        </is>
      </c>
      <c r="H2913">
        <f>'Floor Hours Engine'!$E$4</f>
        <v/>
      </c>
      <c r="I2913" t="inlineStr">
        <is>
          <t>W4</t>
        </is>
      </c>
      <c r="J2913" t="inlineStr">
        <is>
          <t>2028_Grudzień_W4</t>
        </is>
      </c>
    </row>
    <row r="2914">
      <c r="A2914" s="177" t="n">
        <v>47109</v>
      </c>
      <c r="B2914" s="177" t="n">
        <v>47106</v>
      </c>
      <c r="C2914" s="177" t="n">
        <v>47112</v>
      </c>
      <c r="D2914" t="inlineStr">
        <is>
          <t>BW20281219</t>
        </is>
      </c>
      <c r="E2914" t="n">
        <v>2028</v>
      </c>
      <c r="F2914" t="inlineStr">
        <is>
          <t>Grudzień</t>
        </is>
      </c>
      <c r="G2914" t="inlineStr">
        <is>
          <t>Pt</t>
        </is>
      </c>
      <c r="H2914">
        <f>'Floor Hours Engine'!$E$5</f>
        <v/>
      </c>
      <c r="I2914" t="inlineStr">
        <is>
          <t>W4</t>
        </is>
      </c>
      <c r="J2914" t="inlineStr">
        <is>
          <t>2028_Grudzień_W4</t>
        </is>
      </c>
    </row>
    <row r="2915">
      <c r="A2915" s="177" t="n">
        <v>47110</v>
      </c>
      <c r="B2915" s="177" t="n">
        <v>47106</v>
      </c>
      <c r="C2915" s="177" t="n">
        <v>47112</v>
      </c>
      <c r="D2915" t="inlineStr">
        <is>
          <t>BW20281219</t>
        </is>
      </c>
      <c r="E2915" t="n">
        <v>2028</v>
      </c>
      <c r="F2915" t="inlineStr">
        <is>
          <t>Grudzień</t>
        </is>
      </c>
      <c r="G2915" t="inlineStr">
        <is>
          <t>Sob</t>
        </is>
      </c>
      <c r="H2915">
        <f>'Floor Hours Engine'!$E$5</f>
        <v/>
      </c>
      <c r="I2915" t="inlineStr">
        <is>
          <t>W4</t>
        </is>
      </c>
      <c r="J2915" t="inlineStr">
        <is>
          <t>2028_Grudzień_W4</t>
        </is>
      </c>
    </row>
    <row r="2916">
      <c r="A2916" s="177" t="n">
        <v>47111</v>
      </c>
      <c r="B2916" s="177" t="n">
        <v>47106</v>
      </c>
      <c r="C2916" s="177" t="n">
        <v>47112</v>
      </c>
      <c r="D2916" t="inlineStr">
        <is>
          <t>BW20281219</t>
        </is>
      </c>
      <c r="E2916" t="n">
        <v>2028</v>
      </c>
      <c r="F2916" t="inlineStr">
        <is>
          <t>Grudzień</t>
        </is>
      </c>
      <c r="G2916" t="inlineStr">
        <is>
          <t>Nd</t>
        </is>
      </c>
      <c r="H2916">
        <f>'Floor Hours Engine'!$E$6</f>
        <v/>
      </c>
      <c r="I2916" t="inlineStr">
        <is>
          <t>W4</t>
        </is>
      </c>
      <c r="J2916" t="inlineStr">
        <is>
          <t>2028_Grudzień_W4</t>
        </is>
      </c>
    </row>
    <row r="2917">
      <c r="A2917" s="177" t="n">
        <v>47112</v>
      </c>
      <c r="B2917" s="177" t="n">
        <v>47106</v>
      </c>
      <c r="C2917" s="177" t="n">
        <v>47112</v>
      </c>
      <c r="D2917" t="inlineStr">
        <is>
          <t>BW20281219</t>
        </is>
      </c>
      <c r="E2917" t="n">
        <v>2028</v>
      </c>
      <c r="F2917" t="inlineStr">
        <is>
          <t>Grudzień</t>
        </is>
      </c>
      <c r="G2917" t="inlineStr">
        <is>
          <t>Pn</t>
        </is>
      </c>
      <c r="H2917">
        <f>'Floor Hours Engine'!$E$4</f>
        <v/>
      </c>
      <c r="I2917" t="inlineStr">
        <is>
          <t>W4</t>
        </is>
      </c>
      <c r="J2917" t="inlineStr">
        <is>
          <t>2028_Grudzień_W4</t>
        </is>
      </c>
    </row>
    <row r="2918">
      <c r="A2918" s="177" t="n">
        <v>47113</v>
      </c>
      <c r="B2918" s="177" t="n">
        <v>47113</v>
      </c>
      <c r="C2918" s="177" t="n">
        <v>47119</v>
      </c>
      <c r="D2918" t="inlineStr">
        <is>
          <t>BW20281226</t>
        </is>
      </c>
      <c r="E2918" t="n">
        <v>2028</v>
      </c>
      <c r="F2918" t="inlineStr">
        <is>
          <t>Grudzień</t>
        </is>
      </c>
      <c r="G2918" t="inlineStr">
        <is>
          <t>Wt</t>
        </is>
      </c>
      <c r="H2918">
        <f>'Floor Hours Engine'!$E$4</f>
        <v/>
      </c>
      <c r="I2918" t="inlineStr">
        <is>
          <t>W5</t>
        </is>
      </c>
      <c r="J2918" t="inlineStr">
        <is>
          <t>2028_Grudzień_W5</t>
        </is>
      </c>
    </row>
    <row r="2919">
      <c r="A2919" s="177" t="n">
        <v>47114</v>
      </c>
      <c r="B2919" s="177" t="n">
        <v>47113</v>
      </c>
      <c r="C2919" s="177" t="n">
        <v>47119</v>
      </c>
      <c r="D2919" t="inlineStr">
        <is>
          <t>BW20281226</t>
        </is>
      </c>
      <c r="E2919" t="n">
        <v>2028</v>
      </c>
      <c r="F2919" t="inlineStr">
        <is>
          <t>Grudzień</t>
        </is>
      </c>
      <c r="G2919" t="inlineStr">
        <is>
          <t>Śr</t>
        </is>
      </c>
      <c r="H2919">
        <f>'Floor Hours Engine'!$E$4</f>
        <v/>
      </c>
      <c r="I2919" t="inlineStr">
        <is>
          <t>W5</t>
        </is>
      </c>
      <c r="J2919" t="inlineStr">
        <is>
          <t>2028_Grudzień_W5</t>
        </is>
      </c>
    </row>
    <row r="2920">
      <c r="A2920" s="177" t="n">
        <v>47115</v>
      </c>
      <c r="B2920" s="177" t="n">
        <v>47113</v>
      </c>
      <c r="C2920" s="177" t="n">
        <v>47119</v>
      </c>
      <c r="D2920" t="inlineStr">
        <is>
          <t>BW20281226</t>
        </is>
      </c>
      <c r="E2920" t="n">
        <v>2028</v>
      </c>
      <c r="F2920" t="inlineStr">
        <is>
          <t>Grudzień</t>
        </is>
      </c>
      <c r="G2920" t="inlineStr">
        <is>
          <t>Czw</t>
        </is>
      </c>
      <c r="H2920">
        <f>'Floor Hours Engine'!$E$4</f>
        <v/>
      </c>
      <c r="I2920" t="inlineStr">
        <is>
          <t>W5</t>
        </is>
      </c>
      <c r="J2920" t="inlineStr">
        <is>
          <t>2028_Grudzień_W5</t>
        </is>
      </c>
    </row>
    <row r="2921">
      <c r="A2921" s="177" t="n">
        <v>47116</v>
      </c>
      <c r="B2921" s="177" t="n">
        <v>47113</v>
      </c>
      <c r="C2921" s="177" t="n">
        <v>47119</v>
      </c>
      <c r="D2921" t="inlineStr">
        <is>
          <t>BW20281226</t>
        </is>
      </c>
      <c r="E2921" t="n">
        <v>2028</v>
      </c>
      <c r="F2921" t="inlineStr">
        <is>
          <t>Grudzień</t>
        </is>
      </c>
      <c r="G2921" t="inlineStr">
        <is>
          <t>Pt</t>
        </is>
      </c>
      <c r="H2921">
        <f>'Floor Hours Engine'!$E$5</f>
        <v/>
      </c>
      <c r="I2921" t="inlineStr">
        <is>
          <t>W5</t>
        </is>
      </c>
      <c r="J2921" t="inlineStr">
        <is>
          <t>2028_Grudzień_W5</t>
        </is>
      </c>
    </row>
    <row r="2922">
      <c r="A2922" s="177" t="n">
        <v>47117</v>
      </c>
      <c r="B2922" s="177" t="n">
        <v>47113</v>
      </c>
      <c r="C2922" s="177" t="n">
        <v>47119</v>
      </c>
      <c r="D2922" t="inlineStr">
        <is>
          <t>BW20281226</t>
        </is>
      </c>
      <c r="E2922" t="n">
        <v>2028</v>
      </c>
      <c r="F2922" t="inlineStr">
        <is>
          <t>Grudzień</t>
        </is>
      </c>
      <c r="G2922" t="inlineStr">
        <is>
          <t>Sob</t>
        </is>
      </c>
      <c r="H2922">
        <f>'Floor Hours Engine'!$E$5</f>
        <v/>
      </c>
      <c r="I2922" t="inlineStr">
        <is>
          <t>W5</t>
        </is>
      </c>
      <c r="J2922" t="inlineStr">
        <is>
          <t>2028_Grudzień_W5</t>
        </is>
      </c>
    </row>
    <row r="2923">
      <c r="A2923" s="177" t="n">
        <v>47118</v>
      </c>
      <c r="B2923" s="177" t="n">
        <v>47113</v>
      </c>
      <c r="C2923" s="177" t="n">
        <v>47119</v>
      </c>
      <c r="D2923" t="inlineStr">
        <is>
          <t>BW20281226</t>
        </is>
      </c>
      <c r="E2923" t="n">
        <v>2028</v>
      </c>
      <c r="F2923" t="inlineStr">
        <is>
          <t>Grudzień</t>
        </is>
      </c>
      <c r="G2923" t="inlineStr">
        <is>
          <t>Nd</t>
        </is>
      </c>
      <c r="H2923">
        <f>'Floor Hours Engine'!$E$6</f>
        <v/>
      </c>
      <c r="I2923" t="inlineStr">
        <is>
          <t>W5</t>
        </is>
      </c>
      <c r="J2923" t="inlineStr">
        <is>
          <t>2028_Grudzień_W5</t>
        </is>
      </c>
    </row>
    <row r="2924">
      <c r="A2924" s="177" t="n">
        <v>47119</v>
      </c>
      <c r="B2924" s="177" t="n">
        <v>47113</v>
      </c>
      <c r="C2924" s="177" t="n">
        <v>47119</v>
      </c>
      <c r="D2924" t="inlineStr">
        <is>
          <t>BW20281226</t>
        </is>
      </c>
      <c r="E2924" t="n">
        <v>2029</v>
      </c>
      <c r="F2924" t="inlineStr">
        <is>
          <t>Styczeń</t>
        </is>
      </c>
      <c r="G2924" t="inlineStr">
        <is>
          <t>Pn</t>
        </is>
      </c>
      <c r="H2924">
        <f>'Floor Hours Engine'!$E$4</f>
        <v/>
      </c>
      <c r="I2924" t="inlineStr">
        <is>
          <t>W1</t>
        </is>
      </c>
      <c r="J2924" t="inlineStr">
        <is>
          <t>2029_Styczeń_W1</t>
        </is>
      </c>
    </row>
    <row r="2925">
      <c r="A2925" s="177" t="n">
        <v>47120</v>
      </c>
      <c r="B2925" s="177" t="n">
        <v>47120</v>
      </c>
      <c r="C2925" s="177" t="n">
        <v>47126</v>
      </c>
      <c r="D2925" t="inlineStr">
        <is>
          <t>BW20290102</t>
        </is>
      </c>
      <c r="E2925" t="n">
        <v>2029</v>
      </c>
      <c r="F2925" t="inlineStr">
        <is>
          <t>Styczeń</t>
        </is>
      </c>
      <c r="G2925" t="inlineStr">
        <is>
          <t>Wt</t>
        </is>
      </c>
      <c r="H2925">
        <f>'Floor Hours Engine'!$E$4</f>
        <v/>
      </c>
      <c r="I2925" t="inlineStr">
        <is>
          <t>W2</t>
        </is>
      </c>
      <c r="J2925" t="inlineStr">
        <is>
          <t>2029_Styczeń_W2</t>
        </is>
      </c>
    </row>
    <row r="2926">
      <c r="A2926" s="177" t="n">
        <v>47121</v>
      </c>
      <c r="B2926" s="177" t="n">
        <v>47120</v>
      </c>
      <c r="C2926" s="177" t="n">
        <v>47126</v>
      </c>
      <c r="D2926" t="inlineStr">
        <is>
          <t>BW20290102</t>
        </is>
      </c>
      <c r="E2926" t="n">
        <v>2029</v>
      </c>
      <c r="F2926" t="inlineStr">
        <is>
          <t>Styczeń</t>
        </is>
      </c>
      <c r="G2926" t="inlineStr">
        <is>
          <t>Śr</t>
        </is>
      </c>
      <c r="H2926">
        <f>'Floor Hours Engine'!$E$4</f>
        <v/>
      </c>
      <c r="I2926" t="inlineStr">
        <is>
          <t>W2</t>
        </is>
      </c>
      <c r="J2926" t="inlineStr">
        <is>
          <t>2029_Styczeń_W2</t>
        </is>
      </c>
    </row>
    <row r="2927">
      <c r="A2927" s="177" t="n">
        <v>47122</v>
      </c>
      <c r="B2927" s="177" t="n">
        <v>47120</v>
      </c>
      <c r="C2927" s="177" t="n">
        <v>47126</v>
      </c>
      <c r="D2927" t="inlineStr">
        <is>
          <t>BW20290102</t>
        </is>
      </c>
      <c r="E2927" t="n">
        <v>2029</v>
      </c>
      <c r="F2927" t="inlineStr">
        <is>
          <t>Styczeń</t>
        </is>
      </c>
      <c r="G2927" t="inlineStr">
        <is>
          <t>Czw</t>
        </is>
      </c>
      <c r="H2927">
        <f>'Floor Hours Engine'!$E$4</f>
        <v/>
      </c>
      <c r="I2927" t="inlineStr">
        <is>
          <t>W2</t>
        </is>
      </c>
      <c r="J2927" t="inlineStr">
        <is>
          <t>2029_Styczeń_W2</t>
        </is>
      </c>
    </row>
    <row r="2928">
      <c r="A2928" s="177" t="n">
        <v>47123</v>
      </c>
      <c r="B2928" s="177" t="n">
        <v>47120</v>
      </c>
      <c r="C2928" s="177" t="n">
        <v>47126</v>
      </c>
      <c r="D2928" t="inlineStr">
        <is>
          <t>BW20290102</t>
        </is>
      </c>
      <c r="E2928" t="n">
        <v>2029</v>
      </c>
      <c r="F2928" t="inlineStr">
        <is>
          <t>Styczeń</t>
        </is>
      </c>
      <c r="G2928" t="inlineStr">
        <is>
          <t>Pt</t>
        </is>
      </c>
      <c r="H2928">
        <f>'Floor Hours Engine'!$E$5</f>
        <v/>
      </c>
      <c r="I2928" t="inlineStr">
        <is>
          <t>W2</t>
        </is>
      </c>
      <c r="J2928" t="inlineStr">
        <is>
          <t>2029_Styczeń_W2</t>
        </is>
      </c>
    </row>
    <row r="2929">
      <c r="A2929" s="177" t="n">
        <v>47124</v>
      </c>
      <c r="B2929" s="177" t="n">
        <v>47120</v>
      </c>
      <c r="C2929" s="177" t="n">
        <v>47126</v>
      </c>
      <c r="D2929" t="inlineStr">
        <is>
          <t>BW20290102</t>
        </is>
      </c>
      <c r="E2929" t="n">
        <v>2029</v>
      </c>
      <c r="F2929" t="inlineStr">
        <is>
          <t>Styczeń</t>
        </is>
      </c>
      <c r="G2929" t="inlineStr">
        <is>
          <t>Sob</t>
        </is>
      </c>
      <c r="H2929">
        <f>'Floor Hours Engine'!$E$5</f>
        <v/>
      </c>
      <c r="I2929" t="inlineStr">
        <is>
          <t>W2</t>
        </is>
      </c>
      <c r="J2929" t="inlineStr">
        <is>
          <t>2029_Styczeń_W2</t>
        </is>
      </c>
    </row>
    <row r="2930">
      <c r="A2930" s="177" t="n">
        <v>47125</v>
      </c>
      <c r="B2930" s="177" t="n">
        <v>47120</v>
      </c>
      <c r="C2930" s="177" t="n">
        <v>47126</v>
      </c>
      <c r="D2930" t="inlineStr">
        <is>
          <t>BW20290102</t>
        </is>
      </c>
      <c r="E2930" t="n">
        <v>2029</v>
      </c>
      <c r="F2930" t="inlineStr">
        <is>
          <t>Styczeń</t>
        </is>
      </c>
      <c r="G2930" t="inlineStr">
        <is>
          <t>Nd</t>
        </is>
      </c>
      <c r="H2930">
        <f>'Floor Hours Engine'!$E$6</f>
        <v/>
      </c>
      <c r="I2930" t="inlineStr">
        <is>
          <t>W2</t>
        </is>
      </c>
      <c r="J2930" t="inlineStr">
        <is>
          <t>2029_Styczeń_W2</t>
        </is>
      </c>
    </row>
    <row r="2931">
      <c r="A2931" s="177" t="n">
        <v>47126</v>
      </c>
      <c r="B2931" s="177" t="n">
        <v>47120</v>
      </c>
      <c r="C2931" s="177" t="n">
        <v>47126</v>
      </c>
      <c r="D2931" t="inlineStr">
        <is>
          <t>BW20290102</t>
        </is>
      </c>
      <c r="E2931" t="n">
        <v>2029</v>
      </c>
      <c r="F2931" t="inlineStr">
        <is>
          <t>Styczeń</t>
        </is>
      </c>
      <c r="G2931" t="inlineStr">
        <is>
          <t>Pn</t>
        </is>
      </c>
      <c r="H2931">
        <f>'Floor Hours Engine'!$E$4</f>
        <v/>
      </c>
      <c r="I2931" t="inlineStr">
        <is>
          <t>W2</t>
        </is>
      </c>
      <c r="J2931" t="inlineStr">
        <is>
          <t>2029_Styczeń_W2</t>
        </is>
      </c>
    </row>
    <row r="2932">
      <c r="A2932" s="177" t="n">
        <v>47127</v>
      </c>
      <c r="B2932" s="177" t="n">
        <v>47127</v>
      </c>
      <c r="C2932" s="177" t="n">
        <v>47133</v>
      </c>
      <c r="D2932" t="inlineStr">
        <is>
          <t>BW20290109</t>
        </is>
      </c>
      <c r="E2932" t="n">
        <v>2029</v>
      </c>
      <c r="F2932" t="inlineStr">
        <is>
          <t>Styczeń</t>
        </is>
      </c>
      <c r="G2932" t="inlineStr">
        <is>
          <t>Wt</t>
        </is>
      </c>
      <c r="H2932">
        <f>'Floor Hours Engine'!$E$4</f>
        <v/>
      </c>
      <c r="I2932" t="inlineStr">
        <is>
          <t>W3</t>
        </is>
      </c>
      <c r="J2932" t="inlineStr">
        <is>
          <t>2029_Styczeń_W3</t>
        </is>
      </c>
    </row>
    <row r="2933">
      <c r="A2933" s="177" t="n">
        <v>47128</v>
      </c>
      <c r="B2933" s="177" t="n">
        <v>47127</v>
      </c>
      <c r="C2933" s="177" t="n">
        <v>47133</v>
      </c>
      <c r="D2933" t="inlineStr">
        <is>
          <t>BW20290109</t>
        </is>
      </c>
      <c r="E2933" t="n">
        <v>2029</v>
      </c>
      <c r="F2933" t="inlineStr">
        <is>
          <t>Styczeń</t>
        </is>
      </c>
      <c r="G2933" t="inlineStr">
        <is>
          <t>Śr</t>
        </is>
      </c>
      <c r="H2933">
        <f>'Floor Hours Engine'!$E$4</f>
        <v/>
      </c>
      <c r="I2933" t="inlineStr">
        <is>
          <t>W3</t>
        </is>
      </c>
      <c r="J2933" t="inlineStr">
        <is>
          <t>2029_Styczeń_W3</t>
        </is>
      </c>
    </row>
    <row r="2934">
      <c r="A2934" s="177" t="n">
        <v>47129</v>
      </c>
      <c r="B2934" s="177" t="n">
        <v>47127</v>
      </c>
      <c r="C2934" s="177" t="n">
        <v>47133</v>
      </c>
      <c r="D2934" t="inlineStr">
        <is>
          <t>BW20290109</t>
        </is>
      </c>
      <c r="E2934" t="n">
        <v>2029</v>
      </c>
      <c r="F2934" t="inlineStr">
        <is>
          <t>Styczeń</t>
        </is>
      </c>
      <c r="G2934" t="inlineStr">
        <is>
          <t>Czw</t>
        </is>
      </c>
      <c r="H2934">
        <f>'Floor Hours Engine'!$E$4</f>
        <v/>
      </c>
      <c r="I2934" t="inlineStr">
        <is>
          <t>W3</t>
        </is>
      </c>
      <c r="J2934" t="inlineStr">
        <is>
          <t>2029_Styczeń_W3</t>
        </is>
      </c>
    </row>
    <row r="2935">
      <c r="A2935" s="177" t="n">
        <v>47130</v>
      </c>
      <c r="B2935" s="177" t="n">
        <v>47127</v>
      </c>
      <c r="C2935" s="177" t="n">
        <v>47133</v>
      </c>
      <c r="D2935" t="inlineStr">
        <is>
          <t>BW20290109</t>
        </is>
      </c>
      <c r="E2935" t="n">
        <v>2029</v>
      </c>
      <c r="F2935" t="inlineStr">
        <is>
          <t>Styczeń</t>
        </is>
      </c>
      <c r="G2935" t="inlineStr">
        <is>
          <t>Pt</t>
        </is>
      </c>
      <c r="H2935">
        <f>'Floor Hours Engine'!$E$5</f>
        <v/>
      </c>
      <c r="I2935" t="inlineStr">
        <is>
          <t>W3</t>
        </is>
      </c>
      <c r="J2935" t="inlineStr">
        <is>
          <t>2029_Styczeń_W3</t>
        </is>
      </c>
    </row>
    <row r="2936">
      <c r="A2936" s="177" t="n">
        <v>47131</v>
      </c>
      <c r="B2936" s="177" t="n">
        <v>47127</v>
      </c>
      <c r="C2936" s="177" t="n">
        <v>47133</v>
      </c>
      <c r="D2936" t="inlineStr">
        <is>
          <t>BW20290109</t>
        </is>
      </c>
      <c r="E2936" t="n">
        <v>2029</v>
      </c>
      <c r="F2936" t="inlineStr">
        <is>
          <t>Styczeń</t>
        </is>
      </c>
      <c r="G2936" t="inlineStr">
        <is>
          <t>Sob</t>
        </is>
      </c>
      <c r="H2936">
        <f>'Floor Hours Engine'!$E$5</f>
        <v/>
      </c>
      <c r="I2936" t="inlineStr">
        <is>
          <t>W3</t>
        </is>
      </c>
      <c r="J2936" t="inlineStr">
        <is>
          <t>2029_Styczeń_W3</t>
        </is>
      </c>
    </row>
    <row r="2937">
      <c r="A2937" s="177" t="n">
        <v>47132</v>
      </c>
      <c r="B2937" s="177" t="n">
        <v>47127</v>
      </c>
      <c r="C2937" s="177" t="n">
        <v>47133</v>
      </c>
      <c r="D2937" t="inlineStr">
        <is>
          <t>BW20290109</t>
        </is>
      </c>
      <c r="E2937" t="n">
        <v>2029</v>
      </c>
      <c r="F2937" t="inlineStr">
        <is>
          <t>Styczeń</t>
        </is>
      </c>
      <c r="G2937" t="inlineStr">
        <is>
          <t>Nd</t>
        </is>
      </c>
      <c r="H2937">
        <f>'Floor Hours Engine'!$E$6</f>
        <v/>
      </c>
      <c r="I2937" t="inlineStr">
        <is>
          <t>W3</t>
        </is>
      </c>
      <c r="J2937" t="inlineStr">
        <is>
          <t>2029_Styczeń_W3</t>
        </is>
      </c>
    </row>
    <row r="2938">
      <c r="A2938" s="177" t="n">
        <v>47133</v>
      </c>
      <c r="B2938" s="177" t="n">
        <v>47127</v>
      </c>
      <c r="C2938" s="177" t="n">
        <v>47133</v>
      </c>
      <c r="D2938" t="inlineStr">
        <is>
          <t>BW20290109</t>
        </is>
      </c>
      <c r="E2938" t="n">
        <v>2029</v>
      </c>
      <c r="F2938" t="inlineStr">
        <is>
          <t>Styczeń</t>
        </is>
      </c>
      <c r="G2938" t="inlineStr">
        <is>
          <t>Pn</t>
        </is>
      </c>
      <c r="H2938">
        <f>'Floor Hours Engine'!$E$4</f>
        <v/>
      </c>
      <c r="I2938" t="inlineStr">
        <is>
          <t>W3</t>
        </is>
      </c>
      <c r="J2938" t="inlineStr">
        <is>
          <t>2029_Styczeń_W3</t>
        </is>
      </c>
    </row>
    <row r="2939">
      <c r="A2939" s="177" t="n">
        <v>47134</v>
      </c>
      <c r="B2939" s="177" t="n">
        <v>47134</v>
      </c>
      <c r="C2939" s="177" t="n">
        <v>47140</v>
      </c>
      <c r="D2939" t="inlineStr">
        <is>
          <t>BW20290116</t>
        </is>
      </c>
      <c r="E2939" t="n">
        <v>2029</v>
      </c>
      <c r="F2939" t="inlineStr">
        <is>
          <t>Styczeń</t>
        </is>
      </c>
      <c r="G2939" t="inlineStr">
        <is>
          <t>Wt</t>
        </is>
      </c>
      <c r="H2939">
        <f>'Floor Hours Engine'!$E$4</f>
        <v/>
      </c>
      <c r="I2939" t="inlineStr">
        <is>
          <t>W4</t>
        </is>
      </c>
      <c r="J2939" t="inlineStr">
        <is>
          <t>2029_Styczeń_W4</t>
        </is>
      </c>
    </row>
    <row r="2940">
      <c r="A2940" s="177" t="n">
        <v>47135</v>
      </c>
      <c r="B2940" s="177" t="n">
        <v>47134</v>
      </c>
      <c r="C2940" s="177" t="n">
        <v>47140</v>
      </c>
      <c r="D2940" t="inlineStr">
        <is>
          <t>BW20290116</t>
        </is>
      </c>
      <c r="E2940" t="n">
        <v>2029</v>
      </c>
      <c r="F2940" t="inlineStr">
        <is>
          <t>Styczeń</t>
        </is>
      </c>
      <c r="G2940" t="inlineStr">
        <is>
          <t>Śr</t>
        </is>
      </c>
      <c r="H2940">
        <f>'Floor Hours Engine'!$E$4</f>
        <v/>
      </c>
      <c r="I2940" t="inlineStr">
        <is>
          <t>W4</t>
        </is>
      </c>
      <c r="J2940" t="inlineStr">
        <is>
          <t>2029_Styczeń_W4</t>
        </is>
      </c>
    </row>
    <row r="2941">
      <c r="A2941" s="177" t="n">
        <v>47136</v>
      </c>
      <c r="B2941" s="177" t="n">
        <v>47134</v>
      </c>
      <c r="C2941" s="177" t="n">
        <v>47140</v>
      </c>
      <c r="D2941" t="inlineStr">
        <is>
          <t>BW20290116</t>
        </is>
      </c>
      <c r="E2941" t="n">
        <v>2029</v>
      </c>
      <c r="F2941" t="inlineStr">
        <is>
          <t>Styczeń</t>
        </is>
      </c>
      <c r="G2941" t="inlineStr">
        <is>
          <t>Czw</t>
        </is>
      </c>
      <c r="H2941">
        <f>'Floor Hours Engine'!$E$4</f>
        <v/>
      </c>
      <c r="I2941" t="inlineStr">
        <is>
          <t>W4</t>
        </is>
      </c>
      <c r="J2941" t="inlineStr">
        <is>
          <t>2029_Styczeń_W4</t>
        </is>
      </c>
    </row>
    <row r="2942">
      <c r="A2942" s="177" t="n">
        <v>47137</v>
      </c>
      <c r="B2942" s="177" t="n">
        <v>47134</v>
      </c>
      <c r="C2942" s="177" t="n">
        <v>47140</v>
      </c>
      <c r="D2942" t="inlineStr">
        <is>
          <t>BW20290116</t>
        </is>
      </c>
      <c r="E2942" t="n">
        <v>2029</v>
      </c>
      <c r="F2942" t="inlineStr">
        <is>
          <t>Styczeń</t>
        </is>
      </c>
      <c r="G2942" t="inlineStr">
        <is>
          <t>Pt</t>
        </is>
      </c>
      <c r="H2942">
        <f>'Floor Hours Engine'!$E$5</f>
        <v/>
      </c>
      <c r="I2942" t="inlineStr">
        <is>
          <t>W4</t>
        </is>
      </c>
      <c r="J2942" t="inlineStr">
        <is>
          <t>2029_Styczeń_W4</t>
        </is>
      </c>
    </row>
    <row r="2943">
      <c r="A2943" s="177" t="n">
        <v>47138</v>
      </c>
      <c r="B2943" s="177" t="n">
        <v>47134</v>
      </c>
      <c r="C2943" s="177" t="n">
        <v>47140</v>
      </c>
      <c r="D2943" t="inlineStr">
        <is>
          <t>BW20290116</t>
        </is>
      </c>
      <c r="E2943" t="n">
        <v>2029</v>
      </c>
      <c r="F2943" t="inlineStr">
        <is>
          <t>Styczeń</t>
        </is>
      </c>
      <c r="G2943" t="inlineStr">
        <is>
          <t>Sob</t>
        </is>
      </c>
      <c r="H2943">
        <f>'Floor Hours Engine'!$E$5</f>
        <v/>
      </c>
      <c r="I2943" t="inlineStr">
        <is>
          <t>W4</t>
        </is>
      </c>
      <c r="J2943" t="inlineStr">
        <is>
          <t>2029_Styczeń_W4</t>
        </is>
      </c>
    </row>
    <row r="2944">
      <c r="A2944" s="177" t="n">
        <v>47139</v>
      </c>
      <c r="B2944" s="177" t="n">
        <v>47134</v>
      </c>
      <c r="C2944" s="177" t="n">
        <v>47140</v>
      </c>
      <c r="D2944" t="inlineStr">
        <is>
          <t>BW20290116</t>
        </is>
      </c>
      <c r="E2944" t="n">
        <v>2029</v>
      </c>
      <c r="F2944" t="inlineStr">
        <is>
          <t>Styczeń</t>
        </is>
      </c>
      <c r="G2944" t="inlineStr">
        <is>
          <t>Nd</t>
        </is>
      </c>
      <c r="H2944">
        <f>'Floor Hours Engine'!$E$6</f>
        <v/>
      </c>
      <c r="I2944" t="inlineStr">
        <is>
          <t>W4</t>
        </is>
      </c>
      <c r="J2944" t="inlineStr">
        <is>
          <t>2029_Styczeń_W4</t>
        </is>
      </c>
    </row>
    <row r="2945">
      <c r="A2945" s="177" t="n">
        <v>47140</v>
      </c>
      <c r="B2945" s="177" t="n">
        <v>47134</v>
      </c>
      <c r="C2945" s="177" t="n">
        <v>47140</v>
      </c>
      <c r="D2945" t="inlineStr">
        <is>
          <t>BW20290116</t>
        </is>
      </c>
      <c r="E2945" t="n">
        <v>2029</v>
      </c>
      <c r="F2945" t="inlineStr">
        <is>
          <t>Styczeń</t>
        </is>
      </c>
      <c r="G2945" t="inlineStr">
        <is>
          <t>Pn</t>
        </is>
      </c>
      <c r="H2945">
        <f>'Floor Hours Engine'!$E$4</f>
        <v/>
      </c>
      <c r="I2945" t="inlineStr">
        <is>
          <t>W4</t>
        </is>
      </c>
      <c r="J2945" t="inlineStr">
        <is>
          <t>2029_Styczeń_W4</t>
        </is>
      </c>
    </row>
    <row r="2946">
      <c r="A2946" s="177" t="n">
        <v>47141</v>
      </c>
      <c r="B2946" s="177" t="n">
        <v>47141</v>
      </c>
      <c r="C2946" s="177" t="n">
        <v>47147</v>
      </c>
      <c r="D2946" t="inlineStr">
        <is>
          <t>BW20290123</t>
        </is>
      </c>
      <c r="E2946" t="n">
        <v>2029</v>
      </c>
      <c r="F2946" t="inlineStr">
        <is>
          <t>Styczeń</t>
        </is>
      </c>
      <c r="G2946" t="inlineStr">
        <is>
          <t>Wt</t>
        </is>
      </c>
      <c r="H2946">
        <f>'Floor Hours Engine'!$E$4</f>
        <v/>
      </c>
      <c r="I2946" t="inlineStr">
        <is>
          <t>W5</t>
        </is>
      </c>
      <c r="J2946" t="inlineStr">
        <is>
          <t>2029_Styczeń_W5</t>
        </is>
      </c>
    </row>
    <row r="2947">
      <c r="A2947" s="177" t="n">
        <v>47142</v>
      </c>
      <c r="B2947" s="177" t="n">
        <v>47141</v>
      </c>
      <c r="C2947" s="177" t="n">
        <v>47147</v>
      </c>
      <c r="D2947" t="inlineStr">
        <is>
          <t>BW20290123</t>
        </is>
      </c>
      <c r="E2947" t="n">
        <v>2029</v>
      </c>
      <c r="F2947" t="inlineStr">
        <is>
          <t>Styczeń</t>
        </is>
      </c>
      <c r="G2947" t="inlineStr">
        <is>
          <t>Śr</t>
        </is>
      </c>
      <c r="H2947">
        <f>'Floor Hours Engine'!$E$4</f>
        <v/>
      </c>
      <c r="I2947" t="inlineStr">
        <is>
          <t>W5</t>
        </is>
      </c>
      <c r="J2947" t="inlineStr">
        <is>
          <t>2029_Styczeń_W5</t>
        </is>
      </c>
    </row>
    <row r="2948">
      <c r="A2948" s="177" t="n">
        <v>47143</v>
      </c>
      <c r="B2948" s="177" t="n">
        <v>47141</v>
      </c>
      <c r="C2948" s="177" t="n">
        <v>47147</v>
      </c>
      <c r="D2948" t="inlineStr">
        <is>
          <t>BW20290123</t>
        </is>
      </c>
      <c r="E2948" t="n">
        <v>2029</v>
      </c>
      <c r="F2948" t="inlineStr">
        <is>
          <t>Styczeń</t>
        </is>
      </c>
      <c r="G2948" t="inlineStr">
        <is>
          <t>Czw</t>
        </is>
      </c>
      <c r="H2948">
        <f>'Floor Hours Engine'!$E$4</f>
        <v/>
      </c>
      <c r="I2948" t="inlineStr">
        <is>
          <t>W5</t>
        </is>
      </c>
      <c r="J2948" t="inlineStr">
        <is>
          <t>2029_Styczeń_W5</t>
        </is>
      </c>
    </row>
    <row r="2949">
      <c r="A2949" s="177" t="n">
        <v>47144</v>
      </c>
      <c r="B2949" s="177" t="n">
        <v>47141</v>
      </c>
      <c r="C2949" s="177" t="n">
        <v>47147</v>
      </c>
      <c r="D2949" t="inlineStr">
        <is>
          <t>BW20290123</t>
        </is>
      </c>
      <c r="E2949" t="n">
        <v>2029</v>
      </c>
      <c r="F2949" t="inlineStr">
        <is>
          <t>Styczeń</t>
        </is>
      </c>
      <c r="G2949" t="inlineStr">
        <is>
          <t>Pt</t>
        </is>
      </c>
      <c r="H2949">
        <f>'Floor Hours Engine'!$E$5</f>
        <v/>
      </c>
      <c r="I2949" t="inlineStr">
        <is>
          <t>W5</t>
        </is>
      </c>
      <c r="J2949" t="inlineStr">
        <is>
          <t>2029_Styczeń_W5</t>
        </is>
      </c>
    </row>
    <row r="2950">
      <c r="A2950" s="177" t="n">
        <v>47145</v>
      </c>
      <c r="B2950" s="177" t="n">
        <v>47141</v>
      </c>
      <c r="C2950" s="177" t="n">
        <v>47147</v>
      </c>
      <c r="D2950" t="inlineStr">
        <is>
          <t>BW20290123</t>
        </is>
      </c>
      <c r="E2950" t="n">
        <v>2029</v>
      </c>
      <c r="F2950" t="inlineStr">
        <is>
          <t>Styczeń</t>
        </is>
      </c>
      <c r="G2950" t="inlineStr">
        <is>
          <t>Sob</t>
        </is>
      </c>
      <c r="H2950">
        <f>'Floor Hours Engine'!$E$5</f>
        <v/>
      </c>
      <c r="I2950" t="inlineStr">
        <is>
          <t>W5</t>
        </is>
      </c>
      <c r="J2950" t="inlineStr">
        <is>
          <t>2029_Styczeń_W5</t>
        </is>
      </c>
    </row>
    <row r="2951">
      <c r="A2951" s="177" t="n">
        <v>47146</v>
      </c>
      <c r="B2951" s="177" t="n">
        <v>47141</v>
      </c>
      <c r="C2951" s="177" t="n">
        <v>47147</v>
      </c>
      <c r="D2951" t="inlineStr">
        <is>
          <t>BW20290123</t>
        </is>
      </c>
      <c r="E2951" t="n">
        <v>2029</v>
      </c>
      <c r="F2951" t="inlineStr">
        <is>
          <t>Styczeń</t>
        </is>
      </c>
      <c r="G2951" t="inlineStr">
        <is>
          <t>Nd</t>
        </is>
      </c>
      <c r="H2951">
        <f>'Floor Hours Engine'!$E$6</f>
        <v/>
      </c>
      <c r="I2951" t="inlineStr">
        <is>
          <t>W5</t>
        </is>
      </c>
      <c r="J2951" t="inlineStr">
        <is>
          <t>2029_Styczeń_W5</t>
        </is>
      </c>
    </row>
    <row r="2952">
      <c r="A2952" s="177" t="n">
        <v>47147</v>
      </c>
      <c r="B2952" s="177" t="n">
        <v>47141</v>
      </c>
      <c r="C2952" s="177" t="n">
        <v>47147</v>
      </c>
      <c r="D2952" t="inlineStr">
        <is>
          <t>BW20290123</t>
        </is>
      </c>
      <c r="E2952" t="n">
        <v>2029</v>
      </c>
      <c r="F2952" t="inlineStr">
        <is>
          <t>Styczeń</t>
        </is>
      </c>
      <c r="G2952" t="inlineStr">
        <is>
          <t>Pn</t>
        </is>
      </c>
      <c r="H2952">
        <f>'Floor Hours Engine'!$E$4</f>
        <v/>
      </c>
      <c r="I2952" t="inlineStr">
        <is>
          <t>W5</t>
        </is>
      </c>
      <c r="J2952" t="inlineStr">
        <is>
          <t>2029_Styczeń_W5</t>
        </is>
      </c>
    </row>
    <row r="2953">
      <c r="A2953" s="177" t="n">
        <v>47148</v>
      </c>
      <c r="B2953" s="177" t="n">
        <v>47148</v>
      </c>
      <c r="C2953" s="177" t="n">
        <v>47154</v>
      </c>
      <c r="D2953" t="inlineStr">
        <is>
          <t>BW20290130</t>
        </is>
      </c>
      <c r="E2953" t="n">
        <v>2029</v>
      </c>
      <c r="F2953" t="inlineStr">
        <is>
          <t>Styczeń</t>
        </is>
      </c>
      <c r="G2953" t="inlineStr">
        <is>
          <t>Wt</t>
        </is>
      </c>
      <c r="H2953">
        <f>'Floor Hours Engine'!$E$4</f>
        <v/>
      </c>
      <c r="I2953" t="inlineStr">
        <is>
          <t>W6</t>
        </is>
      </c>
      <c r="J2953" t="inlineStr">
        <is>
          <t>2029_Styczeń_W6</t>
        </is>
      </c>
    </row>
    <row r="2954">
      <c r="A2954" s="177" t="n">
        <v>47149</v>
      </c>
      <c r="B2954" s="177" t="n">
        <v>47148</v>
      </c>
      <c r="C2954" s="177" t="n">
        <v>47154</v>
      </c>
      <c r="D2954" t="inlineStr">
        <is>
          <t>BW20290130</t>
        </is>
      </c>
      <c r="E2954" t="n">
        <v>2029</v>
      </c>
      <c r="F2954" t="inlineStr">
        <is>
          <t>Styczeń</t>
        </is>
      </c>
      <c r="G2954" t="inlineStr">
        <is>
          <t>Śr</t>
        </is>
      </c>
      <c r="H2954">
        <f>'Floor Hours Engine'!$E$4</f>
        <v/>
      </c>
      <c r="I2954" t="inlineStr">
        <is>
          <t>W6</t>
        </is>
      </c>
      <c r="J2954" t="inlineStr">
        <is>
          <t>2029_Styczeń_W6</t>
        </is>
      </c>
    </row>
    <row r="2955">
      <c r="A2955" s="177" t="n">
        <v>47150</v>
      </c>
      <c r="B2955" s="177" t="n">
        <v>47148</v>
      </c>
      <c r="C2955" s="177" t="n">
        <v>47154</v>
      </c>
      <c r="D2955" t="inlineStr">
        <is>
          <t>BW20290130</t>
        </is>
      </c>
      <c r="E2955" t="n">
        <v>2029</v>
      </c>
      <c r="F2955" t="inlineStr">
        <is>
          <t>Luty</t>
        </is>
      </c>
      <c r="G2955" t="inlineStr">
        <is>
          <t>Czw</t>
        </is>
      </c>
      <c r="H2955">
        <f>'Floor Hours Engine'!$E$4</f>
        <v/>
      </c>
      <c r="I2955" t="inlineStr">
        <is>
          <t>W1</t>
        </is>
      </c>
      <c r="J2955" t="inlineStr">
        <is>
          <t>2029_Luty_W1</t>
        </is>
      </c>
    </row>
    <row r="2956">
      <c r="A2956" s="177" t="n">
        <v>47151</v>
      </c>
      <c r="B2956" s="177" t="n">
        <v>47148</v>
      </c>
      <c r="C2956" s="177" t="n">
        <v>47154</v>
      </c>
      <c r="D2956" t="inlineStr">
        <is>
          <t>BW20290130</t>
        </is>
      </c>
      <c r="E2956" t="n">
        <v>2029</v>
      </c>
      <c r="F2956" t="inlineStr">
        <is>
          <t>Luty</t>
        </is>
      </c>
      <c r="G2956" t="inlineStr">
        <is>
          <t>Pt</t>
        </is>
      </c>
      <c r="H2956">
        <f>'Floor Hours Engine'!$E$5</f>
        <v/>
      </c>
      <c r="I2956" t="inlineStr">
        <is>
          <t>W1</t>
        </is>
      </c>
      <c r="J2956" t="inlineStr">
        <is>
          <t>2029_Luty_W1</t>
        </is>
      </c>
    </row>
    <row r="2957">
      <c r="A2957" s="177" t="n">
        <v>47152</v>
      </c>
      <c r="B2957" s="177" t="n">
        <v>47148</v>
      </c>
      <c r="C2957" s="177" t="n">
        <v>47154</v>
      </c>
      <c r="D2957" t="inlineStr">
        <is>
          <t>BW20290130</t>
        </is>
      </c>
      <c r="E2957" t="n">
        <v>2029</v>
      </c>
      <c r="F2957" t="inlineStr">
        <is>
          <t>Luty</t>
        </is>
      </c>
      <c r="G2957" t="inlineStr">
        <is>
          <t>Sob</t>
        </is>
      </c>
      <c r="H2957">
        <f>'Floor Hours Engine'!$E$5</f>
        <v/>
      </c>
      <c r="I2957" t="inlineStr">
        <is>
          <t>W1</t>
        </is>
      </c>
      <c r="J2957" t="inlineStr">
        <is>
          <t>2029_Luty_W1</t>
        </is>
      </c>
    </row>
    <row r="2958">
      <c r="A2958" s="177" t="n">
        <v>47153</v>
      </c>
      <c r="B2958" s="177" t="n">
        <v>47148</v>
      </c>
      <c r="C2958" s="177" t="n">
        <v>47154</v>
      </c>
      <c r="D2958" t="inlineStr">
        <is>
          <t>BW20290130</t>
        </is>
      </c>
      <c r="E2958" t="n">
        <v>2029</v>
      </c>
      <c r="F2958" t="inlineStr">
        <is>
          <t>Luty</t>
        </is>
      </c>
      <c r="G2958" t="inlineStr">
        <is>
          <t>Nd</t>
        </is>
      </c>
      <c r="H2958">
        <f>'Floor Hours Engine'!$E$6</f>
        <v/>
      </c>
      <c r="I2958" t="inlineStr">
        <is>
          <t>W1</t>
        </is>
      </c>
      <c r="J2958" t="inlineStr">
        <is>
          <t>2029_Luty_W1</t>
        </is>
      </c>
    </row>
    <row r="2959">
      <c r="A2959" s="177" t="n">
        <v>47154</v>
      </c>
      <c r="B2959" s="177" t="n">
        <v>47148</v>
      </c>
      <c r="C2959" s="177" t="n">
        <v>47154</v>
      </c>
      <c r="D2959" t="inlineStr">
        <is>
          <t>BW20290130</t>
        </is>
      </c>
      <c r="E2959" t="n">
        <v>2029</v>
      </c>
      <c r="F2959" t="inlineStr">
        <is>
          <t>Luty</t>
        </is>
      </c>
      <c r="G2959" t="inlineStr">
        <is>
          <t>Pn</t>
        </is>
      </c>
      <c r="H2959">
        <f>'Floor Hours Engine'!$E$4</f>
        <v/>
      </c>
      <c r="I2959" t="inlineStr">
        <is>
          <t>W1</t>
        </is>
      </c>
      <c r="J2959" t="inlineStr">
        <is>
          <t>2029_Luty_W1</t>
        </is>
      </c>
    </row>
    <row r="2960">
      <c r="A2960" s="177" t="n">
        <v>47155</v>
      </c>
      <c r="B2960" s="177" t="n">
        <v>47155</v>
      </c>
      <c r="C2960" s="177" t="n">
        <v>47161</v>
      </c>
      <c r="D2960" t="inlineStr">
        <is>
          <t>BW20290206</t>
        </is>
      </c>
      <c r="E2960" t="n">
        <v>2029</v>
      </c>
      <c r="F2960" t="inlineStr">
        <is>
          <t>Luty</t>
        </is>
      </c>
      <c r="G2960" t="inlineStr">
        <is>
          <t>Wt</t>
        </is>
      </c>
      <c r="H2960">
        <f>'Floor Hours Engine'!$E$4</f>
        <v/>
      </c>
      <c r="I2960" t="inlineStr">
        <is>
          <t>W2</t>
        </is>
      </c>
      <c r="J2960" t="inlineStr">
        <is>
          <t>2029_Luty_W2</t>
        </is>
      </c>
    </row>
    <row r="2961">
      <c r="A2961" s="177" t="n">
        <v>47156</v>
      </c>
      <c r="B2961" s="177" t="n">
        <v>47155</v>
      </c>
      <c r="C2961" s="177" t="n">
        <v>47161</v>
      </c>
      <c r="D2961" t="inlineStr">
        <is>
          <t>BW20290206</t>
        </is>
      </c>
      <c r="E2961" t="n">
        <v>2029</v>
      </c>
      <c r="F2961" t="inlineStr">
        <is>
          <t>Luty</t>
        </is>
      </c>
      <c r="G2961" t="inlineStr">
        <is>
          <t>Śr</t>
        </is>
      </c>
      <c r="H2961">
        <f>'Floor Hours Engine'!$E$4</f>
        <v/>
      </c>
      <c r="I2961" t="inlineStr">
        <is>
          <t>W2</t>
        </is>
      </c>
      <c r="J2961" t="inlineStr">
        <is>
          <t>2029_Luty_W2</t>
        </is>
      </c>
    </row>
    <row r="2962">
      <c r="A2962" s="177" t="n">
        <v>47157</v>
      </c>
      <c r="B2962" s="177" t="n">
        <v>47155</v>
      </c>
      <c r="C2962" s="177" t="n">
        <v>47161</v>
      </c>
      <c r="D2962" t="inlineStr">
        <is>
          <t>BW20290206</t>
        </is>
      </c>
      <c r="E2962" t="n">
        <v>2029</v>
      </c>
      <c r="F2962" t="inlineStr">
        <is>
          <t>Luty</t>
        </is>
      </c>
      <c r="G2962" t="inlineStr">
        <is>
          <t>Czw</t>
        </is>
      </c>
      <c r="H2962">
        <f>'Floor Hours Engine'!$E$4</f>
        <v/>
      </c>
      <c r="I2962" t="inlineStr">
        <is>
          <t>W2</t>
        </is>
      </c>
      <c r="J2962" t="inlineStr">
        <is>
          <t>2029_Luty_W2</t>
        </is>
      </c>
    </row>
    <row r="2963">
      <c r="A2963" s="177" t="n">
        <v>47158</v>
      </c>
      <c r="B2963" s="177" t="n">
        <v>47155</v>
      </c>
      <c r="C2963" s="177" t="n">
        <v>47161</v>
      </c>
      <c r="D2963" t="inlineStr">
        <is>
          <t>BW20290206</t>
        </is>
      </c>
      <c r="E2963" t="n">
        <v>2029</v>
      </c>
      <c r="F2963" t="inlineStr">
        <is>
          <t>Luty</t>
        </is>
      </c>
      <c r="G2963" t="inlineStr">
        <is>
          <t>Pt</t>
        </is>
      </c>
      <c r="H2963">
        <f>'Floor Hours Engine'!$E$5</f>
        <v/>
      </c>
      <c r="I2963" t="inlineStr">
        <is>
          <t>W2</t>
        </is>
      </c>
      <c r="J2963" t="inlineStr">
        <is>
          <t>2029_Luty_W2</t>
        </is>
      </c>
    </row>
    <row r="2964">
      <c r="A2964" s="177" t="n">
        <v>47159</v>
      </c>
      <c r="B2964" s="177" t="n">
        <v>47155</v>
      </c>
      <c r="C2964" s="177" t="n">
        <v>47161</v>
      </c>
      <c r="D2964" t="inlineStr">
        <is>
          <t>BW20290206</t>
        </is>
      </c>
      <c r="E2964" t="n">
        <v>2029</v>
      </c>
      <c r="F2964" t="inlineStr">
        <is>
          <t>Luty</t>
        </is>
      </c>
      <c r="G2964" t="inlineStr">
        <is>
          <t>Sob</t>
        </is>
      </c>
      <c r="H2964">
        <f>'Floor Hours Engine'!$E$5</f>
        <v/>
      </c>
      <c r="I2964" t="inlineStr">
        <is>
          <t>W2</t>
        </is>
      </c>
      <c r="J2964" t="inlineStr">
        <is>
          <t>2029_Luty_W2</t>
        </is>
      </c>
    </row>
    <row r="2965">
      <c r="A2965" s="177" t="n">
        <v>47160</v>
      </c>
      <c r="B2965" s="177" t="n">
        <v>47155</v>
      </c>
      <c r="C2965" s="177" t="n">
        <v>47161</v>
      </c>
      <c r="D2965" t="inlineStr">
        <is>
          <t>BW20290206</t>
        </is>
      </c>
      <c r="E2965" t="n">
        <v>2029</v>
      </c>
      <c r="F2965" t="inlineStr">
        <is>
          <t>Luty</t>
        </is>
      </c>
      <c r="G2965" t="inlineStr">
        <is>
          <t>Nd</t>
        </is>
      </c>
      <c r="H2965">
        <f>'Floor Hours Engine'!$E$6</f>
        <v/>
      </c>
      <c r="I2965" t="inlineStr">
        <is>
          <t>W2</t>
        </is>
      </c>
      <c r="J2965" t="inlineStr">
        <is>
          <t>2029_Luty_W2</t>
        </is>
      </c>
    </row>
    <row r="2966">
      <c r="A2966" s="177" t="n">
        <v>47161</v>
      </c>
      <c r="B2966" s="177" t="n">
        <v>47155</v>
      </c>
      <c r="C2966" s="177" t="n">
        <v>47161</v>
      </c>
      <c r="D2966" t="inlineStr">
        <is>
          <t>BW20290206</t>
        </is>
      </c>
      <c r="E2966" t="n">
        <v>2029</v>
      </c>
      <c r="F2966" t="inlineStr">
        <is>
          <t>Luty</t>
        </is>
      </c>
      <c r="G2966" t="inlineStr">
        <is>
          <t>Pn</t>
        </is>
      </c>
      <c r="H2966">
        <f>'Floor Hours Engine'!$E$4</f>
        <v/>
      </c>
      <c r="I2966" t="inlineStr">
        <is>
          <t>W2</t>
        </is>
      </c>
      <c r="J2966" t="inlineStr">
        <is>
          <t>2029_Luty_W2</t>
        </is>
      </c>
    </row>
    <row r="2967">
      <c r="A2967" s="177" t="n">
        <v>47162</v>
      </c>
      <c r="B2967" s="177" t="n">
        <v>47162</v>
      </c>
      <c r="C2967" s="177" t="n">
        <v>47168</v>
      </c>
      <c r="D2967" t="inlineStr">
        <is>
          <t>BW20290213</t>
        </is>
      </c>
      <c r="E2967" t="n">
        <v>2029</v>
      </c>
      <c r="F2967" t="inlineStr">
        <is>
          <t>Luty</t>
        </is>
      </c>
      <c r="G2967" t="inlineStr">
        <is>
          <t>Wt</t>
        </is>
      </c>
      <c r="H2967">
        <f>'Floor Hours Engine'!$E$4</f>
        <v/>
      </c>
      <c r="I2967" t="inlineStr">
        <is>
          <t>W3</t>
        </is>
      </c>
      <c r="J2967" t="inlineStr">
        <is>
          <t>2029_Luty_W3</t>
        </is>
      </c>
    </row>
    <row r="2968">
      <c r="A2968" s="177" t="n">
        <v>47163</v>
      </c>
      <c r="B2968" s="177" t="n">
        <v>47162</v>
      </c>
      <c r="C2968" s="177" t="n">
        <v>47168</v>
      </c>
      <c r="D2968" t="inlineStr">
        <is>
          <t>BW20290213</t>
        </is>
      </c>
      <c r="E2968" t="n">
        <v>2029</v>
      </c>
      <c r="F2968" t="inlineStr">
        <is>
          <t>Luty</t>
        </is>
      </c>
      <c r="G2968" t="inlineStr">
        <is>
          <t>Śr</t>
        </is>
      </c>
      <c r="H2968">
        <f>'Floor Hours Engine'!$E$4</f>
        <v/>
      </c>
      <c r="I2968" t="inlineStr">
        <is>
          <t>W3</t>
        </is>
      </c>
      <c r="J2968" t="inlineStr">
        <is>
          <t>2029_Luty_W3</t>
        </is>
      </c>
    </row>
    <row r="2969">
      <c r="A2969" s="177" t="n">
        <v>47164</v>
      </c>
      <c r="B2969" s="177" t="n">
        <v>47162</v>
      </c>
      <c r="C2969" s="177" t="n">
        <v>47168</v>
      </c>
      <c r="D2969" t="inlineStr">
        <is>
          <t>BW20290213</t>
        </is>
      </c>
      <c r="E2969" t="n">
        <v>2029</v>
      </c>
      <c r="F2969" t="inlineStr">
        <is>
          <t>Luty</t>
        </is>
      </c>
      <c r="G2969" t="inlineStr">
        <is>
          <t>Czw</t>
        </is>
      </c>
      <c r="H2969">
        <f>'Floor Hours Engine'!$E$4</f>
        <v/>
      </c>
      <c r="I2969" t="inlineStr">
        <is>
          <t>W3</t>
        </is>
      </c>
      <c r="J2969" t="inlineStr">
        <is>
          <t>2029_Luty_W3</t>
        </is>
      </c>
    </row>
    <row r="2970">
      <c r="A2970" s="177" t="n">
        <v>47165</v>
      </c>
      <c r="B2970" s="177" t="n">
        <v>47162</v>
      </c>
      <c r="C2970" s="177" t="n">
        <v>47168</v>
      </c>
      <c r="D2970" t="inlineStr">
        <is>
          <t>BW20290213</t>
        </is>
      </c>
      <c r="E2970" t="n">
        <v>2029</v>
      </c>
      <c r="F2970" t="inlineStr">
        <is>
          <t>Luty</t>
        </is>
      </c>
      <c r="G2970" t="inlineStr">
        <is>
          <t>Pt</t>
        </is>
      </c>
      <c r="H2970">
        <f>'Floor Hours Engine'!$E$5</f>
        <v/>
      </c>
      <c r="I2970" t="inlineStr">
        <is>
          <t>W3</t>
        </is>
      </c>
      <c r="J2970" t="inlineStr">
        <is>
          <t>2029_Luty_W3</t>
        </is>
      </c>
    </row>
    <row r="2971">
      <c r="A2971" s="177" t="n">
        <v>47166</v>
      </c>
      <c r="B2971" s="177" t="n">
        <v>47162</v>
      </c>
      <c r="C2971" s="177" t="n">
        <v>47168</v>
      </c>
      <c r="D2971" t="inlineStr">
        <is>
          <t>BW20290213</t>
        </is>
      </c>
      <c r="E2971" t="n">
        <v>2029</v>
      </c>
      <c r="F2971" t="inlineStr">
        <is>
          <t>Luty</t>
        </is>
      </c>
      <c r="G2971" t="inlineStr">
        <is>
          <t>Sob</t>
        </is>
      </c>
      <c r="H2971">
        <f>'Floor Hours Engine'!$E$5</f>
        <v/>
      </c>
      <c r="I2971" t="inlineStr">
        <is>
          <t>W3</t>
        </is>
      </c>
      <c r="J2971" t="inlineStr">
        <is>
          <t>2029_Luty_W3</t>
        </is>
      </c>
    </row>
    <row r="2972">
      <c r="A2972" s="177" t="n">
        <v>47167</v>
      </c>
      <c r="B2972" s="177" t="n">
        <v>47162</v>
      </c>
      <c r="C2972" s="177" t="n">
        <v>47168</v>
      </c>
      <c r="D2972" t="inlineStr">
        <is>
          <t>BW20290213</t>
        </is>
      </c>
      <c r="E2972" t="n">
        <v>2029</v>
      </c>
      <c r="F2972" t="inlineStr">
        <is>
          <t>Luty</t>
        </is>
      </c>
      <c r="G2972" t="inlineStr">
        <is>
          <t>Nd</t>
        </is>
      </c>
      <c r="H2972">
        <f>'Floor Hours Engine'!$E$6</f>
        <v/>
      </c>
      <c r="I2972" t="inlineStr">
        <is>
          <t>W3</t>
        </is>
      </c>
      <c r="J2972" t="inlineStr">
        <is>
          <t>2029_Luty_W3</t>
        </is>
      </c>
    </row>
    <row r="2973">
      <c r="A2973" s="177" t="n">
        <v>47168</v>
      </c>
      <c r="B2973" s="177" t="n">
        <v>47162</v>
      </c>
      <c r="C2973" s="177" t="n">
        <v>47168</v>
      </c>
      <c r="D2973" t="inlineStr">
        <is>
          <t>BW20290213</t>
        </is>
      </c>
      <c r="E2973" t="n">
        <v>2029</v>
      </c>
      <c r="F2973" t="inlineStr">
        <is>
          <t>Luty</t>
        </is>
      </c>
      <c r="G2973" t="inlineStr">
        <is>
          <t>Pn</t>
        </is>
      </c>
      <c r="H2973">
        <f>'Floor Hours Engine'!$E$4</f>
        <v/>
      </c>
      <c r="I2973" t="inlineStr">
        <is>
          <t>W3</t>
        </is>
      </c>
      <c r="J2973" t="inlineStr">
        <is>
          <t>2029_Luty_W3</t>
        </is>
      </c>
    </row>
    <row r="2974">
      <c r="A2974" s="177" t="n">
        <v>47169</v>
      </c>
      <c r="B2974" s="177" t="n">
        <v>47169</v>
      </c>
      <c r="C2974" s="177" t="n">
        <v>47175</v>
      </c>
      <c r="D2974" t="inlineStr">
        <is>
          <t>BW20290220</t>
        </is>
      </c>
      <c r="E2974" t="n">
        <v>2029</v>
      </c>
      <c r="F2974" t="inlineStr">
        <is>
          <t>Luty</t>
        </is>
      </c>
      <c r="G2974" t="inlineStr">
        <is>
          <t>Wt</t>
        </is>
      </c>
      <c r="H2974">
        <f>'Floor Hours Engine'!$E$4</f>
        <v/>
      </c>
      <c r="I2974" t="inlineStr">
        <is>
          <t>W4</t>
        </is>
      </c>
      <c r="J2974" t="inlineStr">
        <is>
          <t>2029_Luty_W4</t>
        </is>
      </c>
    </row>
    <row r="2975">
      <c r="A2975" s="177" t="n">
        <v>47170</v>
      </c>
      <c r="B2975" s="177" t="n">
        <v>47169</v>
      </c>
      <c r="C2975" s="177" t="n">
        <v>47175</v>
      </c>
      <c r="D2975" t="inlineStr">
        <is>
          <t>BW20290220</t>
        </is>
      </c>
      <c r="E2975" t="n">
        <v>2029</v>
      </c>
      <c r="F2975" t="inlineStr">
        <is>
          <t>Luty</t>
        </is>
      </c>
      <c r="G2975" t="inlineStr">
        <is>
          <t>Śr</t>
        </is>
      </c>
      <c r="H2975">
        <f>'Floor Hours Engine'!$E$4</f>
        <v/>
      </c>
      <c r="I2975" t="inlineStr">
        <is>
          <t>W4</t>
        </is>
      </c>
      <c r="J2975" t="inlineStr">
        <is>
          <t>2029_Luty_W4</t>
        </is>
      </c>
    </row>
    <row r="2976">
      <c r="A2976" s="177" t="n">
        <v>47171</v>
      </c>
      <c r="B2976" s="177" t="n">
        <v>47169</v>
      </c>
      <c r="C2976" s="177" t="n">
        <v>47175</v>
      </c>
      <c r="D2976" t="inlineStr">
        <is>
          <t>BW20290220</t>
        </is>
      </c>
      <c r="E2976" t="n">
        <v>2029</v>
      </c>
      <c r="F2976" t="inlineStr">
        <is>
          <t>Luty</t>
        </is>
      </c>
      <c r="G2976" t="inlineStr">
        <is>
          <t>Czw</t>
        </is>
      </c>
      <c r="H2976">
        <f>'Floor Hours Engine'!$E$4</f>
        <v/>
      </c>
      <c r="I2976" t="inlineStr">
        <is>
          <t>W4</t>
        </is>
      </c>
      <c r="J2976" t="inlineStr">
        <is>
          <t>2029_Luty_W4</t>
        </is>
      </c>
    </row>
    <row r="2977">
      <c r="A2977" s="177" t="n">
        <v>47172</v>
      </c>
      <c r="B2977" s="177" t="n">
        <v>47169</v>
      </c>
      <c r="C2977" s="177" t="n">
        <v>47175</v>
      </c>
      <c r="D2977" t="inlineStr">
        <is>
          <t>BW20290220</t>
        </is>
      </c>
      <c r="E2977" t="n">
        <v>2029</v>
      </c>
      <c r="F2977" t="inlineStr">
        <is>
          <t>Luty</t>
        </is>
      </c>
      <c r="G2977" t="inlineStr">
        <is>
          <t>Pt</t>
        </is>
      </c>
      <c r="H2977">
        <f>'Floor Hours Engine'!$E$5</f>
        <v/>
      </c>
      <c r="I2977" t="inlineStr">
        <is>
          <t>W4</t>
        </is>
      </c>
      <c r="J2977" t="inlineStr">
        <is>
          <t>2029_Luty_W4</t>
        </is>
      </c>
    </row>
    <row r="2978">
      <c r="A2978" s="177" t="n">
        <v>47173</v>
      </c>
      <c r="B2978" s="177" t="n">
        <v>47169</v>
      </c>
      <c r="C2978" s="177" t="n">
        <v>47175</v>
      </c>
      <c r="D2978" t="inlineStr">
        <is>
          <t>BW20290220</t>
        </is>
      </c>
      <c r="E2978" t="n">
        <v>2029</v>
      </c>
      <c r="F2978" t="inlineStr">
        <is>
          <t>Luty</t>
        </is>
      </c>
      <c r="G2978" t="inlineStr">
        <is>
          <t>Sob</t>
        </is>
      </c>
      <c r="H2978">
        <f>'Floor Hours Engine'!$E$5</f>
        <v/>
      </c>
      <c r="I2978" t="inlineStr">
        <is>
          <t>W4</t>
        </is>
      </c>
      <c r="J2978" t="inlineStr">
        <is>
          <t>2029_Luty_W4</t>
        </is>
      </c>
    </row>
    <row r="2979">
      <c r="A2979" s="177" t="n">
        <v>47174</v>
      </c>
      <c r="B2979" s="177" t="n">
        <v>47169</v>
      </c>
      <c r="C2979" s="177" t="n">
        <v>47175</v>
      </c>
      <c r="D2979" t="inlineStr">
        <is>
          <t>BW20290220</t>
        </is>
      </c>
      <c r="E2979" t="n">
        <v>2029</v>
      </c>
      <c r="F2979" t="inlineStr">
        <is>
          <t>Luty</t>
        </is>
      </c>
      <c r="G2979" t="inlineStr">
        <is>
          <t>Nd</t>
        </is>
      </c>
      <c r="H2979">
        <f>'Floor Hours Engine'!$E$6</f>
        <v/>
      </c>
      <c r="I2979" t="inlineStr">
        <is>
          <t>W4</t>
        </is>
      </c>
      <c r="J2979" t="inlineStr">
        <is>
          <t>2029_Luty_W4</t>
        </is>
      </c>
    </row>
    <row r="2980">
      <c r="A2980" s="177" t="n">
        <v>47175</v>
      </c>
      <c r="B2980" s="177" t="n">
        <v>47169</v>
      </c>
      <c r="C2980" s="177" t="n">
        <v>47175</v>
      </c>
      <c r="D2980" t="inlineStr">
        <is>
          <t>BW20290220</t>
        </is>
      </c>
      <c r="E2980" t="n">
        <v>2029</v>
      </c>
      <c r="F2980" t="inlineStr">
        <is>
          <t>Luty</t>
        </is>
      </c>
      <c r="G2980" t="inlineStr">
        <is>
          <t>Pn</t>
        </is>
      </c>
      <c r="H2980">
        <f>'Floor Hours Engine'!$E$4</f>
        <v/>
      </c>
      <c r="I2980" t="inlineStr">
        <is>
          <t>W4</t>
        </is>
      </c>
      <c r="J2980" t="inlineStr">
        <is>
          <t>2029_Luty_W4</t>
        </is>
      </c>
    </row>
    <row r="2981">
      <c r="A2981" s="177" t="n">
        <v>47176</v>
      </c>
      <c r="B2981" s="177" t="n">
        <v>47176</v>
      </c>
      <c r="C2981" s="177" t="n">
        <v>47182</v>
      </c>
      <c r="D2981" t="inlineStr">
        <is>
          <t>BW20290227</t>
        </is>
      </c>
      <c r="E2981" t="n">
        <v>2029</v>
      </c>
      <c r="F2981" t="inlineStr">
        <is>
          <t>Luty</t>
        </is>
      </c>
      <c r="G2981" t="inlineStr">
        <is>
          <t>Wt</t>
        </is>
      </c>
      <c r="H2981">
        <f>'Floor Hours Engine'!$E$4</f>
        <v/>
      </c>
      <c r="I2981" t="inlineStr">
        <is>
          <t>W5</t>
        </is>
      </c>
      <c r="J2981" t="inlineStr">
        <is>
          <t>2029_Luty_W5</t>
        </is>
      </c>
    </row>
    <row r="2982">
      <c r="A2982" s="177" t="n">
        <v>47177</v>
      </c>
      <c r="B2982" s="177" t="n">
        <v>47176</v>
      </c>
      <c r="C2982" s="177" t="n">
        <v>47182</v>
      </c>
      <c r="D2982" t="inlineStr">
        <is>
          <t>BW20290227</t>
        </is>
      </c>
      <c r="E2982" t="n">
        <v>2029</v>
      </c>
      <c r="F2982" t="inlineStr">
        <is>
          <t>Luty</t>
        </is>
      </c>
      <c r="G2982" t="inlineStr">
        <is>
          <t>Śr</t>
        </is>
      </c>
      <c r="H2982">
        <f>'Floor Hours Engine'!$E$4</f>
        <v/>
      </c>
      <c r="I2982" t="inlineStr">
        <is>
          <t>W5</t>
        </is>
      </c>
      <c r="J2982" t="inlineStr">
        <is>
          <t>2029_Luty_W5</t>
        </is>
      </c>
    </row>
    <row r="2983">
      <c r="A2983" s="177" t="n">
        <v>47178</v>
      </c>
      <c r="B2983" s="177" t="n">
        <v>47176</v>
      </c>
      <c r="C2983" s="177" t="n">
        <v>47182</v>
      </c>
      <c r="D2983" t="inlineStr">
        <is>
          <t>BW20290227</t>
        </is>
      </c>
      <c r="E2983" t="n">
        <v>2029</v>
      </c>
      <c r="F2983" t="inlineStr">
        <is>
          <t>Marzec</t>
        </is>
      </c>
      <c r="G2983" t="inlineStr">
        <is>
          <t>Czw</t>
        </is>
      </c>
      <c r="H2983">
        <f>'Floor Hours Engine'!$E$4</f>
        <v/>
      </c>
      <c r="I2983" t="inlineStr">
        <is>
          <t>W1</t>
        </is>
      </c>
      <c r="J2983" t="inlineStr">
        <is>
          <t>2029_Marzec_W1</t>
        </is>
      </c>
    </row>
    <row r="2984">
      <c r="A2984" s="177" t="n">
        <v>47179</v>
      </c>
      <c r="B2984" s="177" t="n">
        <v>47176</v>
      </c>
      <c r="C2984" s="177" t="n">
        <v>47182</v>
      </c>
      <c r="D2984" t="inlineStr">
        <is>
          <t>BW20290227</t>
        </is>
      </c>
      <c r="E2984" t="n">
        <v>2029</v>
      </c>
      <c r="F2984" t="inlineStr">
        <is>
          <t>Marzec</t>
        </is>
      </c>
      <c r="G2984" t="inlineStr">
        <is>
          <t>Pt</t>
        </is>
      </c>
      <c r="H2984">
        <f>'Floor Hours Engine'!$E$5</f>
        <v/>
      </c>
      <c r="I2984" t="inlineStr">
        <is>
          <t>W1</t>
        </is>
      </c>
      <c r="J2984" t="inlineStr">
        <is>
          <t>2029_Marzec_W1</t>
        </is>
      </c>
    </row>
    <row r="2985">
      <c r="A2985" s="177" t="n">
        <v>47180</v>
      </c>
      <c r="B2985" s="177" t="n">
        <v>47176</v>
      </c>
      <c r="C2985" s="177" t="n">
        <v>47182</v>
      </c>
      <c r="D2985" t="inlineStr">
        <is>
          <t>BW20290227</t>
        </is>
      </c>
      <c r="E2985" t="n">
        <v>2029</v>
      </c>
      <c r="F2985" t="inlineStr">
        <is>
          <t>Marzec</t>
        </is>
      </c>
      <c r="G2985" t="inlineStr">
        <is>
          <t>Sob</t>
        </is>
      </c>
      <c r="H2985">
        <f>'Floor Hours Engine'!$E$5</f>
        <v/>
      </c>
      <c r="I2985" t="inlineStr">
        <is>
          <t>W1</t>
        </is>
      </c>
      <c r="J2985" t="inlineStr">
        <is>
          <t>2029_Marzec_W1</t>
        </is>
      </c>
    </row>
    <row r="2986">
      <c r="A2986" s="177" t="n">
        <v>47181</v>
      </c>
      <c r="B2986" s="177" t="n">
        <v>47176</v>
      </c>
      <c r="C2986" s="177" t="n">
        <v>47182</v>
      </c>
      <c r="D2986" t="inlineStr">
        <is>
          <t>BW20290227</t>
        </is>
      </c>
      <c r="E2986" t="n">
        <v>2029</v>
      </c>
      <c r="F2986" t="inlineStr">
        <is>
          <t>Marzec</t>
        </is>
      </c>
      <c r="G2986" t="inlineStr">
        <is>
          <t>Nd</t>
        </is>
      </c>
      <c r="H2986">
        <f>'Floor Hours Engine'!$E$6</f>
        <v/>
      </c>
      <c r="I2986" t="inlineStr">
        <is>
          <t>W1</t>
        </is>
      </c>
      <c r="J2986" t="inlineStr">
        <is>
          <t>2029_Marzec_W1</t>
        </is>
      </c>
    </row>
    <row r="2987">
      <c r="A2987" s="177" t="n">
        <v>47182</v>
      </c>
      <c r="B2987" s="177" t="n">
        <v>47176</v>
      </c>
      <c r="C2987" s="177" t="n">
        <v>47182</v>
      </c>
      <c r="D2987" t="inlineStr">
        <is>
          <t>BW20290227</t>
        </is>
      </c>
      <c r="E2987" t="n">
        <v>2029</v>
      </c>
      <c r="F2987" t="inlineStr">
        <is>
          <t>Marzec</t>
        </is>
      </c>
      <c r="G2987" t="inlineStr">
        <is>
          <t>Pn</t>
        </is>
      </c>
      <c r="H2987">
        <f>'Floor Hours Engine'!$E$4</f>
        <v/>
      </c>
      <c r="I2987" t="inlineStr">
        <is>
          <t>W1</t>
        </is>
      </c>
      <c r="J2987" t="inlineStr">
        <is>
          <t>2029_Marzec_W1</t>
        </is>
      </c>
    </row>
    <row r="2988">
      <c r="A2988" s="177" t="n">
        <v>47183</v>
      </c>
      <c r="B2988" s="177" t="n">
        <v>47183</v>
      </c>
      <c r="C2988" s="177" t="n">
        <v>47189</v>
      </c>
      <c r="D2988" t="inlineStr">
        <is>
          <t>BW20290306</t>
        </is>
      </c>
      <c r="E2988" t="n">
        <v>2029</v>
      </c>
      <c r="F2988" t="inlineStr">
        <is>
          <t>Marzec</t>
        </is>
      </c>
      <c r="G2988" t="inlineStr">
        <is>
          <t>Wt</t>
        </is>
      </c>
      <c r="H2988">
        <f>'Floor Hours Engine'!$E$4</f>
        <v/>
      </c>
      <c r="I2988" t="inlineStr">
        <is>
          <t>W2</t>
        </is>
      </c>
      <c r="J2988" t="inlineStr">
        <is>
          <t>2029_Marzec_W2</t>
        </is>
      </c>
    </row>
    <row r="2989">
      <c r="A2989" s="177" t="n">
        <v>47184</v>
      </c>
      <c r="B2989" s="177" t="n">
        <v>47183</v>
      </c>
      <c r="C2989" s="177" t="n">
        <v>47189</v>
      </c>
      <c r="D2989" t="inlineStr">
        <is>
          <t>BW20290306</t>
        </is>
      </c>
      <c r="E2989" t="n">
        <v>2029</v>
      </c>
      <c r="F2989" t="inlineStr">
        <is>
          <t>Marzec</t>
        </is>
      </c>
      <c r="G2989" t="inlineStr">
        <is>
          <t>Śr</t>
        </is>
      </c>
      <c r="H2989">
        <f>'Floor Hours Engine'!$E$4</f>
        <v/>
      </c>
      <c r="I2989" t="inlineStr">
        <is>
          <t>W2</t>
        </is>
      </c>
      <c r="J2989" t="inlineStr">
        <is>
          <t>2029_Marzec_W2</t>
        </is>
      </c>
    </row>
    <row r="2990">
      <c r="A2990" s="177" t="n">
        <v>47185</v>
      </c>
      <c r="B2990" s="177" t="n">
        <v>47183</v>
      </c>
      <c r="C2990" s="177" t="n">
        <v>47189</v>
      </c>
      <c r="D2990" t="inlineStr">
        <is>
          <t>BW20290306</t>
        </is>
      </c>
      <c r="E2990" t="n">
        <v>2029</v>
      </c>
      <c r="F2990" t="inlineStr">
        <is>
          <t>Marzec</t>
        </is>
      </c>
      <c r="G2990" t="inlineStr">
        <is>
          <t>Czw</t>
        </is>
      </c>
      <c r="H2990">
        <f>'Floor Hours Engine'!$E$4</f>
        <v/>
      </c>
      <c r="I2990" t="inlineStr">
        <is>
          <t>W2</t>
        </is>
      </c>
      <c r="J2990" t="inlineStr">
        <is>
          <t>2029_Marzec_W2</t>
        </is>
      </c>
    </row>
    <row r="2991">
      <c r="A2991" s="177" t="n">
        <v>47186</v>
      </c>
      <c r="B2991" s="177" t="n">
        <v>47183</v>
      </c>
      <c r="C2991" s="177" t="n">
        <v>47189</v>
      </c>
      <c r="D2991" t="inlineStr">
        <is>
          <t>BW20290306</t>
        </is>
      </c>
      <c r="E2991" t="n">
        <v>2029</v>
      </c>
      <c r="F2991" t="inlineStr">
        <is>
          <t>Marzec</t>
        </is>
      </c>
      <c r="G2991" t="inlineStr">
        <is>
          <t>Pt</t>
        </is>
      </c>
      <c r="H2991">
        <f>'Floor Hours Engine'!$E$5</f>
        <v/>
      </c>
      <c r="I2991" t="inlineStr">
        <is>
          <t>W2</t>
        </is>
      </c>
      <c r="J2991" t="inlineStr">
        <is>
          <t>2029_Marzec_W2</t>
        </is>
      </c>
    </row>
    <row r="2992">
      <c r="A2992" s="177" t="n">
        <v>47187</v>
      </c>
      <c r="B2992" s="177" t="n">
        <v>47183</v>
      </c>
      <c r="C2992" s="177" t="n">
        <v>47189</v>
      </c>
      <c r="D2992" t="inlineStr">
        <is>
          <t>BW20290306</t>
        </is>
      </c>
      <c r="E2992" t="n">
        <v>2029</v>
      </c>
      <c r="F2992" t="inlineStr">
        <is>
          <t>Marzec</t>
        </is>
      </c>
      <c r="G2992" t="inlineStr">
        <is>
          <t>Sob</t>
        </is>
      </c>
      <c r="H2992">
        <f>'Floor Hours Engine'!$E$5</f>
        <v/>
      </c>
      <c r="I2992" t="inlineStr">
        <is>
          <t>W2</t>
        </is>
      </c>
      <c r="J2992" t="inlineStr">
        <is>
          <t>2029_Marzec_W2</t>
        </is>
      </c>
    </row>
    <row r="2993">
      <c r="A2993" s="177" t="n">
        <v>47188</v>
      </c>
      <c r="B2993" s="177" t="n">
        <v>47183</v>
      </c>
      <c r="C2993" s="177" t="n">
        <v>47189</v>
      </c>
      <c r="D2993" t="inlineStr">
        <is>
          <t>BW20290306</t>
        </is>
      </c>
      <c r="E2993" t="n">
        <v>2029</v>
      </c>
      <c r="F2993" t="inlineStr">
        <is>
          <t>Marzec</t>
        </is>
      </c>
      <c r="G2993" t="inlineStr">
        <is>
          <t>Nd</t>
        </is>
      </c>
      <c r="H2993">
        <f>'Floor Hours Engine'!$E$6</f>
        <v/>
      </c>
      <c r="I2993" t="inlineStr">
        <is>
          <t>W2</t>
        </is>
      </c>
      <c r="J2993" t="inlineStr">
        <is>
          <t>2029_Marzec_W2</t>
        </is>
      </c>
    </row>
    <row r="2994">
      <c r="A2994" s="177" t="n">
        <v>47189</v>
      </c>
      <c r="B2994" s="177" t="n">
        <v>47183</v>
      </c>
      <c r="C2994" s="177" t="n">
        <v>47189</v>
      </c>
      <c r="D2994" t="inlineStr">
        <is>
          <t>BW20290306</t>
        </is>
      </c>
      <c r="E2994" t="n">
        <v>2029</v>
      </c>
      <c r="F2994" t="inlineStr">
        <is>
          <t>Marzec</t>
        </is>
      </c>
      <c r="G2994" t="inlineStr">
        <is>
          <t>Pn</t>
        </is>
      </c>
      <c r="H2994">
        <f>'Floor Hours Engine'!$E$4</f>
        <v/>
      </c>
      <c r="I2994" t="inlineStr">
        <is>
          <t>W2</t>
        </is>
      </c>
      <c r="J2994" t="inlineStr">
        <is>
          <t>2029_Marzec_W2</t>
        </is>
      </c>
    </row>
    <row r="2995">
      <c r="A2995" s="177" t="n">
        <v>47190</v>
      </c>
      <c r="B2995" s="177" t="n">
        <v>47190</v>
      </c>
      <c r="C2995" s="177" t="n">
        <v>47196</v>
      </c>
      <c r="D2995" t="inlineStr">
        <is>
          <t>BW20290313</t>
        </is>
      </c>
      <c r="E2995" t="n">
        <v>2029</v>
      </c>
      <c r="F2995" t="inlineStr">
        <is>
          <t>Marzec</t>
        </is>
      </c>
      <c r="G2995" t="inlineStr">
        <is>
          <t>Wt</t>
        </is>
      </c>
      <c r="H2995">
        <f>'Floor Hours Engine'!$E$4</f>
        <v/>
      </c>
      <c r="I2995" t="inlineStr">
        <is>
          <t>W3</t>
        </is>
      </c>
      <c r="J2995" t="inlineStr">
        <is>
          <t>2029_Marzec_W3</t>
        </is>
      </c>
    </row>
    <row r="2996">
      <c r="A2996" s="177" t="n">
        <v>47191</v>
      </c>
      <c r="B2996" s="177" t="n">
        <v>47190</v>
      </c>
      <c r="C2996" s="177" t="n">
        <v>47196</v>
      </c>
      <c r="D2996" t="inlineStr">
        <is>
          <t>BW20290313</t>
        </is>
      </c>
      <c r="E2996" t="n">
        <v>2029</v>
      </c>
      <c r="F2996" t="inlineStr">
        <is>
          <t>Marzec</t>
        </is>
      </c>
      <c r="G2996" t="inlineStr">
        <is>
          <t>Śr</t>
        </is>
      </c>
      <c r="H2996">
        <f>'Floor Hours Engine'!$E$4</f>
        <v/>
      </c>
      <c r="I2996" t="inlineStr">
        <is>
          <t>W3</t>
        </is>
      </c>
      <c r="J2996" t="inlineStr">
        <is>
          <t>2029_Marzec_W3</t>
        </is>
      </c>
    </row>
    <row r="2997">
      <c r="A2997" s="177" t="n">
        <v>47192</v>
      </c>
      <c r="B2997" s="177" t="n">
        <v>47190</v>
      </c>
      <c r="C2997" s="177" t="n">
        <v>47196</v>
      </c>
      <c r="D2997" t="inlineStr">
        <is>
          <t>BW20290313</t>
        </is>
      </c>
      <c r="E2997" t="n">
        <v>2029</v>
      </c>
      <c r="F2997" t="inlineStr">
        <is>
          <t>Marzec</t>
        </is>
      </c>
      <c r="G2997" t="inlineStr">
        <is>
          <t>Czw</t>
        </is>
      </c>
      <c r="H2997">
        <f>'Floor Hours Engine'!$E$4</f>
        <v/>
      </c>
      <c r="I2997" t="inlineStr">
        <is>
          <t>W3</t>
        </is>
      </c>
      <c r="J2997" t="inlineStr">
        <is>
          <t>2029_Marzec_W3</t>
        </is>
      </c>
    </row>
    <row r="2998">
      <c r="A2998" s="177" t="n">
        <v>47193</v>
      </c>
      <c r="B2998" s="177" t="n">
        <v>47190</v>
      </c>
      <c r="C2998" s="177" t="n">
        <v>47196</v>
      </c>
      <c r="D2998" t="inlineStr">
        <is>
          <t>BW20290313</t>
        </is>
      </c>
      <c r="E2998" t="n">
        <v>2029</v>
      </c>
      <c r="F2998" t="inlineStr">
        <is>
          <t>Marzec</t>
        </is>
      </c>
      <c r="G2998" t="inlineStr">
        <is>
          <t>Pt</t>
        </is>
      </c>
      <c r="H2998">
        <f>'Floor Hours Engine'!$E$5</f>
        <v/>
      </c>
      <c r="I2998" t="inlineStr">
        <is>
          <t>W3</t>
        </is>
      </c>
      <c r="J2998" t="inlineStr">
        <is>
          <t>2029_Marzec_W3</t>
        </is>
      </c>
    </row>
    <row r="2999">
      <c r="A2999" s="177" t="n">
        <v>47194</v>
      </c>
      <c r="B2999" s="177" t="n">
        <v>47190</v>
      </c>
      <c r="C2999" s="177" t="n">
        <v>47196</v>
      </c>
      <c r="D2999" t="inlineStr">
        <is>
          <t>BW20290313</t>
        </is>
      </c>
      <c r="E2999" t="n">
        <v>2029</v>
      </c>
      <c r="F2999" t="inlineStr">
        <is>
          <t>Marzec</t>
        </is>
      </c>
      <c r="G2999" t="inlineStr">
        <is>
          <t>Sob</t>
        </is>
      </c>
      <c r="H2999">
        <f>'Floor Hours Engine'!$E$5</f>
        <v/>
      </c>
      <c r="I2999" t="inlineStr">
        <is>
          <t>W3</t>
        </is>
      </c>
      <c r="J2999" t="inlineStr">
        <is>
          <t>2029_Marzec_W3</t>
        </is>
      </c>
    </row>
    <row r="3000">
      <c r="A3000" s="177" t="n">
        <v>47195</v>
      </c>
      <c r="B3000" s="177" t="n">
        <v>47190</v>
      </c>
      <c r="C3000" s="177" t="n">
        <v>47196</v>
      </c>
      <c r="D3000" t="inlineStr">
        <is>
          <t>BW20290313</t>
        </is>
      </c>
      <c r="E3000" t="n">
        <v>2029</v>
      </c>
      <c r="F3000" t="inlineStr">
        <is>
          <t>Marzec</t>
        </is>
      </c>
      <c r="G3000" t="inlineStr">
        <is>
          <t>Nd</t>
        </is>
      </c>
      <c r="H3000">
        <f>'Floor Hours Engine'!$E$6</f>
        <v/>
      </c>
      <c r="I3000" t="inlineStr">
        <is>
          <t>W3</t>
        </is>
      </c>
      <c r="J3000" t="inlineStr">
        <is>
          <t>2029_Marzec_W3</t>
        </is>
      </c>
    </row>
    <row r="3001">
      <c r="A3001" s="177" t="n">
        <v>47196</v>
      </c>
      <c r="B3001" s="177" t="n">
        <v>47190</v>
      </c>
      <c r="C3001" s="177" t="n">
        <v>47196</v>
      </c>
      <c r="D3001" t="inlineStr">
        <is>
          <t>BW20290313</t>
        </is>
      </c>
      <c r="E3001" t="n">
        <v>2029</v>
      </c>
      <c r="F3001" t="inlineStr">
        <is>
          <t>Marzec</t>
        </is>
      </c>
      <c r="G3001" t="inlineStr">
        <is>
          <t>Pn</t>
        </is>
      </c>
      <c r="H3001">
        <f>'Floor Hours Engine'!$E$4</f>
        <v/>
      </c>
      <c r="I3001" t="inlineStr">
        <is>
          <t>W3</t>
        </is>
      </c>
      <c r="J3001" t="inlineStr">
        <is>
          <t>2029_Marzec_W3</t>
        </is>
      </c>
    </row>
    <row r="3002">
      <c r="A3002" s="177" t="n">
        <v>47197</v>
      </c>
      <c r="B3002" s="177" t="n">
        <v>47197</v>
      </c>
      <c r="C3002" s="177" t="n">
        <v>47203</v>
      </c>
      <c r="D3002" t="inlineStr">
        <is>
          <t>BW20290320</t>
        </is>
      </c>
      <c r="E3002" t="n">
        <v>2029</v>
      </c>
      <c r="F3002" t="inlineStr">
        <is>
          <t>Marzec</t>
        </is>
      </c>
      <c r="G3002" t="inlineStr">
        <is>
          <t>Wt</t>
        </is>
      </c>
      <c r="H3002">
        <f>'Floor Hours Engine'!$E$4</f>
        <v/>
      </c>
      <c r="I3002" t="inlineStr">
        <is>
          <t>W4</t>
        </is>
      </c>
      <c r="J3002" t="inlineStr">
        <is>
          <t>2029_Marzec_W4</t>
        </is>
      </c>
    </row>
    <row r="3003">
      <c r="A3003" s="177" t="n">
        <v>47198</v>
      </c>
      <c r="B3003" s="177" t="n">
        <v>47197</v>
      </c>
      <c r="C3003" s="177" t="n">
        <v>47203</v>
      </c>
      <c r="D3003" t="inlineStr">
        <is>
          <t>BW20290320</t>
        </is>
      </c>
      <c r="E3003" t="n">
        <v>2029</v>
      </c>
      <c r="F3003" t="inlineStr">
        <is>
          <t>Marzec</t>
        </is>
      </c>
      <c r="G3003" t="inlineStr">
        <is>
          <t>Śr</t>
        </is>
      </c>
      <c r="H3003">
        <f>'Floor Hours Engine'!$E$4</f>
        <v/>
      </c>
      <c r="I3003" t="inlineStr">
        <is>
          <t>W4</t>
        </is>
      </c>
      <c r="J3003" t="inlineStr">
        <is>
          <t>2029_Marzec_W4</t>
        </is>
      </c>
    </row>
    <row r="3004">
      <c r="A3004" s="177" t="n">
        <v>47199</v>
      </c>
      <c r="B3004" s="177" t="n">
        <v>47197</v>
      </c>
      <c r="C3004" s="177" t="n">
        <v>47203</v>
      </c>
      <c r="D3004" t="inlineStr">
        <is>
          <t>BW20290320</t>
        </is>
      </c>
      <c r="E3004" t="n">
        <v>2029</v>
      </c>
      <c r="F3004" t="inlineStr">
        <is>
          <t>Marzec</t>
        </is>
      </c>
      <c r="G3004" t="inlineStr">
        <is>
          <t>Czw</t>
        </is>
      </c>
      <c r="H3004">
        <f>'Floor Hours Engine'!$E$4</f>
        <v/>
      </c>
      <c r="I3004" t="inlineStr">
        <is>
          <t>W4</t>
        </is>
      </c>
      <c r="J3004" t="inlineStr">
        <is>
          <t>2029_Marzec_W4</t>
        </is>
      </c>
    </row>
    <row r="3005">
      <c r="A3005" s="177" t="n">
        <v>47200</v>
      </c>
      <c r="B3005" s="177" t="n">
        <v>47197</v>
      </c>
      <c r="C3005" s="177" t="n">
        <v>47203</v>
      </c>
      <c r="D3005" t="inlineStr">
        <is>
          <t>BW20290320</t>
        </is>
      </c>
      <c r="E3005" t="n">
        <v>2029</v>
      </c>
      <c r="F3005" t="inlineStr">
        <is>
          <t>Marzec</t>
        </is>
      </c>
      <c r="G3005" t="inlineStr">
        <is>
          <t>Pt</t>
        </is>
      </c>
      <c r="H3005">
        <f>'Floor Hours Engine'!$E$5</f>
        <v/>
      </c>
      <c r="I3005" t="inlineStr">
        <is>
          <t>W4</t>
        </is>
      </c>
      <c r="J3005" t="inlineStr">
        <is>
          <t>2029_Marzec_W4</t>
        </is>
      </c>
    </row>
    <row r="3006">
      <c r="A3006" s="177" t="n">
        <v>47201</v>
      </c>
      <c r="B3006" s="177" t="n">
        <v>47197</v>
      </c>
      <c r="C3006" s="177" t="n">
        <v>47203</v>
      </c>
      <c r="D3006" t="inlineStr">
        <is>
          <t>BW20290320</t>
        </is>
      </c>
      <c r="E3006" t="n">
        <v>2029</v>
      </c>
      <c r="F3006" t="inlineStr">
        <is>
          <t>Marzec</t>
        </is>
      </c>
      <c r="G3006" t="inlineStr">
        <is>
          <t>Sob</t>
        </is>
      </c>
      <c r="H3006">
        <f>'Floor Hours Engine'!$E$5</f>
        <v/>
      </c>
      <c r="I3006" t="inlineStr">
        <is>
          <t>W4</t>
        </is>
      </c>
      <c r="J3006" t="inlineStr">
        <is>
          <t>2029_Marzec_W4</t>
        </is>
      </c>
    </row>
    <row r="3007">
      <c r="A3007" s="177" t="n">
        <v>47202</v>
      </c>
      <c r="B3007" s="177" t="n">
        <v>47197</v>
      </c>
      <c r="C3007" s="177" t="n">
        <v>47203</v>
      </c>
      <c r="D3007" t="inlineStr">
        <is>
          <t>BW20290320</t>
        </is>
      </c>
      <c r="E3007" t="n">
        <v>2029</v>
      </c>
      <c r="F3007" t="inlineStr">
        <is>
          <t>Marzec</t>
        </is>
      </c>
      <c r="G3007" t="inlineStr">
        <is>
          <t>Nd</t>
        </is>
      </c>
      <c r="H3007">
        <f>'Floor Hours Engine'!$E$6</f>
        <v/>
      </c>
      <c r="I3007" t="inlineStr">
        <is>
          <t>W4</t>
        </is>
      </c>
      <c r="J3007" t="inlineStr">
        <is>
          <t>2029_Marzec_W4</t>
        </is>
      </c>
    </row>
    <row r="3008">
      <c r="A3008" s="177" t="n">
        <v>47203</v>
      </c>
      <c r="B3008" s="177" t="n">
        <v>47197</v>
      </c>
      <c r="C3008" s="177" t="n">
        <v>47203</v>
      </c>
      <c r="D3008" t="inlineStr">
        <is>
          <t>BW20290320</t>
        </is>
      </c>
      <c r="E3008" t="n">
        <v>2029</v>
      </c>
      <c r="F3008" t="inlineStr">
        <is>
          <t>Marzec</t>
        </is>
      </c>
      <c r="G3008" t="inlineStr">
        <is>
          <t>Pn</t>
        </is>
      </c>
      <c r="H3008">
        <f>'Floor Hours Engine'!$E$4</f>
        <v/>
      </c>
      <c r="I3008" t="inlineStr">
        <is>
          <t>W4</t>
        </is>
      </c>
      <c r="J3008" t="inlineStr">
        <is>
          <t>2029_Marzec_W4</t>
        </is>
      </c>
    </row>
    <row r="3009">
      <c r="A3009" s="177" t="n">
        <v>47204</v>
      </c>
      <c r="B3009" s="177" t="n">
        <v>47204</v>
      </c>
      <c r="C3009" s="177" t="n">
        <v>47210</v>
      </c>
      <c r="D3009" t="inlineStr">
        <is>
          <t>BW20290327</t>
        </is>
      </c>
      <c r="E3009" t="n">
        <v>2029</v>
      </c>
      <c r="F3009" t="inlineStr">
        <is>
          <t>Marzec</t>
        </is>
      </c>
      <c r="G3009" t="inlineStr">
        <is>
          <t>Wt</t>
        </is>
      </c>
      <c r="H3009">
        <f>'Floor Hours Engine'!$E$4</f>
        <v/>
      </c>
      <c r="I3009" t="inlineStr">
        <is>
          <t>W5</t>
        </is>
      </c>
      <c r="J3009" t="inlineStr">
        <is>
          <t>2029_Marzec_W5</t>
        </is>
      </c>
    </row>
    <row r="3010">
      <c r="A3010" s="177" t="n">
        <v>47205</v>
      </c>
      <c r="B3010" s="177" t="n">
        <v>47204</v>
      </c>
      <c r="C3010" s="177" t="n">
        <v>47210</v>
      </c>
      <c r="D3010" t="inlineStr">
        <is>
          <t>BW20290327</t>
        </is>
      </c>
      <c r="E3010" t="n">
        <v>2029</v>
      </c>
      <c r="F3010" t="inlineStr">
        <is>
          <t>Marzec</t>
        </is>
      </c>
      <c r="G3010" t="inlineStr">
        <is>
          <t>Śr</t>
        </is>
      </c>
      <c r="H3010">
        <f>'Floor Hours Engine'!$E$4</f>
        <v/>
      </c>
      <c r="I3010" t="inlineStr">
        <is>
          <t>W5</t>
        </is>
      </c>
      <c r="J3010" t="inlineStr">
        <is>
          <t>2029_Marzec_W5</t>
        </is>
      </c>
    </row>
    <row r="3011">
      <c r="A3011" s="177" t="n">
        <v>47206</v>
      </c>
      <c r="B3011" s="177" t="n">
        <v>47204</v>
      </c>
      <c r="C3011" s="177" t="n">
        <v>47210</v>
      </c>
      <c r="D3011" t="inlineStr">
        <is>
          <t>BW20290327</t>
        </is>
      </c>
      <c r="E3011" t="n">
        <v>2029</v>
      </c>
      <c r="F3011" t="inlineStr">
        <is>
          <t>Marzec</t>
        </is>
      </c>
      <c r="G3011" t="inlineStr">
        <is>
          <t>Czw</t>
        </is>
      </c>
      <c r="H3011">
        <f>'Floor Hours Engine'!$E$4</f>
        <v/>
      </c>
      <c r="I3011" t="inlineStr">
        <is>
          <t>W5</t>
        </is>
      </c>
      <c r="J3011" t="inlineStr">
        <is>
          <t>2029_Marzec_W5</t>
        </is>
      </c>
    </row>
    <row r="3012">
      <c r="A3012" s="177" t="n">
        <v>47207</v>
      </c>
      <c r="B3012" s="177" t="n">
        <v>47204</v>
      </c>
      <c r="C3012" s="177" t="n">
        <v>47210</v>
      </c>
      <c r="D3012" t="inlineStr">
        <is>
          <t>BW20290327</t>
        </is>
      </c>
      <c r="E3012" t="n">
        <v>2029</v>
      </c>
      <c r="F3012" t="inlineStr">
        <is>
          <t>Marzec</t>
        </is>
      </c>
      <c r="G3012" t="inlineStr">
        <is>
          <t>Pt</t>
        </is>
      </c>
      <c r="H3012">
        <f>'Floor Hours Engine'!$E$5</f>
        <v/>
      </c>
      <c r="I3012" t="inlineStr">
        <is>
          <t>W5</t>
        </is>
      </c>
      <c r="J3012" t="inlineStr">
        <is>
          <t>2029_Marzec_W5</t>
        </is>
      </c>
    </row>
    <row r="3013">
      <c r="A3013" s="177" t="n">
        <v>47208</v>
      </c>
      <c r="B3013" s="177" t="n">
        <v>47204</v>
      </c>
      <c r="C3013" s="177" t="n">
        <v>47210</v>
      </c>
      <c r="D3013" t="inlineStr">
        <is>
          <t>BW20290327</t>
        </is>
      </c>
      <c r="E3013" t="n">
        <v>2029</v>
      </c>
      <c r="F3013" t="inlineStr">
        <is>
          <t>Marzec</t>
        </is>
      </c>
      <c r="G3013" t="inlineStr">
        <is>
          <t>Sob</t>
        </is>
      </c>
      <c r="H3013">
        <f>'Floor Hours Engine'!$E$5</f>
        <v/>
      </c>
      <c r="I3013" t="inlineStr">
        <is>
          <t>W5</t>
        </is>
      </c>
      <c r="J3013" t="inlineStr">
        <is>
          <t>2029_Marzec_W5</t>
        </is>
      </c>
    </row>
    <row r="3014">
      <c r="A3014" s="177" t="n">
        <v>47209</v>
      </c>
      <c r="B3014" s="177" t="n">
        <v>47204</v>
      </c>
      <c r="C3014" s="177" t="n">
        <v>47210</v>
      </c>
      <c r="D3014" t="inlineStr">
        <is>
          <t>BW20290327</t>
        </is>
      </c>
      <c r="E3014" t="n">
        <v>2029</v>
      </c>
      <c r="F3014" t="inlineStr">
        <is>
          <t>Kwiecień</t>
        </is>
      </c>
      <c r="G3014" t="inlineStr">
        <is>
          <t>Nd</t>
        </is>
      </c>
      <c r="H3014">
        <f>'Floor Hours Engine'!$E$6</f>
        <v/>
      </c>
      <c r="I3014" t="inlineStr">
        <is>
          <t>W1</t>
        </is>
      </c>
      <c r="J3014" t="inlineStr">
        <is>
          <t>2029_Kwiecień_W1</t>
        </is>
      </c>
    </row>
    <row r="3015">
      <c r="A3015" s="177" t="n">
        <v>47210</v>
      </c>
      <c r="B3015" s="177" t="n">
        <v>47204</v>
      </c>
      <c r="C3015" s="177" t="n">
        <v>47210</v>
      </c>
      <c r="D3015" t="inlineStr">
        <is>
          <t>BW20290327</t>
        </is>
      </c>
      <c r="E3015" t="n">
        <v>2029</v>
      </c>
      <c r="F3015" t="inlineStr">
        <is>
          <t>Kwiecień</t>
        </is>
      </c>
      <c r="G3015" t="inlineStr">
        <is>
          <t>Pn</t>
        </is>
      </c>
      <c r="H3015">
        <f>'Floor Hours Engine'!$E$4</f>
        <v/>
      </c>
      <c r="I3015" t="inlineStr">
        <is>
          <t>W1</t>
        </is>
      </c>
      <c r="J3015" t="inlineStr">
        <is>
          <t>2029_Kwiecień_W1</t>
        </is>
      </c>
    </row>
    <row r="3016">
      <c r="A3016" s="177" t="n">
        <v>47211</v>
      </c>
      <c r="B3016" s="177" t="n">
        <v>47211</v>
      </c>
      <c r="C3016" s="177" t="n">
        <v>47217</v>
      </c>
      <c r="D3016" t="inlineStr">
        <is>
          <t>BW20290403</t>
        </is>
      </c>
      <c r="E3016" t="n">
        <v>2029</v>
      </c>
      <c r="F3016" t="inlineStr">
        <is>
          <t>Kwiecień</t>
        </is>
      </c>
      <c r="G3016" t="inlineStr">
        <is>
          <t>Wt</t>
        </is>
      </c>
      <c r="H3016">
        <f>'Floor Hours Engine'!$E$4</f>
        <v/>
      </c>
      <c r="I3016" t="inlineStr">
        <is>
          <t>W2</t>
        </is>
      </c>
      <c r="J3016" t="inlineStr">
        <is>
          <t>2029_Kwiecień_W2</t>
        </is>
      </c>
    </row>
    <row r="3017">
      <c r="A3017" s="177" t="n">
        <v>47212</v>
      </c>
      <c r="B3017" s="177" t="n">
        <v>47211</v>
      </c>
      <c r="C3017" s="177" t="n">
        <v>47217</v>
      </c>
      <c r="D3017" t="inlineStr">
        <is>
          <t>BW20290403</t>
        </is>
      </c>
      <c r="E3017" t="n">
        <v>2029</v>
      </c>
      <c r="F3017" t="inlineStr">
        <is>
          <t>Kwiecień</t>
        </is>
      </c>
      <c r="G3017" t="inlineStr">
        <is>
          <t>Śr</t>
        </is>
      </c>
      <c r="H3017">
        <f>'Floor Hours Engine'!$E$4</f>
        <v/>
      </c>
      <c r="I3017" t="inlineStr">
        <is>
          <t>W2</t>
        </is>
      </c>
      <c r="J3017" t="inlineStr">
        <is>
          <t>2029_Kwiecień_W2</t>
        </is>
      </c>
    </row>
    <row r="3018">
      <c r="A3018" s="177" t="n">
        <v>47213</v>
      </c>
      <c r="B3018" s="177" t="n">
        <v>47211</v>
      </c>
      <c r="C3018" s="177" t="n">
        <v>47217</v>
      </c>
      <c r="D3018" t="inlineStr">
        <is>
          <t>BW20290403</t>
        </is>
      </c>
      <c r="E3018" t="n">
        <v>2029</v>
      </c>
      <c r="F3018" t="inlineStr">
        <is>
          <t>Kwiecień</t>
        </is>
      </c>
      <c r="G3018" t="inlineStr">
        <is>
          <t>Czw</t>
        </is>
      </c>
      <c r="H3018">
        <f>'Floor Hours Engine'!$E$4</f>
        <v/>
      </c>
      <c r="I3018" t="inlineStr">
        <is>
          <t>W2</t>
        </is>
      </c>
      <c r="J3018" t="inlineStr">
        <is>
          <t>2029_Kwiecień_W2</t>
        </is>
      </c>
    </row>
    <row r="3019">
      <c r="A3019" s="177" t="n">
        <v>47214</v>
      </c>
      <c r="B3019" s="177" t="n">
        <v>47211</v>
      </c>
      <c r="C3019" s="177" t="n">
        <v>47217</v>
      </c>
      <c r="D3019" t="inlineStr">
        <is>
          <t>BW20290403</t>
        </is>
      </c>
      <c r="E3019" t="n">
        <v>2029</v>
      </c>
      <c r="F3019" t="inlineStr">
        <is>
          <t>Kwiecień</t>
        </is>
      </c>
      <c r="G3019" t="inlineStr">
        <is>
          <t>Pt</t>
        </is>
      </c>
      <c r="H3019">
        <f>'Floor Hours Engine'!$E$5</f>
        <v/>
      </c>
      <c r="I3019" t="inlineStr">
        <is>
          <t>W2</t>
        </is>
      </c>
      <c r="J3019" t="inlineStr">
        <is>
          <t>2029_Kwiecień_W2</t>
        </is>
      </c>
    </row>
    <row r="3020">
      <c r="A3020" s="177" t="n">
        <v>47215</v>
      </c>
      <c r="B3020" s="177" t="n">
        <v>47211</v>
      </c>
      <c r="C3020" s="177" t="n">
        <v>47217</v>
      </c>
      <c r="D3020" t="inlineStr">
        <is>
          <t>BW20290403</t>
        </is>
      </c>
      <c r="E3020" t="n">
        <v>2029</v>
      </c>
      <c r="F3020" t="inlineStr">
        <is>
          <t>Kwiecień</t>
        </is>
      </c>
      <c r="G3020" t="inlineStr">
        <is>
          <t>Sob</t>
        </is>
      </c>
      <c r="H3020">
        <f>'Floor Hours Engine'!$E$5</f>
        <v/>
      </c>
      <c r="I3020" t="inlineStr">
        <is>
          <t>W2</t>
        </is>
      </c>
      <c r="J3020" t="inlineStr">
        <is>
          <t>2029_Kwiecień_W2</t>
        </is>
      </c>
    </row>
    <row r="3021">
      <c r="A3021" s="177" t="n">
        <v>47216</v>
      </c>
      <c r="B3021" s="177" t="n">
        <v>47211</v>
      </c>
      <c r="C3021" s="177" t="n">
        <v>47217</v>
      </c>
      <c r="D3021" t="inlineStr">
        <is>
          <t>BW20290403</t>
        </is>
      </c>
      <c r="E3021" t="n">
        <v>2029</v>
      </c>
      <c r="F3021" t="inlineStr">
        <is>
          <t>Kwiecień</t>
        </is>
      </c>
      <c r="G3021" t="inlineStr">
        <is>
          <t>Nd</t>
        </is>
      </c>
      <c r="H3021">
        <f>'Floor Hours Engine'!$E$6</f>
        <v/>
      </c>
      <c r="I3021" t="inlineStr">
        <is>
          <t>W2</t>
        </is>
      </c>
      <c r="J3021" t="inlineStr">
        <is>
          <t>2029_Kwiecień_W2</t>
        </is>
      </c>
    </row>
    <row r="3022">
      <c r="A3022" s="177" t="n">
        <v>47217</v>
      </c>
      <c r="B3022" s="177" t="n">
        <v>47211</v>
      </c>
      <c r="C3022" s="177" t="n">
        <v>47217</v>
      </c>
      <c r="D3022" t="inlineStr">
        <is>
          <t>BW20290403</t>
        </is>
      </c>
      <c r="E3022" t="n">
        <v>2029</v>
      </c>
      <c r="F3022" t="inlineStr">
        <is>
          <t>Kwiecień</t>
        </is>
      </c>
      <c r="G3022" t="inlineStr">
        <is>
          <t>Pn</t>
        </is>
      </c>
      <c r="H3022">
        <f>'Floor Hours Engine'!$E$4</f>
        <v/>
      </c>
      <c r="I3022" t="inlineStr">
        <is>
          <t>W2</t>
        </is>
      </c>
      <c r="J3022" t="inlineStr">
        <is>
          <t>2029_Kwiecień_W2</t>
        </is>
      </c>
    </row>
    <row r="3023">
      <c r="A3023" s="177" t="n">
        <v>47218</v>
      </c>
      <c r="B3023" s="177" t="n">
        <v>47218</v>
      </c>
      <c r="C3023" s="177" t="n">
        <v>47224</v>
      </c>
      <c r="D3023" t="inlineStr">
        <is>
          <t>BW20290410</t>
        </is>
      </c>
      <c r="E3023" t="n">
        <v>2029</v>
      </c>
      <c r="F3023" t="inlineStr">
        <is>
          <t>Kwiecień</t>
        </is>
      </c>
      <c r="G3023" t="inlineStr">
        <is>
          <t>Wt</t>
        </is>
      </c>
      <c r="H3023">
        <f>'Floor Hours Engine'!$E$4</f>
        <v/>
      </c>
      <c r="I3023" t="inlineStr">
        <is>
          <t>W3</t>
        </is>
      </c>
      <c r="J3023" t="inlineStr">
        <is>
          <t>2029_Kwiecień_W3</t>
        </is>
      </c>
    </row>
    <row r="3024">
      <c r="A3024" s="177" t="n">
        <v>47219</v>
      </c>
      <c r="B3024" s="177" t="n">
        <v>47218</v>
      </c>
      <c r="C3024" s="177" t="n">
        <v>47224</v>
      </c>
      <c r="D3024" t="inlineStr">
        <is>
          <t>BW20290410</t>
        </is>
      </c>
      <c r="E3024" t="n">
        <v>2029</v>
      </c>
      <c r="F3024" t="inlineStr">
        <is>
          <t>Kwiecień</t>
        </is>
      </c>
      <c r="G3024" t="inlineStr">
        <is>
          <t>Śr</t>
        </is>
      </c>
      <c r="H3024">
        <f>'Floor Hours Engine'!$E$4</f>
        <v/>
      </c>
      <c r="I3024" t="inlineStr">
        <is>
          <t>W3</t>
        </is>
      </c>
      <c r="J3024" t="inlineStr">
        <is>
          <t>2029_Kwiecień_W3</t>
        </is>
      </c>
    </row>
    <row r="3025">
      <c r="A3025" s="177" t="n">
        <v>47220</v>
      </c>
      <c r="B3025" s="177" t="n">
        <v>47218</v>
      </c>
      <c r="C3025" s="177" t="n">
        <v>47224</v>
      </c>
      <c r="D3025" t="inlineStr">
        <is>
          <t>BW20290410</t>
        </is>
      </c>
      <c r="E3025" t="n">
        <v>2029</v>
      </c>
      <c r="F3025" t="inlineStr">
        <is>
          <t>Kwiecień</t>
        </is>
      </c>
      <c r="G3025" t="inlineStr">
        <is>
          <t>Czw</t>
        </is>
      </c>
      <c r="H3025">
        <f>'Floor Hours Engine'!$E$4</f>
        <v/>
      </c>
      <c r="I3025" t="inlineStr">
        <is>
          <t>W3</t>
        </is>
      </c>
      <c r="J3025" t="inlineStr">
        <is>
          <t>2029_Kwiecień_W3</t>
        </is>
      </c>
    </row>
    <row r="3026">
      <c r="A3026" s="177" t="n">
        <v>47221</v>
      </c>
      <c r="B3026" s="177" t="n">
        <v>47218</v>
      </c>
      <c r="C3026" s="177" t="n">
        <v>47224</v>
      </c>
      <c r="D3026" t="inlineStr">
        <is>
          <t>BW20290410</t>
        </is>
      </c>
      <c r="E3026" t="n">
        <v>2029</v>
      </c>
      <c r="F3026" t="inlineStr">
        <is>
          <t>Kwiecień</t>
        </is>
      </c>
      <c r="G3026" t="inlineStr">
        <is>
          <t>Pt</t>
        </is>
      </c>
      <c r="H3026">
        <f>'Floor Hours Engine'!$E$5</f>
        <v/>
      </c>
      <c r="I3026" t="inlineStr">
        <is>
          <t>W3</t>
        </is>
      </c>
      <c r="J3026" t="inlineStr">
        <is>
          <t>2029_Kwiecień_W3</t>
        </is>
      </c>
    </row>
    <row r="3027">
      <c r="A3027" s="177" t="n">
        <v>47222</v>
      </c>
      <c r="B3027" s="177" t="n">
        <v>47218</v>
      </c>
      <c r="C3027" s="177" t="n">
        <v>47224</v>
      </c>
      <c r="D3027" t="inlineStr">
        <is>
          <t>BW20290410</t>
        </is>
      </c>
      <c r="E3027" t="n">
        <v>2029</v>
      </c>
      <c r="F3027" t="inlineStr">
        <is>
          <t>Kwiecień</t>
        </is>
      </c>
      <c r="G3027" t="inlineStr">
        <is>
          <t>Sob</t>
        </is>
      </c>
      <c r="H3027">
        <f>'Floor Hours Engine'!$E$5</f>
        <v/>
      </c>
      <c r="I3027" t="inlineStr">
        <is>
          <t>W3</t>
        </is>
      </c>
      <c r="J3027" t="inlineStr">
        <is>
          <t>2029_Kwiecień_W3</t>
        </is>
      </c>
    </row>
    <row r="3028">
      <c r="A3028" s="177" t="n">
        <v>47223</v>
      </c>
      <c r="B3028" s="177" t="n">
        <v>47218</v>
      </c>
      <c r="C3028" s="177" t="n">
        <v>47224</v>
      </c>
      <c r="D3028" t="inlineStr">
        <is>
          <t>BW20290410</t>
        </is>
      </c>
      <c r="E3028" t="n">
        <v>2029</v>
      </c>
      <c r="F3028" t="inlineStr">
        <is>
          <t>Kwiecień</t>
        </is>
      </c>
      <c r="G3028" t="inlineStr">
        <is>
          <t>Nd</t>
        </is>
      </c>
      <c r="H3028">
        <f>'Floor Hours Engine'!$E$6</f>
        <v/>
      </c>
      <c r="I3028" t="inlineStr">
        <is>
          <t>W3</t>
        </is>
      </c>
      <c r="J3028" t="inlineStr">
        <is>
          <t>2029_Kwiecień_W3</t>
        </is>
      </c>
    </row>
    <row r="3029">
      <c r="A3029" s="177" t="n">
        <v>47224</v>
      </c>
      <c r="B3029" s="177" t="n">
        <v>47218</v>
      </c>
      <c r="C3029" s="177" t="n">
        <v>47224</v>
      </c>
      <c r="D3029" t="inlineStr">
        <is>
          <t>BW20290410</t>
        </is>
      </c>
      <c r="E3029" t="n">
        <v>2029</v>
      </c>
      <c r="F3029" t="inlineStr">
        <is>
          <t>Kwiecień</t>
        </is>
      </c>
      <c r="G3029" t="inlineStr">
        <is>
          <t>Pn</t>
        </is>
      </c>
      <c r="H3029">
        <f>'Floor Hours Engine'!$E$4</f>
        <v/>
      </c>
      <c r="I3029" t="inlineStr">
        <is>
          <t>W3</t>
        </is>
      </c>
      <c r="J3029" t="inlineStr">
        <is>
          <t>2029_Kwiecień_W3</t>
        </is>
      </c>
    </row>
    <row r="3030">
      <c r="A3030" s="177" t="n">
        <v>47225</v>
      </c>
      <c r="B3030" s="177" t="n">
        <v>47225</v>
      </c>
      <c r="C3030" s="177" t="n">
        <v>47231</v>
      </c>
      <c r="D3030" t="inlineStr">
        <is>
          <t>BW20290417</t>
        </is>
      </c>
      <c r="E3030" t="n">
        <v>2029</v>
      </c>
      <c r="F3030" t="inlineStr">
        <is>
          <t>Kwiecień</t>
        </is>
      </c>
      <c r="G3030" t="inlineStr">
        <is>
          <t>Wt</t>
        </is>
      </c>
      <c r="H3030">
        <f>'Floor Hours Engine'!$E$4</f>
        <v/>
      </c>
      <c r="I3030" t="inlineStr">
        <is>
          <t>W4</t>
        </is>
      </c>
      <c r="J3030" t="inlineStr">
        <is>
          <t>2029_Kwiecień_W4</t>
        </is>
      </c>
    </row>
    <row r="3031">
      <c r="A3031" s="177" t="n">
        <v>47226</v>
      </c>
      <c r="B3031" s="177" t="n">
        <v>47225</v>
      </c>
      <c r="C3031" s="177" t="n">
        <v>47231</v>
      </c>
      <c r="D3031" t="inlineStr">
        <is>
          <t>BW20290417</t>
        </is>
      </c>
      <c r="E3031" t="n">
        <v>2029</v>
      </c>
      <c r="F3031" t="inlineStr">
        <is>
          <t>Kwiecień</t>
        </is>
      </c>
      <c r="G3031" t="inlineStr">
        <is>
          <t>Śr</t>
        </is>
      </c>
      <c r="H3031">
        <f>'Floor Hours Engine'!$E$4</f>
        <v/>
      </c>
      <c r="I3031" t="inlineStr">
        <is>
          <t>W4</t>
        </is>
      </c>
      <c r="J3031" t="inlineStr">
        <is>
          <t>2029_Kwiecień_W4</t>
        </is>
      </c>
    </row>
    <row r="3032">
      <c r="A3032" s="177" t="n">
        <v>47227</v>
      </c>
      <c r="B3032" s="177" t="n">
        <v>47225</v>
      </c>
      <c r="C3032" s="177" t="n">
        <v>47231</v>
      </c>
      <c r="D3032" t="inlineStr">
        <is>
          <t>BW20290417</t>
        </is>
      </c>
      <c r="E3032" t="n">
        <v>2029</v>
      </c>
      <c r="F3032" t="inlineStr">
        <is>
          <t>Kwiecień</t>
        </is>
      </c>
      <c r="G3032" t="inlineStr">
        <is>
          <t>Czw</t>
        </is>
      </c>
      <c r="H3032">
        <f>'Floor Hours Engine'!$E$4</f>
        <v/>
      </c>
      <c r="I3032" t="inlineStr">
        <is>
          <t>W4</t>
        </is>
      </c>
      <c r="J3032" t="inlineStr">
        <is>
          <t>2029_Kwiecień_W4</t>
        </is>
      </c>
    </row>
    <row r="3033">
      <c r="A3033" s="177" t="n">
        <v>47228</v>
      </c>
      <c r="B3033" s="177" t="n">
        <v>47225</v>
      </c>
      <c r="C3033" s="177" t="n">
        <v>47231</v>
      </c>
      <c r="D3033" t="inlineStr">
        <is>
          <t>BW20290417</t>
        </is>
      </c>
      <c r="E3033" t="n">
        <v>2029</v>
      </c>
      <c r="F3033" t="inlineStr">
        <is>
          <t>Kwiecień</t>
        </is>
      </c>
      <c r="G3033" t="inlineStr">
        <is>
          <t>Pt</t>
        </is>
      </c>
      <c r="H3033">
        <f>'Floor Hours Engine'!$E$5</f>
        <v/>
      </c>
      <c r="I3033" t="inlineStr">
        <is>
          <t>W4</t>
        </is>
      </c>
      <c r="J3033" t="inlineStr">
        <is>
          <t>2029_Kwiecień_W4</t>
        </is>
      </c>
    </row>
    <row r="3034">
      <c r="A3034" s="177" t="n">
        <v>47229</v>
      </c>
      <c r="B3034" s="177" t="n">
        <v>47225</v>
      </c>
      <c r="C3034" s="177" t="n">
        <v>47231</v>
      </c>
      <c r="D3034" t="inlineStr">
        <is>
          <t>BW20290417</t>
        </is>
      </c>
      <c r="E3034" t="n">
        <v>2029</v>
      </c>
      <c r="F3034" t="inlineStr">
        <is>
          <t>Kwiecień</t>
        </is>
      </c>
      <c r="G3034" t="inlineStr">
        <is>
          <t>Sob</t>
        </is>
      </c>
      <c r="H3034">
        <f>'Floor Hours Engine'!$E$5</f>
        <v/>
      </c>
      <c r="I3034" t="inlineStr">
        <is>
          <t>W4</t>
        </is>
      </c>
      <c r="J3034" t="inlineStr">
        <is>
          <t>2029_Kwiecień_W4</t>
        </is>
      </c>
    </row>
    <row r="3035">
      <c r="A3035" s="177" t="n">
        <v>47230</v>
      </c>
      <c r="B3035" s="177" t="n">
        <v>47225</v>
      </c>
      <c r="C3035" s="177" t="n">
        <v>47231</v>
      </c>
      <c r="D3035" t="inlineStr">
        <is>
          <t>BW20290417</t>
        </is>
      </c>
      <c r="E3035" t="n">
        <v>2029</v>
      </c>
      <c r="F3035" t="inlineStr">
        <is>
          <t>Kwiecień</t>
        </is>
      </c>
      <c r="G3035" t="inlineStr">
        <is>
          <t>Nd</t>
        </is>
      </c>
      <c r="H3035">
        <f>'Floor Hours Engine'!$E$6</f>
        <v/>
      </c>
      <c r="I3035" t="inlineStr">
        <is>
          <t>W4</t>
        </is>
      </c>
      <c r="J3035" t="inlineStr">
        <is>
          <t>2029_Kwiecień_W4</t>
        </is>
      </c>
    </row>
    <row r="3036">
      <c r="A3036" s="177" t="n">
        <v>47231</v>
      </c>
      <c r="B3036" s="177" t="n">
        <v>47225</v>
      </c>
      <c r="C3036" s="177" t="n">
        <v>47231</v>
      </c>
      <c r="D3036" t="inlineStr">
        <is>
          <t>BW20290417</t>
        </is>
      </c>
      <c r="E3036" t="n">
        <v>2029</v>
      </c>
      <c r="F3036" t="inlineStr">
        <is>
          <t>Kwiecień</t>
        </is>
      </c>
      <c r="G3036" t="inlineStr">
        <is>
          <t>Pn</t>
        </is>
      </c>
      <c r="H3036">
        <f>'Floor Hours Engine'!$E$4</f>
        <v/>
      </c>
      <c r="I3036" t="inlineStr">
        <is>
          <t>W4</t>
        </is>
      </c>
      <c r="J3036" t="inlineStr">
        <is>
          <t>2029_Kwiecień_W4</t>
        </is>
      </c>
    </row>
    <row r="3037">
      <c r="A3037" s="177" t="n">
        <v>47232</v>
      </c>
      <c r="B3037" s="177" t="n">
        <v>47232</v>
      </c>
      <c r="C3037" s="177" t="n">
        <v>47238</v>
      </c>
      <c r="D3037" t="inlineStr">
        <is>
          <t>BW20290424</t>
        </is>
      </c>
      <c r="E3037" t="n">
        <v>2029</v>
      </c>
      <c r="F3037" t="inlineStr">
        <is>
          <t>Kwiecień</t>
        </is>
      </c>
      <c r="G3037" t="inlineStr">
        <is>
          <t>Wt</t>
        </is>
      </c>
      <c r="H3037">
        <f>'Floor Hours Engine'!$E$4</f>
        <v/>
      </c>
      <c r="I3037" t="inlineStr">
        <is>
          <t>W5</t>
        </is>
      </c>
      <c r="J3037" t="inlineStr">
        <is>
          <t>2029_Kwiecień_W5</t>
        </is>
      </c>
    </row>
    <row r="3038">
      <c r="A3038" s="177" t="n">
        <v>47233</v>
      </c>
      <c r="B3038" s="177" t="n">
        <v>47232</v>
      </c>
      <c r="C3038" s="177" t="n">
        <v>47238</v>
      </c>
      <c r="D3038" t="inlineStr">
        <is>
          <t>BW20290424</t>
        </is>
      </c>
      <c r="E3038" t="n">
        <v>2029</v>
      </c>
      <c r="F3038" t="inlineStr">
        <is>
          <t>Kwiecień</t>
        </is>
      </c>
      <c r="G3038" t="inlineStr">
        <is>
          <t>Śr</t>
        </is>
      </c>
      <c r="H3038">
        <f>'Floor Hours Engine'!$E$4</f>
        <v/>
      </c>
      <c r="I3038" t="inlineStr">
        <is>
          <t>W5</t>
        </is>
      </c>
      <c r="J3038" t="inlineStr">
        <is>
          <t>2029_Kwiecień_W5</t>
        </is>
      </c>
    </row>
    <row r="3039">
      <c r="A3039" s="177" t="n">
        <v>47234</v>
      </c>
      <c r="B3039" s="177" t="n">
        <v>47232</v>
      </c>
      <c r="C3039" s="177" t="n">
        <v>47238</v>
      </c>
      <c r="D3039" t="inlineStr">
        <is>
          <t>BW20290424</t>
        </is>
      </c>
      <c r="E3039" t="n">
        <v>2029</v>
      </c>
      <c r="F3039" t="inlineStr">
        <is>
          <t>Kwiecień</t>
        </is>
      </c>
      <c r="G3039" t="inlineStr">
        <is>
          <t>Czw</t>
        </is>
      </c>
      <c r="H3039">
        <f>'Floor Hours Engine'!$E$4</f>
        <v/>
      </c>
      <c r="I3039" t="inlineStr">
        <is>
          <t>W5</t>
        </is>
      </c>
      <c r="J3039" t="inlineStr">
        <is>
          <t>2029_Kwiecień_W5</t>
        </is>
      </c>
    </row>
    <row r="3040">
      <c r="A3040" s="177" t="n">
        <v>47235</v>
      </c>
      <c r="B3040" s="177" t="n">
        <v>47232</v>
      </c>
      <c r="C3040" s="177" t="n">
        <v>47238</v>
      </c>
      <c r="D3040" t="inlineStr">
        <is>
          <t>BW20290424</t>
        </is>
      </c>
      <c r="E3040" t="n">
        <v>2029</v>
      </c>
      <c r="F3040" t="inlineStr">
        <is>
          <t>Kwiecień</t>
        </is>
      </c>
      <c r="G3040" t="inlineStr">
        <is>
          <t>Pt</t>
        </is>
      </c>
      <c r="H3040">
        <f>'Floor Hours Engine'!$E$5</f>
        <v/>
      </c>
      <c r="I3040" t="inlineStr">
        <is>
          <t>W5</t>
        </is>
      </c>
      <c r="J3040" t="inlineStr">
        <is>
          <t>2029_Kwiecień_W5</t>
        </is>
      </c>
    </row>
    <row r="3041">
      <c r="A3041" s="177" t="n">
        <v>47236</v>
      </c>
      <c r="B3041" s="177" t="n">
        <v>47232</v>
      </c>
      <c r="C3041" s="177" t="n">
        <v>47238</v>
      </c>
      <c r="D3041" t="inlineStr">
        <is>
          <t>BW20290424</t>
        </is>
      </c>
      <c r="E3041" t="n">
        <v>2029</v>
      </c>
      <c r="F3041" t="inlineStr">
        <is>
          <t>Kwiecień</t>
        </is>
      </c>
      <c r="G3041" t="inlineStr">
        <is>
          <t>Sob</t>
        </is>
      </c>
      <c r="H3041">
        <f>'Floor Hours Engine'!$E$5</f>
        <v/>
      </c>
      <c r="I3041" t="inlineStr">
        <is>
          <t>W5</t>
        </is>
      </c>
      <c r="J3041" t="inlineStr">
        <is>
          <t>2029_Kwiecień_W5</t>
        </is>
      </c>
    </row>
    <row r="3042">
      <c r="A3042" s="177" t="n">
        <v>47237</v>
      </c>
      <c r="B3042" s="177" t="n">
        <v>47232</v>
      </c>
      <c r="C3042" s="177" t="n">
        <v>47238</v>
      </c>
      <c r="D3042" t="inlineStr">
        <is>
          <t>BW20290424</t>
        </is>
      </c>
      <c r="E3042" t="n">
        <v>2029</v>
      </c>
      <c r="F3042" t="inlineStr">
        <is>
          <t>Kwiecień</t>
        </is>
      </c>
      <c r="G3042" t="inlineStr">
        <is>
          <t>Nd</t>
        </is>
      </c>
      <c r="H3042">
        <f>'Floor Hours Engine'!$E$6</f>
        <v/>
      </c>
      <c r="I3042" t="inlineStr">
        <is>
          <t>W5</t>
        </is>
      </c>
      <c r="J3042" t="inlineStr">
        <is>
          <t>2029_Kwiecień_W5</t>
        </is>
      </c>
    </row>
    <row r="3043">
      <c r="A3043" s="177" t="n">
        <v>47238</v>
      </c>
      <c r="B3043" s="177" t="n">
        <v>47232</v>
      </c>
      <c r="C3043" s="177" t="n">
        <v>47238</v>
      </c>
      <c r="D3043" t="inlineStr">
        <is>
          <t>BW20290424</t>
        </is>
      </c>
      <c r="E3043" t="n">
        <v>2029</v>
      </c>
      <c r="F3043" t="inlineStr">
        <is>
          <t>Kwiecień</t>
        </is>
      </c>
      <c r="G3043" t="inlineStr">
        <is>
          <t>Pn</t>
        </is>
      </c>
      <c r="H3043">
        <f>'Floor Hours Engine'!$E$4</f>
        <v/>
      </c>
      <c r="I3043" t="inlineStr">
        <is>
          <t>W5</t>
        </is>
      </c>
      <c r="J3043" t="inlineStr">
        <is>
          <t>2029_Kwiecień_W5</t>
        </is>
      </c>
    </row>
    <row r="3044">
      <c r="A3044" s="177" t="n">
        <v>47239</v>
      </c>
      <c r="B3044" s="177" t="n">
        <v>47239</v>
      </c>
      <c r="C3044" s="177" t="n">
        <v>47245</v>
      </c>
      <c r="D3044" t="inlineStr">
        <is>
          <t>BW20290501</t>
        </is>
      </c>
      <c r="E3044" t="n">
        <v>2029</v>
      </c>
      <c r="F3044" t="inlineStr">
        <is>
          <t>Maj</t>
        </is>
      </c>
      <c r="G3044" t="inlineStr">
        <is>
          <t>Wt</t>
        </is>
      </c>
      <c r="H3044">
        <f>'Floor Hours Engine'!$E$4</f>
        <v/>
      </c>
      <c r="I3044" t="inlineStr">
        <is>
          <t>W1</t>
        </is>
      </c>
      <c r="J3044" t="inlineStr">
        <is>
          <t>2029_Maj_W1</t>
        </is>
      </c>
    </row>
    <row r="3045">
      <c r="A3045" s="177" t="n">
        <v>47240</v>
      </c>
      <c r="B3045" s="177" t="n">
        <v>47239</v>
      </c>
      <c r="C3045" s="177" t="n">
        <v>47245</v>
      </c>
      <c r="D3045" t="inlineStr">
        <is>
          <t>BW20290501</t>
        </is>
      </c>
      <c r="E3045" t="n">
        <v>2029</v>
      </c>
      <c r="F3045" t="inlineStr">
        <is>
          <t>Maj</t>
        </is>
      </c>
      <c r="G3045" t="inlineStr">
        <is>
          <t>Śr</t>
        </is>
      </c>
      <c r="H3045">
        <f>'Floor Hours Engine'!$E$4</f>
        <v/>
      </c>
      <c r="I3045" t="inlineStr">
        <is>
          <t>W1</t>
        </is>
      </c>
      <c r="J3045" t="inlineStr">
        <is>
          <t>2029_Maj_W1</t>
        </is>
      </c>
    </row>
    <row r="3046">
      <c r="A3046" s="177" t="n">
        <v>47241</v>
      </c>
      <c r="B3046" s="177" t="n">
        <v>47239</v>
      </c>
      <c r="C3046" s="177" t="n">
        <v>47245</v>
      </c>
      <c r="D3046" t="inlineStr">
        <is>
          <t>BW20290501</t>
        </is>
      </c>
      <c r="E3046" t="n">
        <v>2029</v>
      </c>
      <c r="F3046" t="inlineStr">
        <is>
          <t>Maj</t>
        </is>
      </c>
      <c r="G3046" t="inlineStr">
        <is>
          <t>Czw</t>
        </is>
      </c>
      <c r="H3046">
        <f>'Floor Hours Engine'!$E$4</f>
        <v/>
      </c>
      <c r="I3046" t="inlineStr">
        <is>
          <t>W1</t>
        </is>
      </c>
      <c r="J3046" t="inlineStr">
        <is>
          <t>2029_Maj_W1</t>
        </is>
      </c>
    </row>
    <row r="3047">
      <c r="A3047" s="177" t="n">
        <v>47242</v>
      </c>
      <c r="B3047" s="177" t="n">
        <v>47239</v>
      </c>
      <c r="C3047" s="177" t="n">
        <v>47245</v>
      </c>
      <c r="D3047" t="inlineStr">
        <is>
          <t>BW20290501</t>
        </is>
      </c>
      <c r="E3047" t="n">
        <v>2029</v>
      </c>
      <c r="F3047" t="inlineStr">
        <is>
          <t>Maj</t>
        </is>
      </c>
      <c r="G3047" t="inlineStr">
        <is>
          <t>Pt</t>
        </is>
      </c>
      <c r="H3047">
        <f>'Floor Hours Engine'!$E$5</f>
        <v/>
      </c>
      <c r="I3047" t="inlineStr">
        <is>
          <t>W1</t>
        </is>
      </c>
      <c r="J3047" t="inlineStr">
        <is>
          <t>2029_Maj_W1</t>
        </is>
      </c>
    </row>
    <row r="3048">
      <c r="A3048" s="177" t="n">
        <v>47243</v>
      </c>
      <c r="B3048" s="177" t="n">
        <v>47239</v>
      </c>
      <c r="C3048" s="177" t="n">
        <v>47245</v>
      </c>
      <c r="D3048" t="inlineStr">
        <is>
          <t>BW20290501</t>
        </is>
      </c>
      <c r="E3048" t="n">
        <v>2029</v>
      </c>
      <c r="F3048" t="inlineStr">
        <is>
          <t>Maj</t>
        </is>
      </c>
      <c r="G3048" t="inlineStr">
        <is>
          <t>Sob</t>
        </is>
      </c>
      <c r="H3048">
        <f>'Floor Hours Engine'!$E$5</f>
        <v/>
      </c>
      <c r="I3048" t="inlineStr">
        <is>
          <t>W1</t>
        </is>
      </c>
      <c r="J3048" t="inlineStr">
        <is>
          <t>2029_Maj_W1</t>
        </is>
      </c>
    </row>
    <row r="3049">
      <c r="A3049" s="177" t="n">
        <v>47244</v>
      </c>
      <c r="B3049" s="177" t="n">
        <v>47239</v>
      </c>
      <c r="C3049" s="177" t="n">
        <v>47245</v>
      </c>
      <c r="D3049" t="inlineStr">
        <is>
          <t>BW20290501</t>
        </is>
      </c>
      <c r="E3049" t="n">
        <v>2029</v>
      </c>
      <c r="F3049" t="inlineStr">
        <is>
          <t>Maj</t>
        </is>
      </c>
      <c r="G3049" t="inlineStr">
        <is>
          <t>Nd</t>
        </is>
      </c>
      <c r="H3049">
        <f>'Floor Hours Engine'!$E$6</f>
        <v/>
      </c>
      <c r="I3049" t="inlineStr">
        <is>
          <t>W1</t>
        </is>
      </c>
      <c r="J3049" t="inlineStr">
        <is>
          <t>2029_Maj_W1</t>
        </is>
      </c>
    </row>
    <row r="3050">
      <c r="A3050" s="177" t="n">
        <v>47245</v>
      </c>
      <c r="B3050" s="177" t="n">
        <v>47239</v>
      </c>
      <c r="C3050" s="177" t="n">
        <v>47245</v>
      </c>
      <c r="D3050" t="inlineStr">
        <is>
          <t>BW20290501</t>
        </is>
      </c>
      <c r="E3050" t="n">
        <v>2029</v>
      </c>
      <c r="F3050" t="inlineStr">
        <is>
          <t>Maj</t>
        </is>
      </c>
      <c r="G3050" t="inlineStr">
        <is>
          <t>Pn</t>
        </is>
      </c>
      <c r="H3050">
        <f>'Floor Hours Engine'!$E$4</f>
        <v/>
      </c>
      <c r="I3050" t="inlineStr">
        <is>
          <t>W1</t>
        </is>
      </c>
      <c r="J3050" t="inlineStr">
        <is>
          <t>2029_Maj_W1</t>
        </is>
      </c>
    </row>
    <row r="3051">
      <c r="A3051" s="177" t="n">
        <v>47246</v>
      </c>
      <c r="B3051" s="177" t="n">
        <v>47246</v>
      </c>
      <c r="C3051" s="177" t="n">
        <v>47252</v>
      </c>
      <c r="D3051" t="inlineStr">
        <is>
          <t>BW20290508</t>
        </is>
      </c>
      <c r="E3051" t="n">
        <v>2029</v>
      </c>
      <c r="F3051" t="inlineStr">
        <is>
          <t>Maj</t>
        </is>
      </c>
      <c r="G3051" t="inlineStr">
        <is>
          <t>Wt</t>
        </is>
      </c>
      <c r="H3051">
        <f>'Floor Hours Engine'!$E$4</f>
        <v/>
      </c>
      <c r="I3051" t="inlineStr">
        <is>
          <t>W2</t>
        </is>
      </c>
      <c r="J3051" t="inlineStr">
        <is>
          <t>2029_Maj_W2</t>
        </is>
      </c>
    </row>
    <row r="3052">
      <c r="A3052" s="177" t="n">
        <v>47247</v>
      </c>
      <c r="B3052" s="177" t="n">
        <v>47246</v>
      </c>
      <c r="C3052" s="177" t="n">
        <v>47252</v>
      </c>
      <c r="D3052" t="inlineStr">
        <is>
          <t>BW20290508</t>
        </is>
      </c>
      <c r="E3052" t="n">
        <v>2029</v>
      </c>
      <c r="F3052" t="inlineStr">
        <is>
          <t>Maj</t>
        </is>
      </c>
      <c r="G3052" t="inlineStr">
        <is>
          <t>Śr</t>
        </is>
      </c>
      <c r="H3052">
        <f>'Floor Hours Engine'!$E$4</f>
        <v/>
      </c>
      <c r="I3052" t="inlineStr">
        <is>
          <t>W2</t>
        </is>
      </c>
      <c r="J3052" t="inlineStr">
        <is>
          <t>2029_Maj_W2</t>
        </is>
      </c>
    </row>
    <row r="3053">
      <c r="A3053" s="177" t="n">
        <v>47248</v>
      </c>
      <c r="B3053" s="177" t="n">
        <v>47246</v>
      </c>
      <c r="C3053" s="177" t="n">
        <v>47252</v>
      </c>
      <c r="D3053" t="inlineStr">
        <is>
          <t>BW20290508</t>
        </is>
      </c>
      <c r="E3053" t="n">
        <v>2029</v>
      </c>
      <c r="F3053" t="inlineStr">
        <is>
          <t>Maj</t>
        </is>
      </c>
      <c r="G3053" t="inlineStr">
        <is>
          <t>Czw</t>
        </is>
      </c>
      <c r="H3053">
        <f>'Floor Hours Engine'!$E$4</f>
        <v/>
      </c>
      <c r="I3053" t="inlineStr">
        <is>
          <t>W2</t>
        </is>
      </c>
      <c r="J3053" t="inlineStr">
        <is>
          <t>2029_Maj_W2</t>
        </is>
      </c>
    </row>
    <row r="3054">
      <c r="A3054" s="177" t="n">
        <v>47249</v>
      </c>
      <c r="B3054" s="177" t="n">
        <v>47246</v>
      </c>
      <c r="C3054" s="177" t="n">
        <v>47252</v>
      </c>
      <c r="D3054" t="inlineStr">
        <is>
          <t>BW20290508</t>
        </is>
      </c>
      <c r="E3054" t="n">
        <v>2029</v>
      </c>
      <c r="F3054" t="inlineStr">
        <is>
          <t>Maj</t>
        </is>
      </c>
      <c r="G3054" t="inlineStr">
        <is>
          <t>Pt</t>
        </is>
      </c>
      <c r="H3054">
        <f>'Floor Hours Engine'!$E$5</f>
        <v/>
      </c>
      <c r="I3054" t="inlineStr">
        <is>
          <t>W2</t>
        </is>
      </c>
      <c r="J3054" t="inlineStr">
        <is>
          <t>2029_Maj_W2</t>
        </is>
      </c>
    </row>
    <row r="3055">
      <c r="A3055" s="177" t="n">
        <v>47250</v>
      </c>
      <c r="B3055" s="177" t="n">
        <v>47246</v>
      </c>
      <c r="C3055" s="177" t="n">
        <v>47252</v>
      </c>
      <c r="D3055" t="inlineStr">
        <is>
          <t>BW20290508</t>
        </is>
      </c>
      <c r="E3055" t="n">
        <v>2029</v>
      </c>
      <c r="F3055" t="inlineStr">
        <is>
          <t>Maj</t>
        </is>
      </c>
      <c r="G3055" t="inlineStr">
        <is>
          <t>Sob</t>
        </is>
      </c>
      <c r="H3055">
        <f>'Floor Hours Engine'!$E$5</f>
        <v/>
      </c>
      <c r="I3055" t="inlineStr">
        <is>
          <t>W2</t>
        </is>
      </c>
      <c r="J3055" t="inlineStr">
        <is>
          <t>2029_Maj_W2</t>
        </is>
      </c>
    </row>
    <row r="3056">
      <c r="A3056" s="177" t="n">
        <v>47251</v>
      </c>
      <c r="B3056" s="177" t="n">
        <v>47246</v>
      </c>
      <c r="C3056" s="177" t="n">
        <v>47252</v>
      </c>
      <c r="D3056" t="inlineStr">
        <is>
          <t>BW20290508</t>
        </is>
      </c>
      <c r="E3056" t="n">
        <v>2029</v>
      </c>
      <c r="F3056" t="inlineStr">
        <is>
          <t>Maj</t>
        </is>
      </c>
      <c r="G3056" t="inlineStr">
        <is>
          <t>Nd</t>
        </is>
      </c>
      <c r="H3056">
        <f>'Floor Hours Engine'!$E$6</f>
        <v/>
      </c>
      <c r="I3056" t="inlineStr">
        <is>
          <t>W2</t>
        </is>
      </c>
      <c r="J3056" t="inlineStr">
        <is>
          <t>2029_Maj_W2</t>
        </is>
      </c>
    </row>
    <row r="3057">
      <c r="A3057" s="177" t="n">
        <v>47252</v>
      </c>
      <c r="B3057" s="177" t="n">
        <v>47246</v>
      </c>
      <c r="C3057" s="177" t="n">
        <v>47252</v>
      </c>
      <c r="D3057" t="inlineStr">
        <is>
          <t>BW20290508</t>
        </is>
      </c>
      <c r="E3057" t="n">
        <v>2029</v>
      </c>
      <c r="F3057" t="inlineStr">
        <is>
          <t>Maj</t>
        </is>
      </c>
      <c r="G3057" t="inlineStr">
        <is>
          <t>Pn</t>
        </is>
      </c>
      <c r="H3057">
        <f>'Floor Hours Engine'!$E$4</f>
        <v/>
      </c>
      <c r="I3057" t="inlineStr">
        <is>
          <t>W2</t>
        </is>
      </c>
      <c r="J3057" t="inlineStr">
        <is>
          <t>2029_Maj_W2</t>
        </is>
      </c>
    </row>
    <row r="3058">
      <c r="A3058" s="177" t="n">
        <v>47253</v>
      </c>
      <c r="B3058" s="177" t="n">
        <v>47253</v>
      </c>
      <c r="C3058" s="177" t="n">
        <v>47259</v>
      </c>
      <c r="D3058" t="inlineStr">
        <is>
          <t>BW20290515</t>
        </is>
      </c>
      <c r="E3058" t="n">
        <v>2029</v>
      </c>
      <c r="F3058" t="inlineStr">
        <is>
          <t>Maj</t>
        </is>
      </c>
      <c r="G3058" t="inlineStr">
        <is>
          <t>Wt</t>
        </is>
      </c>
      <c r="H3058">
        <f>'Floor Hours Engine'!$E$4</f>
        <v/>
      </c>
      <c r="I3058" t="inlineStr">
        <is>
          <t>W3</t>
        </is>
      </c>
      <c r="J3058" t="inlineStr">
        <is>
          <t>2029_Maj_W3</t>
        </is>
      </c>
    </row>
    <row r="3059">
      <c r="A3059" s="177" t="n">
        <v>47254</v>
      </c>
      <c r="B3059" s="177" t="n">
        <v>47253</v>
      </c>
      <c r="C3059" s="177" t="n">
        <v>47259</v>
      </c>
      <c r="D3059" t="inlineStr">
        <is>
          <t>BW20290515</t>
        </is>
      </c>
      <c r="E3059" t="n">
        <v>2029</v>
      </c>
      <c r="F3059" t="inlineStr">
        <is>
          <t>Maj</t>
        </is>
      </c>
      <c r="G3059" t="inlineStr">
        <is>
          <t>Śr</t>
        </is>
      </c>
      <c r="H3059">
        <f>'Floor Hours Engine'!$E$4</f>
        <v/>
      </c>
      <c r="I3059" t="inlineStr">
        <is>
          <t>W3</t>
        </is>
      </c>
      <c r="J3059" t="inlineStr">
        <is>
          <t>2029_Maj_W3</t>
        </is>
      </c>
    </row>
    <row r="3060">
      <c r="A3060" s="177" t="n">
        <v>47255</v>
      </c>
      <c r="B3060" s="177" t="n">
        <v>47253</v>
      </c>
      <c r="C3060" s="177" t="n">
        <v>47259</v>
      </c>
      <c r="D3060" t="inlineStr">
        <is>
          <t>BW20290515</t>
        </is>
      </c>
      <c r="E3060" t="n">
        <v>2029</v>
      </c>
      <c r="F3060" t="inlineStr">
        <is>
          <t>Maj</t>
        </is>
      </c>
      <c r="G3060" t="inlineStr">
        <is>
          <t>Czw</t>
        </is>
      </c>
      <c r="H3060">
        <f>'Floor Hours Engine'!$E$4</f>
        <v/>
      </c>
      <c r="I3060" t="inlineStr">
        <is>
          <t>W3</t>
        </is>
      </c>
      <c r="J3060" t="inlineStr">
        <is>
          <t>2029_Maj_W3</t>
        </is>
      </c>
    </row>
    <row r="3061">
      <c r="A3061" s="177" t="n">
        <v>47256</v>
      </c>
      <c r="B3061" s="177" t="n">
        <v>47253</v>
      </c>
      <c r="C3061" s="177" t="n">
        <v>47259</v>
      </c>
      <c r="D3061" t="inlineStr">
        <is>
          <t>BW20290515</t>
        </is>
      </c>
      <c r="E3061" t="n">
        <v>2029</v>
      </c>
      <c r="F3061" t="inlineStr">
        <is>
          <t>Maj</t>
        </is>
      </c>
      <c r="G3061" t="inlineStr">
        <is>
          <t>Pt</t>
        </is>
      </c>
      <c r="H3061">
        <f>'Floor Hours Engine'!$E$5</f>
        <v/>
      </c>
      <c r="I3061" t="inlineStr">
        <is>
          <t>W3</t>
        </is>
      </c>
      <c r="J3061" t="inlineStr">
        <is>
          <t>2029_Maj_W3</t>
        </is>
      </c>
    </row>
    <row r="3062">
      <c r="A3062" s="177" t="n">
        <v>47257</v>
      </c>
      <c r="B3062" s="177" t="n">
        <v>47253</v>
      </c>
      <c r="C3062" s="177" t="n">
        <v>47259</v>
      </c>
      <c r="D3062" t="inlineStr">
        <is>
          <t>BW20290515</t>
        </is>
      </c>
      <c r="E3062" t="n">
        <v>2029</v>
      </c>
      <c r="F3062" t="inlineStr">
        <is>
          <t>Maj</t>
        </is>
      </c>
      <c r="G3062" t="inlineStr">
        <is>
          <t>Sob</t>
        </is>
      </c>
      <c r="H3062">
        <f>'Floor Hours Engine'!$E$5</f>
        <v/>
      </c>
      <c r="I3062" t="inlineStr">
        <is>
          <t>W3</t>
        </is>
      </c>
      <c r="J3062" t="inlineStr">
        <is>
          <t>2029_Maj_W3</t>
        </is>
      </c>
    </row>
    <row r="3063">
      <c r="A3063" s="177" t="n">
        <v>47258</v>
      </c>
      <c r="B3063" s="177" t="n">
        <v>47253</v>
      </c>
      <c r="C3063" s="177" t="n">
        <v>47259</v>
      </c>
      <c r="D3063" t="inlineStr">
        <is>
          <t>BW20290515</t>
        </is>
      </c>
      <c r="E3063" t="n">
        <v>2029</v>
      </c>
      <c r="F3063" t="inlineStr">
        <is>
          <t>Maj</t>
        </is>
      </c>
      <c r="G3063" t="inlineStr">
        <is>
          <t>Nd</t>
        </is>
      </c>
      <c r="H3063">
        <f>'Floor Hours Engine'!$E$6</f>
        <v/>
      </c>
      <c r="I3063" t="inlineStr">
        <is>
          <t>W3</t>
        </is>
      </c>
      <c r="J3063" t="inlineStr">
        <is>
          <t>2029_Maj_W3</t>
        </is>
      </c>
    </row>
    <row r="3064">
      <c r="A3064" s="177" t="n">
        <v>47259</v>
      </c>
      <c r="B3064" s="177" t="n">
        <v>47253</v>
      </c>
      <c r="C3064" s="177" t="n">
        <v>47259</v>
      </c>
      <c r="D3064" t="inlineStr">
        <is>
          <t>BW20290515</t>
        </is>
      </c>
      <c r="E3064" t="n">
        <v>2029</v>
      </c>
      <c r="F3064" t="inlineStr">
        <is>
          <t>Maj</t>
        </is>
      </c>
      <c r="G3064" t="inlineStr">
        <is>
          <t>Pn</t>
        </is>
      </c>
      <c r="H3064">
        <f>'Floor Hours Engine'!$E$4</f>
        <v/>
      </c>
      <c r="I3064" t="inlineStr">
        <is>
          <t>W3</t>
        </is>
      </c>
      <c r="J3064" t="inlineStr">
        <is>
          <t>2029_Maj_W3</t>
        </is>
      </c>
    </row>
    <row r="3065">
      <c r="A3065" s="177" t="n">
        <v>47260</v>
      </c>
      <c r="B3065" s="177" t="n">
        <v>47260</v>
      </c>
      <c r="C3065" s="177" t="n">
        <v>47266</v>
      </c>
      <c r="D3065" t="inlineStr">
        <is>
          <t>BW20290522</t>
        </is>
      </c>
      <c r="E3065" t="n">
        <v>2029</v>
      </c>
      <c r="F3065" t="inlineStr">
        <is>
          <t>Maj</t>
        </is>
      </c>
      <c r="G3065" t="inlineStr">
        <is>
          <t>Wt</t>
        </is>
      </c>
      <c r="H3065">
        <f>'Floor Hours Engine'!$E$4</f>
        <v/>
      </c>
      <c r="I3065" t="inlineStr">
        <is>
          <t>W4</t>
        </is>
      </c>
      <c r="J3065" t="inlineStr">
        <is>
          <t>2029_Maj_W4</t>
        </is>
      </c>
    </row>
    <row r="3066">
      <c r="A3066" s="177" t="n">
        <v>47261</v>
      </c>
      <c r="B3066" s="177" t="n">
        <v>47260</v>
      </c>
      <c r="C3066" s="177" t="n">
        <v>47266</v>
      </c>
      <c r="D3066" t="inlineStr">
        <is>
          <t>BW20290522</t>
        </is>
      </c>
      <c r="E3066" t="n">
        <v>2029</v>
      </c>
      <c r="F3066" t="inlineStr">
        <is>
          <t>Maj</t>
        </is>
      </c>
      <c r="G3066" t="inlineStr">
        <is>
          <t>Śr</t>
        </is>
      </c>
      <c r="H3066">
        <f>'Floor Hours Engine'!$E$4</f>
        <v/>
      </c>
      <c r="I3066" t="inlineStr">
        <is>
          <t>W4</t>
        </is>
      </c>
      <c r="J3066" t="inlineStr">
        <is>
          <t>2029_Maj_W4</t>
        </is>
      </c>
    </row>
    <row r="3067">
      <c r="A3067" s="177" t="n">
        <v>47262</v>
      </c>
      <c r="B3067" s="177" t="n">
        <v>47260</v>
      </c>
      <c r="C3067" s="177" t="n">
        <v>47266</v>
      </c>
      <c r="D3067" t="inlineStr">
        <is>
          <t>BW20290522</t>
        </is>
      </c>
      <c r="E3067" t="n">
        <v>2029</v>
      </c>
      <c r="F3067" t="inlineStr">
        <is>
          <t>Maj</t>
        </is>
      </c>
      <c r="G3067" t="inlineStr">
        <is>
          <t>Czw</t>
        </is>
      </c>
      <c r="H3067">
        <f>'Floor Hours Engine'!$E$4</f>
        <v/>
      </c>
      <c r="I3067" t="inlineStr">
        <is>
          <t>W4</t>
        </is>
      </c>
      <c r="J3067" t="inlineStr">
        <is>
          <t>2029_Maj_W4</t>
        </is>
      </c>
    </row>
    <row r="3068">
      <c r="A3068" s="177" t="n">
        <v>47263</v>
      </c>
      <c r="B3068" s="177" t="n">
        <v>47260</v>
      </c>
      <c r="C3068" s="177" t="n">
        <v>47266</v>
      </c>
      <c r="D3068" t="inlineStr">
        <is>
          <t>BW20290522</t>
        </is>
      </c>
      <c r="E3068" t="n">
        <v>2029</v>
      </c>
      <c r="F3068" t="inlineStr">
        <is>
          <t>Maj</t>
        </is>
      </c>
      <c r="G3068" t="inlineStr">
        <is>
          <t>Pt</t>
        </is>
      </c>
      <c r="H3068">
        <f>'Floor Hours Engine'!$E$5</f>
        <v/>
      </c>
      <c r="I3068" t="inlineStr">
        <is>
          <t>W4</t>
        </is>
      </c>
      <c r="J3068" t="inlineStr">
        <is>
          <t>2029_Maj_W4</t>
        </is>
      </c>
    </row>
    <row r="3069">
      <c r="A3069" s="177" t="n">
        <v>47264</v>
      </c>
      <c r="B3069" s="177" t="n">
        <v>47260</v>
      </c>
      <c r="C3069" s="177" t="n">
        <v>47266</v>
      </c>
      <c r="D3069" t="inlineStr">
        <is>
          <t>BW20290522</t>
        </is>
      </c>
      <c r="E3069" t="n">
        <v>2029</v>
      </c>
      <c r="F3069" t="inlineStr">
        <is>
          <t>Maj</t>
        </is>
      </c>
      <c r="G3069" t="inlineStr">
        <is>
          <t>Sob</t>
        </is>
      </c>
      <c r="H3069">
        <f>'Floor Hours Engine'!$E$5</f>
        <v/>
      </c>
      <c r="I3069" t="inlineStr">
        <is>
          <t>W4</t>
        </is>
      </c>
      <c r="J3069" t="inlineStr">
        <is>
          <t>2029_Maj_W4</t>
        </is>
      </c>
    </row>
    <row r="3070">
      <c r="A3070" s="177" t="n">
        <v>47265</v>
      </c>
      <c r="B3070" s="177" t="n">
        <v>47260</v>
      </c>
      <c r="C3070" s="177" t="n">
        <v>47266</v>
      </c>
      <c r="D3070" t="inlineStr">
        <is>
          <t>BW20290522</t>
        </is>
      </c>
      <c r="E3070" t="n">
        <v>2029</v>
      </c>
      <c r="F3070" t="inlineStr">
        <is>
          <t>Maj</t>
        </is>
      </c>
      <c r="G3070" t="inlineStr">
        <is>
          <t>Nd</t>
        </is>
      </c>
      <c r="H3070">
        <f>'Floor Hours Engine'!$E$6</f>
        <v/>
      </c>
      <c r="I3070" t="inlineStr">
        <is>
          <t>W4</t>
        </is>
      </c>
      <c r="J3070" t="inlineStr">
        <is>
          <t>2029_Maj_W4</t>
        </is>
      </c>
    </row>
    <row r="3071">
      <c r="A3071" s="177" t="n">
        <v>47266</v>
      </c>
      <c r="B3071" s="177" t="n">
        <v>47260</v>
      </c>
      <c r="C3071" s="177" t="n">
        <v>47266</v>
      </c>
      <c r="D3071" t="inlineStr">
        <is>
          <t>BW20290522</t>
        </is>
      </c>
      <c r="E3071" t="n">
        <v>2029</v>
      </c>
      <c r="F3071" t="inlineStr">
        <is>
          <t>Maj</t>
        </is>
      </c>
      <c r="G3071" t="inlineStr">
        <is>
          <t>Pn</t>
        </is>
      </c>
      <c r="H3071">
        <f>'Floor Hours Engine'!$E$4</f>
        <v/>
      </c>
      <c r="I3071" t="inlineStr">
        <is>
          <t>W4</t>
        </is>
      </c>
      <c r="J3071" t="inlineStr">
        <is>
          <t>2029_Maj_W4</t>
        </is>
      </c>
    </row>
    <row r="3072">
      <c r="A3072" s="177" t="n">
        <v>47267</v>
      </c>
      <c r="B3072" s="177" t="n">
        <v>47267</v>
      </c>
      <c r="C3072" s="177" t="n">
        <v>47273</v>
      </c>
      <c r="D3072" t="inlineStr">
        <is>
          <t>BW20290529</t>
        </is>
      </c>
      <c r="E3072" t="n">
        <v>2029</v>
      </c>
      <c r="F3072" t="inlineStr">
        <is>
          <t>Maj</t>
        </is>
      </c>
      <c r="G3072" t="inlineStr">
        <is>
          <t>Wt</t>
        </is>
      </c>
      <c r="H3072">
        <f>'Floor Hours Engine'!$E$4</f>
        <v/>
      </c>
      <c r="I3072" t="inlineStr">
        <is>
          <t>W5</t>
        </is>
      </c>
      <c r="J3072" t="inlineStr">
        <is>
          <t>2029_Maj_W5</t>
        </is>
      </c>
    </row>
    <row r="3073">
      <c r="A3073" s="177" t="n">
        <v>47268</v>
      </c>
      <c r="B3073" s="177" t="n">
        <v>47267</v>
      </c>
      <c r="C3073" s="177" t="n">
        <v>47273</v>
      </c>
      <c r="D3073" t="inlineStr">
        <is>
          <t>BW20290529</t>
        </is>
      </c>
      <c r="E3073" t="n">
        <v>2029</v>
      </c>
      <c r="F3073" t="inlineStr">
        <is>
          <t>Maj</t>
        </is>
      </c>
      <c r="G3073" t="inlineStr">
        <is>
          <t>Śr</t>
        </is>
      </c>
      <c r="H3073">
        <f>'Floor Hours Engine'!$E$4</f>
        <v/>
      </c>
      <c r="I3073" t="inlineStr">
        <is>
          <t>W5</t>
        </is>
      </c>
      <c r="J3073" t="inlineStr">
        <is>
          <t>2029_Maj_W5</t>
        </is>
      </c>
    </row>
    <row r="3074">
      <c r="A3074" s="177" t="n">
        <v>47269</v>
      </c>
      <c r="B3074" s="177" t="n">
        <v>47267</v>
      </c>
      <c r="C3074" s="177" t="n">
        <v>47273</v>
      </c>
      <c r="D3074" t="inlineStr">
        <is>
          <t>BW20290529</t>
        </is>
      </c>
      <c r="E3074" t="n">
        <v>2029</v>
      </c>
      <c r="F3074" t="inlineStr">
        <is>
          <t>Maj</t>
        </is>
      </c>
      <c r="G3074" t="inlineStr">
        <is>
          <t>Czw</t>
        </is>
      </c>
      <c r="H3074">
        <f>'Floor Hours Engine'!$E$4</f>
        <v/>
      </c>
      <c r="I3074" t="inlineStr">
        <is>
          <t>W5</t>
        </is>
      </c>
      <c r="J3074" t="inlineStr">
        <is>
          <t>2029_Maj_W5</t>
        </is>
      </c>
    </row>
    <row r="3075">
      <c r="A3075" s="177" t="n">
        <v>47270</v>
      </c>
      <c r="B3075" s="177" t="n">
        <v>47267</v>
      </c>
      <c r="C3075" s="177" t="n">
        <v>47273</v>
      </c>
      <c r="D3075" t="inlineStr">
        <is>
          <t>BW20290529</t>
        </is>
      </c>
      <c r="E3075" t="n">
        <v>2029</v>
      </c>
      <c r="F3075" t="inlineStr">
        <is>
          <t>Czerwiec</t>
        </is>
      </c>
      <c r="G3075" t="inlineStr">
        <is>
          <t>Pt</t>
        </is>
      </c>
      <c r="H3075">
        <f>'Floor Hours Engine'!$E$5</f>
        <v/>
      </c>
      <c r="I3075" t="inlineStr">
        <is>
          <t>W1</t>
        </is>
      </c>
      <c r="J3075" t="inlineStr">
        <is>
          <t>2029_Czerwiec_W1</t>
        </is>
      </c>
    </row>
    <row r="3076">
      <c r="A3076" s="177" t="n">
        <v>47271</v>
      </c>
      <c r="B3076" s="177" t="n">
        <v>47267</v>
      </c>
      <c r="C3076" s="177" t="n">
        <v>47273</v>
      </c>
      <c r="D3076" t="inlineStr">
        <is>
          <t>BW20290529</t>
        </is>
      </c>
      <c r="E3076" t="n">
        <v>2029</v>
      </c>
      <c r="F3076" t="inlineStr">
        <is>
          <t>Czerwiec</t>
        </is>
      </c>
      <c r="G3076" t="inlineStr">
        <is>
          <t>Sob</t>
        </is>
      </c>
      <c r="H3076">
        <f>'Floor Hours Engine'!$E$5</f>
        <v/>
      </c>
      <c r="I3076" t="inlineStr">
        <is>
          <t>W1</t>
        </is>
      </c>
      <c r="J3076" t="inlineStr">
        <is>
          <t>2029_Czerwiec_W1</t>
        </is>
      </c>
    </row>
    <row r="3077">
      <c r="A3077" s="177" t="n">
        <v>47272</v>
      </c>
      <c r="B3077" s="177" t="n">
        <v>47267</v>
      </c>
      <c r="C3077" s="177" t="n">
        <v>47273</v>
      </c>
      <c r="D3077" t="inlineStr">
        <is>
          <t>BW20290529</t>
        </is>
      </c>
      <c r="E3077" t="n">
        <v>2029</v>
      </c>
      <c r="F3077" t="inlineStr">
        <is>
          <t>Czerwiec</t>
        </is>
      </c>
      <c r="G3077" t="inlineStr">
        <is>
          <t>Nd</t>
        </is>
      </c>
      <c r="H3077">
        <f>'Floor Hours Engine'!$E$6</f>
        <v/>
      </c>
      <c r="I3077" t="inlineStr">
        <is>
          <t>W1</t>
        </is>
      </c>
      <c r="J3077" t="inlineStr">
        <is>
          <t>2029_Czerwiec_W1</t>
        </is>
      </c>
    </row>
    <row r="3078">
      <c r="A3078" s="177" t="n">
        <v>47273</v>
      </c>
      <c r="B3078" s="177" t="n">
        <v>47267</v>
      </c>
      <c r="C3078" s="177" t="n">
        <v>47273</v>
      </c>
      <c r="D3078" t="inlineStr">
        <is>
          <t>BW20290529</t>
        </is>
      </c>
      <c r="E3078" t="n">
        <v>2029</v>
      </c>
      <c r="F3078" t="inlineStr">
        <is>
          <t>Czerwiec</t>
        </is>
      </c>
      <c r="G3078" t="inlineStr">
        <is>
          <t>Pn</t>
        </is>
      </c>
      <c r="H3078">
        <f>'Floor Hours Engine'!$E$4</f>
        <v/>
      </c>
      <c r="I3078" t="inlineStr">
        <is>
          <t>W1</t>
        </is>
      </c>
      <c r="J3078" t="inlineStr">
        <is>
          <t>2029_Czerwiec_W1</t>
        </is>
      </c>
    </row>
    <row r="3079">
      <c r="A3079" s="177" t="n">
        <v>47274</v>
      </c>
      <c r="B3079" s="177" t="n">
        <v>47274</v>
      </c>
      <c r="C3079" s="177" t="n">
        <v>47280</v>
      </c>
      <c r="D3079" t="inlineStr">
        <is>
          <t>BW20290605</t>
        </is>
      </c>
      <c r="E3079" t="n">
        <v>2029</v>
      </c>
      <c r="F3079" t="inlineStr">
        <is>
          <t>Czerwiec</t>
        </is>
      </c>
      <c r="G3079" t="inlineStr">
        <is>
          <t>Wt</t>
        </is>
      </c>
      <c r="H3079">
        <f>'Floor Hours Engine'!$E$4</f>
        <v/>
      </c>
      <c r="I3079" t="inlineStr">
        <is>
          <t>W2</t>
        </is>
      </c>
      <c r="J3079" t="inlineStr">
        <is>
          <t>2029_Czerwiec_W2</t>
        </is>
      </c>
    </row>
    <row r="3080">
      <c r="A3080" s="177" t="n">
        <v>47275</v>
      </c>
      <c r="B3080" s="177" t="n">
        <v>47274</v>
      </c>
      <c r="C3080" s="177" t="n">
        <v>47280</v>
      </c>
      <c r="D3080" t="inlineStr">
        <is>
          <t>BW20290605</t>
        </is>
      </c>
      <c r="E3080" t="n">
        <v>2029</v>
      </c>
      <c r="F3080" t="inlineStr">
        <is>
          <t>Czerwiec</t>
        </is>
      </c>
      <c r="G3080" t="inlineStr">
        <is>
          <t>Śr</t>
        </is>
      </c>
      <c r="H3080">
        <f>'Floor Hours Engine'!$E$4</f>
        <v/>
      </c>
      <c r="I3080" t="inlineStr">
        <is>
          <t>W2</t>
        </is>
      </c>
      <c r="J3080" t="inlineStr">
        <is>
          <t>2029_Czerwiec_W2</t>
        </is>
      </c>
    </row>
    <row r="3081">
      <c r="A3081" s="177" t="n">
        <v>47276</v>
      </c>
      <c r="B3081" s="177" t="n">
        <v>47274</v>
      </c>
      <c r="C3081" s="177" t="n">
        <v>47280</v>
      </c>
      <c r="D3081" t="inlineStr">
        <is>
          <t>BW20290605</t>
        </is>
      </c>
      <c r="E3081" t="n">
        <v>2029</v>
      </c>
      <c r="F3081" t="inlineStr">
        <is>
          <t>Czerwiec</t>
        </is>
      </c>
      <c r="G3081" t="inlineStr">
        <is>
          <t>Czw</t>
        </is>
      </c>
      <c r="H3081">
        <f>'Floor Hours Engine'!$E$4</f>
        <v/>
      </c>
      <c r="I3081" t="inlineStr">
        <is>
          <t>W2</t>
        </is>
      </c>
      <c r="J3081" t="inlineStr">
        <is>
          <t>2029_Czerwiec_W2</t>
        </is>
      </c>
    </row>
    <row r="3082">
      <c r="A3082" s="177" t="n">
        <v>47277</v>
      </c>
      <c r="B3082" s="177" t="n">
        <v>47274</v>
      </c>
      <c r="C3082" s="177" t="n">
        <v>47280</v>
      </c>
      <c r="D3082" t="inlineStr">
        <is>
          <t>BW20290605</t>
        </is>
      </c>
      <c r="E3082" t="n">
        <v>2029</v>
      </c>
      <c r="F3082" t="inlineStr">
        <is>
          <t>Czerwiec</t>
        </is>
      </c>
      <c r="G3082" t="inlineStr">
        <is>
          <t>Pt</t>
        </is>
      </c>
      <c r="H3082">
        <f>'Floor Hours Engine'!$E$5</f>
        <v/>
      </c>
      <c r="I3082" t="inlineStr">
        <is>
          <t>W2</t>
        </is>
      </c>
      <c r="J3082" t="inlineStr">
        <is>
          <t>2029_Czerwiec_W2</t>
        </is>
      </c>
    </row>
    <row r="3083">
      <c r="A3083" s="177" t="n">
        <v>47278</v>
      </c>
      <c r="B3083" s="177" t="n">
        <v>47274</v>
      </c>
      <c r="C3083" s="177" t="n">
        <v>47280</v>
      </c>
      <c r="D3083" t="inlineStr">
        <is>
          <t>BW20290605</t>
        </is>
      </c>
      <c r="E3083" t="n">
        <v>2029</v>
      </c>
      <c r="F3083" t="inlineStr">
        <is>
          <t>Czerwiec</t>
        </is>
      </c>
      <c r="G3083" t="inlineStr">
        <is>
          <t>Sob</t>
        </is>
      </c>
      <c r="H3083">
        <f>'Floor Hours Engine'!$E$5</f>
        <v/>
      </c>
      <c r="I3083" t="inlineStr">
        <is>
          <t>W2</t>
        </is>
      </c>
      <c r="J3083" t="inlineStr">
        <is>
          <t>2029_Czerwiec_W2</t>
        </is>
      </c>
    </row>
    <row r="3084">
      <c r="A3084" s="177" t="n">
        <v>47279</v>
      </c>
      <c r="B3084" s="177" t="n">
        <v>47274</v>
      </c>
      <c r="C3084" s="177" t="n">
        <v>47280</v>
      </c>
      <c r="D3084" t="inlineStr">
        <is>
          <t>BW20290605</t>
        </is>
      </c>
      <c r="E3084" t="n">
        <v>2029</v>
      </c>
      <c r="F3084" t="inlineStr">
        <is>
          <t>Czerwiec</t>
        </is>
      </c>
      <c r="G3084" t="inlineStr">
        <is>
          <t>Nd</t>
        </is>
      </c>
      <c r="H3084">
        <f>'Floor Hours Engine'!$E$6</f>
        <v/>
      </c>
      <c r="I3084" t="inlineStr">
        <is>
          <t>W2</t>
        </is>
      </c>
      <c r="J3084" t="inlineStr">
        <is>
          <t>2029_Czerwiec_W2</t>
        </is>
      </c>
    </row>
    <row r="3085">
      <c r="A3085" s="177" t="n">
        <v>47280</v>
      </c>
      <c r="B3085" s="177" t="n">
        <v>47274</v>
      </c>
      <c r="C3085" s="177" t="n">
        <v>47280</v>
      </c>
      <c r="D3085" t="inlineStr">
        <is>
          <t>BW20290605</t>
        </is>
      </c>
      <c r="E3085" t="n">
        <v>2029</v>
      </c>
      <c r="F3085" t="inlineStr">
        <is>
          <t>Czerwiec</t>
        </is>
      </c>
      <c r="G3085" t="inlineStr">
        <is>
          <t>Pn</t>
        </is>
      </c>
      <c r="H3085">
        <f>'Floor Hours Engine'!$E$4</f>
        <v/>
      </c>
      <c r="I3085" t="inlineStr">
        <is>
          <t>W2</t>
        </is>
      </c>
      <c r="J3085" t="inlineStr">
        <is>
          <t>2029_Czerwiec_W2</t>
        </is>
      </c>
    </row>
    <row r="3086">
      <c r="A3086" s="177" t="n">
        <v>47281</v>
      </c>
      <c r="B3086" s="177" t="n">
        <v>47281</v>
      </c>
      <c r="C3086" s="177" t="n">
        <v>47287</v>
      </c>
      <c r="D3086" t="inlineStr">
        <is>
          <t>BW20290612</t>
        </is>
      </c>
      <c r="E3086" t="n">
        <v>2029</v>
      </c>
      <c r="F3086" t="inlineStr">
        <is>
          <t>Czerwiec</t>
        </is>
      </c>
      <c r="G3086" t="inlineStr">
        <is>
          <t>Wt</t>
        </is>
      </c>
      <c r="H3086">
        <f>'Floor Hours Engine'!$E$4</f>
        <v/>
      </c>
      <c r="I3086" t="inlineStr">
        <is>
          <t>W3</t>
        </is>
      </c>
      <c r="J3086" t="inlineStr">
        <is>
          <t>2029_Czerwiec_W3</t>
        </is>
      </c>
    </row>
    <row r="3087">
      <c r="A3087" s="177" t="n">
        <v>47282</v>
      </c>
      <c r="B3087" s="177" t="n">
        <v>47281</v>
      </c>
      <c r="C3087" s="177" t="n">
        <v>47287</v>
      </c>
      <c r="D3087" t="inlineStr">
        <is>
          <t>BW20290612</t>
        </is>
      </c>
      <c r="E3087" t="n">
        <v>2029</v>
      </c>
      <c r="F3087" t="inlineStr">
        <is>
          <t>Czerwiec</t>
        </is>
      </c>
      <c r="G3087" t="inlineStr">
        <is>
          <t>Śr</t>
        </is>
      </c>
      <c r="H3087">
        <f>'Floor Hours Engine'!$E$4</f>
        <v/>
      </c>
      <c r="I3087" t="inlineStr">
        <is>
          <t>W3</t>
        </is>
      </c>
      <c r="J3087" t="inlineStr">
        <is>
          <t>2029_Czerwiec_W3</t>
        </is>
      </c>
    </row>
    <row r="3088">
      <c r="A3088" s="177" t="n">
        <v>47283</v>
      </c>
      <c r="B3088" s="177" t="n">
        <v>47281</v>
      </c>
      <c r="C3088" s="177" t="n">
        <v>47287</v>
      </c>
      <c r="D3088" t="inlineStr">
        <is>
          <t>BW20290612</t>
        </is>
      </c>
      <c r="E3088" t="n">
        <v>2029</v>
      </c>
      <c r="F3088" t="inlineStr">
        <is>
          <t>Czerwiec</t>
        </is>
      </c>
      <c r="G3088" t="inlineStr">
        <is>
          <t>Czw</t>
        </is>
      </c>
      <c r="H3088">
        <f>'Floor Hours Engine'!$E$4</f>
        <v/>
      </c>
      <c r="I3088" t="inlineStr">
        <is>
          <t>W3</t>
        </is>
      </c>
      <c r="J3088" t="inlineStr">
        <is>
          <t>2029_Czerwiec_W3</t>
        </is>
      </c>
    </row>
    <row r="3089">
      <c r="A3089" s="177" t="n">
        <v>47284</v>
      </c>
      <c r="B3089" s="177" t="n">
        <v>47281</v>
      </c>
      <c r="C3089" s="177" t="n">
        <v>47287</v>
      </c>
      <c r="D3089" t="inlineStr">
        <is>
          <t>BW20290612</t>
        </is>
      </c>
      <c r="E3089" t="n">
        <v>2029</v>
      </c>
      <c r="F3089" t="inlineStr">
        <is>
          <t>Czerwiec</t>
        </is>
      </c>
      <c r="G3089" t="inlineStr">
        <is>
          <t>Pt</t>
        </is>
      </c>
      <c r="H3089">
        <f>'Floor Hours Engine'!$E$5</f>
        <v/>
      </c>
      <c r="I3089" t="inlineStr">
        <is>
          <t>W3</t>
        </is>
      </c>
      <c r="J3089" t="inlineStr">
        <is>
          <t>2029_Czerwiec_W3</t>
        </is>
      </c>
    </row>
    <row r="3090">
      <c r="A3090" s="177" t="n">
        <v>47285</v>
      </c>
      <c r="B3090" s="177" t="n">
        <v>47281</v>
      </c>
      <c r="C3090" s="177" t="n">
        <v>47287</v>
      </c>
      <c r="D3090" t="inlineStr">
        <is>
          <t>BW20290612</t>
        </is>
      </c>
      <c r="E3090" t="n">
        <v>2029</v>
      </c>
      <c r="F3090" t="inlineStr">
        <is>
          <t>Czerwiec</t>
        </is>
      </c>
      <c r="G3090" t="inlineStr">
        <is>
          <t>Sob</t>
        </is>
      </c>
      <c r="H3090">
        <f>'Floor Hours Engine'!$E$5</f>
        <v/>
      </c>
      <c r="I3090" t="inlineStr">
        <is>
          <t>W3</t>
        </is>
      </c>
      <c r="J3090" t="inlineStr">
        <is>
          <t>2029_Czerwiec_W3</t>
        </is>
      </c>
    </row>
    <row r="3091">
      <c r="A3091" s="177" t="n">
        <v>47286</v>
      </c>
      <c r="B3091" s="177" t="n">
        <v>47281</v>
      </c>
      <c r="C3091" s="177" t="n">
        <v>47287</v>
      </c>
      <c r="D3091" t="inlineStr">
        <is>
          <t>BW20290612</t>
        </is>
      </c>
      <c r="E3091" t="n">
        <v>2029</v>
      </c>
      <c r="F3091" t="inlineStr">
        <is>
          <t>Czerwiec</t>
        </is>
      </c>
      <c r="G3091" t="inlineStr">
        <is>
          <t>Nd</t>
        </is>
      </c>
      <c r="H3091">
        <f>'Floor Hours Engine'!$E$6</f>
        <v/>
      </c>
      <c r="I3091" t="inlineStr">
        <is>
          <t>W3</t>
        </is>
      </c>
      <c r="J3091" t="inlineStr">
        <is>
          <t>2029_Czerwiec_W3</t>
        </is>
      </c>
    </row>
    <row r="3092">
      <c r="A3092" s="177" t="n">
        <v>47287</v>
      </c>
      <c r="B3092" s="177" t="n">
        <v>47281</v>
      </c>
      <c r="C3092" s="177" t="n">
        <v>47287</v>
      </c>
      <c r="D3092" t="inlineStr">
        <is>
          <t>BW20290612</t>
        </is>
      </c>
      <c r="E3092" t="n">
        <v>2029</v>
      </c>
      <c r="F3092" t="inlineStr">
        <is>
          <t>Czerwiec</t>
        </is>
      </c>
      <c r="G3092" t="inlineStr">
        <is>
          <t>Pn</t>
        </is>
      </c>
      <c r="H3092">
        <f>'Floor Hours Engine'!$E$4</f>
        <v/>
      </c>
      <c r="I3092" t="inlineStr">
        <is>
          <t>W3</t>
        </is>
      </c>
      <c r="J3092" t="inlineStr">
        <is>
          <t>2029_Czerwiec_W3</t>
        </is>
      </c>
    </row>
    <row r="3093">
      <c r="A3093" s="177" t="n">
        <v>47288</v>
      </c>
      <c r="B3093" s="177" t="n">
        <v>47288</v>
      </c>
      <c r="C3093" s="177" t="n">
        <v>47294</v>
      </c>
      <c r="D3093" t="inlineStr">
        <is>
          <t>BW20290619</t>
        </is>
      </c>
      <c r="E3093" t="n">
        <v>2029</v>
      </c>
      <c r="F3093" t="inlineStr">
        <is>
          <t>Czerwiec</t>
        </is>
      </c>
      <c r="G3093" t="inlineStr">
        <is>
          <t>Wt</t>
        </is>
      </c>
      <c r="H3093">
        <f>'Floor Hours Engine'!$E$4</f>
        <v/>
      </c>
      <c r="I3093" t="inlineStr">
        <is>
          <t>W4</t>
        </is>
      </c>
      <c r="J3093" t="inlineStr">
        <is>
          <t>2029_Czerwiec_W4</t>
        </is>
      </c>
    </row>
    <row r="3094">
      <c r="A3094" s="177" t="n">
        <v>47289</v>
      </c>
      <c r="B3094" s="177" t="n">
        <v>47288</v>
      </c>
      <c r="C3094" s="177" t="n">
        <v>47294</v>
      </c>
      <c r="D3094" t="inlineStr">
        <is>
          <t>BW20290619</t>
        </is>
      </c>
      <c r="E3094" t="n">
        <v>2029</v>
      </c>
      <c r="F3094" t="inlineStr">
        <is>
          <t>Czerwiec</t>
        </is>
      </c>
      <c r="G3094" t="inlineStr">
        <is>
          <t>Śr</t>
        </is>
      </c>
      <c r="H3094">
        <f>'Floor Hours Engine'!$E$4</f>
        <v/>
      </c>
      <c r="I3094" t="inlineStr">
        <is>
          <t>W4</t>
        </is>
      </c>
      <c r="J3094" t="inlineStr">
        <is>
          <t>2029_Czerwiec_W4</t>
        </is>
      </c>
    </row>
    <row r="3095">
      <c r="A3095" s="177" t="n">
        <v>47290</v>
      </c>
      <c r="B3095" s="177" t="n">
        <v>47288</v>
      </c>
      <c r="C3095" s="177" t="n">
        <v>47294</v>
      </c>
      <c r="D3095" t="inlineStr">
        <is>
          <t>BW20290619</t>
        </is>
      </c>
      <c r="E3095" t="n">
        <v>2029</v>
      </c>
      <c r="F3095" t="inlineStr">
        <is>
          <t>Czerwiec</t>
        </is>
      </c>
      <c r="G3095" t="inlineStr">
        <is>
          <t>Czw</t>
        </is>
      </c>
      <c r="H3095">
        <f>'Floor Hours Engine'!$E$4</f>
        <v/>
      </c>
      <c r="I3095" t="inlineStr">
        <is>
          <t>W4</t>
        </is>
      </c>
      <c r="J3095" t="inlineStr">
        <is>
          <t>2029_Czerwiec_W4</t>
        </is>
      </c>
    </row>
    <row r="3096">
      <c r="A3096" s="177" t="n">
        <v>47291</v>
      </c>
      <c r="B3096" s="177" t="n">
        <v>47288</v>
      </c>
      <c r="C3096" s="177" t="n">
        <v>47294</v>
      </c>
      <c r="D3096" t="inlineStr">
        <is>
          <t>BW20290619</t>
        </is>
      </c>
      <c r="E3096" t="n">
        <v>2029</v>
      </c>
      <c r="F3096" t="inlineStr">
        <is>
          <t>Czerwiec</t>
        </is>
      </c>
      <c r="G3096" t="inlineStr">
        <is>
          <t>Pt</t>
        </is>
      </c>
      <c r="H3096">
        <f>'Floor Hours Engine'!$E$5</f>
        <v/>
      </c>
      <c r="I3096" t="inlineStr">
        <is>
          <t>W4</t>
        </is>
      </c>
      <c r="J3096" t="inlineStr">
        <is>
          <t>2029_Czerwiec_W4</t>
        </is>
      </c>
    </row>
    <row r="3097">
      <c r="A3097" s="177" t="n">
        <v>47292</v>
      </c>
      <c r="B3097" s="177" t="n">
        <v>47288</v>
      </c>
      <c r="C3097" s="177" t="n">
        <v>47294</v>
      </c>
      <c r="D3097" t="inlineStr">
        <is>
          <t>BW20290619</t>
        </is>
      </c>
      <c r="E3097" t="n">
        <v>2029</v>
      </c>
      <c r="F3097" t="inlineStr">
        <is>
          <t>Czerwiec</t>
        </is>
      </c>
      <c r="G3097" t="inlineStr">
        <is>
          <t>Sob</t>
        </is>
      </c>
      <c r="H3097">
        <f>'Floor Hours Engine'!$E$5</f>
        <v/>
      </c>
      <c r="I3097" t="inlineStr">
        <is>
          <t>W4</t>
        </is>
      </c>
      <c r="J3097" t="inlineStr">
        <is>
          <t>2029_Czerwiec_W4</t>
        </is>
      </c>
    </row>
    <row r="3098">
      <c r="A3098" s="177" t="n">
        <v>47293</v>
      </c>
      <c r="B3098" s="177" t="n">
        <v>47288</v>
      </c>
      <c r="C3098" s="177" t="n">
        <v>47294</v>
      </c>
      <c r="D3098" t="inlineStr">
        <is>
          <t>BW20290619</t>
        </is>
      </c>
      <c r="E3098" t="n">
        <v>2029</v>
      </c>
      <c r="F3098" t="inlineStr">
        <is>
          <t>Czerwiec</t>
        </is>
      </c>
      <c r="G3098" t="inlineStr">
        <is>
          <t>Nd</t>
        </is>
      </c>
      <c r="H3098">
        <f>'Floor Hours Engine'!$E$6</f>
        <v/>
      </c>
      <c r="I3098" t="inlineStr">
        <is>
          <t>W4</t>
        </is>
      </c>
      <c r="J3098" t="inlineStr">
        <is>
          <t>2029_Czerwiec_W4</t>
        </is>
      </c>
    </row>
    <row r="3099">
      <c r="A3099" s="177" t="n">
        <v>47294</v>
      </c>
      <c r="B3099" s="177" t="n">
        <v>47288</v>
      </c>
      <c r="C3099" s="177" t="n">
        <v>47294</v>
      </c>
      <c r="D3099" t="inlineStr">
        <is>
          <t>BW20290619</t>
        </is>
      </c>
      <c r="E3099" t="n">
        <v>2029</v>
      </c>
      <c r="F3099" t="inlineStr">
        <is>
          <t>Czerwiec</t>
        </is>
      </c>
      <c r="G3099" t="inlineStr">
        <is>
          <t>Pn</t>
        </is>
      </c>
      <c r="H3099">
        <f>'Floor Hours Engine'!$E$4</f>
        <v/>
      </c>
      <c r="I3099" t="inlineStr">
        <is>
          <t>W4</t>
        </is>
      </c>
      <c r="J3099" t="inlineStr">
        <is>
          <t>2029_Czerwiec_W4</t>
        </is>
      </c>
    </row>
    <row r="3100">
      <c r="A3100" s="177" t="n">
        <v>47295</v>
      </c>
      <c r="B3100" s="177" t="n">
        <v>47295</v>
      </c>
      <c r="C3100" s="177" t="n">
        <v>47301</v>
      </c>
      <c r="D3100" t="inlineStr">
        <is>
          <t>BW20290626</t>
        </is>
      </c>
      <c r="E3100" t="n">
        <v>2029</v>
      </c>
      <c r="F3100" t="inlineStr">
        <is>
          <t>Czerwiec</t>
        </is>
      </c>
      <c r="G3100" t="inlineStr">
        <is>
          <t>Wt</t>
        </is>
      </c>
      <c r="H3100">
        <f>'Floor Hours Engine'!$E$4</f>
        <v/>
      </c>
      <c r="I3100" t="inlineStr">
        <is>
          <t>W5</t>
        </is>
      </c>
      <c r="J3100" t="inlineStr">
        <is>
          <t>2029_Czerwiec_W5</t>
        </is>
      </c>
    </row>
    <row r="3101">
      <c r="A3101" s="177" t="n">
        <v>47296</v>
      </c>
      <c r="B3101" s="177" t="n">
        <v>47295</v>
      </c>
      <c r="C3101" s="177" t="n">
        <v>47301</v>
      </c>
      <c r="D3101" t="inlineStr">
        <is>
          <t>BW20290626</t>
        </is>
      </c>
      <c r="E3101" t="n">
        <v>2029</v>
      </c>
      <c r="F3101" t="inlineStr">
        <is>
          <t>Czerwiec</t>
        </is>
      </c>
      <c r="G3101" t="inlineStr">
        <is>
          <t>Śr</t>
        </is>
      </c>
      <c r="H3101">
        <f>'Floor Hours Engine'!$E$4</f>
        <v/>
      </c>
      <c r="I3101" t="inlineStr">
        <is>
          <t>W5</t>
        </is>
      </c>
      <c r="J3101" t="inlineStr">
        <is>
          <t>2029_Czerwiec_W5</t>
        </is>
      </c>
    </row>
    <row r="3102">
      <c r="A3102" s="177" t="n">
        <v>47297</v>
      </c>
      <c r="B3102" s="177" t="n">
        <v>47295</v>
      </c>
      <c r="C3102" s="177" t="n">
        <v>47301</v>
      </c>
      <c r="D3102" t="inlineStr">
        <is>
          <t>BW20290626</t>
        </is>
      </c>
      <c r="E3102" t="n">
        <v>2029</v>
      </c>
      <c r="F3102" t="inlineStr">
        <is>
          <t>Czerwiec</t>
        </is>
      </c>
      <c r="G3102" t="inlineStr">
        <is>
          <t>Czw</t>
        </is>
      </c>
      <c r="H3102">
        <f>'Floor Hours Engine'!$E$4</f>
        <v/>
      </c>
      <c r="I3102" t="inlineStr">
        <is>
          <t>W5</t>
        </is>
      </c>
      <c r="J3102" t="inlineStr">
        <is>
          <t>2029_Czerwiec_W5</t>
        </is>
      </c>
    </row>
    <row r="3103">
      <c r="A3103" s="177" t="n">
        <v>47298</v>
      </c>
      <c r="B3103" s="177" t="n">
        <v>47295</v>
      </c>
      <c r="C3103" s="177" t="n">
        <v>47301</v>
      </c>
      <c r="D3103" t="inlineStr">
        <is>
          <t>BW20290626</t>
        </is>
      </c>
      <c r="E3103" t="n">
        <v>2029</v>
      </c>
      <c r="F3103" t="inlineStr">
        <is>
          <t>Czerwiec</t>
        </is>
      </c>
      <c r="G3103" t="inlineStr">
        <is>
          <t>Pt</t>
        </is>
      </c>
      <c r="H3103">
        <f>'Floor Hours Engine'!$E$5</f>
        <v/>
      </c>
      <c r="I3103" t="inlineStr">
        <is>
          <t>W5</t>
        </is>
      </c>
      <c r="J3103" t="inlineStr">
        <is>
          <t>2029_Czerwiec_W5</t>
        </is>
      </c>
    </row>
    <row r="3104">
      <c r="A3104" s="177" t="n">
        <v>47299</v>
      </c>
      <c r="B3104" s="177" t="n">
        <v>47295</v>
      </c>
      <c r="C3104" s="177" t="n">
        <v>47301</v>
      </c>
      <c r="D3104" t="inlineStr">
        <is>
          <t>BW20290626</t>
        </is>
      </c>
      <c r="E3104" t="n">
        <v>2029</v>
      </c>
      <c r="F3104" t="inlineStr">
        <is>
          <t>Czerwiec</t>
        </is>
      </c>
      <c r="G3104" t="inlineStr">
        <is>
          <t>Sob</t>
        </is>
      </c>
      <c r="H3104">
        <f>'Floor Hours Engine'!$E$5</f>
        <v/>
      </c>
      <c r="I3104" t="inlineStr">
        <is>
          <t>W5</t>
        </is>
      </c>
      <c r="J3104" t="inlineStr">
        <is>
          <t>2029_Czerwiec_W5</t>
        </is>
      </c>
    </row>
    <row r="3105">
      <c r="A3105" s="177" t="n">
        <v>47300</v>
      </c>
      <c r="B3105" s="177" t="n">
        <v>47295</v>
      </c>
      <c r="C3105" s="177" t="n">
        <v>47301</v>
      </c>
      <c r="D3105" t="inlineStr">
        <is>
          <t>BW20290626</t>
        </is>
      </c>
      <c r="E3105" t="n">
        <v>2029</v>
      </c>
      <c r="F3105" t="inlineStr">
        <is>
          <t>Lipiec</t>
        </is>
      </c>
      <c r="G3105" t="inlineStr">
        <is>
          <t>Nd</t>
        </is>
      </c>
      <c r="H3105">
        <f>'Floor Hours Engine'!$E$6</f>
        <v/>
      </c>
      <c r="I3105" t="inlineStr">
        <is>
          <t>W1</t>
        </is>
      </c>
      <c r="J3105" t="inlineStr">
        <is>
          <t>2029_Lipiec_W1</t>
        </is>
      </c>
    </row>
    <row r="3106">
      <c r="A3106" s="177" t="n">
        <v>47301</v>
      </c>
      <c r="B3106" s="177" t="n">
        <v>47295</v>
      </c>
      <c r="C3106" s="177" t="n">
        <v>47301</v>
      </c>
      <c r="D3106" t="inlineStr">
        <is>
          <t>BW20290626</t>
        </is>
      </c>
      <c r="E3106" t="n">
        <v>2029</v>
      </c>
      <c r="F3106" t="inlineStr">
        <is>
          <t>Lipiec</t>
        </is>
      </c>
      <c r="G3106" t="inlineStr">
        <is>
          <t>Pn</t>
        </is>
      </c>
      <c r="H3106">
        <f>'Floor Hours Engine'!$E$4</f>
        <v/>
      </c>
      <c r="I3106" t="inlineStr">
        <is>
          <t>W1</t>
        </is>
      </c>
      <c r="J3106" t="inlineStr">
        <is>
          <t>2029_Lipiec_W1</t>
        </is>
      </c>
    </row>
    <row r="3107">
      <c r="A3107" s="177" t="n">
        <v>47302</v>
      </c>
      <c r="B3107" s="177" t="n">
        <v>47302</v>
      </c>
      <c r="C3107" s="177" t="n">
        <v>47308</v>
      </c>
      <c r="D3107" t="inlineStr">
        <is>
          <t>BW20290703</t>
        </is>
      </c>
      <c r="E3107" t="n">
        <v>2029</v>
      </c>
      <c r="F3107" t="inlineStr">
        <is>
          <t>Lipiec</t>
        </is>
      </c>
      <c r="G3107" t="inlineStr">
        <is>
          <t>Wt</t>
        </is>
      </c>
      <c r="H3107">
        <f>'Floor Hours Engine'!$E$4</f>
        <v/>
      </c>
      <c r="I3107" t="inlineStr">
        <is>
          <t>W2</t>
        </is>
      </c>
      <c r="J3107" t="inlineStr">
        <is>
          <t>2029_Lipiec_W2</t>
        </is>
      </c>
    </row>
    <row r="3108">
      <c r="A3108" s="177" t="n">
        <v>47303</v>
      </c>
      <c r="B3108" s="177" t="n">
        <v>47302</v>
      </c>
      <c r="C3108" s="177" t="n">
        <v>47308</v>
      </c>
      <c r="D3108" t="inlineStr">
        <is>
          <t>BW20290703</t>
        </is>
      </c>
      <c r="E3108" t="n">
        <v>2029</v>
      </c>
      <c r="F3108" t="inlineStr">
        <is>
          <t>Lipiec</t>
        </is>
      </c>
      <c r="G3108" t="inlineStr">
        <is>
          <t>Śr</t>
        </is>
      </c>
      <c r="H3108">
        <f>'Floor Hours Engine'!$E$4</f>
        <v/>
      </c>
      <c r="I3108" t="inlineStr">
        <is>
          <t>W2</t>
        </is>
      </c>
      <c r="J3108" t="inlineStr">
        <is>
          <t>2029_Lipiec_W2</t>
        </is>
      </c>
    </row>
    <row r="3109">
      <c r="A3109" s="177" t="n">
        <v>47304</v>
      </c>
      <c r="B3109" s="177" t="n">
        <v>47302</v>
      </c>
      <c r="C3109" s="177" t="n">
        <v>47308</v>
      </c>
      <c r="D3109" t="inlineStr">
        <is>
          <t>BW20290703</t>
        </is>
      </c>
      <c r="E3109" t="n">
        <v>2029</v>
      </c>
      <c r="F3109" t="inlineStr">
        <is>
          <t>Lipiec</t>
        </is>
      </c>
      <c r="G3109" t="inlineStr">
        <is>
          <t>Czw</t>
        </is>
      </c>
      <c r="H3109">
        <f>'Floor Hours Engine'!$E$4</f>
        <v/>
      </c>
      <c r="I3109" t="inlineStr">
        <is>
          <t>W2</t>
        </is>
      </c>
      <c r="J3109" t="inlineStr">
        <is>
          <t>2029_Lipiec_W2</t>
        </is>
      </c>
    </row>
    <row r="3110">
      <c r="A3110" s="177" t="n">
        <v>47305</v>
      </c>
      <c r="B3110" s="177" t="n">
        <v>47302</v>
      </c>
      <c r="C3110" s="177" t="n">
        <v>47308</v>
      </c>
      <c r="D3110" t="inlineStr">
        <is>
          <t>BW20290703</t>
        </is>
      </c>
      <c r="E3110" t="n">
        <v>2029</v>
      </c>
      <c r="F3110" t="inlineStr">
        <is>
          <t>Lipiec</t>
        </is>
      </c>
      <c r="G3110" t="inlineStr">
        <is>
          <t>Pt</t>
        </is>
      </c>
      <c r="H3110">
        <f>'Floor Hours Engine'!$E$5</f>
        <v/>
      </c>
      <c r="I3110" t="inlineStr">
        <is>
          <t>W2</t>
        </is>
      </c>
      <c r="J3110" t="inlineStr">
        <is>
          <t>2029_Lipiec_W2</t>
        </is>
      </c>
    </row>
    <row r="3111">
      <c r="A3111" s="177" t="n">
        <v>47306</v>
      </c>
      <c r="B3111" s="177" t="n">
        <v>47302</v>
      </c>
      <c r="C3111" s="177" t="n">
        <v>47308</v>
      </c>
      <c r="D3111" t="inlineStr">
        <is>
          <t>BW20290703</t>
        </is>
      </c>
      <c r="E3111" t="n">
        <v>2029</v>
      </c>
      <c r="F3111" t="inlineStr">
        <is>
          <t>Lipiec</t>
        </is>
      </c>
      <c r="G3111" t="inlineStr">
        <is>
          <t>Sob</t>
        </is>
      </c>
      <c r="H3111">
        <f>'Floor Hours Engine'!$E$5</f>
        <v/>
      </c>
      <c r="I3111" t="inlineStr">
        <is>
          <t>W2</t>
        </is>
      </c>
      <c r="J3111" t="inlineStr">
        <is>
          <t>2029_Lipiec_W2</t>
        </is>
      </c>
    </row>
    <row r="3112">
      <c r="A3112" s="177" t="n">
        <v>47307</v>
      </c>
      <c r="B3112" s="177" t="n">
        <v>47302</v>
      </c>
      <c r="C3112" s="177" t="n">
        <v>47308</v>
      </c>
      <c r="D3112" t="inlineStr">
        <is>
          <t>BW20290703</t>
        </is>
      </c>
      <c r="E3112" t="n">
        <v>2029</v>
      </c>
      <c r="F3112" t="inlineStr">
        <is>
          <t>Lipiec</t>
        </is>
      </c>
      <c r="G3112" t="inlineStr">
        <is>
          <t>Nd</t>
        </is>
      </c>
      <c r="H3112">
        <f>'Floor Hours Engine'!$E$6</f>
        <v/>
      </c>
      <c r="I3112" t="inlineStr">
        <is>
          <t>W2</t>
        </is>
      </c>
      <c r="J3112" t="inlineStr">
        <is>
          <t>2029_Lipiec_W2</t>
        </is>
      </c>
    </row>
    <row r="3113">
      <c r="A3113" s="177" t="n">
        <v>47308</v>
      </c>
      <c r="B3113" s="177" t="n">
        <v>47302</v>
      </c>
      <c r="C3113" s="177" t="n">
        <v>47308</v>
      </c>
      <c r="D3113" t="inlineStr">
        <is>
          <t>BW20290703</t>
        </is>
      </c>
      <c r="E3113" t="n">
        <v>2029</v>
      </c>
      <c r="F3113" t="inlineStr">
        <is>
          <t>Lipiec</t>
        </is>
      </c>
      <c r="G3113" t="inlineStr">
        <is>
          <t>Pn</t>
        </is>
      </c>
      <c r="H3113">
        <f>'Floor Hours Engine'!$E$4</f>
        <v/>
      </c>
      <c r="I3113" t="inlineStr">
        <is>
          <t>W2</t>
        </is>
      </c>
      <c r="J3113" t="inlineStr">
        <is>
          <t>2029_Lipiec_W2</t>
        </is>
      </c>
    </row>
    <row r="3114">
      <c r="A3114" s="177" t="n">
        <v>47309</v>
      </c>
      <c r="B3114" s="177" t="n">
        <v>47309</v>
      </c>
      <c r="C3114" s="177" t="n">
        <v>47315</v>
      </c>
      <c r="D3114" t="inlineStr">
        <is>
          <t>BW20290710</t>
        </is>
      </c>
      <c r="E3114" t="n">
        <v>2029</v>
      </c>
      <c r="F3114" t="inlineStr">
        <is>
          <t>Lipiec</t>
        </is>
      </c>
      <c r="G3114" t="inlineStr">
        <is>
          <t>Wt</t>
        </is>
      </c>
      <c r="H3114">
        <f>'Floor Hours Engine'!$E$4</f>
        <v/>
      </c>
      <c r="I3114" t="inlineStr">
        <is>
          <t>W3</t>
        </is>
      </c>
      <c r="J3114" t="inlineStr">
        <is>
          <t>2029_Lipiec_W3</t>
        </is>
      </c>
    </row>
    <row r="3115">
      <c r="A3115" s="177" t="n">
        <v>47310</v>
      </c>
      <c r="B3115" s="177" t="n">
        <v>47309</v>
      </c>
      <c r="C3115" s="177" t="n">
        <v>47315</v>
      </c>
      <c r="D3115" t="inlineStr">
        <is>
          <t>BW20290710</t>
        </is>
      </c>
      <c r="E3115" t="n">
        <v>2029</v>
      </c>
      <c r="F3115" t="inlineStr">
        <is>
          <t>Lipiec</t>
        </is>
      </c>
      <c r="G3115" t="inlineStr">
        <is>
          <t>Śr</t>
        </is>
      </c>
      <c r="H3115">
        <f>'Floor Hours Engine'!$E$4</f>
        <v/>
      </c>
      <c r="I3115" t="inlineStr">
        <is>
          <t>W3</t>
        </is>
      </c>
      <c r="J3115" t="inlineStr">
        <is>
          <t>2029_Lipiec_W3</t>
        </is>
      </c>
    </row>
    <row r="3116">
      <c r="A3116" s="177" t="n">
        <v>47311</v>
      </c>
      <c r="B3116" s="177" t="n">
        <v>47309</v>
      </c>
      <c r="C3116" s="177" t="n">
        <v>47315</v>
      </c>
      <c r="D3116" t="inlineStr">
        <is>
          <t>BW20290710</t>
        </is>
      </c>
      <c r="E3116" t="n">
        <v>2029</v>
      </c>
      <c r="F3116" t="inlineStr">
        <is>
          <t>Lipiec</t>
        </is>
      </c>
      <c r="G3116" t="inlineStr">
        <is>
          <t>Czw</t>
        </is>
      </c>
      <c r="H3116">
        <f>'Floor Hours Engine'!$E$4</f>
        <v/>
      </c>
      <c r="I3116" t="inlineStr">
        <is>
          <t>W3</t>
        </is>
      </c>
      <c r="J3116" t="inlineStr">
        <is>
          <t>2029_Lipiec_W3</t>
        </is>
      </c>
    </row>
    <row r="3117">
      <c r="A3117" s="177" t="n">
        <v>47312</v>
      </c>
      <c r="B3117" s="177" t="n">
        <v>47309</v>
      </c>
      <c r="C3117" s="177" t="n">
        <v>47315</v>
      </c>
      <c r="D3117" t="inlineStr">
        <is>
          <t>BW20290710</t>
        </is>
      </c>
      <c r="E3117" t="n">
        <v>2029</v>
      </c>
      <c r="F3117" t="inlineStr">
        <is>
          <t>Lipiec</t>
        </is>
      </c>
      <c r="G3117" t="inlineStr">
        <is>
          <t>Pt</t>
        </is>
      </c>
      <c r="H3117">
        <f>'Floor Hours Engine'!$E$5</f>
        <v/>
      </c>
      <c r="I3117" t="inlineStr">
        <is>
          <t>W3</t>
        </is>
      </c>
      <c r="J3117" t="inlineStr">
        <is>
          <t>2029_Lipiec_W3</t>
        </is>
      </c>
    </row>
    <row r="3118">
      <c r="A3118" s="177" t="n">
        <v>47313</v>
      </c>
      <c r="B3118" s="177" t="n">
        <v>47309</v>
      </c>
      <c r="C3118" s="177" t="n">
        <v>47315</v>
      </c>
      <c r="D3118" t="inlineStr">
        <is>
          <t>BW20290710</t>
        </is>
      </c>
      <c r="E3118" t="n">
        <v>2029</v>
      </c>
      <c r="F3118" t="inlineStr">
        <is>
          <t>Lipiec</t>
        </is>
      </c>
      <c r="G3118" t="inlineStr">
        <is>
          <t>Sob</t>
        </is>
      </c>
      <c r="H3118">
        <f>'Floor Hours Engine'!$E$5</f>
        <v/>
      </c>
      <c r="I3118" t="inlineStr">
        <is>
          <t>W3</t>
        </is>
      </c>
      <c r="J3118" t="inlineStr">
        <is>
          <t>2029_Lipiec_W3</t>
        </is>
      </c>
    </row>
    <row r="3119">
      <c r="A3119" s="177" t="n">
        <v>47314</v>
      </c>
      <c r="B3119" s="177" t="n">
        <v>47309</v>
      </c>
      <c r="C3119" s="177" t="n">
        <v>47315</v>
      </c>
      <c r="D3119" t="inlineStr">
        <is>
          <t>BW20290710</t>
        </is>
      </c>
      <c r="E3119" t="n">
        <v>2029</v>
      </c>
      <c r="F3119" t="inlineStr">
        <is>
          <t>Lipiec</t>
        </is>
      </c>
      <c r="G3119" t="inlineStr">
        <is>
          <t>Nd</t>
        </is>
      </c>
      <c r="H3119">
        <f>'Floor Hours Engine'!$E$6</f>
        <v/>
      </c>
      <c r="I3119" t="inlineStr">
        <is>
          <t>W3</t>
        </is>
      </c>
      <c r="J3119" t="inlineStr">
        <is>
          <t>2029_Lipiec_W3</t>
        </is>
      </c>
    </row>
    <row r="3120">
      <c r="A3120" s="177" t="n">
        <v>47315</v>
      </c>
      <c r="B3120" s="177" t="n">
        <v>47309</v>
      </c>
      <c r="C3120" s="177" t="n">
        <v>47315</v>
      </c>
      <c r="D3120" t="inlineStr">
        <is>
          <t>BW20290710</t>
        </is>
      </c>
      <c r="E3120" t="n">
        <v>2029</v>
      </c>
      <c r="F3120" t="inlineStr">
        <is>
          <t>Lipiec</t>
        </is>
      </c>
      <c r="G3120" t="inlineStr">
        <is>
          <t>Pn</t>
        </is>
      </c>
      <c r="H3120">
        <f>'Floor Hours Engine'!$E$4</f>
        <v/>
      </c>
      <c r="I3120" t="inlineStr">
        <is>
          <t>W3</t>
        </is>
      </c>
      <c r="J3120" t="inlineStr">
        <is>
          <t>2029_Lipiec_W3</t>
        </is>
      </c>
    </row>
    <row r="3121">
      <c r="A3121" s="177" t="n">
        <v>47316</v>
      </c>
      <c r="B3121" s="177" t="n">
        <v>47316</v>
      </c>
      <c r="C3121" s="177" t="n">
        <v>47322</v>
      </c>
      <c r="D3121" t="inlineStr">
        <is>
          <t>BW20290717</t>
        </is>
      </c>
      <c r="E3121" t="n">
        <v>2029</v>
      </c>
      <c r="F3121" t="inlineStr">
        <is>
          <t>Lipiec</t>
        </is>
      </c>
      <c r="G3121" t="inlineStr">
        <is>
          <t>Wt</t>
        </is>
      </c>
      <c r="H3121">
        <f>'Floor Hours Engine'!$E$4</f>
        <v/>
      </c>
      <c r="I3121" t="inlineStr">
        <is>
          <t>W4</t>
        </is>
      </c>
      <c r="J3121" t="inlineStr">
        <is>
          <t>2029_Lipiec_W4</t>
        </is>
      </c>
    </row>
    <row r="3122">
      <c r="A3122" s="177" t="n">
        <v>47317</v>
      </c>
      <c r="B3122" s="177" t="n">
        <v>47316</v>
      </c>
      <c r="C3122" s="177" t="n">
        <v>47322</v>
      </c>
      <c r="D3122" t="inlineStr">
        <is>
          <t>BW20290717</t>
        </is>
      </c>
      <c r="E3122" t="n">
        <v>2029</v>
      </c>
      <c r="F3122" t="inlineStr">
        <is>
          <t>Lipiec</t>
        </is>
      </c>
      <c r="G3122" t="inlineStr">
        <is>
          <t>Śr</t>
        </is>
      </c>
      <c r="H3122">
        <f>'Floor Hours Engine'!$E$4</f>
        <v/>
      </c>
      <c r="I3122" t="inlineStr">
        <is>
          <t>W4</t>
        </is>
      </c>
      <c r="J3122" t="inlineStr">
        <is>
          <t>2029_Lipiec_W4</t>
        </is>
      </c>
    </row>
    <row r="3123">
      <c r="A3123" s="177" t="n">
        <v>47318</v>
      </c>
      <c r="B3123" s="177" t="n">
        <v>47316</v>
      </c>
      <c r="C3123" s="177" t="n">
        <v>47322</v>
      </c>
      <c r="D3123" t="inlineStr">
        <is>
          <t>BW20290717</t>
        </is>
      </c>
      <c r="E3123" t="n">
        <v>2029</v>
      </c>
      <c r="F3123" t="inlineStr">
        <is>
          <t>Lipiec</t>
        </is>
      </c>
      <c r="G3123" t="inlineStr">
        <is>
          <t>Czw</t>
        </is>
      </c>
      <c r="H3123">
        <f>'Floor Hours Engine'!$E$4</f>
        <v/>
      </c>
      <c r="I3123" t="inlineStr">
        <is>
          <t>W4</t>
        </is>
      </c>
      <c r="J3123" t="inlineStr">
        <is>
          <t>2029_Lipiec_W4</t>
        </is>
      </c>
    </row>
    <row r="3124">
      <c r="A3124" s="177" t="n">
        <v>47319</v>
      </c>
      <c r="B3124" s="177" t="n">
        <v>47316</v>
      </c>
      <c r="C3124" s="177" t="n">
        <v>47322</v>
      </c>
      <c r="D3124" t="inlineStr">
        <is>
          <t>BW20290717</t>
        </is>
      </c>
      <c r="E3124" t="n">
        <v>2029</v>
      </c>
      <c r="F3124" t="inlineStr">
        <is>
          <t>Lipiec</t>
        </is>
      </c>
      <c r="G3124" t="inlineStr">
        <is>
          <t>Pt</t>
        </is>
      </c>
      <c r="H3124">
        <f>'Floor Hours Engine'!$E$5</f>
        <v/>
      </c>
      <c r="I3124" t="inlineStr">
        <is>
          <t>W4</t>
        </is>
      </c>
      <c r="J3124" t="inlineStr">
        <is>
          <t>2029_Lipiec_W4</t>
        </is>
      </c>
    </row>
    <row r="3125">
      <c r="A3125" s="177" t="n">
        <v>47320</v>
      </c>
      <c r="B3125" s="177" t="n">
        <v>47316</v>
      </c>
      <c r="C3125" s="177" t="n">
        <v>47322</v>
      </c>
      <c r="D3125" t="inlineStr">
        <is>
          <t>BW20290717</t>
        </is>
      </c>
      <c r="E3125" t="n">
        <v>2029</v>
      </c>
      <c r="F3125" t="inlineStr">
        <is>
          <t>Lipiec</t>
        </is>
      </c>
      <c r="G3125" t="inlineStr">
        <is>
          <t>Sob</t>
        </is>
      </c>
      <c r="H3125">
        <f>'Floor Hours Engine'!$E$5</f>
        <v/>
      </c>
      <c r="I3125" t="inlineStr">
        <is>
          <t>W4</t>
        </is>
      </c>
      <c r="J3125" t="inlineStr">
        <is>
          <t>2029_Lipiec_W4</t>
        </is>
      </c>
    </row>
    <row r="3126">
      <c r="A3126" s="177" t="n">
        <v>47321</v>
      </c>
      <c r="B3126" s="177" t="n">
        <v>47316</v>
      </c>
      <c r="C3126" s="177" t="n">
        <v>47322</v>
      </c>
      <c r="D3126" t="inlineStr">
        <is>
          <t>BW20290717</t>
        </is>
      </c>
      <c r="E3126" t="n">
        <v>2029</v>
      </c>
      <c r="F3126" t="inlineStr">
        <is>
          <t>Lipiec</t>
        </is>
      </c>
      <c r="G3126" t="inlineStr">
        <is>
          <t>Nd</t>
        </is>
      </c>
      <c r="H3126">
        <f>'Floor Hours Engine'!$E$6</f>
        <v/>
      </c>
      <c r="I3126" t="inlineStr">
        <is>
          <t>W4</t>
        </is>
      </c>
      <c r="J3126" t="inlineStr">
        <is>
          <t>2029_Lipiec_W4</t>
        </is>
      </c>
    </row>
    <row r="3127">
      <c r="A3127" s="177" t="n">
        <v>47322</v>
      </c>
      <c r="B3127" s="177" t="n">
        <v>47316</v>
      </c>
      <c r="C3127" s="177" t="n">
        <v>47322</v>
      </c>
      <c r="D3127" t="inlineStr">
        <is>
          <t>BW20290717</t>
        </is>
      </c>
      <c r="E3127" t="n">
        <v>2029</v>
      </c>
      <c r="F3127" t="inlineStr">
        <is>
          <t>Lipiec</t>
        </is>
      </c>
      <c r="G3127" t="inlineStr">
        <is>
          <t>Pn</t>
        </is>
      </c>
      <c r="H3127">
        <f>'Floor Hours Engine'!$E$4</f>
        <v/>
      </c>
      <c r="I3127" t="inlineStr">
        <is>
          <t>W4</t>
        </is>
      </c>
      <c r="J3127" t="inlineStr">
        <is>
          <t>2029_Lipiec_W4</t>
        </is>
      </c>
    </row>
    <row r="3128">
      <c r="A3128" s="177" t="n">
        <v>47323</v>
      </c>
      <c r="B3128" s="177" t="n">
        <v>47323</v>
      </c>
      <c r="C3128" s="177" t="n">
        <v>47329</v>
      </c>
      <c r="D3128" t="inlineStr">
        <is>
          <t>BW20290724</t>
        </is>
      </c>
      <c r="E3128" t="n">
        <v>2029</v>
      </c>
      <c r="F3128" t="inlineStr">
        <is>
          <t>Lipiec</t>
        </is>
      </c>
      <c r="G3128" t="inlineStr">
        <is>
          <t>Wt</t>
        </is>
      </c>
      <c r="H3128">
        <f>'Floor Hours Engine'!$E$4</f>
        <v/>
      </c>
      <c r="I3128" t="inlineStr">
        <is>
          <t>W5</t>
        </is>
      </c>
      <c r="J3128" t="inlineStr">
        <is>
          <t>2029_Lipiec_W5</t>
        </is>
      </c>
    </row>
    <row r="3129">
      <c r="A3129" s="177" t="n">
        <v>47324</v>
      </c>
      <c r="B3129" s="177" t="n">
        <v>47323</v>
      </c>
      <c r="C3129" s="177" t="n">
        <v>47329</v>
      </c>
      <c r="D3129" t="inlineStr">
        <is>
          <t>BW20290724</t>
        </is>
      </c>
      <c r="E3129" t="n">
        <v>2029</v>
      </c>
      <c r="F3129" t="inlineStr">
        <is>
          <t>Lipiec</t>
        </is>
      </c>
      <c r="G3129" t="inlineStr">
        <is>
          <t>Śr</t>
        </is>
      </c>
      <c r="H3129">
        <f>'Floor Hours Engine'!$E$4</f>
        <v/>
      </c>
      <c r="I3129" t="inlineStr">
        <is>
          <t>W5</t>
        </is>
      </c>
      <c r="J3129" t="inlineStr">
        <is>
          <t>2029_Lipiec_W5</t>
        </is>
      </c>
    </row>
    <row r="3130">
      <c r="A3130" s="177" t="n">
        <v>47325</v>
      </c>
      <c r="B3130" s="177" t="n">
        <v>47323</v>
      </c>
      <c r="C3130" s="177" t="n">
        <v>47329</v>
      </c>
      <c r="D3130" t="inlineStr">
        <is>
          <t>BW20290724</t>
        </is>
      </c>
      <c r="E3130" t="n">
        <v>2029</v>
      </c>
      <c r="F3130" t="inlineStr">
        <is>
          <t>Lipiec</t>
        </is>
      </c>
      <c r="G3130" t="inlineStr">
        <is>
          <t>Czw</t>
        </is>
      </c>
      <c r="H3130">
        <f>'Floor Hours Engine'!$E$4</f>
        <v/>
      </c>
      <c r="I3130" t="inlineStr">
        <is>
          <t>W5</t>
        </is>
      </c>
      <c r="J3130" t="inlineStr">
        <is>
          <t>2029_Lipiec_W5</t>
        </is>
      </c>
    </row>
    <row r="3131">
      <c r="A3131" s="177" t="n">
        <v>47326</v>
      </c>
      <c r="B3131" s="177" t="n">
        <v>47323</v>
      </c>
      <c r="C3131" s="177" t="n">
        <v>47329</v>
      </c>
      <c r="D3131" t="inlineStr">
        <is>
          <t>BW20290724</t>
        </is>
      </c>
      <c r="E3131" t="n">
        <v>2029</v>
      </c>
      <c r="F3131" t="inlineStr">
        <is>
          <t>Lipiec</t>
        </is>
      </c>
      <c r="G3131" t="inlineStr">
        <is>
          <t>Pt</t>
        </is>
      </c>
      <c r="H3131">
        <f>'Floor Hours Engine'!$E$5</f>
        <v/>
      </c>
      <c r="I3131" t="inlineStr">
        <is>
          <t>W5</t>
        </is>
      </c>
      <c r="J3131" t="inlineStr">
        <is>
          <t>2029_Lipiec_W5</t>
        </is>
      </c>
    </row>
    <row r="3132">
      <c r="A3132" s="177" t="n">
        <v>47327</v>
      </c>
      <c r="B3132" s="177" t="n">
        <v>47323</v>
      </c>
      <c r="C3132" s="177" t="n">
        <v>47329</v>
      </c>
      <c r="D3132" t="inlineStr">
        <is>
          <t>BW20290724</t>
        </is>
      </c>
      <c r="E3132" t="n">
        <v>2029</v>
      </c>
      <c r="F3132" t="inlineStr">
        <is>
          <t>Lipiec</t>
        </is>
      </c>
      <c r="G3132" t="inlineStr">
        <is>
          <t>Sob</t>
        </is>
      </c>
      <c r="H3132">
        <f>'Floor Hours Engine'!$E$5</f>
        <v/>
      </c>
      <c r="I3132" t="inlineStr">
        <is>
          <t>W5</t>
        </is>
      </c>
      <c r="J3132" t="inlineStr">
        <is>
          <t>2029_Lipiec_W5</t>
        </is>
      </c>
    </row>
    <row r="3133">
      <c r="A3133" s="177" t="n">
        <v>47328</v>
      </c>
      <c r="B3133" s="177" t="n">
        <v>47323</v>
      </c>
      <c r="C3133" s="177" t="n">
        <v>47329</v>
      </c>
      <c r="D3133" t="inlineStr">
        <is>
          <t>BW20290724</t>
        </is>
      </c>
      <c r="E3133" t="n">
        <v>2029</v>
      </c>
      <c r="F3133" t="inlineStr">
        <is>
          <t>Lipiec</t>
        </is>
      </c>
      <c r="G3133" t="inlineStr">
        <is>
          <t>Nd</t>
        </is>
      </c>
      <c r="H3133">
        <f>'Floor Hours Engine'!$E$6</f>
        <v/>
      </c>
      <c r="I3133" t="inlineStr">
        <is>
          <t>W5</t>
        </is>
      </c>
      <c r="J3133" t="inlineStr">
        <is>
          <t>2029_Lipiec_W5</t>
        </is>
      </c>
    </row>
    <row r="3134">
      <c r="A3134" s="177" t="n">
        <v>47329</v>
      </c>
      <c r="B3134" s="177" t="n">
        <v>47323</v>
      </c>
      <c r="C3134" s="177" t="n">
        <v>47329</v>
      </c>
      <c r="D3134" t="inlineStr">
        <is>
          <t>BW20290724</t>
        </is>
      </c>
      <c r="E3134" t="n">
        <v>2029</v>
      </c>
      <c r="F3134" t="inlineStr">
        <is>
          <t>Lipiec</t>
        </is>
      </c>
      <c r="G3134" t="inlineStr">
        <is>
          <t>Pn</t>
        </is>
      </c>
      <c r="H3134">
        <f>'Floor Hours Engine'!$E$4</f>
        <v/>
      </c>
      <c r="I3134" t="inlineStr">
        <is>
          <t>W5</t>
        </is>
      </c>
      <c r="J3134" t="inlineStr">
        <is>
          <t>2029_Lipiec_W5</t>
        </is>
      </c>
    </row>
    <row r="3135">
      <c r="A3135" s="177" t="n">
        <v>47330</v>
      </c>
      <c r="B3135" s="177" t="n">
        <v>47330</v>
      </c>
      <c r="C3135" s="177" t="n">
        <v>47336</v>
      </c>
      <c r="D3135" t="inlineStr">
        <is>
          <t>BW20290731</t>
        </is>
      </c>
      <c r="E3135" t="n">
        <v>2029</v>
      </c>
      <c r="F3135" t="inlineStr">
        <is>
          <t>Lipiec</t>
        </is>
      </c>
      <c r="G3135" t="inlineStr">
        <is>
          <t>Wt</t>
        </is>
      </c>
      <c r="H3135">
        <f>'Floor Hours Engine'!$E$4</f>
        <v/>
      </c>
      <c r="I3135" t="inlineStr">
        <is>
          <t>W6</t>
        </is>
      </c>
      <c r="J3135" t="inlineStr">
        <is>
          <t>2029_Lipiec_W6</t>
        </is>
      </c>
    </row>
    <row r="3136">
      <c r="A3136" s="177" t="n">
        <v>47331</v>
      </c>
      <c r="B3136" s="177" t="n">
        <v>47330</v>
      </c>
      <c r="C3136" s="177" t="n">
        <v>47336</v>
      </c>
      <c r="D3136" t="inlineStr">
        <is>
          <t>BW20290731</t>
        </is>
      </c>
      <c r="E3136" t="n">
        <v>2029</v>
      </c>
      <c r="F3136" t="inlineStr">
        <is>
          <t>Sierpień</t>
        </is>
      </c>
      <c r="G3136" t="inlineStr">
        <is>
          <t>Śr</t>
        </is>
      </c>
      <c r="H3136">
        <f>'Floor Hours Engine'!$E$4</f>
        <v/>
      </c>
      <c r="I3136" t="inlineStr">
        <is>
          <t>W1</t>
        </is>
      </c>
      <c r="J3136" t="inlineStr">
        <is>
          <t>2029_Sierpień_W1</t>
        </is>
      </c>
    </row>
    <row r="3137">
      <c r="A3137" s="177" t="n">
        <v>47332</v>
      </c>
      <c r="B3137" s="177" t="n">
        <v>47330</v>
      </c>
      <c r="C3137" s="177" t="n">
        <v>47336</v>
      </c>
      <c r="D3137" t="inlineStr">
        <is>
          <t>BW20290731</t>
        </is>
      </c>
      <c r="E3137" t="n">
        <v>2029</v>
      </c>
      <c r="F3137" t="inlineStr">
        <is>
          <t>Sierpień</t>
        </is>
      </c>
      <c r="G3137" t="inlineStr">
        <is>
          <t>Czw</t>
        </is>
      </c>
      <c r="H3137">
        <f>'Floor Hours Engine'!$E$4</f>
        <v/>
      </c>
      <c r="I3137" t="inlineStr">
        <is>
          <t>W1</t>
        </is>
      </c>
      <c r="J3137" t="inlineStr">
        <is>
          <t>2029_Sierpień_W1</t>
        </is>
      </c>
    </row>
    <row r="3138">
      <c r="A3138" s="177" t="n">
        <v>47333</v>
      </c>
      <c r="B3138" s="177" t="n">
        <v>47330</v>
      </c>
      <c r="C3138" s="177" t="n">
        <v>47336</v>
      </c>
      <c r="D3138" t="inlineStr">
        <is>
          <t>BW20290731</t>
        </is>
      </c>
      <c r="E3138" t="n">
        <v>2029</v>
      </c>
      <c r="F3138" t="inlineStr">
        <is>
          <t>Sierpień</t>
        </is>
      </c>
      <c r="G3138" t="inlineStr">
        <is>
          <t>Pt</t>
        </is>
      </c>
      <c r="H3138">
        <f>'Floor Hours Engine'!$E$5</f>
        <v/>
      </c>
      <c r="I3138" t="inlineStr">
        <is>
          <t>W1</t>
        </is>
      </c>
      <c r="J3138" t="inlineStr">
        <is>
          <t>2029_Sierpień_W1</t>
        </is>
      </c>
    </row>
    <row r="3139">
      <c r="A3139" s="177" t="n">
        <v>47334</v>
      </c>
      <c r="B3139" s="177" t="n">
        <v>47330</v>
      </c>
      <c r="C3139" s="177" t="n">
        <v>47336</v>
      </c>
      <c r="D3139" t="inlineStr">
        <is>
          <t>BW20290731</t>
        </is>
      </c>
      <c r="E3139" t="n">
        <v>2029</v>
      </c>
      <c r="F3139" t="inlineStr">
        <is>
          <t>Sierpień</t>
        </is>
      </c>
      <c r="G3139" t="inlineStr">
        <is>
          <t>Sob</t>
        </is>
      </c>
      <c r="H3139">
        <f>'Floor Hours Engine'!$E$5</f>
        <v/>
      </c>
      <c r="I3139" t="inlineStr">
        <is>
          <t>W1</t>
        </is>
      </c>
      <c r="J3139" t="inlineStr">
        <is>
          <t>2029_Sierpień_W1</t>
        </is>
      </c>
    </row>
    <row r="3140">
      <c r="A3140" s="177" t="n">
        <v>47335</v>
      </c>
      <c r="B3140" s="177" t="n">
        <v>47330</v>
      </c>
      <c r="C3140" s="177" t="n">
        <v>47336</v>
      </c>
      <c r="D3140" t="inlineStr">
        <is>
          <t>BW20290731</t>
        </is>
      </c>
      <c r="E3140" t="n">
        <v>2029</v>
      </c>
      <c r="F3140" t="inlineStr">
        <is>
          <t>Sierpień</t>
        </is>
      </c>
      <c r="G3140" t="inlineStr">
        <is>
          <t>Nd</t>
        </is>
      </c>
      <c r="H3140">
        <f>'Floor Hours Engine'!$E$6</f>
        <v/>
      </c>
      <c r="I3140" t="inlineStr">
        <is>
          <t>W1</t>
        </is>
      </c>
      <c r="J3140" t="inlineStr">
        <is>
          <t>2029_Sierpień_W1</t>
        </is>
      </c>
    </row>
    <row r="3141">
      <c r="A3141" s="177" t="n">
        <v>47336</v>
      </c>
      <c r="B3141" s="177" t="n">
        <v>47330</v>
      </c>
      <c r="C3141" s="177" t="n">
        <v>47336</v>
      </c>
      <c r="D3141" t="inlineStr">
        <is>
          <t>BW20290731</t>
        </is>
      </c>
      <c r="E3141" t="n">
        <v>2029</v>
      </c>
      <c r="F3141" t="inlineStr">
        <is>
          <t>Sierpień</t>
        </is>
      </c>
      <c r="G3141" t="inlineStr">
        <is>
          <t>Pn</t>
        </is>
      </c>
      <c r="H3141">
        <f>'Floor Hours Engine'!$E$4</f>
        <v/>
      </c>
      <c r="I3141" t="inlineStr">
        <is>
          <t>W1</t>
        </is>
      </c>
      <c r="J3141" t="inlineStr">
        <is>
          <t>2029_Sierpień_W1</t>
        </is>
      </c>
    </row>
    <row r="3142">
      <c r="A3142" s="177" t="n">
        <v>47337</v>
      </c>
      <c r="B3142" s="177" t="n">
        <v>47337</v>
      </c>
      <c r="C3142" s="177" t="n">
        <v>47343</v>
      </c>
      <c r="D3142" t="inlineStr">
        <is>
          <t>BW20290807</t>
        </is>
      </c>
      <c r="E3142" t="n">
        <v>2029</v>
      </c>
      <c r="F3142" t="inlineStr">
        <is>
          <t>Sierpień</t>
        </is>
      </c>
      <c r="G3142" t="inlineStr">
        <is>
          <t>Wt</t>
        </is>
      </c>
      <c r="H3142">
        <f>'Floor Hours Engine'!$E$4</f>
        <v/>
      </c>
      <c r="I3142" t="inlineStr">
        <is>
          <t>W2</t>
        </is>
      </c>
      <c r="J3142" t="inlineStr">
        <is>
          <t>2029_Sierpień_W2</t>
        </is>
      </c>
    </row>
    <row r="3143">
      <c r="A3143" s="177" t="n">
        <v>47338</v>
      </c>
      <c r="B3143" s="177" t="n">
        <v>47337</v>
      </c>
      <c r="C3143" s="177" t="n">
        <v>47343</v>
      </c>
      <c r="D3143" t="inlineStr">
        <is>
          <t>BW20290807</t>
        </is>
      </c>
      <c r="E3143" t="n">
        <v>2029</v>
      </c>
      <c r="F3143" t="inlineStr">
        <is>
          <t>Sierpień</t>
        </is>
      </c>
      <c r="G3143" t="inlineStr">
        <is>
          <t>Śr</t>
        </is>
      </c>
      <c r="H3143">
        <f>'Floor Hours Engine'!$E$4</f>
        <v/>
      </c>
      <c r="I3143" t="inlineStr">
        <is>
          <t>W2</t>
        </is>
      </c>
      <c r="J3143" t="inlineStr">
        <is>
          <t>2029_Sierpień_W2</t>
        </is>
      </c>
    </row>
    <row r="3144">
      <c r="A3144" s="177" t="n">
        <v>47339</v>
      </c>
      <c r="B3144" s="177" t="n">
        <v>47337</v>
      </c>
      <c r="C3144" s="177" t="n">
        <v>47343</v>
      </c>
      <c r="D3144" t="inlineStr">
        <is>
          <t>BW20290807</t>
        </is>
      </c>
      <c r="E3144" t="n">
        <v>2029</v>
      </c>
      <c r="F3144" t="inlineStr">
        <is>
          <t>Sierpień</t>
        </is>
      </c>
      <c r="G3144" t="inlineStr">
        <is>
          <t>Czw</t>
        </is>
      </c>
      <c r="H3144">
        <f>'Floor Hours Engine'!$E$4</f>
        <v/>
      </c>
      <c r="I3144" t="inlineStr">
        <is>
          <t>W2</t>
        </is>
      </c>
      <c r="J3144" t="inlineStr">
        <is>
          <t>2029_Sierpień_W2</t>
        </is>
      </c>
    </row>
    <row r="3145">
      <c r="A3145" s="177" t="n">
        <v>47340</v>
      </c>
      <c r="B3145" s="177" t="n">
        <v>47337</v>
      </c>
      <c r="C3145" s="177" t="n">
        <v>47343</v>
      </c>
      <c r="D3145" t="inlineStr">
        <is>
          <t>BW20290807</t>
        </is>
      </c>
      <c r="E3145" t="n">
        <v>2029</v>
      </c>
      <c r="F3145" t="inlineStr">
        <is>
          <t>Sierpień</t>
        </is>
      </c>
      <c r="G3145" t="inlineStr">
        <is>
          <t>Pt</t>
        </is>
      </c>
      <c r="H3145">
        <f>'Floor Hours Engine'!$E$5</f>
        <v/>
      </c>
      <c r="I3145" t="inlineStr">
        <is>
          <t>W2</t>
        </is>
      </c>
      <c r="J3145" t="inlineStr">
        <is>
          <t>2029_Sierpień_W2</t>
        </is>
      </c>
    </row>
    <row r="3146">
      <c r="A3146" s="177" t="n">
        <v>47341</v>
      </c>
      <c r="B3146" s="177" t="n">
        <v>47337</v>
      </c>
      <c r="C3146" s="177" t="n">
        <v>47343</v>
      </c>
      <c r="D3146" t="inlineStr">
        <is>
          <t>BW20290807</t>
        </is>
      </c>
      <c r="E3146" t="n">
        <v>2029</v>
      </c>
      <c r="F3146" t="inlineStr">
        <is>
          <t>Sierpień</t>
        </is>
      </c>
      <c r="G3146" t="inlineStr">
        <is>
          <t>Sob</t>
        </is>
      </c>
      <c r="H3146">
        <f>'Floor Hours Engine'!$E$5</f>
        <v/>
      </c>
      <c r="I3146" t="inlineStr">
        <is>
          <t>W2</t>
        </is>
      </c>
      <c r="J3146" t="inlineStr">
        <is>
          <t>2029_Sierpień_W2</t>
        </is>
      </c>
    </row>
    <row r="3147">
      <c r="A3147" s="177" t="n">
        <v>47342</v>
      </c>
      <c r="B3147" s="177" t="n">
        <v>47337</v>
      </c>
      <c r="C3147" s="177" t="n">
        <v>47343</v>
      </c>
      <c r="D3147" t="inlineStr">
        <is>
          <t>BW20290807</t>
        </is>
      </c>
      <c r="E3147" t="n">
        <v>2029</v>
      </c>
      <c r="F3147" t="inlineStr">
        <is>
          <t>Sierpień</t>
        </is>
      </c>
      <c r="G3147" t="inlineStr">
        <is>
          <t>Nd</t>
        </is>
      </c>
      <c r="H3147">
        <f>'Floor Hours Engine'!$E$6</f>
        <v/>
      </c>
      <c r="I3147" t="inlineStr">
        <is>
          <t>W2</t>
        </is>
      </c>
      <c r="J3147" t="inlineStr">
        <is>
          <t>2029_Sierpień_W2</t>
        </is>
      </c>
    </row>
    <row r="3148">
      <c r="A3148" s="177" t="n">
        <v>47343</v>
      </c>
      <c r="B3148" s="177" t="n">
        <v>47337</v>
      </c>
      <c r="C3148" s="177" t="n">
        <v>47343</v>
      </c>
      <c r="D3148" t="inlineStr">
        <is>
          <t>BW20290807</t>
        </is>
      </c>
      <c r="E3148" t="n">
        <v>2029</v>
      </c>
      <c r="F3148" t="inlineStr">
        <is>
          <t>Sierpień</t>
        </is>
      </c>
      <c r="G3148" t="inlineStr">
        <is>
          <t>Pn</t>
        </is>
      </c>
      <c r="H3148">
        <f>'Floor Hours Engine'!$E$4</f>
        <v/>
      </c>
      <c r="I3148" t="inlineStr">
        <is>
          <t>W2</t>
        </is>
      </c>
      <c r="J3148" t="inlineStr">
        <is>
          <t>2029_Sierpień_W2</t>
        </is>
      </c>
    </row>
    <row r="3149">
      <c r="A3149" s="177" t="n">
        <v>47344</v>
      </c>
      <c r="B3149" s="177" t="n">
        <v>47344</v>
      </c>
      <c r="C3149" s="177" t="n">
        <v>47350</v>
      </c>
      <c r="D3149" t="inlineStr">
        <is>
          <t>BW20290814</t>
        </is>
      </c>
      <c r="E3149" t="n">
        <v>2029</v>
      </c>
      <c r="F3149" t="inlineStr">
        <is>
          <t>Sierpień</t>
        </is>
      </c>
      <c r="G3149" t="inlineStr">
        <is>
          <t>Wt</t>
        </is>
      </c>
      <c r="H3149">
        <f>'Floor Hours Engine'!$E$4</f>
        <v/>
      </c>
      <c r="I3149" t="inlineStr">
        <is>
          <t>W3</t>
        </is>
      </c>
      <c r="J3149" t="inlineStr">
        <is>
          <t>2029_Sierpień_W3</t>
        </is>
      </c>
    </row>
    <row r="3150">
      <c r="A3150" s="177" t="n">
        <v>47345</v>
      </c>
      <c r="B3150" s="177" t="n">
        <v>47344</v>
      </c>
      <c r="C3150" s="177" t="n">
        <v>47350</v>
      </c>
      <c r="D3150" t="inlineStr">
        <is>
          <t>BW20290814</t>
        </is>
      </c>
      <c r="E3150" t="n">
        <v>2029</v>
      </c>
      <c r="F3150" t="inlineStr">
        <is>
          <t>Sierpień</t>
        </is>
      </c>
      <c r="G3150" t="inlineStr">
        <is>
          <t>Śr</t>
        </is>
      </c>
      <c r="H3150">
        <f>'Floor Hours Engine'!$E$4</f>
        <v/>
      </c>
      <c r="I3150" t="inlineStr">
        <is>
          <t>W3</t>
        </is>
      </c>
      <c r="J3150" t="inlineStr">
        <is>
          <t>2029_Sierpień_W3</t>
        </is>
      </c>
    </row>
    <row r="3151">
      <c r="A3151" s="177" t="n">
        <v>47346</v>
      </c>
      <c r="B3151" s="177" t="n">
        <v>47344</v>
      </c>
      <c r="C3151" s="177" t="n">
        <v>47350</v>
      </c>
      <c r="D3151" t="inlineStr">
        <is>
          <t>BW20290814</t>
        </is>
      </c>
      <c r="E3151" t="n">
        <v>2029</v>
      </c>
      <c r="F3151" t="inlineStr">
        <is>
          <t>Sierpień</t>
        </is>
      </c>
      <c r="G3151" t="inlineStr">
        <is>
          <t>Czw</t>
        </is>
      </c>
      <c r="H3151">
        <f>'Floor Hours Engine'!$E$4</f>
        <v/>
      </c>
      <c r="I3151" t="inlineStr">
        <is>
          <t>W3</t>
        </is>
      </c>
      <c r="J3151" t="inlineStr">
        <is>
          <t>2029_Sierpień_W3</t>
        </is>
      </c>
    </row>
    <row r="3152">
      <c r="A3152" s="177" t="n">
        <v>47347</v>
      </c>
      <c r="B3152" s="177" t="n">
        <v>47344</v>
      </c>
      <c r="C3152" s="177" t="n">
        <v>47350</v>
      </c>
      <c r="D3152" t="inlineStr">
        <is>
          <t>BW20290814</t>
        </is>
      </c>
      <c r="E3152" t="n">
        <v>2029</v>
      </c>
      <c r="F3152" t="inlineStr">
        <is>
          <t>Sierpień</t>
        </is>
      </c>
      <c r="G3152" t="inlineStr">
        <is>
          <t>Pt</t>
        </is>
      </c>
      <c r="H3152">
        <f>'Floor Hours Engine'!$E$5</f>
        <v/>
      </c>
      <c r="I3152" t="inlineStr">
        <is>
          <t>W3</t>
        </is>
      </c>
      <c r="J3152" t="inlineStr">
        <is>
          <t>2029_Sierpień_W3</t>
        </is>
      </c>
    </row>
    <row r="3153">
      <c r="A3153" s="177" t="n">
        <v>47348</v>
      </c>
      <c r="B3153" s="177" t="n">
        <v>47344</v>
      </c>
      <c r="C3153" s="177" t="n">
        <v>47350</v>
      </c>
      <c r="D3153" t="inlineStr">
        <is>
          <t>BW20290814</t>
        </is>
      </c>
      <c r="E3153" t="n">
        <v>2029</v>
      </c>
      <c r="F3153" t="inlineStr">
        <is>
          <t>Sierpień</t>
        </is>
      </c>
      <c r="G3153" t="inlineStr">
        <is>
          <t>Sob</t>
        </is>
      </c>
      <c r="H3153">
        <f>'Floor Hours Engine'!$E$5</f>
        <v/>
      </c>
      <c r="I3153" t="inlineStr">
        <is>
          <t>W3</t>
        </is>
      </c>
      <c r="J3153" t="inlineStr">
        <is>
          <t>2029_Sierpień_W3</t>
        </is>
      </c>
    </row>
    <row r="3154">
      <c r="A3154" s="177" t="n">
        <v>47349</v>
      </c>
      <c r="B3154" s="177" t="n">
        <v>47344</v>
      </c>
      <c r="C3154" s="177" t="n">
        <v>47350</v>
      </c>
      <c r="D3154" t="inlineStr">
        <is>
          <t>BW20290814</t>
        </is>
      </c>
      <c r="E3154" t="n">
        <v>2029</v>
      </c>
      <c r="F3154" t="inlineStr">
        <is>
          <t>Sierpień</t>
        </is>
      </c>
      <c r="G3154" t="inlineStr">
        <is>
          <t>Nd</t>
        </is>
      </c>
      <c r="H3154">
        <f>'Floor Hours Engine'!$E$6</f>
        <v/>
      </c>
      <c r="I3154" t="inlineStr">
        <is>
          <t>W3</t>
        </is>
      </c>
      <c r="J3154" t="inlineStr">
        <is>
          <t>2029_Sierpień_W3</t>
        </is>
      </c>
    </row>
    <row r="3155">
      <c r="A3155" s="177" t="n">
        <v>47350</v>
      </c>
      <c r="B3155" s="177" t="n">
        <v>47344</v>
      </c>
      <c r="C3155" s="177" t="n">
        <v>47350</v>
      </c>
      <c r="D3155" t="inlineStr">
        <is>
          <t>BW20290814</t>
        </is>
      </c>
      <c r="E3155" t="n">
        <v>2029</v>
      </c>
      <c r="F3155" t="inlineStr">
        <is>
          <t>Sierpień</t>
        </is>
      </c>
      <c r="G3155" t="inlineStr">
        <is>
          <t>Pn</t>
        </is>
      </c>
      <c r="H3155">
        <f>'Floor Hours Engine'!$E$4</f>
        <v/>
      </c>
      <c r="I3155" t="inlineStr">
        <is>
          <t>W3</t>
        </is>
      </c>
      <c r="J3155" t="inlineStr">
        <is>
          <t>2029_Sierpień_W3</t>
        </is>
      </c>
    </row>
    <row r="3156">
      <c r="A3156" s="177" t="n">
        <v>47351</v>
      </c>
      <c r="B3156" s="177" t="n">
        <v>47351</v>
      </c>
      <c r="C3156" s="177" t="n">
        <v>47357</v>
      </c>
      <c r="D3156" t="inlineStr">
        <is>
          <t>BW20290821</t>
        </is>
      </c>
      <c r="E3156" t="n">
        <v>2029</v>
      </c>
      <c r="F3156" t="inlineStr">
        <is>
          <t>Sierpień</t>
        </is>
      </c>
      <c r="G3156" t="inlineStr">
        <is>
          <t>Wt</t>
        </is>
      </c>
      <c r="H3156">
        <f>'Floor Hours Engine'!$E$4</f>
        <v/>
      </c>
      <c r="I3156" t="inlineStr">
        <is>
          <t>W4</t>
        </is>
      </c>
      <c r="J3156" t="inlineStr">
        <is>
          <t>2029_Sierpień_W4</t>
        </is>
      </c>
    </row>
    <row r="3157">
      <c r="A3157" s="177" t="n">
        <v>47352</v>
      </c>
      <c r="B3157" s="177" t="n">
        <v>47351</v>
      </c>
      <c r="C3157" s="177" t="n">
        <v>47357</v>
      </c>
      <c r="D3157" t="inlineStr">
        <is>
          <t>BW20290821</t>
        </is>
      </c>
      <c r="E3157" t="n">
        <v>2029</v>
      </c>
      <c r="F3157" t="inlineStr">
        <is>
          <t>Sierpień</t>
        </is>
      </c>
      <c r="G3157" t="inlineStr">
        <is>
          <t>Śr</t>
        </is>
      </c>
      <c r="H3157">
        <f>'Floor Hours Engine'!$E$4</f>
        <v/>
      </c>
      <c r="I3157" t="inlineStr">
        <is>
          <t>W4</t>
        </is>
      </c>
      <c r="J3157" t="inlineStr">
        <is>
          <t>2029_Sierpień_W4</t>
        </is>
      </c>
    </row>
    <row r="3158">
      <c r="A3158" s="177" t="n">
        <v>47353</v>
      </c>
      <c r="B3158" s="177" t="n">
        <v>47351</v>
      </c>
      <c r="C3158" s="177" t="n">
        <v>47357</v>
      </c>
      <c r="D3158" t="inlineStr">
        <is>
          <t>BW20290821</t>
        </is>
      </c>
      <c r="E3158" t="n">
        <v>2029</v>
      </c>
      <c r="F3158" t="inlineStr">
        <is>
          <t>Sierpień</t>
        </is>
      </c>
      <c r="G3158" t="inlineStr">
        <is>
          <t>Czw</t>
        </is>
      </c>
      <c r="H3158">
        <f>'Floor Hours Engine'!$E$4</f>
        <v/>
      </c>
      <c r="I3158" t="inlineStr">
        <is>
          <t>W4</t>
        </is>
      </c>
      <c r="J3158" t="inlineStr">
        <is>
          <t>2029_Sierpień_W4</t>
        </is>
      </c>
    </row>
    <row r="3159">
      <c r="A3159" s="177" t="n">
        <v>47354</v>
      </c>
      <c r="B3159" s="177" t="n">
        <v>47351</v>
      </c>
      <c r="C3159" s="177" t="n">
        <v>47357</v>
      </c>
      <c r="D3159" t="inlineStr">
        <is>
          <t>BW20290821</t>
        </is>
      </c>
      <c r="E3159" t="n">
        <v>2029</v>
      </c>
      <c r="F3159" t="inlineStr">
        <is>
          <t>Sierpień</t>
        </is>
      </c>
      <c r="G3159" t="inlineStr">
        <is>
          <t>Pt</t>
        </is>
      </c>
      <c r="H3159">
        <f>'Floor Hours Engine'!$E$5</f>
        <v/>
      </c>
      <c r="I3159" t="inlineStr">
        <is>
          <t>W4</t>
        </is>
      </c>
      <c r="J3159" t="inlineStr">
        <is>
          <t>2029_Sierpień_W4</t>
        </is>
      </c>
    </row>
    <row r="3160">
      <c r="A3160" s="177" t="n">
        <v>47355</v>
      </c>
      <c r="B3160" s="177" t="n">
        <v>47351</v>
      </c>
      <c r="C3160" s="177" t="n">
        <v>47357</v>
      </c>
      <c r="D3160" t="inlineStr">
        <is>
          <t>BW20290821</t>
        </is>
      </c>
      <c r="E3160" t="n">
        <v>2029</v>
      </c>
      <c r="F3160" t="inlineStr">
        <is>
          <t>Sierpień</t>
        </is>
      </c>
      <c r="G3160" t="inlineStr">
        <is>
          <t>Sob</t>
        </is>
      </c>
      <c r="H3160">
        <f>'Floor Hours Engine'!$E$5</f>
        <v/>
      </c>
      <c r="I3160" t="inlineStr">
        <is>
          <t>W4</t>
        </is>
      </c>
      <c r="J3160" t="inlineStr">
        <is>
          <t>2029_Sierpień_W4</t>
        </is>
      </c>
    </row>
    <row r="3161">
      <c r="A3161" s="177" t="n">
        <v>47356</v>
      </c>
      <c r="B3161" s="177" t="n">
        <v>47351</v>
      </c>
      <c r="C3161" s="177" t="n">
        <v>47357</v>
      </c>
      <c r="D3161" t="inlineStr">
        <is>
          <t>BW20290821</t>
        </is>
      </c>
      <c r="E3161" t="n">
        <v>2029</v>
      </c>
      <c r="F3161" t="inlineStr">
        <is>
          <t>Sierpień</t>
        </is>
      </c>
      <c r="G3161" t="inlineStr">
        <is>
          <t>Nd</t>
        </is>
      </c>
      <c r="H3161">
        <f>'Floor Hours Engine'!$E$6</f>
        <v/>
      </c>
      <c r="I3161" t="inlineStr">
        <is>
          <t>W4</t>
        </is>
      </c>
      <c r="J3161" t="inlineStr">
        <is>
          <t>2029_Sierpień_W4</t>
        </is>
      </c>
    </row>
    <row r="3162">
      <c r="A3162" s="177" t="n">
        <v>47357</v>
      </c>
      <c r="B3162" s="177" t="n">
        <v>47351</v>
      </c>
      <c r="C3162" s="177" t="n">
        <v>47357</v>
      </c>
      <c r="D3162" t="inlineStr">
        <is>
          <t>BW20290821</t>
        </is>
      </c>
      <c r="E3162" t="n">
        <v>2029</v>
      </c>
      <c r="F3162" t="inlineStr">
        <is>
          <t>Sierpień</t>
        </is>
      </c>
      <c r="G3162" t="inlineStr">
        <is>
          <t>Pn</t>
        </is>
      </c>
      <c r="H3162">
        <f>'Floor Hours Engine'!$E$4</f>
        <v/>
      </c>
      <c r="I3162" t="inlineStr">
        <is>
          <t>W4</t>
        </is>
      </c>
      <c r="J3162" t="inlineStr">
        <is>
          <t>2029_Sierpień_W4</t>
        </is>
      </c>
    </row>
    <row r="3163">
      <c r="A3163" s="177" t="n">
        <v>47358</v>
      </c>
      <c r="B3163" s="177" t="n">
        <v>47358</v>
      </c>
      <c r="C3163" s="177" t="n">
        <v>47364</v>
      </c>
      <c r="D3163" t="inlineStr">
        <is>
          <t>BW20290828</t>
        </is>
      </c>
      <c r="E3163" t="n">
        <v>2029</v>
      </c>
      <c r="F3163" t="inlineStr">
        <is>
          <t>Sierpień</t>
        </is>
      </c>
      <c r="G3163" t="inlineStr">
        <is>
          <t>Wt</t>
        </is>
      </c>
      <c r="H3163">
        <f>'Floor Hours Engine'!$E$4</f>
        <v/>
      </c>
      <c r="I3163" t="inlineStr">
        <is>
          <t>W5</t>
        </is>
      </c>
      <c r="J3163" t="inlineStr">
        <is>
          <t>2029_Sierpień_W5</t>
        </is>
      </c>
    </row>
    <row r="3164">
      <c r="A3164" s="177" t="n">
        <v>47359</v>
      </c>
      <c r="B3164" s="177" t="n">
        <v>47358</v>
      </c>
      <c r="C3164" s="177" t="n">
        <v>47364</v>
      </c>
      <c r="D3164" t="inlineStr">
        <is>
          <t>BW20290828</t>
        </is>
      </c>
      <c r="E3164" t="n">
        <v>2029</v>
      </c>
      <c r="F3164" t="inlineStr">
        <is>
          <t>Sierpień</t>
        </is>
      </c>
      <c r="G3164" t="inlineStr">
        <is>
          <t>Śr</t>
        </is>
      </c>
      <c r="H3164">
        <f>'Floor Hours Engine'!$E$4</f>
        <v/>
      </c>
      <c r="I3164" t="inlineStr">
        <is>
          <t>W5</t>
        </is>
      </c>
      <c r="J3164" t="inlineStr">
        <is>
          <t>2029_Sierpień_W5</t>
        </is>
      </c>
    </row>
    <row r="3165">
      <c r="A3165" s="177" t="n">
        <v>47360</v>
      </c>
      <c r="B3165" s="177" t="n">
        <v>47358</v>
      </c>
      <c r="C3165" s="177" t="n">
        <v>47364</v>
      </c>
      <c r="D3165" t="inlineStr">
        <is>
          <t>BW20290828</t>
        </is>
      </c>
      <c r="E3165" t="n">
        <v>2029</v>
      </c>
      <c r="F3165" t="inlineStr">
        <is>
          <t>Sierpień</t>
        </is>
      </c>
      <c r="G3165" t="inlineStr">
        <is>
          <t>Czw</t>
        </is>
      </c>
      <c r="H3165">
        <f>'Floor Hours Engine'!$E$4</f>
        <v/>
      </c>
      <c r="I3165" t="inlineStr">
        <is>
          <t>W5</t>
        </is>
      </c>
      <c r="J3165" t="inlineStr">
        <is>
          <t>2029_Sierpień_W5</t>
        </is>
      </c>
    </row>
    <row r="3166">
      <c r="A3166" s="177" t="n">
        <v>47361</v>
      </c>
      <c r="B3166" s="177" t="n">
        <v>47358</v>
      </c>
      <c r="C3166" s="177" t="n">
        <v>47364</v>
      </c>
      <c r="D3166" t="inlineStr">
        <is>
          <t>BW20290828</t>
        </is>
      </c>
      <c r="E3166" t="n">
        <v>2029</v>
      </c>
      <c r="F3166" t="inlineStr">
        <is>
          <t>Sierpień</t>
        </is>
      </c>
      <c r="G3166" t="inlineStr">
        <is>
          <t>Pt</t>
        </is>
      </c>
      <c r="H3166">
        <f>'Floor Hours Engine'!$E$5</f>
        <v/>
      </c>
      <c r="I3166" t="inlineStr">
        <is>
          <t>W5</t>
        </is>
      </c>
      <c r="J3166" t="inlineStr">
        <is>
          <t>2029_Sierpień_W5</t>
        </is>
      </c>
    </row>
    <row r="3167">
      <c r="A3167" s="177" t="n">
        <v>47362</v>
      </c>
      <c r="B3167" s="177" t="n">
        <v>47358</v>
      </c>
      <c r="C3167" s="177" t="n">
        <v>47364</v>
      </c>
      <c r="D3167" t="inlineStr">
        <is>
          <t>BW20290828</t>
        </is>
      </c>
      <c r="E3167" t="n">
        <v>2029</v>
      </c>
      <c r="F3167" t="inlineStr">
        <is>
          <t>Wrzesień</t>
        </is>
      </c>
      <c r="G3167" t="inlineStr">
        <is>
          <t>Sob</t>
        </is>
      </c>
      <c r="H3167">
        <f>'Floor Hours Engine'!$E$5</f>
        <v/>
      </c>
      <c r="I3167" t="inlineStr">
        <is>
          <t>W1</t>
        </is>
      </c>
      <c r="J3167" t="inlineStr">
        <is>
          <t>2029_Wrzesień_W1</t>
        </is>
      </c>
    </row>
    <row r="3168">
      <c r="A3168" s="177" t="n">
        <v>47363</v>
      </c>
      <c r="B3168" s="177" t="n">
        <v>47358</v>
      </c>
      <c r="C3168" s="177" t="n">
        <v>47364</v>
      </c>
      <c r="D3168" t="inlineStr">
        <is>
          <t>BW20290828</t>
        </is>
      </c>
      <c r="E3168" t="n">
        <v>2029</v>
      </c>
      <c r="F3168" t="inlineStr">
        <is>
          <t>Wrzesień</t>
        </is>
      </c>
      <c r="G3168" t="inlineStr">
        <is>
          <t>Nd</t>
        </is>
      </c>
      <c r="H3168">
        <f>'Floor Hours Engine'!$E$6</f>
        <v/>
      </c>
      <c r="I3168" t="inlineStr">
        <is>
          <t>W1</t>
        </is>
      </c>
      <c r="J3168" t="inlineStr">
        <is>
          <t>2029_Wrzesień_W1</t>
        </is>
      </c>
    </row>
    <row r="3169">
      <c r="A3169" s="177" t="n">
        <v>47364</v>
      </c>
      <c r="B3169" s="177" t="n">
        <v>47358</v>
      </c>
      <c r="C3169" s="177" t="n">
        <v>47364</v>
      </c>
      <c r="D3169" t="inlineStr">
        <is>
          <t>BW20290828</t>
        </is>
      </c>
      <c r="E3169" t="n">
        <v>2029</v>
      </c>
      <c r="F3169" t="inlineStr">
        <is>
          <t>Wrzesień</t>
        </is>
      </c>
      <c r="G3169" t="inlineStr">
        <is>
          <t>Pn</t>
        </is>
      </c>
      <c r="H3169">
        <f>'Floor Hours Engine'!$E$4</f>
        <v/>
      </c>
      <c r="I3169" t="inlineStr">
        <is>
          <t>W1</t>
        </is>
      </c>
      <c r="J3169" t="inlineStr">
        <is>
          <t>2029_Wrzesień_W1</t>
        </is>
      </c>
    </row>
    <row r="3170">
      <c r="A3170" s="177" t="n">
        <v>47365</v>
      </c>
      <c r="B3170" s="177" t="n">
        <v>47365</v>
      </c>
      <c r="C3170" s="177" t="n">
        <v>47371</v>
      </c>
      <c r="D3170" t="inlineStr">
        <is>
          <t>BW20290904</t>
        </is>
      </c>
      <c r="E3170" t="n">
        <v>2029</v>
      </c>
      <c r="F3170" t="inlineStr">
        <is>
          <t>Wrzesień</t>
        </is>
      </c>
      <c r="G3170" t="inlineStr">
        <is>
          <t>Wt</t>
        </is>
      </c>
      <c r="H3170">
        <f>'Floor Hours Engine'!$E$4</f>
        <v/>
      </c>
      <c r="I3170" t="inlineStr">
        <is>
          <t>W2</t>
        </is>
      </c>
      <c r="J3170" t="inlineStr">
        <is>
          <t>2029_Wrzesień_W2</t>
        </is>
      </c>
    </row>
    <row r="3171">
      <c r="A3171" s="177" t="n">
        <v>47366</v>
      </c>
      <c r="B3171" s="177" t="n">
        <v>47365</v>
      </c>
      <c r="C3171" s="177" t="n">
        <v>47371</v>
      </c>
      <c r="D3171" t="inlineStr">
        <is>
          <t>BW20290904</t>
        </is>
      </c>
      <c r="E3171" t="n">
        <v>2029</v>
      </c>
      <c r="F3171" t="inlineStr">
        <is>
          <t>Wrzesień</t>
        </is>
      </c>
      <c r="G3171" t="inlineStr">
        <is>
          <t>Śr</t>
        </is>
      </c>
      <c r="H3171">
        <f>'Floor Hours Engine'!$E$4</f>
        <v/>
      </c>
      <c r="I3171" t="inlineStr">
        <is>
          <t>W2</t>
        </is>
      </c>
      <c r="J3171" t="inlineStr">
        <is>
          <t>2029_Wrzesień_W2</t>
        </is>
      </c>
    </row>
    <row r="3172">
      <c r="A3172" s="177" t="n">
        <v>47367</v>
      </c>
      <c r="B3172" s="177" t="n">
        <v>47365</v>
      </c>
      <c r="C3172" s="177" t="n">
        <v>47371</v>
      </c>
      <c r="D3172" t="inlineStr">
        <is>
          <t>BW20290904</t>
        </is>
      </c>
      <c r="E3172" t="n">
        <v>2029</v>
      </c>
      <c r="F3172" t="inlineStr">
        <is>
          <t>Wrzesień</t>
        </is>
      </c>
      <c r="G3172" t="inlineStr">
        <is>
          <t>Czw</t>
        </is>
      </c>
      <c r="H3172">
        <f>'Floor Hours Engine'!$E$4</f>
        <v/>
      </c>
      <c r="I3172" t="inlineStr">
        <is>
          <t>W2</t>
        </is>
      </c>
      <c r="J3172" t="inlineStr">
        <is>
          <t>2029_Wrzesień_W2</t>
        </is>
      </c>
    </row>
    <row r="3173">
      <c r="A3173" s="177" t="n">
        <v>47368</v>
      </c>
      <c r="B3173" s="177" t="n">
        <v>47365</v>
      </c>
      <c r="C3173" s="177" t="n">
        <v>47371</v>
      </c>
      <c r="D3173" t="inlineStr">
        <is>
          <t>BW20290904</t>
        </is>
      </c>
      <c r="E3173" t="n">
        <v>2029</v>
      </c>
      <c r="F3173" t="inlineStr">
        <is>
          <t>Wrzesień</t>
        </is>
      </c>
      <c r="G3173" t="inlineStr">
        <is>
          <t>Pt</t>
        </is>
      </c>
      <c r="H3173">
        <f>'Floor Hours Engine'!$E$5</f>
        <v/>
      </c>
      <c r="I3173" t="inlineStr">
        <is>
          <t>W2</t>
        </is>
      </c>
      <c r="J3173" t="inlineStr">
        <is>
          <t>2029_Wrzesień_W2</t>
        </is>
      </c>
    </row>
    <row r="3174">
      <c r="A3174" s="177" t="n">
        <v>47369</v>
      </c>
      <c r="B3174" s="177" t="n">
        <v>47365</v>
      </c>
      <c r="C3174" s="177" t="n">
        <v>47371</v>
      </c>
      <c r="D3174" t="inlineStr">
        <is>
          <t>BW20290904</t>
        </is>
      </c>
      <c r="E3174" t="n">
        <v>2029</v>
      </c>
      <c r="F3174" t="inlineStr">
        <is>
          <t>Wrzesień</t>
        </is>
      </c>
      <c r="G3174" t="inlineStr">
        <is>
          <t>Sob</t>
        </is>
      </c>
      <c r="H3174">
        <f>'Floor Hours Engine'!$E$5</f>
        <v/>
      </c>
      <c r="I3174" t="inlineStr">
        <is>
          <t>W2</t>
        </is>
      </c>
      <c r="J3174" t="inlineStr">
        <is>
          <t>2029_Wrzesień_W2</t>
        </is>
      </c>
    </row>
    <row r="3175">
      <c r="A3175" s="177" t="n">
        <v>47370</v>
      </c>
      <c r="B3175" s="177" t="n">
        <v>47365</v>
      </c>
      <c r="C3175" s="177" t="n">
        <v>47371</v>
      </c>
      <c r="D3175" t="inlineStr">
        <is>
          <t>BW20290904</t>
        </is>
      </c>
      <c r="E3175" t="n">
        <v>2029</v>
      </c>
      <c r="F3175" t="inlineStr">
        <is>
          <t>Wrzesień</t>
        </is>
      </c>
      <c r="G3175" t="inlineStr">
        <is>
          <t>Nd</t>
        </is>
      </c>
      <c r="H3175">
        <f>'Floor Hours Engine'!$E$6</f>
        <v/>
      </c>
      <c r="I3175" t="inlineStr">
        <is>
          <t>W2</t>
        </is>
      </c>
      <c r="J3175" t="inlineStr">
        <is>
          <t>2029_Wrzesień_W2</t>
        </is>
      </c>
    </row>
    <row r="3176">
      <c r="A3176" s="177" t="n">
        <v>47371</v>
      </c>
      <c r="B3176" s="177" t="n">
        <v>47365</v>
      </c>
      <c r="C3176" s="177" t="n">
        <v>47371</v>
      </c>
      <c r="D3176" t="inlineStr">
        <is>
          <t>BW20290904</t>
        </is>
      </c>
      <c r="E3176" t="n">
        <v>2029</v>
      </c>
      <c r="F3176" t="inlineStr">
        <is>
          <t>Wrzesień</t>
        </is>
      </c>
      <c r="G3176" t="inlineStr">
        <is>
          <t>Pn</t>
        </is>
      </c>
      <c r="H3176">
        <f>'Floor Hours Engine'!$E$4</f>
        <v/>
      </c>
      <c r="I3176" t="inlineStr">
        <is>
          <t>W2</t>
        </is>
      </c>
      <c r="J3176" t="inlineStr">
        <is>
          <t>2029_Wrzesień_W2</t>
        </is>
      </c>
    </row>
    <row r="3177">
      <c r="A3177" s="177" t="n">
        <v>47372</v>
      </c>
      <c r="B3177" s="177" t="n">
        <v>47372</v>
      </c>
      <c r="C3177" s="177" t="n">
        <v>47378</v>
      </c>
      <c r="D3177" t="inlineStr">
        <is>
          <t>BW20290911</t>
        </is>
      </c>
      <c r="E3177" t="n">
        <v>2029</v>
      </c>
      <c r="F3177" t="inlineStr">
        <is>
          <t>Wrzesień</t>
        </is>
      </c>
      <c r="G3177" t="inlineStr">
        <is>
          <t>Wt</t>
        </is>
      </c>
      <c r="H3177">
        <f>'Floor Hours Engine'!$E$4</f>
        <v/>
      </c>
      <c r="I3177" t="inlineStr">
        <is>
          <t>W3</t>
        </is>
      </c>
      <c r="J3177" t="inlineStr">
        <is>
          <t>2029_Wrzesień_W3</t>
        </is>
      </c>
    </row>
    <row r="3178">
      <c r="A3178" s="177" t="n">
        <v>47373</v>
      </c>
      <c r="B3178" s="177" t="n">
        <v>47372</v>
      </c>
      <c r="C3178" s="177" t="n">
        <v>47378</v>
      </c>
      <c r="D3178" t="inlineStr">
        <is>
          <t>BW20290911</t>
        </is>
      </c>
      <c r="E3178" t="n">
        <v>2029</v>
      </c>
      <c r="F3178" t="inlineStr">
        <is>
          <t>Wrzesień</t>
        </is>
      </c>
      <c r="G3178" t="inlineStr">
        <is>
          <t>Śr</t>
        </is>
      </c>
      <c r="H3178">
        <f>'Floor Hours Engine'!$E$4</f>
        <v/>
      </c>
      <c r="I3178" t="inlineStr">
        <is>
          <t>W3</t>
        </is>
      </c>
      <c r="J3178" t="inlineStr">
        <is>
          <t>2029_Wrzesień_W3</t>
        </is>
      </c>
    </row>
    <row r="3179">
      <c r="A3179" s="177" t="n">
        <v>47374</v>
      </c>
      <c r="B3179" s="177" t="n">
        <v>47372</v>
      </c>
      <c r="C3179" s="177" t="n">
        <v>47378</v>
      </c>
      <c r="D3179" t="inlineStr">
        <is>
          <t>BW20290911</t>
        </is>
      </c>
      <c r="E3179" t="n">
        <v>2029</v>
      </c>
      <c r="F3179" t="inlineStr">
        <is>
          <t>Wrzesień</t>
        </is>
      </c>
      <c r="G3179" t="inlineStr">
        <is>
          <t>Czw</t>
        </is>
      </c>
      <c r="H3179">
        <f>'Floor Hours Engine'!$E$4</f>
        <v/>
      </c>
      <c r="I3179" t="inlineStr">
        <is>
          <t>W3</t>
        </is>
      </c>
      <c r="J3179" t="inlineStr">
        <is>
          <t>2029_Wrzesień_W3</t>
        </is>
      </c>
    </row>
    <row r="3180">
      <c r="A3180" s="177" t="n">
        <v>47375</v>
      </c>
      <c r="B3180" s="177" t="n">
        <v>47372</v>
      </c>
      <c r="C3180" s="177" t="n">
        <v>47378</v>
      </c>
      <c r="D3180" t="inlineStr">
        <is>
          <t>BW20290911</t>
        </is>
      </c>
      <c r="E3180" t="n">
        <v>2029</v>
      </c>
      <c r="F3180" t="inlineStr">
        <is>
          <t>Wrzesień</t>
        </is>
      </c>
      <c r="G3180" t="inlineStr">
        <is>
          <t>Pt</t>
        </is>
      </c>
      <c r="H3180">
        <f>'Floor Hours Engine'!$E$5</f>
        <v/>
      </c>
      <c r="I3180" t="inlineStr">
        <is>
          <t>W3</t>
        </is>
      </c>
      <c r="J3180" t="inlineStr">
        <is>
          <t>2029_Wrzesień_W3</t>
        </is>
      </c>
    </row>
    <row r="3181">
      <c r="A3181" s="177" t="n">
        <v>47376</v>
      </c>
      <c r="B3181" s="177" t="n">
        <v>47372</v>
      </c>
      <c r="C3181" s="177" t="n">
        <v>47378</v>
      </c>
      <c r="D3181" t="inlineStr">
        <is>
          <t>BW20290911</t>
        </is>
      </c>
      <c r="E3181" t="n">
        <v>2029</v>
      </c>
      <c r="F3181" t="inlineStr">
        <is>
          <t>Wrzesień</t>
        </is>
      </c>
      <c r="G3181" t="inlineStr">
        <is>
          <t>Sob</t>
        </is>
      </c>
      <c r="H3181">
        <f>'Floor Hours Engine'!$E$5</f>
        <v/>
      </c>
      <c r="I3181" t="inlineStr">
        <is>
          <t>W3</t>
        </is>
      </c>
      <c r="J3181" t="inlineStr">
        <is>
          <t>2029_Wrzesień_W3</t>
        </is>
      </c>
    </row>
    <row r="3182">
      <c r="A3182" s="177" t="n">
        <v>47377</v>
      </c>
      <c r="B3182" s="177" t="n">
        <v>47372</v>
      </c>
      <c r="C3182" s="177" t="n">
        <v>47378</v>
      </c>
      <c r="D3182" t="inlineStr">
        <is>
          <t>BW20290911</t>
        </is>
      </c>
      <c r="E3182" t="n">
        <v>2029</v>
      </c>
      <c r="F3182" t="inlineStr">
        <is>
          <t>Wrzesień</t>
        </is>
      </c>
      <c r="G3182" t="inlineStr">
        <is>
          <t>Nd</t>
        </is>
      </c>
      <c r="H3182">
        <f>'Floor Hours Engine'!$E$6</f>
        <v/>
      </c>
      <c r="I3182" t="inlineStr">
        <is>
          <t>W3</t>
        </is>
      </c>
      <c r="J3182" t="inlineStr">
        <is>
          <t>2029_Wrzesień_W3</t>
        </is>
      </c>
    </row>
    <row r="3183">
      <c r="A3183" s="177" t="n">
        <v>47378</v>
      </c>
      <c r="B3183" s="177" t="n">
        <v>47372</v>
      </c>
      <c r="C3183" s="177" t="n">
        <v>47378</v>
      </c>
      <c r="D3183" t="inlineStr">
        <is>
          <t>BW20290911</t>
        </is>
      </c>
      <c r="E3183" t="n">
        <v>2029</v>
      </c>
      <c r="F3183" t="inlineStr">
        <is>
          <t>Wrzesień</t>
        </is>
      </c>
      <c r="G3183" t="inlineStr">
        <is>
          <t>Pn</t>
        </is>
      </c>
      <c r="H3183">
        <f>'Floor Hours Engine'!$E$4</f>
        <v/>
      </c>
      <c r="I3183" t="inlineStr">
        <is>
          <t>W3</t>
        </is>
      </c>
      <c r="J3183" t="inlineStr">
        <is>
          <t>2029_Wrzesień_W3</t>
        </is>
      </c>
    </row>
    <row r="3184">
      <c r="A3184" s="177" t="n">
        <v>47379</v>
      </c>
      <c r="B3184" s="177" t="n">
        <v>47379</v>
      </c>
      <c r="C3184" s="177" t="n">
        <v>47385</v>
      </c>
      <c r="D3184" t="inlineStr">
        <is>
          <t>BW20290918</t>
        </is>
      </c>
      <c r="E3184" t="n">
        <v>2029</v>
      </c>
      <c r="F3184" t="inlineStr">
        <is>
          <t>Wrzesień</t>
        </is>
      </c>
      <c r="G3184" t="inlineStr">
        <is>
          <t>Wt</t>
        </is>
      </c>
      <c r="H3184">
        <f>'Floor Hours Engine'!$E$4</f>
        <v/>
      </c>
      <c r="I3184" t="inlineStr">
        <is>
          <t>W4</t>
        </is>
      </c>
      <c r="J3184" t="inlineStr">
        <is>
          <t>2029_Wrzesień_W4</t>
        </is>
      </c>
    </row>
    <row r="3185">
      <c r="A3185" s="177" t="n">
        <v>47380</v>
      </c>
      <c r="B3185" s="177" t="n">
        <v>47379</v>
      </c>
      <c r="C3185" s="177" t="n">
        <v>47385</v>
      </c>
      <c r="D3185" t="inlineStr">
        <is>
          <t>BW20290918</t>
        </is>
      </c>
      <c r="E3185" t="n">
        <v>2029</v>
      </c>
      <c r="F3185" t="inlineStr">
        <is>
          <t>Wrzesień</t>
        </is>
      </c>
      <c r="G3185" t="inlineStr">
        <is>
          <t>Śr</t>
        </is>
      </c>
      <c r="H3185">
        <f>'Floor Hours Engine'!$E$4</f>
        <v/>
      </c>
      <c r="I3185" t="inlineStr">
        <is>
          <t>W4</t>
        </is>
      </c>
      <c r="J3185" t="inlineStr">
        <is>
          <t>2029_Wrzesień_W4</t>
        </is>
      </c>
    </row>
    <row r="3186">
      <c r="A3186" s="177" t="n">
        <v>47381</v>
      </c>
      <c r="B3186" s="177" t="n">
        <v>47379</v>
      </c>
      <c r="C3186" s="177" t="n">
        <v>47385</v>
      </c>
      <c r="D3186" t="inlineStr">
        <is>
          <t>BW20290918</t>
        </is>
      </c>
      <c r="E3186" t="n">
        <v>2029</v>
      </c>
      <c r="F3186" t="inlineStr">
        <is>
          <t>Wrzesień</t>
        </is>
      </c>
      <c r="G3186" t="inlineStr">
        <is>
          <t>Czw</t>
        </is>
      </c>
      <c r="H3186">
        <f>'Floor Hours Engine'!$E$4</f>
        <v/>
      </c>
      <c r="I3186" t="inlineStr">
        <is>
          <t>W4</t>
        </is>
      </c>
      <c r="J3186" t="inlineStr">
        <is>
          <t>2029_Wrzesień_W4</t>
        </is>
      </c>
    </row>
    <row r="3187">
      <c r="A3187" s="177" t="n">
        <v>47382</v>
      </c>
      <c r="B3187" s="177" t="n">
        <v>47379</v>
      </c>
      <c r="C3187" s="177" t="n">
        <v>47385</v>
      </c>
      <c r="D3187" t="inlineStr">
        <is>
          <t>BW20290918</t>
        </is>
      </c>
      <c r="E3187" t="n">
        <v>2029</v>
      </c>
      <c r="F3187" t="inlineStr">
        <is>
          <t>Wrzesień</t>
        </is>
      </c>
      <c r="G3187" t="inlineStr">
        <is>
          <t>Pt</t>
        </is>
      </c>
      <c r="H3187">
        <f>'Floor Hours Engine'!$E$5</f>
        <v/>
      </c>
      <c r="I3187" t="inlineStr">
        <is>
          <t>W4</t>
        </is>
      </c>
      <c r="J3187" t="inlineStr">
        <is>
          <t>2029_Wrzesień_W4</t>
        </is>
      </c>
    </row>
    <row r="3188">
      <c r="A3188" s="177" t="n">
        <v>47383</v>
      </c>
      <c r="B3188" s="177" t="n">
        <v>47379</v>
      </c>
      <c r="C3188" s="177" t="n">
        <v>47385</v>
      </c>
      <c r="D3188" t="inlineStr">
        <is>
          <t>BW20290918</t>
        </is>
      </c>
      <c r="E3188" t="n">
        <v>2029</v>
      </c>
      <c r="F3188" t="inlineStr">
        <is>
          <t>Wrzesień</t>
        </is>
      </c>
      <c r="G3188" t="inlineStr">
        <is>
          <t>Sob</t>
        </is>
      </c>
      <c r="H3188">
        <f>'Floor Hours Engine'!$E$5</f>
        <v/>
      </c>
      <c r="I3188" t="inlineStr">
        <is>
          <t>W4</t>
        </is>
      </c>
      <c r="J3188" t="inlineStr">
        <is>
          <t>2029_Wrzesień_W4</t>
        </is>
      </c>
    </row>
    <row r="3189">
      <c r="A3189" s="177" t="n">
        <v>47384</v>
      </c>
      <c r="B3189" s="177" t="n">
        <v>47379</v>
      </c>
      <c r="C3189" s="177" t="n">
        <v>47385</v>
      </c>
      <c r="D3189" t="inlineStr">
        <is>
          <t>BW20290918</t>
        </is>
      </c>
      <c r="E3189" t="n">
        <v>2029</v>
      </c>
      <c r="F3189" t="inlineStr">
        <is>
          <t>Wrzesień</t>
        </is>
      </c>
      <c r="G3189" t="inlineStr">
        <is>
          <t>Nd</t>
        </is>
      </c>
      <c r="H3189">
        <f>'Floor Hours Engine'!$E$6</f>
        <v/>
      </c>
      <c r="I3189" t="inlineStr">
        <is>
          <t>W4</t>
        </is>
      </c>
      <c r="J3189" t="inlineStr">
        <is>
          <t>2029_Wrzesień_W4</t>
        </is>
      </c>
    </row>
    <row r="3190">
      <c r="A3190" s="177" t="n">
        <v>47385</v>
      </c>
      <c r="B3190" s="177" t="n">
        <v>47379</v>
      </c>
      <c r="C3190" s="177" t="n">
        <v>47385</v>
      </c>
      <c r="D3190" t="inlineStr">
        <is>
          <t>BW20290918</t>
        </is>
      </c>
      <c r="E3190" t="n">
        <v>2029</v>
      </c>
      <c r="F3190" t="inlineStr">
        <is>
          <t>Wrzesień</t>
        </is>
      </c>
      <c r="G3190" t="inlineStr">
        <is>
          <t>Pn</t>
        </is>
      </c>
      <c r="H3190">
        <f>'Floor Hours Engine'!$E$4</f>
        <v/>
      </c>
      <c r="I3190" t="inlineStr">
        <is>
          <t>W4</t>
        </is>
      </c>
      <c r="J3190" t="inlineStr">
        <is>
          <t>2029_Wrzesień_W4</t>
        </is>
      </c>
    </row>
    <row r="3191">
      <c r="A3191" s="177" t="n">
        <v>47386</v>
      </c>
      <c r="B3191" s="177" t="n">
        <v>47386</v>
      </c>
      <c r="C3191" s="177" t="n">
        <v>47392</v>
      </c>
      <c r="D3191" t="inlineStr">
        <is>
          <t>BW20290925</t>
        </is>
      </c>
      <c r="E3191" t="n">
        <v>2029</v>
      </c>
      <c r="F3191" t="inlineStr">
        <is>
          <t>Wrzesień</t>
        </is>
      </c>
      <c r="G3191" t="inlineStr">
        <is>
          <t>Wt</t>
        </is>
      </c>
      <c r="H3191">
        <f>'Floor Hours Engine'!$E$4</f>
        <v/>
      </c>
      <c r="I3191" t="inlineStr">
        <is>
          <t>W5</t>
        </is>
      </c>
      <c r="J3191" t="inlineStr">
        <is>
          <t>2029_Wrzesień_W5</t>
        </is>
      </c>
    </row>
    <row r="3192">
      <c r="A3192" s="177" t="n">
        <v>47387</v>
      </c>
      <c r="B3192" s="177" t="n">
        <v>47386</v>
      </c>
      <c r="C3192" s="177" t="n">
        <v>47392</v>
      </c>
      <c r="D3192" t="inlineStr">
        <is>
          <t>BW20290925</t>
        </is>
      </c>
      <c r="E3192" t="n">
        <v>2029</v>
      </c>
      <c r="F3192" t="inlineStr">
        <is>
          <t>Wrzesień</t>
        </is>
      </c>
      <c r="G3192" t="inlineStr">
        <is>
          <t>Śr</t>
        </is>
      </c>
      <c r="H3192">
        <f>'Floor Hours Engine'!$E$4</f>
        <v/>
      </c>
      <c r="I3192" t="inlineStr">
        <is>
          <t>W5</t>
        </is>
      </c>
      <c r="J3192" t="inlineStr">
        <is>
          <t>2029_Wrzesień_W5</t>
        </is>
      </c>
    </row>
    <row r="3193">
      <c r="A3193" s="177" t="n">
        <v>47388</v>
      </c>
      <c r="B3193" s="177" t="n">
        <v>47386</v>
      </c>
      <c r="C3193" s="177" t="n">
        <v>47392</v>
      </c>
      <c r="D3193" t="inlineStr">
        <is>
          <t>BW20290925</t>
        </is>
      </c>
      <c r="E3193" t="n">
        <v>2029</v>
      </c>
      <c r="F3193" t="inlineStr">
        <is>
          <t>Wrzesień</t>
        </is>
      </c>
      <c r="G3193" t="inlineStr">
        <is>
          <t>Czw</t>
        </is>
      </c>
      <c r="H3193">
        <f>'Floor Hours Engine'!$E$4</f>
        <v/>
      </c>
      <c r="I3193" t="inlineStr">
        <is>
          <t>W5</t>
        </is>
      </c>
      <c r="J3193" t="inlineStr">
        <is>
          <t>2029_Wrzesień_W5</t>
        </is>
      </c>
    </row>
    <row r="3194">
      <c r="A3194" s="177" t="n">
        <v>47389</v>
      </c>
      <c r="B3194" s="177" t="n">
        <v>47386</v>
      </c>
      <c r="C3194" s="177" t="n">
        <v>47392</v>
      </c>
      <c r="D3194" t="inlineStr">
        <is>
          <t>BW20290925</t>
        </is>
      </c>
      <c r="E3194" t="n">
        <v>2029</v>
      </c>
      <c r="F3194" t="inlineStr">
        <is>
          <t>Wrzesień</t>
        </is>
      </c>
      <c r="G3194" t="inlineStr">
        <is>
          <t>Pt</t>
        </is>
      </c>
      <c r="H3194">
        <f>'Floor Hours Engine'!$E$5</f>
        <v/>
      </c>
      <c r="I3194" t="inlineStr">
        <is>
          <t>W5</t>
        </is>
      </c>
      <c r="J3194" t="inlineStr">
        <is>
          <t>2029_Wrzesień_W5</t>
        </is>
      </c>
    </row>
    <row r="3195">
      <c r="A3195" s="177" t="n">
        <v>47390</v>
      </c>
      <c r="B3195" s="177" t="n">
        <v>47386</v>
      </c>
      <c r="C3195" s="177" t="n">
        <v>47392</v>
      </c>
      <c r="D3195" t="inlineStr">
        <is>
          <t>BW20290925</t>
        </is>
      </c>
      <c r="E3195" t="n">
        <v>2029</v>
      </c>
      <c r="F3195" t="inlineStr">
        <is>
          <t>Wrzesień</t>
        </is>
      </c>
      <c r="G3195" t="inlineStr">
        <is>
          <t>Sob</t>
        </is>
      </c>
      <c r="H3195">
        <f>'Floor Hours Engine'!$E$5</f>
        <v/>
      </c>
      <c r="I3195" t="inlineStr">
        <is>
          <t>W5</t>
        </is>
      </c>
      <c r="J3195" t="inlineStr">
        <is>
          <t>2029_Wrzesień_W5</t>
        </is>
      </c>
    </row>
    <row r="3196">
      <c r="A3196" s="177" t="n">
        <v>47391</v>
      </c>
      <c r="B3196" s="177" t="n">
        <v>47386</v>
      </c>
      <c r="C3196" s="177" t="n">
        <v>47392</v>
      </c>
      <c r="D3196" t="inlineStr">
        <is>
          <t>BW20290925</t>
        </is>
      </c>
      <c r="E3196" t="n">
        <v>2029</v>
      </c>
      <c r="F3196" t="inlineStr">
        <is>
          <t>Wrzesień</t>
        </is>
      </c>
      <c r="G3196" t="inlineStr">
        <is>
          <t>Nd</t>
        </is>
      </c>
      <c r="H3196">
        <f>'Floor Hours Engine'!$E$6</f>
        <v/>
      </c>
      <c r="I3196" t="inlineStr">
        <is>
          <t>W5</t>
        </is>
      </c>
      <c r="J3196" t="inlineStr">
        <is>
          <t>2029_Wrzesień_W5</t>
        </is>
      </c>
    </row>
    <row r="3197">
      <c r="A3197" s="177" t="n">
        <v>47392</v>
      </c>
      <c r="B3197" s="177" t="n">
        <v>47386</v>
      </c>
      <c r="C3197" s="177" t="n">
        <v>47392</v>
      </c>
      <c r="D3197" t="inlineStr">
        <is>
          <t>BW20290925</t>
        </is>
      </c>
      <c r="E3197" t="n">
        <v>2029</v>
      </c>
      <c r="F3197" t="inlineStr">
        <is>
          <t>Październik</t>
        </is>
      </c>
      <c r="G3197" t="inlineStr">
        <is>
          <t>Pn</t>
        </is>
      </c>
      <c r="H3197">
        <f>'Floor Hours Engine'!$E$4</f>
        <v/>
      </c>
      <c r="I3197" t="inlineStr">
        <is>
          <t>W1</t>
        </is>
      </c>
      <c r="J3197" t="inlineStr">
        <is>
          <t>2029_Październik_W1</t>
        </is>
      </c>
    </row>
    <row r="3198">
      <c r="A3198" s="177" t="n">
        <v>47393</v>
      </c>
      <c r="B3198" s="177" t="n">
        <v>47393</v>
      </c>
      <c r="C3198" s="177" t="n">
        <v>47399</v>
      </c>
      <c r="D3198" t="inlineStr">
        <is>
          <t>BW20291002</t>
        </is>
      </c>
      <c r="E3198" t="n">
        <v>2029</v>
      </c>
      <c r="F3198" t="inlineStr">
        <is>
          <t>Październik</t>
        </is>
      </c>
      <c r="G3198" t="inlineStr">
        <is>
          <t>Wt</t>
        </is>
      </c>
      <c r="H3198">
        <f>'Floor Hours Engine'!$E$4</f>
        <v/>
      </c>
      <c r="I3198" t="inlineStr">
        <is>
          <t>W2</t>
        </is>
      </c>
      <c r="J3198" t="inlineStr">
        <is>
          <t>2029_Październik_W2</t>
        </is>
      </c>
    </row>
    <row r="3199">
      <c r="A3199" s="177" t="n">
        <v>47394</v>
      </c>
      <c r="B3199" s="177" t="n">
        <v>47393</v>
      </c>
      <c r="C3199" s="177" t="n">
        <v>47399</v>
      </c>
      <c r="D3199" t="inlineStr">
        <is>
          <t>BW20291002</t>
        </is>
      </c>
      <c r="E3199" t="n">
        <v>2029</v>
      </c>
      <c r="F3199" t="inlineStr">
        <is>
          <t>Październik</t>
        </is>
      </c>
      <c r="G3199" t="inlineStr">
        <is>
          <t>Śr</t>
        </is>
      </c>
      <c r="H3199">
        <f>'Floor Hours Engine'!$E$4</f>
        <v/>
      </c>
      <c r="I3199" t="inlineStr">
        <is>
          <t>W2</t>
        </is>
      </c>
      <c r="J3199" t="inlineStr">
        <is>
          <t>2029_Październik_W2</t>
        </is>
      </c>
    </row>
    <row r="3200">
      <c r="A3200" s="177" t="n">
        <v>47395</v>
      </c>
      <c r="B3200" s="177" t="n">
        <v>47393</v>
      </c>
      <c r="C3200" s="177" t="n">
        <v>47399</v>
      </c>
      <c r="D3200" t="inlineStr">
        <is>
          <t>BW20291002</t>
        </is>
      </c>
      <c r="E3200" t="n">
        <v>2029</v>
      </c>
      <c r="F3200" t="inlineStr">
        <is>
          <t>Październik</t>
        </is>
      </c>
      <c r="G3200" t="inlineStr">
        <is>
          <t>Czw</t>
        </is>
      </c>
      <c r="H3200">
        <f>'Floor Hours Engine'!$E$4</f>
        <v/>
      </c>
      <c r="I3200" t="inlineStr">
        <is>
          <t>W2</t>
        </is>
      </c>
      <c r="J3200" t="inlineStr">
        <is>
          <t>2029_Październik_W2</t>
        </is>
      </c>
    </row>
    <row r="3201">
      <c r="A3201" s="177" t="n">
        <v>47396</v>
      </c>
      <c r="B3201" s="177" t="n">
        <v>47393</v>
      </c>
      <c r="C3201" s="177" t="n">
        <v>47399</v>
      </c>
      <c r="D3201" t="inlineStr">
        <is>
          <t>BW20291002</t>
        </is>
      </c>
      <c r="E3201" t="n">
        <v>2029</v>
      </c>
      <c r="F3201" t="inlineStr">
        <is>
          <t>Październik</t>
        </is>
      </c>
      <c r="G3201" t="inlineStr">
        <is>
          <t>Pt</t>
        </is>
      </c>
      <c r="H3201">
        <f>'Floor Hours Engine'!$E$5</f>
        <v/>
      </c>
      <c r="I3201" t="inlineStr">
        <is>
          <t>W2</t>
        </is>
      </c>
      <c r="J3201" t="inlineStr">
        <is>
          <t>2029_Październik_W2</t>
        </is>
      </c>
    </row>
    <row r="3202">
      <c r="A3202" s="177" t="n">
        <v>47397</v>
      </c>
      <c r="B3202" s="177" t="n">
        <v>47393</v>
      </c>
      <c r="C3202" s="177" t="n">
        <v>47399</v>
      </c>
      <c r="D3202" t="inlineStr">
        <is>
          <t>BW20291002</t>
        </is>
      </c>
      <c r="E3202" t="n">
        <v>2029</v>
      </c>
      <c r="F3202" t="inlineStr">
        <is>
          <t>Październik</t>
        </is>
      </c>
      <c r="G3202" t="inlineStr">
        <is>
          <t>Sob</t>
        </is>
      </c>
      <c r="H3202">
        <f>'Floor Hours Engine'!$E$5</f>
        <v/>
      </c>
      <c r="I3202" t="inlineStr">
        <is>
          <t>W2</t>
        </is>
      </c>
      <c r="J3202" t="inlineStr">
        <is>
          <t>2029_Październik_W2</t>
        </is>
      </c>
    </row>
    <row r="3203">
      <c r="A3203" s="177" t="n">
        <v>47398</v>
      </c>
      <c r="B3203" s="177" t="n">
        <v>47393</v>
      </c>
      <c r="C3203" s="177" t="n">
        <v>47399</v>
      </c>
      <c r="D3203" t="inlineStr">
        <is>
          <t>BW20291002</t>
        </is>
      </c>
      <c r="E3203" t="n">
        <v>2029</v>
      </c>
      <c r="F3203" t="inlineStr">
        <is>
          <t>Październik</t>
        </is>
      </c>
      <c r="G3203" t="inlineStr">
        <is>
          <t>Nd</t>
        </is>
      </c>
      <c r="H3203">
        <f>'Floor Hours Engine'!$E$6</f>
        <v/>
      </c>
      <c r="I3203" t="inlineStr">
        <is>
          <t>W2</t>
        </is>
      </c>
      <c r="J3203" t="inlineStr">
        <is>
          <t>2029_Październik_W2</t>
        </is>
      </c>
    </row>
    <row r="3204">
      <c r="A3204" s="177" t="n">
        <v>47399</v>
      </c>
      <c r="B3204" s="177" t="n">
        <v>47393</v>
      </c>
      <c r="C3204" s="177" t="n">
        <v>47399</v>
      </c>
      <c r="D3204" t="inlineStr">
        <is>
          <t>BW20291002</t>
        </is>
      </c>
      <c r="E3204" t="n">
        <v>2029</v>
      </c>
      <c r="F3204" t="inlineStr">
        <is>
          <t>Październik</t>
        </is>
      </c>
      <c r="G3204" t="inlineStr">
        <is>
          <t>Pn</t>
        </is>
      </c>
      <c r="H3204">
        <f>'Floor Hours Engine'!$E$4</f>
        <v/>
      </c>
      <c r="I3204" t="inlineStr">
        <is>
          <t>W2</t>
        </is>
      </c>
      <c r="J3204" t="inlineStr">
        <is>
          <t>2029_Październik_W2</t>
        </is>
      </c>
    </row>
    <row r="3205">
      <c r="A3205" s="177" t="n">
        <v>47400</v>
      </c>
      <c r="B3205" s="177" t="n">
        <v>47400</v>
      </c>
      <c r="C3205" s="177" t="n">
        <v>47406</v>
      </c>
      <c r="D3205" t="inlineStr">
        <is>
          <t>BW20291009</t>
        </is>
      </c>
      <c r="E3205" t="n">
        <v>2029</v>
      </c>
      <c r="F3205" t="inlineStr">
        <is>
          <t>Październik</t>
        </is>
      </c>
      <c r="G3205" t="inlineStr">
        <is>
          <t>Wt</t>
        </is>
      </c>
      <c r="H3205">
        <f>'Floor Hours Engine'!$E$4</f>
        <v/>
      </c>
      <c r="I3205" t="inlineStr">
        <is>
          <t>W3</t>
        </is>
      </c>
      <c r="J3205" t="inlineStr">
        <is>
          <t>2029_Październik_W3</t>
        </is>
      </c>
    </row>
    <row r="3206">
      <c r="A3206" s="177" t="n">
        <v>47401</v>
      </c>
      <c r="B3206" s="177" t="n">
        <v>47400</v>
      </c>
      <c r="C3206" s="177" t="n">
        <v>47406</v>
      </c>
      <c r="D3206" t="inlineStr">
        <is>
          <t>BW20291009</t>
        </is>
      </c>
      <c r="E3206" t="n">
        <v>2029</v>
      </c>
      <c r="F3206" t="inlineStr">
        <is>
          <t>Październik</t>
        </is>
      </c>
      <c r="G3206" t="inlineStr">
        <is>
          <t>Śr</t>
        </is>
      </c>
      <c r="H3206">
        <f>'Floor Hours Engine'!$E$4</f>
        <v/>
      </c>
      <c r="I3206" t="inlineStr">
        <is>
          <t>W3</t>
        </is>
      </c>
      <c r="J3206" t="inlineStr">
        <is>
          <t>2029_Październik_W3</t>
        </is>
      </c>
    </row>
    <row r="3207">
      <c r="A3207" s="177" t="n">
        <v>47402</v>
      </c>
      <c r="B3207" s="177" t="n">
        <v>47400</v>
      </c>
      <c r="C3207" s="177" t="n">
        <v>47406</v>
      </c>
      <c r="D3207" t="inlineStr">
        <is>
          <t>BW20291009</t>
        </is>
      </c>
      <c r="E3207" t="n">
        <v>2029</v>
      </c>
      <c r="F3207" t="inlineStr">
        <is>
          <t>Październik</t>
        </is>
      </c>
      <c r="G3207" t="inlineStr">
        <is>
          <t>Czw</t>
        </is>
      </c>
      <c r="H3207">
        <f>'Floor Hours Engine'!$E$4</f>
        <v/>
      </c>
      <c r="I3207" t="inlineStr">
        <is>
          <t>W3</t>
        </is>
      </c>
      <c r="J3207" t="inlineStr">
        <is>
          <t>2029_Październik_W3</t>
        </is>
      </c>
    </row>
    <row r="3208">
      <c r="A3208" s="177" t="n">
        <v>47403</v>
      </c>
      <c r="B3208" s="177" t="n">
        <v>47400</v>
      </c>
      <c r="C3208" s="177" t="n">
        <v>47406</v>
      </c>
      <c r="D3208" t="inlineStr">
        <is>
          <t>BW20291009</t>
        </is>
      </c>
      <c r="E3208" t="n">
        <v>2029</v>
      </c>
      <c r="F3208" t="inlineStr">
        <is>
          <t>Październik</t>
        </is>
      </c>
      <c r="G3208" t="inlineStr">
        <is>
          <t>Pt</t>
        </is>
      </c>
      <c r="H3208">
        <f>'Floor Hours Engine'!$E$5</f>
        <v/>
      </c>
      <c r="I3208" t="inlineStr">
        <is>
          <t>W3</t>
        </is>
      </c>
      <c r="J3208" t="inlineStr">
        <is>
          <t>2029_Październik_W3</t>
        </is>
      </c>
    </row>
    <row r="3209">
      <c r="A3209" s="177" t="n">
        <v>47404</v>
      </c>
      <c r="B3209" s="177" t="n">
        <v>47400</v>
      </c>
      <c r="C3209" s="177" t="n">
        <v>47406</v>
      </c>
      <c r="D3209" t="inlineStr">
        <is>
          <t>BW20291009</t>
        </is>
      </c>
      <c r="E3209" t="n">
        <v>2029</v>
      </c>
      <c r="F3209" t="inlineStr">
        <is>
          <t>Październik</t>
        </is>
      </c>
      <c r="G3209" t="inlineStr">
        <is>
          <t>Sob</t>
        </is>
      </c>
      <c r="H3209">
        <f>'Floor Hours Engine'!$E$5</f>
        <v/>
      </c>
      <c r="I3209" t="inlineStr">
        <is>
          <t>W3</t>
        </is>
      </c>
      <c r="J3209" t="inlineStr">
        <is>
          <t>2029_Październik_W3</t>
        </is>
      </c>
    </row>
    <row r="3210">
      <c r="A3210" s="177" t="n">
        <v>47405</v>
      </c>
      <c r="B3210" s="177" t="n">
        <v>47400</v>
      </c>
      <c r="C3210" s="177" t="n">
        <v>47406</v>
      </c>
      <c r="D3210" t="inlineStr">
        <is>
          <t>BW20291009</t>
        </is>
      </c>
      <c r="E3210" t="n">
        <v>2029</v>
      </c>
      <c r="F3210" t="inlineStr">
        <is>
          <t>Październik</t>
        </is>
      </c>
      <c r="G3210" t="inlineStr">
        <is>
          <t>Nd</t>
        </is>
      </c>
      <c r="H3210">
        <f>'Floor Hours Engine'!$E$6</f>
        <v/>
      </c>
      <c r="I3210" t="inlineStr">
        <is>
          <t>W3</t>
        </is>
      </c>
      <c r="J3210" t="inlineStr">
        <is>
          <t>2029_Październik_W3</t>
        </is>
      </c>
    </row>
    <row r="3211">
      <c r="A3211" s="177" t="n">
        <v>47406</v>
      </c>
      <c r="B3211" s="177" t="n">
        <v>47400</v>
      </c>
      <c r="C3211" s="177" t="n">
        <v>47406</v>
      </c>
      <c r="D3211" t="inlineStr">
        <is>
          <t>BW20291009</t>
        </is>
      </c>
      <c r="E3211" t="n">
        <v>2029</v>
      </c>
      <c r="F3211" t="inlineStr">
        <is>
          <t>Październik</t>
        </is>
      </c>
      <c r="G3211" t="inlineStr">
        <is>
          <t>Pn</t>
        </is>
      </c>
      <c r="H3211">
        <f>'Floor Hours Engine'!$E$4</f>
        <v/>
      </c>
      <c r="I3211" t="inlineStr">
        <is>
          <t>W3</t>
        </is>
      </c>
      <c r="J3211" t="inlineStr">
        <is>
          <t>2029_Październik_W3</t>
        </is>
      </c>
    </row>
    <row r="3212">
      <c r="A3212" s="177" t="n">
        <v>47407</v>
      </c>
      <c r="B3212" s="177" t="n">
        <v>47407</v>
      </c>
      <c r="C3212" s="177" t="n">
        <v>47413</v>
      </c>
      <c r="D3212" t="inlineStr">
        <is>
          <t>BW20291016</t>
        </is>
      </c>
      <c r="E3212" t="n">
        <v>2029</v>
      </c>
      <c r="F3212" t="inlineStr">
        <is>
          <t>Październik</t>
        </is>
      </c>
      <c r="G3212" t="inlineStr">
        <is>
          <t>Wt</t>
        </is>
      </c>
      <c r="H3212">
        <f>'Floor Hours Engine'!$E$4</f>
        <v/>
      </c>
      <c r="I3212" t="inlineStr">
        <is>
          <t>W4</t>
        </is>
      </c>
      <c r="J3212" t="inlineStr">
        <is>
          <t>2029_Październik_W4</t>
        </is>
      </c>
    </row>
    <row r="3213">
      <c r="A3213" s="177" t="n">
        <v>47408</v>
      </c>
      <c r="B3213" s="177" t="n">
        <v>47407</v>
      </c>
      <c r="C3213" s="177" t="n">
        <v>47413</v>
      </c>
      <c r="D3213" t="inlineStr">
        <is>
          <t>BW20291016</t>
        </is>
      </c>
      <c r="E3213" t="n">
        <v>2029</v>
      </c>
      <c r="F3213" t="inlineStr">
        <is>
          <t>Październik</t>
        </is>
      </c>
      <c r="G3213" t="inlineStr">
        <is>
          <t>Śr</t>
        </is>
      </c>
      <c r="H3213">
        <f>'Floor Hours Engine'!$E$4</f>
        <v/>
      </c>
      <c r="I3213" t="inlineStr">
        <is>
          <t>W4</t>
        </is>
      </c>
      <c r="J3213" t="inlineStr">
        <is>
          <t>2029_Październik_W4</t>
        </is>
      </c>
    </row>
    <row r="3214">
      <c r="A3214" s="177" t="n">
        <v>47409</v>
      </c>
      <c r="B3214" s="177" t="n">
        <v>47407</v>
      </c>
      <c r="C3214" s="177" t="n">
        <v>47413</v>
      </c>
      <c r="D3214" t="inlineStr">
        <is>
          <t>BW20291016</t>
        </is>
      </c>
      <c r="E3214" t="n">
        <v>2029</v>
      </c>
      <c r="F3214" t="inlineStr">
        <is>
          <t>Październik</t>
        </is>
      </c>
      <c r="G3214" t="inlineStr">
        <is>
          <t>Czw</t>
        </is>
      </c>
      <c r="H3214">
        <f>'Floor Hours Engine'!$E$4</f>
        <v/>
      </c>
      <c r="I3214" t="inlineStr">
        <is>
          <t>W4</t>
        </is>
      </c>
      <c r="J3214" t="inlineStr">
        <is>
          <t>2029_Październik_W4</t>
        </is>
      </c>
    </row>
    <row r="3215">
      <c r="A3215" s="177" t="n">
        <v>47410</v>
      </c>
      <c r="B3215" s="177" t="n">
        <v>47407</v>
      </c>
      <c r="C3215" s="177" t="n">
        <v>47413</v>
      </c>
      <c r="D3215" t="inlineStr">
        <is>
          <t>BW20291016</t>
        </is>
      </c>
      <c r="E3215" t="n">
        <v>2029</v>
      </c>
      <c r="F3215" t="inlineStr">
        <is>
          <t>Październik</t>
        </is>
      </c>
      <c r="G3215" t="inlineStr">
        <is>
          <t>Pt</t>
        </is>
      </c>
      <c r="H3215">
        <f>'Floor Hours Engine'!$E$5</f>
        <v/>
      </c>
      <c r="I3215" t="inlineStr">
        <is>
          <t>W4</t>
        </is>
      </c>
      <c r="J3215" t="inlineStr">
        <is>
          <t>2029_Październik_W4</t>
        </is>
      </c>
    </row>
    <row r="3216">
      <c r="A3216" s="177" t="n">
        <v>47411</v>
      </c>
      <c r="B3216" s="177" t="n">
        <v>47407</v>
      </c>
      <c r="C3216" s="177" t="n">
        <v>47413</v>
      </c>
      <c r="D3216" t="inlineStr">
        <is>
          <t>BW20291016</t>
        </is>
      </c>
      <c r="E3216" t="n">
        <v>2029</v>
      </c>
      <c r="F3216" t="inlineStr">
        <is>
          <t>Październik</t>
        </is>
      </c>
      <c r="G3216" t="inlineStr">
        <is>
          <t>Sob</t>
        </is>
      </c>
      <c r="H3216">
        <f>'Floor Hours Engine'!$E$5</f>
        <v/>
      </c>
      <c r="I3216" t="inlineStr">
        <is>
          <t>W4</t>
        </is>
      </c>
      <c r="J3216" t="inlineStr">
        <is>
          <t>2029_Październik_W4</t>
        </is>
      </c>
    </row>
    <row r="3217">
      <c r="A3217" s="177" t="n">
        <v>47412</v>
      </c>
      <c r="B3217" s="177" t="n">
        <v>47407</v>
      </c>
      <c r="C3217" s="177" t="n">
        <v>47413</v>
      </c>
      <c r="D3217" t="inlineStr">
        <is>
          <t>BW20291016</t>
        </is>
      </c>
      <c r="E3217" t="n">
        <v>2029</v>
      </c>
      <c r="F3217" t="inlineStr">
        <is>
          <t>Październik</t>
        </is>
      </c>
      <c r="G3217" t="inlineStr">
        <is>
          <t>Nd</t>
        </is>
      </c>
      <c r="H3217">
        <f>'Floor Hours Engine'!$E$6</f>
        <v/>
      </c>
      <c r="I3217" t="inlineStr">
        <is>
          <t>W4</t>
        </is>
      </c>
      <c r="J3217" t="inlineStr">
        <is>
          <t>2029_Październik_W4</t>
        </is>
      </c>
    </row>
    <row r="3218">
      <c r="A3218" s="177" t="n">
        <v>47413</v>
      </c>
      <c r="B3218" s="177" t="n">
        <v>47407</v>
      </c>
      <c r="C3218" s="177" t="n">
        <v>47413</v>
      </c>
      <c r="D3218" t="inlineStr">
        <is>
          <t>BW20291016</t>
        </is>
      </c>
      <c r="E3218" t="n">
        <v>2029</v>
      </c>
      <c r="F3218" t="inlineStr">
        <is>
          <t>Październik</t>
        </is>
      </c>
      <c r="G3218" t="inlineStr">
        <is>
          <t>Pn</t>
        </is>
      </c>
      <c r="H3218">
        <f>'Floor Hours Engine'!$E$4</f>
        <v/>
      </c>
      <c r="I3218" t="inlineStr">
        <is>
          <t>W4</t>
        </is>
      </c>
      <c r="J3218" t="inlineStr">
        <is>
          <t>2029_Październik_W4</t>
        </is>
      </c>
    </row>
    <row r="3219">
      <c r="A3219" s="177" t="n">
        <v>47414</v>
      </c>
      <c r="B3219" s="177" t="n">
        <v>47414</v>
      </c>
      <c r="C3219" s="177" t="n">
        <v>47420</v>
      </c>
      <c r="D3219" t="inlineStr">
        <is>
          <t>BW20291023</t>
        </is>
      </c>
      <c r="E3219" t="n">
        <v>2029</v>
      </c>
      <c r="F3219" t="inlineStr">
        <is>
          <t>Październik</t>
        </is>
      </c>
      <c r="G3219" t="inlineStr">
        <is>
          <t>Wt</t>
        </is>
      </c>
      <c r="H3219">
        <f>'Floor Hours Engine'!$E$4</f>
        <v/>
      </c>
      <c r="I3219" t="inlineStr">
        <is>
          <t>W5</t>
        </is>
      </c>
      <c r="J3219" t="inlineStr">
        <is>
          <t>2029_Październik_W5</t>
        </is>
      </c>
    </row>
    <row r="3220">
      <c r="A3220" s="177" t="n">
        <v>47415</v>
      </c>
      <c r="B3220" s="177" t="n">
        <v>47414</v>
      </c>
      <c r="C3220" s="177" t="n">
        <v>47420</v>
      </c>
      <c r="D3220" t="inlineStr">
        <is>
          <t>BW20291023</t>
        </is>
      </c>
      <c r="E3220" t="n">
        <v>2029</v>
      </c>
      <c r="F3220" t="inlineStr">
        <is>
          <t>Październik</t>
        </is>
      </c>
      <c r="G3220" t="inlineStr">
        <is>
          <t>Śr</t>
        </is>
      </c>
      <c r="H3220">
        <f>'Floor Hours Engine'!$E$4</f>
        <v/>
      </c>
      <c r="I3220" t="inlineStr">
        <is>
          <t>W5</t>
        </is>
      </c>
      <c r="J3220" t="inlineStr">
        <is>
          <t>2029_Październik_W5</t>
        </is>
      </c>
    </row>
    <row r="3221">
      <c r="A3221" s="177" t="n">
        <v>47416</v>
      </c>
      <c r="B3221" s="177" t="n">
        <v>47414</v>
      </c>
      <c r="C3221" s="177" t="n">
        <v>47420</v>
      </c>
      <c r="D3221" t="inlineStr">
        <is>
          <t>BW20291023</t>
        </is>
      </c>
      <c r="E3221" t="n">
        <v>2029</v>
      </c>
      <c r="F3221" t="inlineStr">
        <is>
          <t>Październik</t>
        </is>
      </c>
      <c r="G3221" t="inlineStr">
        <is>
          <t>Czw</t>
        </is>
      </c>
      <c r="H3221">
        <f>'Floor Hours Engine'!$E$4</f>
        <v/>
      </c>
      <c r="I3221" t="inlineStr">
        <is>
          <t>W5</t>
        </is>
      </c>
      <c r="J3221" t="inlineStr">
        <is>
          <t>2029_Październik_W5</t>
        </is>
      </c>
    </row>
    <row r="3222">
      <c r="A3222" s="177" t="n">
        <v>47417</v>
      </c>
      <c r="B3222" s="177" t="n">
        <v>47414</v>
      </c>
      <c r="C3222" s="177" t="n">
        <v>47420</v>
      </c>
      <c r="D3222" t="inlineStr">
        <is>
          <t>BW20291023</t>
        </is>
      </c>
      <c r="E3222" t="n">
        <v>2029</v>
      </c>
      <c r="F3222" t="inlineStr">
        <is>
          <t>Październik</t>
        </is>
      </c>
      <c r="G3222" t="inlineStr">
        <is>
          <t>Pt</t>
        </is>
      </c>
      <c r="H3222">
        <f>'Floor Hours Engine'!$E$5</f>
        <v/>
      </c>
      <c r="I3222" t="inlineStr">
        <is>
          <t>W5</t>
        </is>
      </c>
      <c r="J3222" t="inlineStr">
        <is>
          <t>2029_Październik_W5</t>
        </is>
      </c>
    </row>
    <row r="3223">
      <c r="A3223" s="177" t="n">
        <v>47418</v>
      </c>
      <c r="B3223" s="177" t="n">
        <v>47414</v>
      </c>
      <c r="C3223" s="177" t="n">
        <v>47420</v>
      </c>
      <c r="D3223" t="inlineStr">
        <is>
          <t>BW20291023</t>
        </is>
      </c>
      <c r="E3223" t="n">
        <v>2029</v>
      </c>
      <c r="F3223" t="inlineStr">
        <is>
          <t>Październik</t>
        </is>
      </c>
      <c r="G3223" t="inlineStr">
        <is>
          <t>Sob</t>
        </is>
      </c>
      <c r="H3223">
        <f>'Floor Hours Engine'!$E$5</f>
        <v/>
      </c>
      <c r="I3223" t="inlineStr">
        <is>
          <t>W5</t>
        </is>
      </c>
      <c r="J3223" t="inlineStr">
        <is>
          <t>2029_Październik_W5</t>
        </is>
      </c>
    </row>
    <row r="3224">
      <c r="A3224" s="177" t="n">
        <v>47419</v>
      </c>
      <c r="B3224" s="177" t="n">
        <v>47414</v>
      </c>
      <c r="C3224" s="177" t="n">
        <v>47420</v>
      </c>
      <c r="D3224" t="inlineStr">
        <is>
          <t>BW20291023</t>
        </is>
      </c>
      <c r="E3224" t="n">
        <v>2029</v>
      </c>
      <c r="F3224" t="inlineStr">
        <is>
          <t>Październik</t>
        </is>
      </c>
      <c r="G3224" t="inlineStr">
        <is>
          <t>Nd</t>
        </is>
      </c>
      <c r="H3224">
        <f>'Floor Hours Engine'!$E$6</f>
        <v/>
      </c>
      <c r="I3224" t="inlineStr">
        <is>
          <t>W5</t>
        </is>
      </c>
      <c r="J3224" t="inlineStr">
        <is>
          <t>2029_Październik_W5</t>
        </is>
      </c>
    </row>
    <row r="3225">
      <c r="A3225" s="177" t="n">
        <v>47420</v>
      </c>
      <c r="B3225" s="177" t="n">
        <v>47414</v>
      </c>
      <c r="C3225" s="177" t="n">
        <v>47420</v>
      </c>
      <c r="D3225" t="inlineStr">
        <is>
          <t>BW20291023</t>
        </is>
      </c>
      <c r="E3225" t="n">
        <v>2029</v>
      </c>
      <c r="F3225" t="inlineStr">
        <is>
          <t>Październik</t>
        </is>
      </c>
      <c r="G3225" t="inlineStr">
        <is>
          <t>Pn</t>
        </is>
      </c>
      <c r="H3225">
        <f>'Floor Hours Engine'!$E$4</f>
        <v/>
      </c>
      <c r="I3225" t="inlineStr">
        <is>
          <t>W5</t>
        </is>
      </c>
      <c r="J3225" t="inlineStr">
        <is>
          <t>2029_Październik_W5</t>
        </is>
      </c>
    </row>
    <row r="3226">
      <c r="A3226" s="177" t="n">
        <v>47421</v>
      </c>
      <c r="B3226" s="177" t="n">
        <v>47421</v>
      </c>
      <c r="C3226" s="177" t="n">
        <v>47427</v>
      </c>
      <c r="D3226" t="inlineStr">
        <is>
          <t>BW20291030</t>
        </is>
      </c>
      <c r="E3226" t="n">
        <v>2029</v>
      </c>
      <c r="F3226" t="inlineStr">
        <is>
          <t>Październik</t>
        </is>
      </c>
      <c r="G3226" t="inlineStr">
        <is>
          <t>Wt</t>
        </is>
      </c>
      <c r="H3226">
        <f>'Floor Hours Engine'!$E$4</f>
        <v/>
      </c>
      <c r="I3226" t="inlineStr">
        <is>
          <t>W6</t>
        </is>
      </c>
      <c r="J3226" t="inlineStr">
        <is>
          <t>2029_Październik_W6</t>
        </is>
      </c>
    </row>
    <row r="3227">
      <c r="A3227" s="177" t="n">
        <v>47422</v>
      </c>
      <c r="B3227" s="177" t="n">
        <v>47421</v>
      </c>
      <c r="C3227" s="177" t="n">
        <v>47427</v>
      </c>
      <c r="D3227" t="inlineStr">
        <is>
          <t>BW20291030</t>
        </is>
      </c>
      <c r="E3227" t="n">
        <v>2029</v>
      </c>
      <c r="F3227" t="inlineStr">
        <is>
          <t>Październik</t>
        </is>
      </c>
      <c r="G3227" t="inlineStr">
        <is>
          <t>Śr</t>
        </is>
      </c>
      <c r="H3227">
        <f>'Floor Hours Engine'!$E$4</f>
        <v/>
      </c>
      <c r="I3227" t="inlineStr">
        <is>
          <t>W6</t>
        </is>
      </c>
      <c r="J3227" t="inlineStr">
        <is>
          <t>2029_Październik_W6</t>
        </is>
      </c>
    </row>
    <row r="3228">
      <c r="A3228" s="177" t="n">
        <v>47423</v>
      </c>
      <c r="B3228" s="177" t="n">
        <v>47421</v>
      </c>
      <c r="C3228" s="177" t="n">
        <v>47427</v>
      </c>
      <c r="D3228" t="inlineStr">
        <is>
          <t>BW20291030</t>
        </is>
      </c>
      <c r="E3228" t="n">
        <v>2029</v>
      </c>
      <c r="F3228" t="inlineStr">
        <is>
          <t>Listopad</t>
        </is>
      </c>
      <c r="G3228" t="inlineStr">
        <is>
          <t>Czw</t>
        </is>
      </c>
      <c r="H3228">
        <f>'Floor Hours Engine'!$E$4</f>
        <v/>
      </c>
      <c r="I3228" t="inlineStr">
        <is>
          <t>W1</t>
        </is>
      </c>
      <c r="J3228" t="inlineStr">
        <is>
          <t>2029_Listopad_W1</t>
        </is>
      </c>
    </row>
    <row r="3229">
      <c r="A3229" s="177" t="n">
        <v>47424</v>
      </c>
      <c r="B3229" s="177" t="n">
        <v>47421</v>
      </c>
      <c r="C3229" s="177" t="n">
        <v>47427</v>
      </c>
      <c r="D3229" t="inlineStr">
        <is>
          <t>BW20291030</t>
        </is>
      </c>
      <c r="E3229" t="n">
        <v>2029</v>
      </c>
      <c r="F3229" t="inlineStr">
        <is>
          <t>Listopad</t>
        </is>
      </c>
      <c r="G3229" t="inlineStr">
        <is>
          <t>Pt</t>
        </is>
      </c>
      <c r="H3229">
        <f>'Floor Hours Engine'!$E$5</f>
        <v/>
      </c>
      <c r="I3229" t="inlineStr">
        <is>
          <t>W1</t>
        </is>
      </c>
      <c r="J3229" t="inlineStr">
        <is>
          <t>2029_Listopad_W1</t>
        </is>
      </c>
    </row>
    <row r="3230">
      <c r="A3230" s="177" t="n">
        <v>47425</v>
      </c>
      <c r="B3230" s="177" t="n">
        <v>47421</v>
      </c>
      <c r="C3230" s="177" t="n">
        <v>47427</v>
      </c>
      <c r="D3230" t="inlineStr">
        <is>
          <t>BW20291030</t>
        </is>
      </c>
      <c r="E3230" t="n">
        <v>2029</v>
      </c>
      <c r="F3230" t="inlineStr">
        <is>
          <t>Listopad</t>
        </is>
      </c>
      <c r="G3230" t="inlineStr">
        <is>
          <t>Sob</t>
        </is>
      </c>
      <c r="H3230">
        <f>'Floor Hours Engine'!$E$5</f>
        <v/>
      </c>
      <c r="I3230" t="inlineStr">
        <is>
          <t>W1</t>
        </is>
      </c>
      <c r="J3230" t="inlineStr">
        <is>
          <t>2029_Listopad_W1</t>
        </is>
      </c>
    </row>
    <row r="3231">
      <c r="A3231" s="177" t="n">
        <v>47426</v>
      </c>
      <c r="B3231" s="177" t="n">
        <v>47421</v>
      </c>
      <c r="C3231" s="177" t="n">
        <v>47427</v>
      </c>
      <c r="D3231" t="inlineStr">
        <is>
          <t>BW20291030</t>
        </is>
      </c>
      <c r="E3231" t="n">
        <v>2029</v>
      </c>
      <c r="F3231" t="inlineStr">
        <is>
          <t>Listopad</t>
        </is>
      </c>
      <c r="G3231" t="inlineStr">
        <is>
          <t>Nd</t>
        </is>
      </c>
      <c r="H3231">
        <f>'Floor Hours Engine'!$E$6</f>
        <v/>
      </c>
      <c r="I3231" t="inlineStr">
        <is>
          <t>W1</t>
        </is>
      </c>
      <c r="J3231" t="inlineStr">
        <is>
          <t>2029_Listopad_W1</t>
        </is>
      </c>
    </row>
    <row r="3232">
      <c r="A3232" s="177" t="n">
        <v>47427</v>
      </c>
      <c r="B3232" s="177" t="n">
        <v>47421</v>
      </c>
      <c r="C3232" s="177" t="n">
        <v>47427</v>
      </c>
      <c r="D3232" t="inlineStr">
        <is>
          <t>BW20291030</t>
        </is>
      </c>
      <c r="E3232" t="n">
        <v>2029</v>
      </c>
      <c r="F3232" t="inlineStr">
        <is>
          <t>Listopad</t>
        </is>
      </c>
      <c r="G3232" t="inlineStr">
        <is>
          <t>Pn</t>
        </is>
      </c>
      <c r="H3232">
        <f>'Floor Hours Engine'!$E$4</f>
        <v/>
      </c>
      <c r="I3232" t="inlineStr">
        <is>
          <t>W1</t>
        </is>
      </c>
      <c r="J3232" t="inlineStr">
        <is>
          <t>2029_Listopad_W1</t>
        </is>
      </c>
    </row>
    <row r="3233">
      <c r="A3233" s="177" t="n">
        <v>47428</v>
      </c>
      <c r="B3233" s="177" t="n">
        <v>47428</v>
      </c>
      <c r="C3233" s="177" t="n">
        <v>47434</v>
      </c>
      <c r="D3233" t="inlineStr">
        <is>
          <t>BW20291106</t>
        </is>
      </c>
      <c r="E3233" t="n">
        <v>2029</v>
      </c>
      <c r="F3233" t="inlineStr">
        <is>
          <t>Listopad</t>
        </is>
      </c>
      <c r="G3233" t="inlineStr">
        <is>
          <t>Wt</t>
        </is>
      </c>
      <c r="H3233">
        <f>'Floor Hours Engine'!$E$4</f>
        <v/>
      </c>
      <c r="I3233" t="inlineStr">
        <is>
          <t>W2</t>
        </is>
      </c>
      <c r="J3233" t="inlineStr">
        <is>
          <t>2029_Listopad_W2</t>
        </is>
      </c>
    </row>
    <row r="3234">
      <c r="A3234" s="177" t="n">
        <v>47429</v>
      </c>
      <c r="B3234" s="177" t="n">
        <v>47428</v>
      </c>
      <c r="C3234" s="177" t="n">
        <v>47434</v>
      </c>
      <c r="D3234" t="inlineStr">
        <is>
          <t>BW20291106</t>
        </is>
      </c>
      <c r="E3234" t="n">
        <v>2029</v>
      </c>
      <c r="F3234" t="inlineStr">
        <is>
          <t>Listopad</t>
        </is>
      </c>
      <c r="G3234" t="inlineStr">
        <is>
          <t>Śr</t>
        </is>
      </c>
      <c r="H3234">
        <f>'Floor Hours Engine'!$E$4</f>
        <v/>
      </c>
      <c r="I3234" t="inlineStr">
        <is>
          <t>W2</t>
        </is>
      </c>
      <c r="J3234" t="inlineStr">
        <is>
          <t>2029_Listopad_W2</t>
        </is>
      </c>
    </row>
    <row r="3235">
      <c r="A3235" s="177" t="n">
        <v>47430</v>
      </c>
      <c r="B3235" s="177" t="n">
        <v>47428</v>
      </c>
      <c r="C3235" s="177" t="n">
        <v>47434</v>
      </c>
      <c r="D3235" t="inlineStr">
        <is>
          <t>BW20291106</t>
        </is>
      </c>
      <c r="E3235" t="n">
        <v>2029</v>
      </c>
      <c r="F3235" t="inlineStr">
        <is>
          <t>Listopad</t>
        </is>
      </c>
      <c r="G3235" t="inlineStr">
        <is>
          <t>Czw</t>
        </is>
      </c>
      <c r="H3235">
        <f>'Floor Hours Engine'!$E$4</f>
        <v/>
      </c>
      <c r="I3235" t="inlineStr">
        <is>
          <t>W2</t>
        </is>
      </c>
      <c r="J3235" t="inlineStr">
        <is>
          <t>2029_Listopad_W2</t>
        </is>
      </c>
    </row>
    <row r="3236">
      <c r="A3236" s="177" t="n">
        <v>47431</v>
      </c>
      <c r="B3236" s="177" t="n">
        <v>47428</v>
      </c>
      <c r="C3236" s="177" t="n">
        <v>47434</v>
      </c>
      <c r="D3236" t="inlineStr">
        <is>
          <t>BW20291106</t>
        </is>
      </c>
      <c r="E3236" t="n">
        <v>2029</v>
      </c>
      <c r="F3236" t="inlineStr">
        <is>
          <t>Listopad</t>
        </is>
      </c>
      <c r="G3236" t="inlineStr">
        <is>
          <t>Pt</t>
        </is>
      </c>
      <c r="H3236">
        <f>'Floor Hours Engine'!$E$5</f>
        <v/>
      </c>
      <c r="I3236" t="inlineStr">
        <is>
          <t>W2</t>
        </is>
      </c>
      <c r="J3236" t="inlineStr">
        <is>
          <t>2029_Listopad_W2</t>
        </is>
      </c>
    </row>
    <row r="3237">
      <c r="A3237" s="177" t="n">
        <v>47432</v>
      </c>
      <c r="B3237" s="177" t="n">
        <v>47428</v>
      </c>
      <c r="C3237" s="177" t="n">
        <v>47434</v>
      </c>
      <c r="D3237" t="inlineStr">
        <is>
          <t>BW20291106</t>
        </is>
      </c>
      <c r="E3237" t="n">
        <v>2029</v>
      </c>
      <c r="F3237" t="inlineStr">
        <is>
          <t>Listopad</t>
        </is>
      </c>
      <c r="G3237" t="inlineStr">
        <is>
          <t>Sob</t>
        </is>
      </c>
      <c r="H3237">
        <f>'Floor Hours Engine'!$E$5</f>
        <v/>
      </c>
      <c r="I3237" t="inlineStr">
        <is>
          <t>W2</t>
        </is>
      </c>
      <c r="J3237" t="inlineStr">
        <is>
          <t>2029_Listopad_W2</t>
        </is>
      </c>
    </row>
    <row r="3238">
      <c r="A3238" s="177" t="n">
        <v>47433</v>
      </c>
      <c r="B3238" s="177" t="n">
        <v>47428</v>
      </c>
      <c r="C3238" s="177" t="n">
        <v>47434</v>
      </c>
      <c r="D3238" t="inlineStr">
        <is>
          <t>BW20291106</t>
        </is>
      </c>
      <c r="E3238" t="n">
        <v>2029</v>
      </c>
      <c r="F3238" t="inlineStr">
        <is>
          <t>Listopad</t>
        </is>
      </c>
      <c r="G3238" t="inlineStr">
        <is>
          <t>Nd</t>
        </is>
      </c>
      <c r="H3238">
        <f>'Floor Hours Engine'!$E$6</f>
        <v/>
      </c>
      <c r="I3238" t="inlineStr">
        <is>
          <t>W2</t>
        </is>
      </c>
      <c r="J3238" t="inlineStr">
        <is>
          <t>2029_Listopad_W2</t>
        </is>
      </c>
    </row>
    <row r="3239">
      <c r="A3239" s="177" t="n">
        <v>47434</v>
      </c>
      <c r="B3239" s="177" t="n">
        <v>47428</v>
      </c>
      <c r="C3239" s="177" t="n">
        <v>47434</v>
      </c>
      <c r="D3239" t="inlineStr">
        <is>
          <t>BW20291106</t>
        </is>
      </c>
      <c r="E3239" t="n">
        <v>2029</v>
      </c>
      <c r="F3239" t="inlineStr">
        <is>
          <t>Listopad</t>
        </is>
      </c>
      <c r="G3239" t="inlineStr">
        <is>
          <t>Pn</t>
        </is>
      </c>
      <c r="H3239">
        <f>'Floor Hours Engine'!$E$4</f>
        <v/>
      </c>
      <c r="I3239" t="inlineStr">
        <is>
          <t>W2</t>
        </is>
      </c>
      <c r="J3239" t="inlineStr">
        <is>
          <t>2029_Listopad_W2</t>
        </is>
      </c>
    </row>
    <row r="3240">
      <c r="A3240" s="177" t="n">
        <v>47435</v>
      </c>
      <c r="B3240" s="177" t="n">
        <v>47435</v>
      </c>
      <c r="C3240" s="177" t="n">
        <v>47441</v>
      </c>
      <c r="D3240" t="inlineStr">
        <is>
          <t>BW20291113</t>
        </is>
      </c>
      <c r="E3240" t="n">
        <v>2029</v>
      </c>
      <c r="F3240" t="inlineStr">
        <is>
          <t>Listopad</t>
        </is>
      </c>
      <c r="G3240" t="inlineStr">
        <is>
          <t>Wt</t>
        </is>
      </c>
      <c r="H3240">
        <f>'Floor Hours Engine'!$E$4</f>
        <v/>
      </c>
      <c r="I3240" t="inlineStr">
        <is>
          <t>W3</t>
        </is>
      </c>
      <c r="J3240" t="inlineStr">
        <is>
          <t>2029_Listopad_W3</t>
        </is>
      </c>
    </row>
    <row r="3241">
      <c r="A3241" s="177" t="n">
        <v>47436</v>
      </c>
      <c r="B3241" s="177" t="n">
        <v>47435</v>
      </c>
      <c r="C3241" s="177" t="n">
        <v>47441</v>
      </c>
      <c r="D3241" t="inlineStr">
        <is>
          <t>BW20291113</t>
        </is>
      </c>
      <c r="E3241" t="n">
        <v>2029</v>
      </c>
      <c r="F3241" t="inlineStr">
        <is>
          <t>Listopad</t>
        </is>
      </c>
      <c r="G3241" t="inlineStr">
        <is>
          <t>Śr</t>
        </is>
      </c>
      <c r="H3241">
        <f>'Floor Hours Engine'!$E$4</f>
        <v/>
      </c>
      <c r="I3241" t="inlineStr">
        <is>
          <t>W3</t>
        </is>
      </c>
      <c r="J3241" t="inlineStr">
        <is>
          <t>2029_Listopad_W3</t>
        </is>
      </c>
    </row>
    <row r="3242">
      <c r="A3242" s="177" t="n">
        <v>47437</v>
      </c>
      <c r="B3242" s="177" t="n">
        <v>47435</v>
      </c>
      <c r="C3242" s="177" t="n">
        <v>47441</v>
      </c>
      <c r="D3242" t="inlineStr">
        <is>
          <t>BW20291113</t>
        </is>
      </c>
      <c r="E3242" t="n">
        <v>2029</v>
      </c>
      <c r="F3242" t="inlineStr">
        <is>
          <t>Listopad</t>
        </is>
      </c>
      <c r="G3242" t="inlineStr">
        <is>
          <t>Czw</t>
        </is>
      </c>
      <c r="H3242">
        <f>'Floor Hours Engine'!$E$4</f>
        <v/>
      </c>
      <c r="I3242" t="inlineStr">
        <is>
          <t>W3</t>
        </is>
      </c>
      <c r="J3242" t="inlineStr">
        <is>
          <t>2029_Listopad_W3</t>
        </is>
      </c>
    </row>
    <row r="3243">
      <c r="A3243" s="177" t="n">
        <v>47438</v>
      </c>
      <c r="B3243" s="177" t="n">
        <v>47435</v>
      </c>
      <c r="C3243" s="177" t="n">
        <v>47441</v>
      </c>
      <c r="D3243" t="inlineStr">
        <is>
          <t>BW20291113</t>
        </is>
      </c>
      <c r="E3243" t="n">
        <v>2029</v>
      </c>
      <c r="F3243" t="inlineStr">
        <is>
          <t>Listopad</t>
        </is>
      </c>
      <c r="G3243" t="inlineStr">
        <is>
          <t>Pt</t>
        </is>
      </c>
      <c r="H3243">
        <f>'Floor Hours Engine'!$E$5</f>
        <v/>
      </c>
      <c r="I3243" t="inlineStr">
        <is>
          <t>W3</t>
        </is>
      </c>
      <c r="J3243" t="inlineStr">
        <is>
          <t>2029_Listopad_W3</t>
        </is>
      </c>
    </row>
    <row r="3244">
      <c r="A3244" s="177" t="n">
        <v>47439</v>
      </c>
      <c r="B3244" s="177" t="n">
        <v>47435</v>
      </c>
      <c r="C3244" s="177" t="n">
        <v>47441</v>
      </c>
      <c r="D3244" t="inlineStr">
        <is>
          <t>BW20291113</t>
        </is>
      </c>
      <c r="E3244" t="n">
        <v>2029</v>
      </c>
      <c r="F3244" t="inlineStr">
        <is>
          <t>Listopad</t>
        </is>
      </c>
      <c r="G3244" t="inlineStr">
        <is>
          <t>Sob</t>
        </is>
      </c>
      <c r="H3244">
        <f>'Floor Hours Engine'!$E$5</f>
        <v/>
      </c>
      <c r="I3244" t="inlineStr">
        <is>
          <t>W3</t>
        </is>
      </c>
      <c r="J3244" t="inlineStr">
        <is>
          <t>2029_Listopad_W3</t>
        </is>
      </c>
    </row>
    <row r="3245">
      <c r="A3245" s="177" t="n">
        <v>47440</v>
      </c>
      <c r="B3245" s="177" t="n">
        <v>47435</v>
      </c>
      <c r="C3245" s="177" t="n">
        <v>47441</v>
      </c>
      <c r="D3245" t="inlineStr">
        <is>
          <t>BW20291113</t>
        </is>
      </c>
      <c r="E3245" t="n">
        <v>2029</v>
      </c>
      <c r="F3245" t="inlineStr">
        <is>
          <t>Listopad</t>
        </is>
      </c>
      <c r="G3245" t="inlineStr">
        <is>
          <t>Nd</t>
        </is>
      </c>
      <c r="H3245">
        <f>'Floor Hours Engine'!$E$6</f>
        <v/>
      </c>
      <c r="I3245" t="inlineStr">
        <is>
          <t>W3</t>
        </is>
      </c>
      <c r="J3245" t="inlineStr">
        <is>
          <t>2029_Listopad_W3</t>
        </is>
      </c>
    </row>
    <row r="3246">
      <c r="A3246" s="177" t="n">
        <v>47441</v>
      </c>
      <c r="B3246" s="177" t="n">
        <v>47435</v>
      </c>
      <c r="C3246" s="177" t="n">
        <v>47441</v>
      </c>
      <c r="D3246" t="inlineStr">
        <is>
          <t>BW20291113</t>
        </is>
      </c>
      <c r="E3246" t="n">
        <v>2029</v>
      </c>
      <c r="F3246" t="inlineStr">
        <is>
          <t>Listopad</t>
        </is>
      </c>
      <c r="G3246" t="inlineStr">
        <is>
          <t>Pn</t>
        </is>
      </c>
      <c r="H3246">
        <f>'Floor Hours Engine'!$E$4</f>
        <v/>
      </c>
      <c r="I3246" t="inlineStr">
        <is>
          <t>W3</t>
        </is>
      </c>
      <c r="J3246" t="inlineStr">
        <is>
          <t>2029_Listopad_W3</t>
        </is>
      </c>
    </row>
    <row r="3247">
      <c r="A3247" s="177" t="n">
        <v>47442</v>
      </c>
      <c r="B3247" s="177" t="n">
        <v>47442</v>
      </c>
      <c r="C3247" s="177" t="n">
        <v>47448</v>
      </c>
      <c r="D3247" t="inlineStr">
        <is>
          <t>BW20291120</t>
        </is>
      </c>
      <c r="E3247" t="n">
        <v>2029</v>
      </c>
      <c r="F3247" t="inlineStr">
        <is>
          <t>Listopad</t>
        </is>
      </c>
      <c r="G3247" t="inlineStr">
        <is>
          <t>Wt</t>
        </is>
      </c>
      <c r="H3247">
        <f>'Floor Hours Engine'!$E$4</f>
        <v/>
      </c>
      <c r="I3247" t="inlineStr">
        <is>
          <t>W4</t>
        </is>
      </c>
      <c r="J3247" t="inlineStr">
        <is>
          <t>2029_Listopad_W4</t>
        </is>
      </c>
    </row>
    <row r="3248">
      <c r="A3248" s="177" t="n">
        <v>47443</v>
      </c>
      <c r="B3248" s="177" t="n">
        <v>47442</v>
      </c>
      <c r="C3248" s="177" t="n">
        <v>47448</v>
      </c>
      <c r="D3248" t="inlineStr">
        <is>
          <t>BW20291120</t>
        </is>
      </c>
      <c r="E3248" t="n">
        <v>2029</v>
      </c>
      <c r="F3248" t="inlineStr">
        <is>
          <t>Listopad</t>
        </is>
      </c>
      <c r="G3248" t="inlineStr">
        <is>
          <t>Śr</t>
        </is>
      </c>
      <c r="H3248">
        <f>'Floor Hours Engine'!$E$4</f>
        <v/>
      </c>
      <c r="I3248" t="inlineStr">
        <is>
          <t>W4</t>
        </is>
      </c>
      <c r="J3248" t="inlineStr">
        <is>
          <t>2029_Listopad_W4</t>
        </is>
      </c>
    </row>
    <row r="3249">
      <c r="A3249" s="177" t="n">
        <v>47444</v>
      </c>
      <c r="B3249" s="177" t="n">
        <v>47442</v>
      </c>
      <c r="C3249" s="177" t="n">
        <v>47448</v>
      </c>
      <c r="D3249" t="inlineStr">
        <is>
          <t>BW20291120</t>
        </is>
      </c>
      <c r="E3249" t="n">
        <v>2029</v>
      </c>
      <c r="F3249" t="inlineStr">
        <is>
          <t>Listopad</t>
        </is>
      </c>
      <c r="G3249" t="inlineStr">
        <is>
          <t>Czw</t>
        </is>
      </c>
      <c r="H3249">
        <f>'Floor Hours Engine'!$E$4</f>
        <v/>
      </c>
      <c r="I3249" t="inlineStr">
        <is>
          <t>W4</t>
        </is>
      </c>
      <c r="J3249" t="inlineStr">
        <is>
          <t>2029_Listopad_W4</t>
        </is>
      </c>
    </row>
    <row r="3250">
      <c r="A3250" s="177" t="n">
        <v>47445</v>
      </c>
      <c r="B3250" s="177" t="n">
        <v>47442</v>
      </c>
      <c r="C3250" s="177" t="n">
        <v>47448</v>
      </c>
      <c r="D3250" t="inlineStr">
        <is>
          <t>BW20291120</t>
        </is>
      </c>
      <c r="E3250" t="n">
        <v>2029</v>
      </c>
      <c r="F3250" t="inlineStr">
        <is>
          <t>Listopad</t>
        </is>
      </c>
      <c r="G3250" t="inlineStr">
        <is>
          <t>Pt</t>
        </is>
      </c>
      <c r="H3250">
        <f>'Floor Hours Engine'!$E$5</f>
        <v/>
      </c>
      <c r="I3250" t="inlineStr">
        <is>
          <t>W4</t>
        </is>
      </c>
      <c r="J3250" t="inlineStr">
        <is>
          <t>2029_Listopad_W4</t>
        </is>
      </c>
    </row>
    <row r="3251">
      <c r="A3251" s="177" t="n">
        <v>47446</v>
      </c>
      <c r="B3251" s="177" t="n">
        <v>47442</v>
      </c>
      <c r="C3251" s="177" t="n">
        <v>47448</v>
      </c>
      <c r="D3251" t="inlineStr">
        <is>
          <t>BW20291120</t>
        </is>
      </c>
      <c r="E3251" t="n">
        <v>2029</v>
      </c>
      <c r="F3251" t="inlineStr">
        <is>
          <t>Listopad</t>
        </is>
      </c>
      <c r="G3251" t="inlineStr">
        <is>
          <t>Sob</t>
        </is>
      </c>
      <c r="H3251">
        <f>'Floor Hours Engine'!$E$5</f>
        <v/>
      </c>
      <c r="I3251" t="inlineStr">
        <is>
          <t>W4</t>
        </is>
      </c>
      <c r="J3251" t="inlineStr">
        <is>
          <t>2029_Listopad_W4</t>
        </is>
      </c>
    </row>
    <row r="3252">
      <c r="A3252" s="177" t="n">
        <v>47447</v>
      </c>
      <c r="B3252" s="177" t="n">
        <v>47442</v>
      </c>
      <c r="C3252" s="177" t="n">
        <v>47448</v>
      </c>
      <c r="D3252" t="inlineStr">
        <is>
          <t>BW20291120</t>
        </is>
      </c>
      <c r="E3252" t="n">
        <v>2029</v>
      </c>
      <c r="F3252" t="inlineStr">
        <is>
          <t>Listopad</t>
        </is>
      </c>
      <c r="G3252" t="inlineStr">
        <is>
          <t>Nd</t>
        </is>
      </c>
      <c r="H3252">
        <f>'Floor Hours Engine'!$E$6</f>
        <v/>
      </c>
      <c r="I3252" t="inlineStr">
        <is>
          <t>W4</t>
        </is>
      </c>
      <c r="J3252" t="inlineStr">
        <is>
          <t>2029_Listopad_W4</t>
        </is>
      </c>
    </row>
    <row r="3253">
      <c r="A3253" s="177" t="n">
        <v>47448</v>
      </c>
      <c r="B3253" s="177" t="n">
        <v>47442</v>
      </c>
      <c r="C3253" s="177" t="n">
        <v>47448</v>
      </c>
      <c r="D3253" t="inlineStr">
        <is>
          <t>BW20291120</t>
        </is>
      </c>
      <c r="E3253" t="n">
        <v>2029</v>
      </c>
      <c r="F3253" t="inlineStr">
        <is>
          <t>Listopad</t>
        </is>
      </c>
      <c r="G3253" t="inlineStr">
        <is>
          <t>Pn</t>
        </is>
      </c>
      <c r="H3253">
        <f>'Floor Hours Engine'!$E$4</f>
        <v/>
      </c>
      <c r="I3253" t="inlineStr">
        <is>
          <t>W4</t>
        </is>
      </c>
      <c r="J3253" t="inlineStr">
        <is>
          <t>2029_Listopad_W4</t>
        </is>
      </c>
    </row>
    <row r="3254">
      <c r="A3254" s="177" t="n">
        <v>47449</v>
      </c>
      <c r="B3254" s="177" t="n">
        <v>47449</v>
      </c>
      <c r="C3254" s="177" t="n">
        <v>47455</v>
      </c>
      <c r="D3254" t="inlineStr">
        <is>
          <t>BW20291127</t>
        </is>
      </c>
      <c r="E3254" t="n">
        <v>2029</v>
      </c>
      <c r="F3254" t="inlineStr">
        <is>
          <t>Listopad</t>
        </is>
      </c>
      <c r="G3254" t="inlineStr">
        <is>
          <t>Wt</t>
        </is>
      </c>
      <c r="H3254">
        <f>'Floor Hours Engine'!$E$4</f>
        <v/>
      </c>
      <c r="I3254" t="inlineStr">
        <is>
          <t>W5</t>
        </is>
      </c>
      <c r="J3254" t="inlineStr">
        <is>
          <t>2029_Listopad_W5</t>
        </is>
      </c>
    </row>
    <row r="3255">
      <c r="A3255" s="177" t="n">
        <v>47450</v>
      </c>
      <c r="B3255" s="177" t="n">
        <v>47449</v>
      </c>
      <c r="C3255" s="177" t="n">
        <v>47455</v>
      </c>
      <c r="D3255" t="inlineStr">
        <is>
          <t>BW20291127</t>
        </is>
      </c>
      <c r="E3255" t="n">
        <v>2029</v>
      </c>
      <c r="F3255" t="inlineStr">
        <is>
          <t>Listopad</t>
        </is>
      </c>
      <c r="G3255" t="inlineStr">
        <is>
          <t>Śr</t>
        </is>
      </c>
      <c r="H3255">
        <f>'Floor Hours Engine'!$E$4</f>
        <v/>
      </c>
      <c r="I3255" t="inlineStr">
        <is>
          <t>W5</t>
        </is>
      </c>
      <c r="J3255" t="inlineStr">
        <is>
          <t>2029_Listopad_W5</t>
        </is>
      </c>
    </row>
    <row r="3256">
      <c r="A3256" s="177" t="n">
        <v>47451</v>
      </c>
      <c r="B3256" s="177" t="n">
        <v>47449</v>
      </c>
      <c r="C3256" s="177" t="n">
        <v>47455</v>
      </c>
      <c r="D3256" t="inlineStr">
        <is>
          <t>BW20291127</t>
        </is>
      </c>
      <c r="E3256" t="n">
        <v>2029</v>
      </c>
      <c r="F3256" t="inlineStr">
        <is>
          <t>Listopad</t>
        </is>
      </c>
      <c r="G3256" t="inlineStr">
        <is>
          <t>Czw</t>
        </is>
      </c>
      <c r="H3256">
        <f>'Floor Hours Engine'!$E$4</f>
        <v/>
      </c>
      <c r="I3256" t="inlineStr">
        <is>
          <t>W5</t>
        </is>
      </c>
      <c r="J3256" t="inlineStr">
        <is>
          <t>2029_Listopad_W5</t>
        </is>
      </c>
    </row>
    <row r="3257">
      <c r="A3257" s="177" t="n">
        <v>47452</v>
      </c>
      <c r="B3257" s="177" t="n">
        <v>47449</v>
      </c>
      <c r="C3257" s="177" t="n">
        <v>47455</v>
      </c>
      <c r="D3257" t="inlineStr">
        <is>
          <t>BW20291127</t>
        </is>
      </c>
      <c r="E3257" t="n">
        <v>2029</v>
      </c>
      <c r="F3257" t="inlineStr">
        <is>
          <t>Listopad</t>
        </is>
      </c>
      <c r="G3257" t="inlineStr">
        <is>
          <t>Pt</t>
        </is>
      </c>
      <c r="H3257">
        <f>'Floor Hours Engine'!$E$5</f>
        <v/>
      </c>
      <c r="I3257" t="inlineStr">
        <is>
          <t>W5</t>
        </is>
      </c>
      <c r="J3257" t="inlineStr">
        <is>
          <t>2029_Listopad_W5</t>
        </is>
      </c>
    </row>
    <row r="3258">
      <c r="A3258" s="177" t="n">
        <v>47453</v>
      </c>
      <c r="B3258" s="177" t="n">
        <v>47449</v>
      </c>
      <c r="C3258" s="177" t="n">
        <v>47455</v>
      </c>
      <c r="D3258" t="inlineStr">
        <is>
          <t>BW20291127</t>
        </is>
      </c>
      <c r="E3258" t="n">
        <v>2029</v>
      </c>
      <c r="F3258" t="inlineStr">
        <is>
          <t>Grudzień</t>
        </is>
      </c>
      <c r="G3258" t="inlineStr">
        <is>
          <t>Sob</t>
        </is>
      </c>
      <c r="H3258">
        <f>'Floor Hours Engine'!$E$5</f>
        <v/>
      </c>
      <c r="I3258" t="inlineStr">
        <is>
          <t>W1</t>
        </is>
      </c>
      <c r="J3258" t="inlineStr">
        <is>
          <t>2029_Grudzień_W1</t>
        </is>
      </c>
    </row>
    <row r="3259">
      <c r="A3259" s="177" t="n">
        <v>47454</v>
      </c>
      <c r="B3259" s="177" t="n">
        <v>47449</v>
      </c>
      <c r="C3259" s="177" t="n">
        <v>47455</v>
      </c>
      <c r="D3259" t="inlineStr">
        <is>
          <t>BW20291127</t>
        </is>
      </c>
      <c r="E3259" t="n">
        <v>2029</v>
      </c>
      <c r="F3259" t="inlineStr">
        <is>
          <t>Grudzień</t>
        </is>
      </c>
      <c r="G3259" t="inlineStr">
        <is>
          <t>Nd</t>
        </is>
      </c>
      <c r="H3259">
        <f>'Floor Hours Engine'!$E$6</f>
        <v/>
      </c>
      <c r="I3259" t="inlineStr">
        <is>
          <t>W1</t>
        </is>
      </c>
      <c r="J3259" t="inlineStr">
        <is>
          <t>2029_Grudzień_W1</t>
        </is>
      </c>
    </row>
    <row r="3260">
      <c r="A3260" s="177" t="n">
        <v>47455</v>
      </c>
      <c r="B3260" s="177" t="n">
        <v>47449</v>
      </c>
      <c r="C3260" s="177" t="n">
        <v>47455</v>
      </c>
      <c r="D3260" t="inlineStr">
        <is>
          <t>BW20291127</t>
        </is>
      </c>
      <c r="E3260" t="n">
        <v>2029</v>
      </c>
      <c r="F3260" t="inlineStr">
        <is>
          <t>Grudzień</t>
        </is>
      </c>
      <c r="G3260" t="inlineStr">
        <is>
          <t>Pn</t>
        </is>
      </c>
      <c r="H3260">
        <f>'Floor Hours Engine'!$E$4</f>
        <v/>
      </c>
      <c r="I3260" t="inlineStr">
        <is>
          <t>W1</t>
        </is>
      </c>
      <c r="J3260" t="inlineStr">
        <is>
          <t>2029_Grudzień_W1</t>
        </is>
      </c>
    </row>
    <row r="3261">
      <c r="A3261" s="177" t="n">
        <v>47456</v>
      </c>
      <c r="B3261" s="177" t="n">
        <v>47456</v>
      </c>
      <c r="C3261" s="177" t="n">
        <v>47462</v>
      </c>
      <c r="D3261" t="inlineStr">
        <is>
          <t>BW20291204</t>
        </is>
      </c>
      <c r="E3261" t="n">
        <v>2029</v>
      </c>
      <c r="F3261" t="inlineStr">
        <is>
          <t>Grudzień</t>
        </is>
      </c>
      <c r="G3261" t="inlineStr">
        <is>
          <t>Wt</t>
        </is>
      </c>
      <c r="H3261">
        <f>'Floor Hours Engine'!$E$4</f>
        <v/>
      </c>
      <c r="I3261" t="inlineStr">
        <is>
          <t>W2</t>
        </is>
      </c>
      <c r="J3261" t="inlineStr">
        <is>
          <t>2029_Grudzień_W2</t>
        </is>
      </c>
    </row>
    <row r="3262">
      <c r="A3262" s="177" t="n">
        <v>47457</v>
      </c>
      <c r="B3262" s="177" t="n">
        <v>47456</v>
      </c>
      <c r="C3262" s="177" t="n">
        <v>47462</v>
      </c>
      <c r="D3262" t="inlineStr">
        <is>
          <t>BW20291204</t>
        </is>
      </c>
      <c r="E3262" t="n">
        <v>2029</v>
      </c>
      <c r="F3262" t="inlineStr">
        <is>
          <t>Grudzień</t>
        </is>
      </c>
      <c r="G3262" t="inlineStr">
        <is>
          <t>Śr</t>
        </is>
      </c>
      <c r="H3262">
        <f>'Floor Hours Engine'!$E$4</f>
        <v/>
      </c>
      <c r="I3262" t="inlineStr">
        <is>
          <t>W2</t>
        </is>
      </c>
      <c r="J3262" t="inlineStr">
        <is>
          <t>2029_Grudzień_W2</t>
        </is>
      </c>
    </row>
    <row r="3263">
      <c r="A3263" s="177" t="n">
        <v>47458</v>
      </c>
      <c r="B3263" s="177" t="n">
        <v>47456</v>
      </c>
      <c r="C3263" s="177" t="n">
        <v>47462</v>
      </c>
      <c r="D3263" t="inlineStr">
        <is>
          <t>BW20291204</t>
        </is>
      </c>
      <c r="E3263" t="n">
        <v>2029</v>
      </c>
      <c r="F3263" t="inlineStr">
        <is>
          <t>Grudzień</t>
        </is>
      </c>
      <c r="G3263" t="inlineStr">
        <is>
          <t>Czw</t>
        </is>
      </c>
      <c r="H3263">
        <f>'Floor Hours Engine'!$E$4</f>
        <v/>
      </c>
      <c r="I3263" t="inlineStr">
        <is>
          <t>W2</t>
        </is>
      </c>
      <c r="J3263" t="inlineStr">
        <is>
          <t>2029_Grudzień_W2</t>
        </is>
      </c>
    </row>
    <row r="3264">
      <c r="A3264" s="177" t="n">
        <v>47459</v>
      </c>
      <c r="B3264" s="177" t="n">
        <v>47456</v>
      </c>
      <c r="C3264" s="177" t="n">
        <v>47462</v>
      </c>
      <c r="D3264" t="inlineStr">
        <is>
          <t>BW20291204</t>
        </is>
      </c>
      <c r="E3264" t="n">
        <v>2029</v>
      </c>
      <c r="F3264" t="inlineStr">
        <is>
          <t>Grudzień</t>
        </is>
      </c>
      <c r="G3264" t="inlineStr">
        <is>
          <t>Pt</t>
        </is>
      </c>
      <c r="H3264">
        <f>'Floor Hours Engine'!$E$5</f>
        <v/>
      </c>
      <c r="I3264" t="inlineStr">
        <is>
          <t>W2</t>
        </is>
      </c>
      <c r="J3264" t="inlineStr">
        <is>
          <t>2029_Grudzień_W2</t>
        </is>
      </c>
    </row>
    <row r="3265">
      <c r="A3265" s="177" t="n">
        <v>47460</v>
      </c>
      <c r="B3265" s="177" t="n">
        <v>47456</v>
      </c>
      <c r="C3265" s="177" t="n">
        <v>47462</v>
      </c>
      <c r="D3265" t="inlineStr">
        <is>
          <t>BW20291204</t>
        </is>
      </c>
      <c r="E3265" t="n">
        <v>2029</v>
      </c>
      <c r="F3265" t="inlineStr">
        <is>
          <t>Grudzień</t>
        </is>
      </c>
      <c r="G3265" t="inlineStr">
        <is>
          <t>Sob</t>
        </is>
      </c>
      <c r="H3265">
        <f>'Floor Hours Engine'!$E$5</f>
        <v/>
      </c>
      <c r="I3265" t="inlineStr">
        <is>
          <t>W2</t>
        </is>
      </c>
      <c r="J3265" t="inlineStr">
        <is>
          <t>2029_Grudzień_W2</t>
        </is>
      </c>
    </row>
    <row r="3266">
      <c r="A3266" s="177" t="n">
        <v>47461</v>
      </c>
      <c r="B3266" s="177" t="n">
        <v>47456</v>
      </c>
      <c r="C3266" s="177" t="n">
        <v>47462</v>
      </c>
      <c r="D3266" t="inlineStr">
        <is>
          <t>BW20291204</t>
        </is>
      </c>
      <c r="E3266" t="n">
        <v>2029</v>
      </c>
      <c r="F3266" t="inlineStr">
        <is>
          <t>Grudzień</t>
        </is>
      </c>
      <c r="G3266" t="inlineStr">
        <is>
          <t>Nd</t>
        </is>
      </c>
      <c r="H3266">
        <f>'Floor Hours Engine'!$E$6</f>
        <v/>
      </c>
      <c r="I3266" t="inlineStr">
        <is>
          <t>W2</t>
        </is>
      </c>
      <c r="J3266" t="inlineStr">
        <is>
          <t>2029_Grudzień_W2</t>
        </is>
      </c>
    </row>
    <row r="3267">
      <c r="A3267" s="177" t="n">
        <v>47462</v>
      </c>
      <c r="B3267" s="177" t="n">
        <v>47456</v>
      </c>
      <c r="C3267" s="177" t="n">
        <v>47462</v>
      </c>
      <c r="D3267" t="inlineStr">
        <is>
          <t>BW20291204</t>
        </is>
      </c>
      <c r="E3267" t="n">
        <v>2029</v>
      </c>
      <c r="F3267" t="inlineStr">
        <is>
          <t>Grudzień</t>
        </is>
      </c>
      <c r="G3267" t="inlineStr">
        <is>
          <t>Pn</t>
        </is>
      </c>
      <c r="H3267">
        <f>'Floor Hours Engine'!$E$4</f>
        <v/>
      </c>
      <c r="I3267" t="inlineStr">
        <is>
          <t>W2</t>
        </is>
      </c>
      <c r="J3267" t="inlineStr">
        <is>
          <t>2029_Grudzień_W2</t>
        </is>
      </c>
    </row>
    <row r="3268">
      <c r="A3268" s="177" t="n">
        <v>47463</v>
      </c>
      <c r="B3268" s="177" t="n">
        <v>47463</v>
      </c>
      <c r="C3268" s="177" t="n">
        <v>47469</v>
      </c>
      <c r="D3268" t="inlineStr">
        <is>
          <t>BW20291211</t>
        </is>
      </c>
      <c r="E3268" t="n">
        <v>2029</v>
      </c>
      <c r="F3268" t="inlineStr">
        <is>
          <t>Grudzień</t>
        </is>
      </c>
      <c r="G3268" t="inlineStr">
        <is>
          <t>Wt</t>
        </is>
      </c>
      <c r="H3268">
        <f>'Floor Hours Engine'!$E$4</f>
        <v/>
      </c>
      <c r="I3268" t="inlineStr">
        <is>
          <t>W3</t>
        </is>
      </c>
      <c r="J3268" t="inlineStr">
        <is>
          <t>2029_Grudzień_W3</t>
        </is>
      </c>
    </row>
    <row r="3269">
      <c r="A3269" s="177" t="n">
        <v>47464</v>
      </c>
      <c r="B3269" s="177" t="n">
        <v>47463</v>
      </c>
      <c r="C3269" s="177" t="n">
        <v>47469</v>
      </c>
      <c r="D3269" t="inlineStr">
        <is>
          <t>BW20291211</t>
        </is>
      </c>
      <c r="E3269" t="n">
        <v>2029</v>
      </c>
      <c r="F3269" t="inlineStr">
        <is>
          <t>Grudzień</t>
        </is>
      </c>
      <c r="G3269" t="inlineStr">
        <is>
          <t>Śr</t>
        </is>
      </c>
      <c r="H3269">
        <f>'Floor Hours Engine'!$E$4</f>
        <v/>
      </c>
      <c r="I3269" t="inlineStr">
        <is>
          <t>W3</t>
        </is>
      </c>
      <c r="J3269" t="inlineStr">
        <is>
          <t>2029_Grudzień_W3</t>
        </is>
      </c>
    </row>
    <row r="3270">
      <c r="A3270" s="177" t="n">
        <v>47465</v>
      </c>
      <c r="B3270" s="177" t="n">
        <v>47463</v>
      </c>
      <c r="C3270" s="177" t="n">
        <v>47469</v>
      </c>
      <c r="D3270" t="inlineStr">
        <is>
          <t>BW20291211</t>
        </is>
      </c>
      <c r="E3270" t="n">
        <v>2029</v>
      </c>
      <c r="F3270" t="inlineStr">
        <is>
          <t>Grudzień</t>
        </is>
      </c>
      <c r="G3270" t="inlineStr">
        <is>
          <t>Czw</t>
        </is>
      </c>
      <c r="H3270">
        <f>'Floor Hours Engine'!$E$4</f>
        <v/>
      </c>
      <c r="I3270" t="inlineStr">
        <is>
          <t>W3</t>
        </is>
      </c>
      <c r="J3270" t="inlineStr">
        <is>
          <t>2029_Grudzień_W3</t>
        </is>
      </c>
    </row>
    <row r="3271">
      <c r="A3271" s="177" t="n">
        <v>47466</v>
      </c>
      <c r="B3271" s="177" t="n">
        <v>47463</v>
      </c>
      <c r="C3271" s="177" t="n">
        <v>47469</v>
      </c>
      <c r="D3271" t="inlineStr">
        <is>
          <t>BW20291211</t>
        </is>
      </c>
      <c r="E3271" t="n">
        <v>2029</v>
      </c>
      <c r="F3271" t="inlineStr">
        <is>
          <t>Grudzień</t>
        </is>
      </c>
      <c r="G3271" t="inlineStr">
        <is>
          <t>Pt</t>
        </is>
      </c>
      <c r="H3271">
        <f>'Floor Hours Engine'!$E$5</f>
        <v/>
      </c>
      <c r="I3271" t="inlineStr">
        <is>
          <t>W3</t>
        </is>
      </c>
      <c r="J3271" t="inlineStr">
        <is>
          <t>2029_Grudzień_W3</t>
        </is>
      </c>
    </row>
    <row r="3272">
      <c r="A3272" s="177" t="n">
        <v>47467</v>
      </c>
      <c r="B3272" s="177" t="n">
        <v>47463</v>
      </c>
      <c r="C3272" s="177" t="n">
        <v>47469</v>
      </c>
      <c r="D3272" t="inlineStr">
        <is>
          <t>BW20291211</t>
        </is>
      </c>
      <c r="E3272" t="n">
        <v>2029</v>
      </c>
      <c r="F3272" t="inlineStr">
        <is>
          <t>Grudzień</t>
        </is>
      </c>
      <c r="G3272" t="inlineStr">
        <is>
          <t>Sob</t>
        </is>
      </c>
      <c r="H3272">
        <f>'Floor Hours Engine'!$E$5</f>
        <v/>
      </c>
      <c r="I3272" t="inlineStr">
        <is>
          <t>W3</t>
        </is>
      </c>
      <c r="J3272" t="inlineStr">
        <is>
          <t>2029_Grudzień_W3</t>
        </is>
      </c>
    </row>
    <row r="3273">
      <c r="A3273" s="177" t="n">
        <v>47468</v>
      </c>
      <c r="B3273" s="177" t="n">
        <v>47463</v>
      </c>
      <c r="C3273" s="177" t="n">
        <v>47469</v>
      </c>
      <c r="D3273" t="inlineStr">
        <is>
          <t>BW20291211</t>
        </is>
      </c>
      <c r="E3273" t="n">
        <v>2029</v>
      </c>
      <c r="F3273" t="inlineStr">
        <is>
          <t>Grudzień</t>
        </is>
      </c>
      <c r="G3273" t="inlineStr">
        <is>
          <t>Nd</t>
        </is>
      </c>
      <c r="H3273">
        <f>'Floor Hours Engine'!$E$6</f>
        <v/>
      </c>
      <c r="I3273" t="inlineStr">
        <is>
          <t>W3</t>
        </is>
      </c>
      <c r="J3273" t="inlineStr">
        <is>
          <t>2029_Grudzień_W3</t>
        </is>
      </c>
    </row>
    <row r="3274">
      <c r="A3274" s="177" t="n">
        <v>47469</v>
      </c>
      <c r="B3274" s="177" t="n">
        <v>47463</v>
      </c>
      <c r="C3274" s="177" t="n">
        <v>47469</v>
      </c>
      <c r="D3274" t="inlineStr">
        <is>
          <t>BW20291211</t>
        </is>
      </c>
      <c r="E3274" t="n">
        <v>2029</v>
      </c>
      <c r="F3274" t="inlineStr">
        <is>
          <t>Grudzień</t>
        </is>
      </c>
      <c r="G3274" t="inlineStr">
        <is>
          <t>Pn</t>
        </is>
      </c>
      <c r="H3274">
        <f>'Floor Hours Engine'!$E$4</f>
        <v/>
      </c>
      <c r="I3274" t="inlineStr">
        <is>
          <t>W3</t>
        </is>
      </c>
      <c r="J3274" t="inlineStr">
        <is>
          <t>2029_Grudzień_W3</t>
        </is>
      </c>
    </row>
    <row r="3275">
      <c r="A3275" s="177" t="n">
        <v>47470</v>
      </c>
      <c r="B3275" s="177" t="n">
        <v>47470</v>
      </c>
      <c r="C3275" s="177" t="n">
        <v>47476</v>
      </c>
      <c r="D3275" t="inlineStr">
        <is>
          <t>BW20291218</t>
        </is>
      </c>
      <c r="E3275" t="n">
        <v>2029</v>
      </c>
      <c r="F3275" t="inlineStr">
        <is>
          <t>Grudzień</t>
        </is>
      </c>
      <c r="G3275" t="inlineStr">
        <is>
          <t>Wt</t>
        </is>
      </c>
      <c r="H3275">
        <f>'Floor Hours Engine'!$E$4</f>
        <v/>
      </c>
      <c r="I3275" t="inlineStr">
        <is>
          <t>W4</t>
        </is>
      </c>
      <c r="J3275" t="inlineStr">
        <is>
          <t>2029_Grudzień_W4</t>
        </is>
      </c>
    </row>
    <row r="3276">
      <c r="A3276" s="177" t="n">
        <v>47471</v>
      </c>
      <c r="B3276" s="177" t="n">
        <v>47470</v>
      </c>
      <c r="C3276" s="177" t="n">
        <v>47476</v>
      </c>
      <c r="D3276" t="inlineStr">
        <is>
          <t>BW20291218</t>
        </is>
      </c>
      <c r="E3276" t="n">
        <v>2029</v>
      </c>
      <c r="F3276" t="inlineStr">
        <is>
          <t>Grudzień</t>
        </is>
      </c>
      <c r="G3276" t="inlineStr">
        <is>
          <t>Śr</t>
        </is>
      </c>
      <c r="H3276">
        <f>'Floor Hours Engine'!$E$4</f>
        <v/>
      </c>
      <c r="I3276" t="inlineStr">
        <is>
          <t>W4</t>
        </is>
      </c>
      <c r="J3276" t="inlineStr">
        <is>
          <t>2029_Grudzień_W4</t>
        </is>
      </c>
    </row>
    <row r="3277">
      <c r="A3277" s="177" t="n">
        <v>47472</v>
      </c>
      <c r="B3277" s="177" t="n">
        <v>47470</v>
      </c>
      <c r="C3277" s="177" t="n">
        <v>47476</v>
      </c>
      <c r="D3277" t="inlineStr">
        <is>
          <t>BW20291218</t>
        </is>
      </c>
      <c r="E3277" t="n">
        <v>2029</v>
      </c>
      <c r="F3277" t="inlineStr">
        <is>
          <t>Grudzień</t>
        </is>
      </c>
      <c r="G3277" t="inlineStr">
        <is>
          <t>Czw</t>
        </is>
      </c>
      <c r="H3277">
        <f>'Floor Hours Engine'!$E$4</f>
        <v/>
      </c>
      <c r="I3277" t="inlineStr">
        <is>
          <t>W4</t>
        </is>
      </c>
      <c r="J3277" t="inlineStr">
        <is>
          <t>2029_Grudzień_W4</t>
        </is>
      </c>
    </row>
    <row r="3278">
      <c r="A3278" s="177" t="n">
        <v>47473</v>
      </c>
      <c r="B3278" s="177" t="n">
        <v>47470</v>
      </c>
      <c r="C3278" s="177" t="n">
        <v>47476</v>
      </c>
      <c r="D3278" t="inlineStr">
        <is>
          <t>BW20291218</t>
        </is>
      </c>
      <c r="E3278" t="n">
        <v>2029</v>
      </c>
      <c r="F3278" t="inlineStr">
        <is>
          <t>Grudzień</t>
        </is>
      </c>
      <c r="G3278" t="inlineStr">
        <is>
          <t>Pt</t>
        </is>
      </c>
      <c r="H3278">
        <f>'Floor Hours Engine'!$E$5</f>
        <v/>
      </c>
      <c r="I3278" t="inlineStr">
        <is>
          <t>W4</t>
        </is>
      </c>
      <c r="J3278" t="inlineStr">
        <is>
          <t>2029_Grudzień_W4</t>
        </is>
      </c>
    </row>
    <row r="3279">
      <c r="A3279" s="177" t="n">
        <v>47474</v>
      </c>
      <c r="B3279" s="177" t="n">
        <v>47470</v>
      </c>
      <c r="C3279" s="177" t="n">
        <v>47476</v>
      </c>
      <c r="D3279" t="inlineStr">
        <is>
          <t>BW20291218</t>
        </is>
      </c>
      <c r="E3279" t="n">
        <v>2029</v>
      </c>
      <c r="F3279" t="inlineStr">
        <is>
          <t>Grudzień</t>
        </is>
      </c>
      <c r="G3279" t="inlineStr">
        <is>
          <t>Sob</t>
        </is>
      </c>
      <c r="H3279">
        <f>'Floor Hours Engine'!$E$5</f>
        <v/>
      </c>
      <c r="I3279" t="inlineStr">
        <is>
          <t>W4</t>
        </is>
      </c>
      <c r="J3279" t="inlineStr">
        <is>
          <t>2029_Grudzień_W4</t>
        </is>
      </c>
    </row>
    <row r="3280">
      <c r="A3280" s="177" t="n">
        <v>47475</v>
      </c>
      <c r="B3280" s="177" t="n">
        <v>47470</v>
      </c>
      <c r="C3280" s="177" t="n">
        <v>47476</v>
      </c>
      <c r="D3280" t="inlineStr">
        <is>
          <t>BW20291218</t>
        </is>
      </c>
      <c r="E3280" t="n">
        <v>2029</v>
      </c>
      <c r="F3280" t="inlineStr">
        <is>
          <t>Grudzień</t>
        </is>
      </c>
      <c r="G3280" t="inlineStr">
        <is>
          <t>Nd</t>
        </is>
      </c>
      <c r="H3280">
        <f>'Floor Hours Engine'!$E$6</f>
        <v/>
      </c>
      <c r="I3280" t="inlineStr">
        <is>
          <t>W4</t>
        </is>
      </c>
      <c r="J3280" t="inlineStr">
        <is>
          <t>2029_Grudzień_W4</t>
        </is>
      </c>
    </row>
    <row r="3281">
      <c r="A3281" s="177" t="n">
        <v>47476</v>
      </c>
      <c r="B3281" s="177" t="n">
        <v>47470</v>
      </c>
      <c r="C3281" s="177" t="n">
        <v>47476</v>
      </c>
      <c r="D3281" t="inlineStr">
        <is>
          <t>BW20291218</t>
        </is>
      </c>
      <c r="E3281" t="n">
        <v>2029</v>
      </c>
      <c r="F3281" t="inlineStr">
        <is>
          <t>Grudzień</t>
        </is>
      </c>
      <c r="G3281" t="inlineStr">
        <is>
          <t>Pn</t>
        </is>
      </c>
      <c r="H3281">
        <f>'Floor Hours Engine'!$E$4</f>
        <v/>
      </c>
      <c r="I3281" t="inlineStr">
        <is>
          <t>W4</t>
        </is>
      </c>
      <c r="J3281" t="inlineStr">
        <is>
          <t>2029_Grudzień_W4</t>
        </is>
      </c>
    </row>
    <row r="3282">
      <c r="A3282" s="177" t="n">
        <v>47477</v>
      </c>
      <c r="B3282" s="177" t="n">
        <v>47477</v>
      </c>
      <c r="C3282" s="177" t="n">
        <v>47483</v>
      </c>
      <c r="D3282" t="inlineStr">
        <is>
          <t>BW20291225</t>
        </is>
      </c>
      <c r="E3282" t="n">
        <v>2029</v>
      </c>
      <c r="F3282" t="inlineStr">
        <is>
          <t>Grudzień</t>
        </is>
      </c>
      <c r="G3282" t="inlineStr">
        <is>
          <t>Wt</t>
        </is>
      </c>
      <c r="H3282">
        <f>'Floor Hours Engine'!$E$4</f>
        <v/>
      </c>
      <c r="I3282" t="inlineStr">
        <is>
          <t>W5</t>
        </is>
      </c>
      <c r="J3282" t="inlineStr">
        <is>
          <t>2029_Grudzień_W5</t>
        </is>
      </c>
    </row>
    <row r="3283">
      <c r="A3283" s="177" t="n">
        <v>47478</v>
      </c>
      <c r="B3283" s="177" t="n">
        <v>47477</v>
      </c>
      <c r="C3283" s="177" t="n">
        <v>47483</v>
      </c>
      <c r="D3283" t="inlineStr">
        <is>
          <t>BW20291225</t>
        </is>
      </c>
      <c r="E3283" t="n">
        <v>2029</v>
      </c>
      <c r="F3283" t="inlineStr">
        <is>
          <t>Grudzień</t>
        </is>
      </c>
      <c r="G3283" t="inlineStr">
        <is>
          <t>Śr</t>
        </is>
      </c>
      <c r="H3283">
        <f>'Floor Hours Engine'!$E$4</f>
        <v/>
      </c>
      <c r="I3283" t="inlineStr">
        <is>
          <t>W5</t>
        </is>
      </c>
      <c r="J3283" t="inlineStr">
        <is>
          <t>2029_Grudzień_W5</t>
        </is>
      </c>
    </row>
    <row r="3284">
      <c r="A3284" s="177" t="n">
        <v>47479</v>
      </c>
      <c r="B3284" s="177" t="n">
        <v>47477</v>
      </c>
      <c r="C3284" s="177" t="n">
        <v>47483</v>
      </c>
      <c r="D3284" t="inlineStr">
        <is>
          <t>BW20291225</t>
        </is>
      </c>
      <c r="E3284" t="n">
        <v>2029</v>
      </c>
      <c r="F3284" t="inlineStr">
        <is>
          <t>Grudzień</t>
        </is>
      </c>
      <c r="G3284" t="inlineStr">
        <is>
          <t>Czw</t>
        </is>
      </c>
      <c r="H3284">
        <f>'Floor Hours Engine'!$E$4</f>
        <v/>
      </c>
      <c r="I3284" t="inlineStr">
        <is>
          <t>W5</t>
        </is>
      </c>
      <c r="J3284" t="inlineStr">
        <is>
          <t>2029_Grudzień_W5</t>
        </is>
      </c>
    </row>
    <row r="3285">
      <c r="A3285" s="177" t="n">
        <v>47480</v>
      </c>
      <c r="B3285" s="177" t="n">
        <v>47477</v>
      </c>
      <c r="C3285" s="177" t="n">
        <v>47483</v>
      </c>
      <c r="D3285" t="inlineStr">
        <is>
          <t>BW20291225</t>
        </is>
      </c>
      <c r="E3285" t="n">
        <v>2029</v>
      </c>
      <c r="F3285" t="inlineStr">
        <is>
          <t>Grudzień</t>
        </is>
      </c>
      <c r="G3285" t="inlineStr">
        <is>
          <t>Pt</t>
        </is>
      </c>
      <c r="H3285">
        <f>'Floor Hours Engine'!$E$5</f>
        <v/>
      </c>
      <c r="I3285" t="inlineStr">
        <is>
          <t>W5</t>
        </is>
      </c>
      <c r="J3285" t="inlineStr">
        <is>
          <t>2029_Grudzień_W5</t>
        </is>
      </c>
    </row>
    <row r="3286">
      <c r="A3286" s="177" t="n">
        <v>47481</v>
      </c>
      <c r="B3286" s="177" t="n">
        <v>47477</v>
      </c>
      <c r="C3286" s="177" t="n">
        <v>47483</v>
      </c>
      <c r="D3286" t="inlineStr">
        <is>
          <t>BW20291225</t>
        </is>
      </c>
      <c r="E3286" t="n">
        <v>2029</v>
      </c>
      <c r="F3286" t="inlineStr">
        <is>
          <t>Grudzień</t>
        </is>
      </c>
      <c r="G3286" t="inlineStr">
        <is>
          <t>Sob</t>
        </is>
      </c>
      <c r="H3286">
        <f>'Floor Hours Engine'!$E$5</f>
        <v/>
      </c>
      <c r="I3286" t="inlineStr">
        <is>
          <t>W5</t>
        </is>
      </c>
      <c r="J3286" t="inlineStr">
        <is>
          <t>2029_Grudzień_W5</t>
        </is>
      </c>
    </row>
    <row r="3287">
      <c r="A3287" s="177" t="n">
        <v>47482</v>
      </c>
      <c r="B3287" s="177" t="n">
        <v>47477</v>
      </c>
      <c r="C3287" s="177" t="n">
        <v>47483</v>
      </c>
      <c r="D3287" t="inlineStr">
        <is>
          <t>BW20291225</t>
        </is>
      </c>
      <c r="E3287" t="n">
        <v>2029</v>
      </c>
      <c r="F3287" t="inlineStr">
        <is>
          <t>Grudzień</t>
        </is>
      </c>
      <c r="G3287" t="inlineStr">
        <is>
          <t>Nd</t>
        </is>
      </c>
      <c r="H3287">
        <f>'Floor Hours Engine'!$E$6</f>
        <v/>
      </c>
      <c r="I3287" t="inlineStr">
        <is>
          <t>W5</t>
        </is>
      </c>
      <c r="J3287" t="inlineStr">
        <is>
          <t>2029_Grudzień_W5</t>
        </is>
      </c>
    </row>
    <row r="3288">
      <c r="A3288" s="177" t="n">
        <v>47483</v>
      </c>
      <c r="B3288" s="177" t="n">
        <v>47477</v>
      </c>
      <c r="C3288" s="177" t="n">
        <v>47483</v>
      </c>
      <c r="D3288" t="inlineStr">
        <is>
          <t>BW20291225</t>
        </is>
      </c>
      <c r="E3288" t="n">
        <v>2029</v>
      </c>
      <c r="F3288" t="inlineStr">
        <is>
          <t>Grudzień</t>
        </is>
      </c>
      <c r="G3288" t="inlineStr">
        <is>
          <t>Pn</t>
        </is>
      </c>
      <c r="H3288">
        <f>'Floor Hours Engine'!$E$4</f>
        <v/>
      </c>
      <c r="I3288" t="inlineStr">
        <is>
          <t>W5</t>
        </is>
      </c>
      <c r="J3288" t="inlineStr">
        <is>
          <t>2029_Grudzień_W5</t>
        </is>
      </c>
    </row>
    <row r="3289">
      <c r="A3289" s="177" t="n">
        <v>47484</v>
      </c>
      <c r="B3289" s="177" t="n">
        <v>47484</v>
      </c>
      <c r="C3289" s="177" t="n">
        <v>47490</v>
      </c>
      <c r="D3289" t="inlineStr">
        <is>
          <t>BW20300101</t>
        </is>
      </c>
      <c r="E3289" t="n">
        <v>2030</v>
      </c>
      <c r="F3289" t="inlineStr">
        <is>
          <t>Styczeń</t>
        </is>
      </c>
      <c r="G3289" t="inlineStr">
        <is>
          <t>Wt</t>
        </is>
      </c>
      <c r="H3289">
        <f>'Floor Hours Engine'!$E$4</f>
        <v/>
      </c>
      <c r="I3289" t="inlineStr">
        <is>
          <t>W1</t>
        </is>
      </c>
      <c r="J3289" t="inlineStr">
        <is>
          <t>2030_Styczeń_W1</t>
        </is>
      </c>
    </row>
    <row r="3290">
      <c r="A3290" s="177" t="n">
        <v>47485</v>
      </c>
      <c r="B3290" s="177" t="n">
        <v>47484</v>
      </c>
      <c r="C3290" s="177" t="n">
        <v>47490</v>
      </c>
      <c r="D3290" t="inlineStr">
        <is>
          <t>BW20300101</t>
        </is>
      </c>
      <c r="E3290" t="n">
        <v>2030</v>
      </c>
      <c r="F3290" t="inlineStr">
        <is>
          <t>Styczeń</t>
        </is>
      </c>
      <c r="G3290" t="inlineStr">
        <is>
          <t>Śr</t>
        </is>
      </c>
      <c r="H3290">
        <f>'Floor Hours Engine'!$E$4</f>
        <v/>
      </c>
      <c r="I3290" t="inlineStr">
        <is>
          <t>W1</t>
        </is>
      </c>
      <c r="J3290" t="inlineStr">
        <is>
          <t>2030_Styczeń_W1</t>
        </is>
      </c>
    </row>
    <row r="3291">
      <c r="A3291" s="177" t="n">
        <v>47486</v>
      </c>
      <c r="B3291" s="177" t="n">
        <v>47484</v>
      </c>
      <c r="C3291" s="177" t="n">
        <v>47490</v>
      </c>
      <c r="D3291" t="inlineStr">
        <is>
          <t>BW20300101</t>
        </is>
      </c>
      <c r="E3291" t="n">
        <v>2030</v>
      </c>
      <c r="F3291" t="inlineStr">
        <is>
          <t>Styczeń</t>
        </is>
      </c>
      <c r="G3291" t="inlineStr">
        <is>
          <t>Czw</t>
        </is>
      </c>
      <c r="H3291">
        <f>'Floor Hours Engine'!$E$4</f>
        <v/>
      </c>
      <c r="I3291" t="inlineStr">
        <is>
          <t>W1</t>
        </is>
      </c>
      <c r="J3291" t="inlineStr">
        <is>
          <t>2030_Styczeń_W1</t>
        </is>
      </c>
    </row>
    <row r="3292">
      <c r="A3292" s="177" t="n">
        <v>47487</v>
      </c>
      <c r="B3292" s="177" t="n">
        <v>47484</v>
      </c>
      <c r="C3292" s="177" t="n">
        <v>47490</v>
      </c>
      <c r="D3292" t="inlineStr">
        <is>
          <t>BW20300101</t>
        </is>
      </c>
      <c r="E3292" t="n">
        <v>2030</v>
      </c>
      <c r="F3292" t="inlineStr">
        <is>
          <t>Styczeń</t>
        </is>
      </c>
      <c r="G3292" t="inlineStr">
        <is>
          <t>Pt</t>
        </is>
      </c>
      <c r="H3292">
        <f>'Floor Hours Engine'!$E$5</f>
        <v/>
      </c>
      <c r="I3292" t="inlineStr">
        <is>
          <t>W1</t>
        </is>
      </c>
      <c r="J3292" t="inlineStr">
        <is>
          <t>2030_Styczeń_W1</t>
        </is>
      </c>
    </row>
    <row r="3293">
      <c r="A3293" s="177" t="n">
        <v>47488</v>
      </c>
      <c r="B3293" s="177" t="n">
        <v>47484</v>
      </c>
      <c r="C3293" s="177" t="n">
        <v>47490</v>
      </c>
      <c r="D3293" t="inlineStr">
        <is>
          <t>BW20300101</t>
        </is>
      </c>
      <c r="E3293" t="n">
        <v>2030</v>
      </c>
      <c r="F3293" t="inlineStr">
        <is>
          <t>Styczeń</t>
        </is>
      </c>
      <c r="G3293" t="inlineStr">
        <is>
          <t>Sob</t>
        </is>
      </c>
      <c r="H3293">
        <f>'Floor Hours Engine'!$E$5</f>
        <v/>
      </c>
      <c r="I3293" t="inlineStr">
        <is>
          <t>W1</t>
        </is>
      </c>
      <c r="J3293" t="inlineStr">
        <is>
          <t>2030_Styczeń_W1</t>
        </is>
      </c>
    </row>
    <row r="3294">
      <c r="A3294" s="177" t="n">
        <v>47489</v>
      </c>
      <c r="B3294" s="177" t="n">
        <v>47484</v>
      </c>
      <c r="C3294" s="177" t="n">
        <v>47490</v>
      </c>
      <c r="D3294" t="inlineStr">
        <is>
          <t>BW20300101</t>
        </is>
      </c>
      <c r="E3294" t="n">
        <v>2030</v>
      </c>
      <c r="F3294" t="inlineStr">
        <is>
          <t>Styczeń</t>
        </is>
      </c>
      <c r="G3294" t="inlineStr">
        <is>
          <t>Nd</t>
        </is>
      </c>
      <c r="H3294">
        <f>'Floor Hours Engine'!$E$6</f>
        <v/>
      </c>
      <c r="I3294" t="inlineStr">
        <is>
          <t>W1</t>
        </is>
      </c>
      <c r="J3294" t="inlineStr">
        <is>
          <t>2030_Styczeń_W1</t>
        </is>
      </c>
    </row>
    <row r="3295">
      <c r="A3295" s="177" t="n">
        <v>47490</v>
      </c>
      <c r="B3295" s="177" t="n">
        <v>47484</v>
      </c>
      <c r="C3295" s="177" t="n">
        <v>47490</v>
      </c>
      <c r="D3295" t="inlineStr">
        <is>
          <t>BW20300101</t>
        </is>
      </c>
      <c r="E3295" t="n">
        <v>2030</v>
      </c>
      <c r="F3295" t="inlineStr">
        <is>
          <t>Styczeń</t>
        </is>
      </c>
      <c r="G3295" t="inlineStr">
        <is>
          <t>Pn</t>
        </is>
      </c>
      <c r="H3295">
        <f>'Floor Hours Engine'!$E$4</f>
        <v/>
      </c>
      <c r="I3295" t="inlineStr">
        <is>
          <t>W1</t>
        </is>
      </c>
      <c r="J3295" t="inlineStr">
        <is>
          <t>2030_Styczeń_W1</t>
        </is>
      </c>
    </row>
    <row r="3296">
      <c r="A3296" s="177" t="n">
        <v>47491</v>
      </c>
      <c r="B3296" s="177" t="n">
        <v>47491</v>
      </c>
      <c r="C3296" s="177" t="n">
        <v>47497</v>
      </c>
      <c r="D3296" t="inlineStr">
        <is>
          <t>BW20300108</t>
        </is>
      </c>
      <c r="E3296" t="n">
        <v>2030</v>
      </c>
      <c r="F3296" t="inlineStr">
        <is>
          <t>Styczeń</t>
        </is>
      </c>
      <c r="G3296" t="inlineStr">
        <is>
          <t>Wt</t>
        </is>
      </c>
      <c r="H3296">
        <f>'Floor Hours Engine'!$E$4</f>
        <v/>
      </c>
      <c r="I3296" t="inlineStr">
        <is>
          <t>W2</t>
        </is>
      </c>
      <c r="J3296" t="inlineStr">
        <is>
          <t>2030_Styczeń_W2</t>
        </is>
      </c>
    </row>
    <row r="3297">
      <c r="A3297" s="177" t="n">
        <v>47492</v>
      </c>
      <c r="B3297" s="177" t="n">
        <v>47491</v>
      </c>
      <c r="C3297" s="177" t="n">
        <v>47497</v>
      </c>
      <c r="D3297" t="inlineStr">
        <is>
          <t>BW20300108</t>
        </is>
      </c>
      <c r="E3297" t="n">
        <v>2030</v>
      </c>
      <c r="F3297" t="inlineStr">
        <is>
          <t>Styczeń</t>
        </is>
      </c>
      <c r="G3297" t="inlineStr">
        <is>
          <t>Śr</t>
        </is>
      </c>
      <c r="H3297">
        <f>'Floor Hours Engine'!$E$4</f>
        <v/>
      </c>
      <c r="I3297" t="inlineStr">
        <is>
          <t>W2</t>
        </is>
      </c>
      <c r="J3297" t="inlineStr">
        <is>
          <t>2030_Styczeń_W2</t>
        </is>
      </c>
    </row>
    <row r="3298">
      <c r="A3298" s="177" t="n">
        <v>47493</v>
      </c>
      <c r="B3298" s="177" t="n">
        <v>47491</v>
      </c>
      <c r="C3298" s="177" t="n">
        <v>47497</v>
      </c>
      <c r="D3298" t="inlineStr">
        <is>
          <t>BW20300108</t>
        </is>
      </c>
      <c r="E3298" t="n">
        <v>2030</v>
      </c>
      <c r="F3298" t="inlineStr">
        <is>
          <t>Styczeń</t>
        </is>
      </c>
      <c r="G3298" t="inlineStr">
        <is>
          <t>Czw</t>
        </is>
      </c>
      <c r="H3298">
        <f>'Floor Hours Engine'!$E$4</f>
        <v/>
      </c>
      <c r="I3298" t="inlineStr">
        <is>
          <t>W2</t>
        </is>
      </c>
      <c r="J3298" t="inlineStr">
        <is>
          <t>2030_Styczeń_W2</t>
        </is>
      </c>
    </row>
    <row r="3299">
      <c r="A3299" s="177" t="n">
        <v>47494</v>
      </c>
      <c r="B3299" s="177" t="n">
        <v>47491</v>
      </c>
      <c r="C3299" s="177" t="n">
        <v>47497</v>
      </c>
      <c r="D3299" t="inlineStr">
        <is>
          <t>BW20300108</t>
        </is>
      </c>
      <c r="E3299" t="n">
        <v>2030</v>
      </c>
      <c r="F3299" t="inlineStr">
        <is>
          <t>Styczeń</t>
        </is>
      </c>
      <c r="G3299" t="inlineStr">
        <is>
          <t>Pt</t>
        </is>
      </c>
      <c r="H3299">
        <f>'Floor Hours Engine'!$E$5</f>
        <v/>
      </c>
      <c r="I3299" t="inlineStr">
        <is>
          <t>W2</t>
        </is>
      </c>
      <c r="J3299" t="inlineStr">
        <is>
          <t>2030_Styczeń_W2</t>
        </is>
      </c>
    </row>
    <row r="3300">
      <c r="A3300" s="177" t="n">
        <v>47495</v>
      </c>
      <c r="B3300" s="177" t="n">
        <v>47491</v>
      </c>
      <c r="C3300" s="177" t="n">
        <v>47497</v>
      </c>
      <c r="D3300" t="inlineStr">
        <is>
          <t>BW20300108</t>
        </is>
      </c>
      <c r="E3300" t="n">
        <v>2030</v>
      </c>
      <c r="F3300" t="inlineStr">
        <is>
          <t>Styczeń</t>
        </is>
      </c>
      <c r="G3300" t="inlineStr">
        <is>
          <t>Sob</t>
        </is>
      </c>
      <c r="H3300">
        <f>'Floor Hours Engine'!$E$5</f>
        <v/>
      </c>
      <c r="I3300" t="inlineStr">
        <is>
          <t>W2</t>
        </is>
      </c>
      <c r="J3300" t="inlineStr">
        <is>
          <t>2030_Styczeń_W2</t>
        </is>
      </c>
    </row>
    <row r="3301">
      <c r="A3301" s="177" t="n">
        <v>47496</v>
      </c>
      <c r="B3301" s="177" t="n">
        <v>47491</v>
      </c>
      <c r="C3301" s="177" t="n">
        <v>47497</v>
      </c>
      <c r="D3301" t="inlineStr">
        <is>
          <t>BW20300108</t>
        </is>
      </c>
      <c r="E3301" t="n">
        <v>2030</v>
      </c>
      <c r="F3301" t="inlineStr">
        <is>
          <t>Styczeń</t>
        </is>
      </c>
      <c r="G3301" t="inlineStr">
        <is>
          <t>Nd</t>
        </is>
      </c>
      <c r="H3301">
        <f>'Floor Hours Engine'!$E$6</f>
        <v/>
      </c>
      <c r="I3301" t="inlineStr">
        <is>
          <t>W2</t>
        </is>
      </c>
      <c r="J3301" t="inlineStr">
        <is>
          <t>2030_Styczeń_W2</t>
        </is>
      </c>
    </row>
    <row r="3302">
      <c r="A3302" s="177" t="n">
        <v>47497</v>
      </c>
      <c r="B3302" s="177" t="n">
        <v>47491</v>
      </c>
      <c r="C3302" s="177" t="n">
        <v>47497</v>
      </c>
      <c r="D3302" t="inlineStr">
        <is>
          <t>BW20300108</t>
        </is>
      </c>
      <c r="E3302" t="n">
        <v>2030</v>
      </c>
      <c r="F3302" t="inlineStr">
        <is>
          <t>Styczeń</t>
        </is>
      </c>
      <c r="G3302" t="inlineStr">
        <is>
          <t>Pn</t>
        </is>
      </c>
      <c r="H3302">
        <f>'Floor Hours Engine'!$E$4</f>
        <v/>
      </c>
      <c r="I3302" t="inlineStr">
        <is>
          <t>W2</t>
        </is>
      </c>
      <c r="J3302" t="inlineStr">
        <is>
          <t>2030_Styczeń_W2</t>
        </is>
      </c>
    </row>
    <row r="3303">
      <c r="A3303" s="177" t="n">
        <v>47498</v>
      </c>
      <c r="B3303" s="177" t="n">
        <v>47498</v>
      </c>
      <c r="C3303" s="177" t="n">
        <v>47504</v>
      </c>
      <c r="D3303" t="inlineStr">
        <is>
          <t>BW20300115</t>
        </is>
      </c>
      <c r="E3303" t="n">
        <v>2030</v>
      </c>
      <c r="F3303" t="inlineStr">
        <is>
          <t>Styczeń</t>
        </is>
      </c>
      <c r="G3303" t="inlineStr">
        <is>
          <t>Wt</t>
        </is>
      </c>
      <c r="H3303">
        <f>'Floor Hours Engine'!$E$4</f>
        <v/>
      </c>
      <c r="I3303" t="inlineStr">
        <is>
          <t>W3</t>
        </is>
      </c>
      <c r="J3303" t="inlineStr">
        <is>
          <t>2030_Styczeń_W3</t>
        </is>
      </c>
    </row>
    <row r="3304">
      <c r="A3304" s="177" t="n">
        <v>47499</v>
      </c>
      <c r="B3304" s="177" t="n">
        <v>47498</v>
      </c>
      <c r="C3304" s="177" t="n">
        <v>47504</v>
      </c>
      <c r="D3304" t="inlineStr">
        <is>
          <t>BW20300115</t>
        </is>
      </c>
      <c r="E3304" t="n">
        <v>2030</v>
      </c>
      <c r="F3304" t="inlineStr">
        <is>
          <t>Styczeń</t>
        </is>
      </c>
      <c r="G3304" t="inlineStr">
        <is>
          <t>Śr</t>
        </is>
      </c>
      <c r="H3304">
        <f>'Floor Hours Engine'!$E$4</f>
        <v/>
      </c>
      <c r="I3304" t="inlineStr">
        <is>
          <t>W3</t>
        </is>
      </c>
      <c r="J3304" t="inlineStr">
        <is>
          <t>2030_Styczeń_W3</t>
        </is>
      </c>
    </row>
    <row r="3305">
      <c r="A3305" s="177" t="n">
        <v>47500</v>
      </c>
      <c r="B3305" s="177" t="n">
        <v>47498</v>
      </c>
      <c r="C3305" s="177" t="n">
        <v>47504</v>
      </c>
      <c r="D3305" t="inlineStr">
        <is>
          <t>BW20300115</t>
        </is>
      </c>
      <c r="E3305" t="n">
        <v>2030</v>
      </c>
      <c r="F3305" t="inlineStr">
        <is>
          <t>Styczeń</t>
        </is>
      </c>
      <c r="G3305" t="inlineStr">
        <is>
          <t>Czw</t>
        </is>
      </c>
      <c r="H3305">
        <f>'Floor Hours Engine'!$E$4</f>
        <v/>
      </c>
      <c r="I3305" t="inlineStr">
        <is>
          <t>W3</t>
        </is>
      </c>
      <c r="J3305" t="inlineStr">
        <is>
          <t>2030_Styczeń_W3</t>
        </is>
      </c>
    </row>
    <row r="3306">
      <c r="A3306" s="177" t="n">
        <v>47501</v>
      </c>
      <c r="B3306" s="177" t="n">
        <v>47498</v>
      </c>
      <c r="C3306" s="177" t="n">
        <v>47504</v>
      </c>
      <c r="D3306" t="inlineStr">
        <is>
          <t>BW20300115</t>
        </is>
      </c>
      <c r="E3306" t="n">
        <v>2030</v>
      </c>
      <c r="F3306" t="inlineStr">
        <is>
          <t>Styczeń</t>
        </is>
      </c>
      <c r="G3306" t="inlineStr">
        <is>
          <t>Pt</t>
        </is>
      </c>
      <c r="H3306">
        <f>'Floor Hours Engine'!$E$5</f>
        <v/>
      </c>
      <c r="I3306" t="inlineStr">
        <is>
          <t>W3</t>
        </is>
      </c>
      <c r="J3306" t="inlineStr">
        <is>
          <t>2030_Styczeń_W3</t>
        </is>
      </c>
    </row>
    <row r="3307">
      <c r="A3307" s="177" t="n">
        <v>47502</v>
      </c>
      <c r="B3307" s="177" t="n">
        <v>47498</v>
      </c>
      <c r="C3307" s="177" t="n">
        <v>47504</v>
      </c>
      <c r="D3307" t="inlineStr">
        <is>
          <t>BW20300115</t>
        </is>
      </c>
      <c r="E3307" t="n">
        <v>2030</v>
      </c>
      <c r="F3307" t="inlineStr">
        <is>
          <t>Styczeń</t>
        </is>
      </c>
      <c r="G3307" t="inlineStr">
        <is>
          <t>Sob</t>
        </is>
      </c>
      <c r="H3307">
        <f>'Floor Hours Engine'!$E$5</f>
        <v/>
      </c>
      <c r="I3307" t="inlineStr">
        <is>
          <t>W3</t>
        </is>
      </c>
      <c r="J3307" t="inlineStr">
        <is>
          <t>2030_Styczeń_W3</t>
        </is>
      </c>
    </row>
    <row r="3308">
      <c r="A3308" s="177" t="n">
        <v>47503</v>
      </c>
      <c r="B3308" s="177" t="n">
        <v>47498</v>
      </c>
      <c r="C3308" s="177" t="n">
        <v>47504</v>
      </c>
      <c r="D3308" t="inlineStr">
        <is>
          <t>BW20300115</t>
        </is>
      </c>
      <c r="E3308" t="n">
        <v>2030</v>
      </c>
      <c r="F3308" t="inlineStr">
        <is>
          <t>Styczeń</t>
        </is>
      </c>
      <c r="G3308" t="inlineStr">
        <is>
          <t>Nd</t>
        </is>
      </c>
      <c r="H3308">
        <f>'Floor Hours Engine'!$E$6</f>
        <v/>
      </c>
      <c r="I3308" t="inlineStr">
        <is>
          <t>W3</t>
        </is>
      </c>
      <c r="J3308" t="inlineStr">
        <is>
          <t>2030_Styczeń_W3</t>
        </is>
      </c>
    </row>
    <row r="3309">
      <c r="A3309" s="177" t="n">
        <v>47504</v>
      </c>
      <c r="B3309" s="177" t="n">
        <v>47498</v>
      </c>
      <c r="C3309" s="177" t="n">
        <v>47504</v>
      </c>
      <c r="D3309" t="inlineStr">
        <is>
          <t>BW20300115</t>
        </is>
      </c>
      <c r="E3309" t="n">
        <v>2030</v>
      </c>
      <c r="F3309" t="inlineStr">
        <is>
          <t>Styczeń</t>
        </is>
      </c>
      <c r="G3309" t="inlineStr">
        <is>
          <t>Pn</t>
        </is>
      </c>
      <c r="H3309">
        <f>'Floor Hours Engine'!$E$4</f>
        <v/>
      </c>
      <c r="I3309" t="inlineStr">
        <is>
          <t>W3</t>
        </is>
      </c>
      <c r="J3309" t="inlineStr">
        <is>
          <t>2030_Styczeń_W3</t>
        </is>
      </c>
    </row>
    <row r="3310">
      <c r="A3310" s="177" t="n">
        <v>47505</v>
      </c>
      <c r="B3310" s="177" t="n">
        <v>47505</v>
      </c>
      <c r="C3310" s="177" t="n">
        <v>47511</v>
      </c>
      <c r="D3310" t="inlineStr">
        <is>
          <t>BW20300122</t>
        </is>
      </c>
      <c r="E3310" t="n">
        <v>2030</v>
      </c>
      <c r="F3310" t="inlineStr">
        <is>
          <t>Styczeń</t>
        </is>
      </c>
      <c r="G3310" t="inlineStr">
        <is>
          <t>Wt</t>
        </is>
      </c>
      <c r="H3310">
        <f>'Floor Hours Engine'!$E$4</f>
        <v/>
      </c>
      <c r="I3310" t="inlineStr">
        <is>
          <t>W4</t>
        </is>
      </c>
      <c r="J3310" t="inlineStr">
        <is>
          <t>2030_Styczeń_W4</t>
        </is>
      </c>
    </row>
    <row r="3311">
      <c r="A3311" s="177" t="n">
        <v>47506</v>
      </c>
      <c r="B3311" s="177" t="n">
        <v>47505</v>
      </c>
      <c r="C3311" s="177" t="n">
        <v>47511</v>
      </c>
      <c r="D3311" t="inlineStr">
        <is>
          <t>BW20300122</t>
        </is>
      </c>
      <c r="E3311" t="n">
        <v>2030</v>
      </c>
      <c r="F3311" t="inlineStr">
        <is>
          <t>Styczeń</t>
        </is>
      </c>
      <c r="G3311" t="inlineStr">
        <is>
          <t>Śr</t>
        </is>
      </c>
      <c r="H3311">
        <f>'Floor Hours Engine'!$E$4</f>
        <v/>
      </c>
      <c r="I3311" t="inlineStr">
        <is>
          <t>W4</t>
        </is>
      </c>
      <c r="J3311" t="inlineStr">
        <is>
          <t>2030_Styczeń_W4</t>
        </is>
      </c>
    </row>
    <row r="3312">
      <c r="A3312" s="177" t="n">
        <v>47507</v>
      </c>
      <c r="B3312" s="177" t="n">
        <v>47505</v>
      </c>
      <c r="C3312" s="177" t="n">
        <v>47511</v>
      </c>
      <c r="D3312" t="inlineStr">
        <is>
          <t>BW20300122</t>
        </is>
      </c>
      <c r="E3312" t="n">
        <v>2030</v>
      </c>
      <c r="F3312" t="inlineStr">
        <is>
          <t>Styczeń</t>
        </is>
      </c>
      <c r="G3312" t="inlineStr">
        <is>
          <t>Czw</t>
        </is>
      </c>
      <c r="H3312">
        <f>'Floor Hours Engine'!$E$4</f>
        <v/>
      </c>
      <c r="I3312" t="inlineStr">
        <is>
          <t>W4</t>
        </is>
      </c>
      <c r="J3312" t="inlineStr">
        <is>
          <t>2030_Styczeń_W4</t>
        </is>
      </c>
    </row>
    <row r="3313">
      <c r="A3313" s="177" t="n">
        <v>47508</v>
      </c>
      <c r="B3313" s="177" t="n">
        <v>47505</v>
      </c>
      <c r="C3313" s="177" t="n">
        <v>47511</v>
      </c>
      <c r="D3313" t="inlineStr">
        <is>
          <t>BW20300122</t>
        </is>
      </c>
      <c r="E3313" t="n">
        <v>2030</v>
      </c>
      <c r="F3313" t="inlineStr">
        <is>
          <t>Styczeń</t>
        </is>
      </c>
      <c r="G3313" t="inlineStr">
        <is>
          <t>Pt</t>
        </is>
      </c>
      <c r="H3313">
        <f>'Floor Hours Engine'!$E$5</f>
        <v/>
      </c>
      <c r="I3313" t="inlineStr">
        <is>
          <t>W4</t>
        </is>
      </c>
      <c r="J3313" t="inlineStr">
        <is>
          <t>2030_Styczeń_W4</t>
        </is>
      </c>
    </row>
    <row r="3314">
      <c r="A3314" s="177" t="n">
        <v>47509</v>
      </c>
      <c r="B3314" s="177" t="n">
        <v>47505</v>
      </c>
      <c r="C3314" s="177" t="n">
        <v>47511</v>
      </c>
      <c r="D3314" t="inlineStr">
        <is>
          <t>BW20300122</t>
        </is>
      </c>
      <c r="E3314" t="n">
        <v>2030</v>
      </c>
      <c r="F3314" t="inlineStr">
        <is>
          <t>Styczeń</t>
        </is>
      </c>
      <c r="G3314" t="inlineStr">
        <is>
          <t>Sob</t>
        </is>
      </c>
      <c r="H3314">
        <f>'Floor Hours Engine'!$E$5</f>
        <v/>
      </c>
      <c r="I3314" t="inlineStr">
        <is>
          <t>W4</t>
        </is>
      </c>
      <c r="J3314" t="inlineStr">
        <is>
          <t>2030_Styczeń_W4</t>
        </is>
      </c>
    </row>
    <row r="3315">
      <c r="A3315" s="177" t="n">
        <v>47510</v>
      </c>
      <c r="B3315" s="177" t="n">
        <v>47505</v>
      </c>
      <c r="C3315" s="177" t="n">
        <v>47511</v>
      </c>
      <c r="D3315" t="inlineStr">
        <is>
          <t>BW20300122</t>
        </is>
      </c>
      <c r="E3315" t="n">
        <v>2030</v>
      </c>
      <c r="F3315" t="inlineStr">
        <is>
          <t>Styczeń</t>
        </is>
      </c>
      <c r="G3315" t="inlineStr">
        <is>
          <t>Nd</t>
        </is>
      </c>
      <c r="H3315">
        <f>'Floor Hours Engine'!$E$6</f>
        <v/>
      </c>
      <c r="I3315" t="inlineStr">
        <is>
          <t>W4</t>
        </is>
      </c>
      <c r="J3315" t="inlineStr">
        <is>
          <t>2030_Styczeń_W4</t>
        </is>
      </c>
    </row>
    <row r="3316">
      <c r="A3316" s="177" t="n">
        <v>47511</v>
      </c>
      <c r="B3316" s="177" t="n">
        <v>47505</v>
      </c>
      <c r="C3316" s="177" t="n">
        <v>47511</v>
      </c>
      <c r="D3316" t="inlineStr">
        <is>
          <t>BW20300122</t>
        </is>
      </c>
      <c r="E3316" t="n">
        <v>2030</v>
      </c>
      <c r="F3316" t="inlineStr">
        <is>
          <t>Styczeń</t>
        </is>
      </c>
      <c r="G3316" t="inlineStr">
        <is>
          <t>Pn</t>
        </is>
      </c>
      <c r="H3316">
        <f>'Floor Hours Engine'!$E$4</f>
        <v/>
      </c>
      <c r="I3316" t="inlineStr">
        <is>
          <t>W4</t>
        </is>
      </c>
      <c r="J3316" t="inlineStr">
        <is>
          <t>2030_Styczeń_W4</t>
        </is>
      </c>
    </row>
    <row r="3317">
      <c r="A3317" s="177" t="n">
        <v>47512</v>
      </c>
      <c r="B3317" s="177" t="n">
        <v>47512</v>
      </c>
      <c r="C3317" s="177" t="n">
        <v>47518</v>
      </c>
      <c r="D3317" t="inlineStr">
        <is>
          <t>BW20300129</t>
        </is>
      </c>
      <c r="E3317" t="n">
        <v>2030</v>
      </c>
      <c r="F3317" t="inlineStr">
        <is>
          <t>Styczeń</t>
        </is>
      </c>
      <c r="G3317" t="inlineStr">
        <is>
          <t>Wt</t>
        </is>
      </c>
      <c r="H3317">
        <f>'Floor Hours Engine'!$E$4</f>
        <v/>
      </c>
      <c r="I3317" t="inlineStr">
        <is>
          <t>W5</t>
        </is>
      </c>
      <c r="J3317" t="inlineStr">
        <is>
          <t>2030_Styczeń_W5</t>
        </is>
      </c>
    </row>
    <row r="3318">
      <c r="A3318" s="177" t="n">
        <v>47513</v>
      </c>
      <c r="B3318" s="177" t="n">
        <v>47512</v>
      </c>
      <c r="C3318" s="177" t="n">
        <v>47518</v>
      </c>
      <c r="D3318" t="inlineStr">
        <is>
          <t>BW20300129</t>
        </is>
      </c>
      <c r="E3318" t="n">
        <v>2030</v>
      </c>
      <c r="F3318" t="inlineStr">
        <is>
          <t>Styczeń</t>
        </is>
      </c>
      <c r="G3318" t="inlineStr">
        <is>
          <t>Śr</t>
        </is>
      </c>
      <c r="H3318">
        <f>'Floor Hours Engine'!$E$4</f>
        <v/>
      </c>
      <c r="I3318" t="inlineStr">
        <is>
          <t>W5</t>
        </is>
      </c>
      <c r="J3318" t="inlineStr">
        <is>
          <t>2030_Styczeń_W5</t>
        </is>
      </c>
    </row>
    <row r="3319">
      <c r="A3319" s="177" t="n">
        <v>47514</v>
      </c>
      <c r="B3319" s="177" t="n">
        <v>47512</v>
      </c>
      <c r="C3319" s="177" t="n">
        <v>47518</v>
      </c>
      <c r="D3319" t="inlineStr">
        <is>
          <t>BW20300129</t>
        </is>
      </c>
      <c r="E3319" t="n">
        <v>2030</v>
      </c>
      <c r="F3319" t="inlineStr">
        <is>
          <t>Styczeń</t>
        </is>
      </c>
      <c r="G3319" t="inlineStr">
        <is>
          <t>Czw</t>
        </is>
      </c>
      <c r="H3319">
        <f>'Floor Hours Engine'!$E$4</f>
        <v/>
      </c>
      <c r="I3319" t="inlineStr">
        <is>
          <t>W5</t>
        </is>
      </c>
      <c r="J3319" t="inlineStr">
        <is>
          <t>2030_Styczeń_W5</t>
        </is>
      </c>
    </row>
    <row r="3320">
      <c r="A3320" s="177" t="n">
        <v>47515</v>
      </c>
      <c r="B3320" s="177" t="n">
        <v>47512</v>
      </c>
      <c r="C3320" s="177" t="n">
        <v>47518</v>
      </c>
      <c r="D3320" t="inlineStr">
        <is>
          <t>BW20300129</t>
        </is>
      </c>
      <c r="E3320" t="n">
        <v>2030</v>
      </c>
      <c r="F3320" t="inlineStr">
        <is>
          <t>Luty</t>
        </is>
      </c>
      <c r="G3320" t="inlineStr">
        <is>
          <t>Pt</t>
        </is>
      </c>
      <c r="H3320">
        <f>'Floor Hours Engine'!$E$5</f>
        <v/>
      </c>
      <c r="I3320" t="inlineStr">
        <is>
          <t>W1</t>
        </is>
      </c>
      <c r="J3320" t="inlineStr">
        <is>
          <t>2030_Luty_W1</t>
        </is>
      </c>
    </row>
    <row r="3321">
      <c r="A3321" s="177" t="n">
        <v>47516</v>
      </c>
      <c r="B3321" s="177" t="n">
        <v>47512</v>
      </c>
      <c r="C3321" s="177" t="n">
        <v>47518</v>
      </c>
      <c r="D3321" t="inlineStr">
        <is>
          <t>BW20300129</t>
        </is>
      </c>
      <c r="E3321" t="n">
        <v>2030</v>
      </c>
      <c r="F3321" t="inlineStr">
        <is>
          <t>Luty</t>
        </is>
      </c>
      <c r="G3321" t="inlineStr">
        <is>
          <t>Sob</t>
        </is>
      </c>
      <c r="H3321">
        <f>'Floor Hours Engine'!$E$5</f>
        <v/>
      </c>
      <c r="I3321" t="inlineStr">
        <is>
          <t>W1</t>
        </is>
      </c>
      <c r="J3321" t="inlineStr">
        <is>
          <t>2030_Luty_W1</t>
        </is>
      </c>
    </row>
    <row r="3322">
      <c r="A3322" s="177" t="n">
        <v>47517</v>
      </c>
      <c r="B3322" s="177" t="n">
        <v>47512</v>
      </c>
      <c r="C3322" s="177" t="n">
        <v>47518</v>
      </c>
      <c r="D3322" t="inlineStr">
        <is>
          <t>BW20300129</t>
        </is>
      </c>
      <c r="E3322" t="n">
        <v>2030</v>
      </c>
      <c r="F3322" t="inlineStr">
        <is>
          <t>Luty</t>
        </is>
      </c>
      <c r="G3322" t="inlineStr">
        <is>
          <t>Nd</t>
        </is>
      </c>
      <c r="H3322">
        <f>'Floor Hours Engine'!$E$6</f>
        <v/>
      </c>
      <c r="I3322" t="inlineStr">
        <is>
          <t>W1</t>
        </is>
      </c>
      <c r="J3322" t="inlineStr">
        <is>
          <t>2030_Luty_W1</t>
        </is>
      </c>
    </row>
    <row r="3323">
      <c r="A3323" s="177" t="n">
        <v>47518</v>
      </c>
      <c r="B3323" s="177" t="n">
        <v>47512</v>
      </c>
      <c r="C3323" s="177" t="n">
        <v>47518</v>
      </c>
      <c r="D3323" t="inlineStr">
        <is>
          <t>BW20300129</t>
        </is>
      </c>
      <c r="E3323" t="n">
        <v>2030</v>
      </c>
      <c r="F3323" t="inlineStr">
        <is>
          <t>Luty</t>
        </is>
      </c>
      <c r="G3323" t="inlineStr">
        <is>
          <t>Pn</t>
        </is>
      </c>
      <c r="H3323">
        <f>'Floor Hours Engine'!$E$4</f>
        <v/>
      </c>
      <c r="I3323" t="inlineStr">
        <is>
          <t>W1</t>
        </is>
      </c>
      <c r="J3323" t="inlineStr">
        <is>
          <t>2030_Luty_W1</t>
        </is>
      </c>
    </row>
    <row r="3324">
      <c r="A3324" s="177" t="n">
        <v>47519</v>
      </c>
      <c r="B3324" s="177" t="n">
        <v>47519</v>
      </c>
      <c r="C3324" s="177" t="n">
        <v>47525</v>
      </c>
      <c r="D3324" t="inlineStr">
        <is>
          <t>BW20300205</t>
        </is>
      </c>
      <c r="E3324" t="n">
        <v>2030</v>
      </c>
      <c r="F3324" t="inlineStr">
        <is>
          <t>Luty</t>
        </is>
      </c>
      <c r="G3324" t="inlineStr">
        <is>
          <t>Wt</t>
        </is>
      </c>
      <c r="H3324">
        <f>'Floor Hours Engine'!$E$4</f>
        <v/>
      </c>
      <c r="I3324" t="inlineStr">
        <is>
          <t>W2</t>
        </is>
      </c>
      <c r="J3324" t="inlineStr">
        <is>
          <t>2030_Luty_W2</t>
        </is>
      </c>
    </row>
    <row r="3325">
      <c r="A3325" s="177" t="n">
        <v>47520</v>
      </c>
      <c r="B3325" s="177" t="n">
        <v>47519</v>
      </c>
      <c r="C3325" s="177" t="n">
        <v>47525</v>
      </c>
      <c r="D3325" t="inlineStr">
        <is>
          <t>BW20300205</t>
        </is>
      </c>
      <c r="E3325" t="n">
        <v>2030</v>
      </c>
      <c r="F3325" t="inlineStr">
        <is>
          <t>Luty</t>
        </is>
      </c>
      <c r="G3325" t="inlineStr">
        <is>
          <t>Śr</t>
        </is>
      </c>
      <c r="H3325">
        <f>'Floor Hours Engine'!$E$4</f>
        <v/>
      </c>
      <c r="I3325" t="inlineStr">
        <is>
          <t>W2</t>
        </is>
      </c>
      <c r="J3325" t="inlineStr">
        <is>
          <t>2030_Luty_W2</t>
        </is>
      </c>
    </row>
    <row r="3326">
      <c r="A3326" s="177" t="n">
        <v>47521</v>
      </c>
      <c r="B3326" s="177" t="n">
        <v>47519</v>
      </c>
      <c r="C3326" s="177" t="n">
        <v>47525</v>
      </c>
      <c r="D3326" t="inlineStr">
        <is>
          <t>BW20300205</t>
        </is>
      </c>
      <c r="E3326" t="n">
        <v>2030</v>
      </c>
      <c r="F3326" t="inlineStr">
        <is>
          <t>Luty</t>
        </is>
      </c>
      <c r="G3326" t="inlineStr">
        <is>
          <t>Czw</t>
        </is>
      </c>
      <c r="H3326">
        <f>'Floor Hours Engine'!$E$4</f>
        <v/>
      </c>
      <c r="I3326" t="inlineStr">
        <is>
          <t>W2</t>
        </is>
      </c>
      <c r="J3326" t="inlineStr">
        <is>
          <t>2030_Luty_W2</t>
        </is>
      </c>
    </row>
    <row r="3327">
      <c r="A3327" s="177" t="n">
        <v>47522</v>
      </c>
      <c r="B3327" s="177" t="n">
        <v>47519</v>
      </c>
      <c r="C3327" s="177" t="n">
        <v>47525</v>
      </c>
      <c r="D3327" t="inlineStr">
        <is>
          <t>BW20300205</t>
        </is>
      </c>
      <c r="E3327" t="n">
        <v>2030</v>
      </c>
      <c r="F3327" t="inlineStr">
        <is>
          <t>Luty</t>
        </is>
      </c>
      <c r="G3327" t="inlineStr">
        <is>
          <t>Pt</t>
        </is>
      </c>
      <c r="H3327">
        <f>'Floor Hours Engine'!$E$5</f>
        <v/>
      </c>
      <c r="I3327" t="inlineStr">
        <is>
          <t>W2</t>
        </is>
      </c>
      <c r="J3327" t="inlineStr">
        <is>
          <t>2030_Luty_W2</t>
        </is>
      </c>
    </row>
    <row r="3328">
      <c r="A3328" s="177" t="n">
        <v>47523</v>
      </c>
      <c r="B3328" s="177" t="n">
        <v>47519</v>
      </c>
      <c r="C3328" s="177" t="n">
        <v>47525</v>
      </c>
      <c r="D3328" t="inlineStr">
        <is>
          <t>BW20300205</t>
        </is>
      </c>
      <c r="E3328" t="n">
        <v>2030</v>
      </c>
      <c r="F3328" t="inlineStr">
        <is>
          <t>Luty</t>
        </is>
      </c>
      <c r="G3328" t="inlineStr">
        <is>
          <t>Sob</t>
        </is>
      </c>
      <c r="H3328">
        <f>'Floor Hours Engine'!$E$5</f>
        <v/>
      </c>
      <c r="I3328" t="inlineStr">
        <is>
          <t>W2</t>
        </is>
      </c>
      <c r="J3328" t="inlineStr">
        <is>
          <t>2030_Luty_W2</t>
        </is>
      </c>
    </row>
    <row r="3329">
      <c r="A3329" s="177" t="n">
        <v>47524</v>
      </c>
      <c r="B3329" s="177" t="n">
        <v>47519</v>
      </c>
      <c r="C3329" s="177" t="n">
        <v>47525</v>
      </c>
      <c r="D3329" t="inlineStr">
        <is>
          <t>BW20300205</t>
        </is>
      </c>
      <c r="E3329" t="n">
        <v>2030</v>
      </c>
      <c r="F3329" t="inlineStr">
        <is>
          <t>Luty</t>
        </is>
      </c>
      <c r="G3329" t="inlineStr">
        <is>
          <t>Nd</t>
        </is>
      </c>
      <c r="H3329">
        <f>'Floor Hours Engine'!$E$6</f>
        <v/>
      </c>
      <c r="I3329" t="inlineStr">
        <is>
          <t>W2</t>
        </is>
      </c>
      <c r="J3329" t="inlineStr">
        <is>
          <t>2030_Luty_W2</t>
        </is>
      </c>
    </row>
    <row r="3330">
      <c r="A3330" s="177" t="n">
        <v>47525</v>
      </c>
      <c r="B3330" s="177" t="n">
        <v>47519</v>
      </c>
      <c r="C3330" s="177" t="n">
        <v>47525</v>
      </c>
      <c r="D3330" t="inlineStr">
        <is>
          <t>BW20300205</t>
        </is>
      </c>
      <c r="E3330" t="n">
        <v>2030</v>
      </c>
      <c r="F3330" t="inlineStr">
        <is>
          <t>Luty</t>
        </is>
      </c>
      <c r="G3330" t="inlineStr">
        <is>
          <t>Pn</t>
        </is>
      </c>
      <c r="H3330">
        <f>'Floor Hours Engine'!$E$4</f>
        <v/>
      </c>
      <c r="I3330" t="inlineStr">
        <is>
          <t>W2</t>
        </is>
      </c>
      <c r="J3330" t="inlineStr">
        <is>
          <t>2030_Luty_W2</t>
        </is>
      </c>
    </row>
    <row r="3331">
      <c r="A3331" s="177" t="n">
        <v>47526</v>
      </c>
      <c r="B3331" s="177" t="n">
        <v>47526</v>
      </c>
      <c r="C3331" s="177" t="n">
        <v>47532</v>
      </c>
      <c r="D3331" t="inlineStr">
        <is>
          <t>BW20300212</t>
        </is>
      </c>
      <c r="E3331" t="n">
        <v>2030</v>
      </c>
      <c r="F3331" t="inlineStr">
        <is>
          <t>Luty</t>
        </is>
      </c>
      <c r="G3331" t="inlineStr">
        <is>
          <t>Wt</t>
        </is>
      </c>
      <c r="H3331">
        <f>'Floor Hours Engine'!$E$4</f>
        <v/>
      </c>
      <c r="I3331" t="inlineStr">
        <is>
          <t>W3</t>
        </is>
      </c>
      <c r="J3331" t="inlineStr">
        <is>
          <t>2030_Luty_W3</t>
        </is>
      </c>
    </row>
    <row r="3332">
      <c r="A3332" s="177" t="n">
        <v>47527</v>
      </c>
      <c r="B3332" s="177" t="n">
        <v>47526</v>
      </c>
      <c r="C3332" s="177" t="n">
        <v>47532</v>
      </c>
      <c r="D3332" t="inlineStr">
        <is>
          <t>BW20300212</t>
        </is>
      </c>
      <c r="E3332" t="n">
        <v>2030</v>
      </c>
      <c r="F3332" t="inlineStr">
        <is>
          <t>Luty</t>
        </is>
      </c>
      <c r="G3332" t="inlineStr">
        <is>
          <t>Śr</t>
        </is>
      </c>
      <c r="H3332">
        <f>'Floor Hours Engine'!$E$4</f>
        <v/>
      </c>
      <c r="I3332" t="inlineStr">
        <is>
          <t>W3</t>
        </is>
      </c>
      <c r="J3332" t="inlineStr">
        <is>
          <t>2030_Luty_W3</t>
        </is>
      </c>
    </row>
    <row r="3333">
      <c r="A3333" s="177" t="n">
        <v>47528</v>
      </c>
      <c r="B3333" s="177" t="n">
        <v>47526</v>
      </c>
      <c r="C3333" s="177" t="n">
        <v>47532</v>
      </c>
      <c r="D3333" t="inlineStr">
        <is>
          <t>BW20300212</t>
        </is>
      </c>
      <c r="E3333" t="n">
        <v>2030</v>
      </c>
      <c r="F3333" t="inlineStr">
        <is>
          <t>Luty</t>
        </is>
      </c>
      <c r="G3333" t="inlineStr">
        <is>
          <t>Czw</t>
        </is>
      </c>
      <c r="H3333">
        <f>'Floor Hours Engine'!$E$4</f>
        <v/>
      </c>
      <c r="I3333" t="inlineStr">
        <is>
          <t>W3</t>
        </is>
      </c>
      <c r="J3333" t="inlineStr">
        <is>
          <t>2030_Luty_W3</t>
        </is>
      </c>
    </row>
    <row r="3334">
      <c r="A3334" s="177" t="n">
        <v>47529</v>
      </c>
      <c r="B3334" s="177" t="n">
        <v>47526</v>
      </c>
      <c r="C3334" s="177" t="n">
        <v>47532</v>
      </c>
      <c r="D3334" t="inlineStr">
        <is>
          <t>BW20300212</t>
        </is>
      </c>
      <c r="E3334" t="n">
        <v>2030</v>
      </c>
      <c r="F3334" t="inlineStr">
        <is>
          <t>Luty</t>
        </is>
      </c>
      <c r="G3334" t="inlineStr">
        <is>
          <t>Pt</t>
        </is>
      </c>
      <c r="H3334">
        <f>'Floor Hours Engine'!$E$5</f>
        <v/>
      </c>
      <c r="I3334" t="inlineStr">
        <is>
          <t>W3</t>
        </is>
      </c>
      <c r="J3334" t="inlineStr">
        <is>
          <t>2030_Luty_W3</t>
        </is>
      </c>
    </row>
    <row r="3335">
      <c r="A3335" s="177" t="n">
        <v>47530</v>
      </c>
      <c r="B3335" s="177" t="n">
        <v>47526</v>
      </c>
      <c r="C3335" s="177" t="n">
        <v>47532</v>
      </c>
      <c r="D3335" t="inlineStr">
        <is>
          <t>BW20300212</t>
        </is>
      </c>
      <c r="E3335" t="n">
        <v>2030</v>
      </c>
      <c r="F3335" t="inlineStr">
        <is>
          <t>Luty</t>
        </is>
      </c>
      <c r="G3335" t="inlineStr">
        <is>
          <t>Sob</t>
        </is>
      </c>
      <c r="H3335">
        <f>'Floor Hours Engine'!$E$5</f>
        <v/>
      </c>
      <c r="I3335" t="inlineStr">
        <is>
          <t>W3</t>
        </is>
      </c>
      <c r="J3335" t="inlineStr">
        <is>
          <t>2030_Luty_W3</t>
        </is>
      </c>
    </row>
    <row r="3336">
      <c r="A3336" s="177" t="n">
        <v>47531</v>
      </c>
      <c r="B3336" s="177" t="n">
        <v>47526</v>
      </c>
      <c r="C3336" s="177" t="n">
        <v>47532</v>
      </c>
      <c r="D3336" t="inlineStr">
        <is>
          <t>BW20300212</t>
        </is>
      </c>
      <c r="E3336" t="n">
        <v>2030</v>
      </c>
      <c r="F3336" t="inlineStr">
        <is>
          <t>Luty</t>
        </is>
      </c>
      <c r="G3336" t="inlineStr">
        <is>
          <t>Nd</t>
        </is>
      </c>
      <c r="H3336">
        <f>'Floor Hours Engine'!$E$6</f>
        <v/>
      </c>
      <c r="I3336" t="inlineStr">
        <is>
          <t>W3</t>
        </is>
      </c>
      <c r="J3336" t="inlineStr">
        <is>
          <t>2030_Luty_W3</t>
        </is>
      </c>
    </row>
    <row r="3337">
      <c r="A3337" s="177" t="n">
        <v>47532</v>
      </c>
      <c r="B3337" s="177" t="n">
        <v>47526</v>
      </c>
      <c r="C3337" s="177" t="n">
        <v>47532</v>
      </c>
      <c r="D3337" t="inlineStr">
        <is>
          <t>BW20300212</t>
        </is>
      </c>
      <c r="E3337" t="n">
        <v>2030</v>
      </c>
      <c r="F3337" t="inlineStr">
        <is>
          <t>Luty</t>
        </is>
      </c>
      <c r="G3337" t="inlineStr">
        <is>
          <t>Pn</t>
        </is>
      </c>
      <c r="H3337">
        <f>'Floor Hours Engine'!$E$4</f>
        <v/>
      </c>
      <c r="I3337" t="inlineStr">
        <is>
          <t>W3</t>
        </is>
      </c>
      <c r="J3337" t="inlineStr">
        <is>
          <t>2030_Luty_W3</t>
        </is>
      </c>
    </row>
    <row r="3338">
      <c r="A3338" s="177" t="n">
        <v>47533</v>
      </c>
      <c r="B3338" s="177" t="n">
        <v>47533</v>
      </c>
      <c r="C3338" s="177" t="n">
        <v>47539</v>
      </c>
      <c r="D3338" t="inlineStr">
        <is>
          <t>BW20300219</t>
        </is>
      </c>
      <c r="E3338" t="n">
        <v>2030</v>
      </c>
      <c r="F3338" t="inlineStr">
        <is>
          <t>Luty</t>
        </is>
      </c>
      <c r="G3338" t="inlineStr">
        <is>
          <t>Wt</t>
        </is>
      </c>
      <c r="H3338">
        <f>'Floor Hours Engine'!$E$4</f>
        <v/>
      </c>
      <c r="I3338" t="inlineStr">
        <is>
          <t>W4</t>
        </is>
      </c>
      <c r="J3338" t="inlineStr">
        <is>
          <t>2030_Luty_W4</t>
        </is>
      </c>
    </row>
    <row r="3339">
      <c r="A3339" s="177" t="n">
        <v>47534</v>
      </c>
      <c r="B3339" s="177" t="n">
        <v>47533</v>
      </c>
      <c r="C3339" s="177" t="n">
        <v>47539</v>
      </c>
      <c r="D3339" t="inlineStr">
        <is>
          <t>BW20300219</t>
        </is>
      </c>
      <c r="E3339" t="n">
        <v>2030</v>
      </c>
      <c r="F3339" t="inlineStr">
        <is>
          <t>Luty</t>
        </is>
      </c>
      <c r="G3339" t="inlineStr">
        <is>
          <t>Śr</t>
        </is>
      </c>
      <c r="H3339">
        <f>'Floor Hours Engine'!$E$4</f>
        <v/>
      </c>
      <c r="I3339" t="inlineStr">
        <is>
          <t>W4</t>
        </is>
      </c>
      <c r="J3339" t="inlineStr">
        <is>
          <t>2030_Luty_W4</t>
        </is>
      </c>
    </row>
    <row r="3340">
      <c r="A3340" s="177" t="n">
        <v>47535</v>
      </c>
      <c r="B3340" s="177" t="n">
        <v>47533</v>
      </c>
      <c r="C3340" s="177" t="n">
        <v>47539</v>
      </c>
      <c r="D3340" t="inlineStr">
        <is>
          <t>BW20300219</t>
        </is>
      </c>
      <c r="E3340" t="n">
        <v>2030</v>
      </c>
      <c r="F3340" t="inlineStr">
        <is>
          <t>Luty</t>
        </is>
      </c>
      <c r="G3340" t="inlineStr">
        <is>
          <t>Czw</t>
        </is>
      </c>
      <c r="H3340">
        <f>'Floor Hours Engine'!$E$4</f>
        <v/>
      </c>
      <c r="I3340" t="inlineStr">
        <is>
          <t>W4</t>
        </is>
      </c>
      <c r="J3340" t="inlineStr">
        <is>
          <t>2030_Luty_W4</t>
        </is>
      </c>
    </row>
    <row r="3341">
      <c r="A3341" s="177" t="n">
        <v>47536</v>
      </c>
      <c r="B3341" s="177" t="n">
        <v>47533</v>
      </c>
      <c r="C3341" s="177" t="n">
        <v>47539</v>
      </c>
      <c r="D3341" t="inlineStr">
        <is>
          <t>BW20300219</t>
        </is>
      </c>
      <c r="E3341" t="n">
        <v>2030</v>
      </c>
      <c r="F3341" t="inlineStr">
        <is>
          <t>Luty</t>
        </is>
      </c>
      <c r="G3341" t="inlineStr">
        <is>
          <t>Pt</t>
        </is>
      </c>
      <c r="H3341">
        <f>'Floor Hours Engine'!$E$5</f>
        <v/>
      </c>
      <c r="I3341" t="inlineStr">
        <is>
          <t>W4</t>
        </is>
      </c>
      <c r="J3341" t="inlineStr">
        <is>
          <t>2030_Luty_W4</t>
        </is>
      </c>
    </row>
    <row r="3342">
      <c r="A3342" s="177" t="n">
        <v>47537</v>
      </c>
      <c r="B3342" s="177" t="n">
        <v>47533</v>
      </c>
      <c r="C3342" s="177" t="n">
        <v>47539</v>
      </c>
      <c r="D3342" t="inlineStr">
        <is>
          <t>BW20300219</t>
        </is>
      </c>
      <c r="E3342" t="n">
        <v>2030</v>
      </c>
      <c r="F3342" t="inlineStr">
        <is>
          <t>Luty</t>
        </is>
      </c>
      <c r="G3342" t="inlineStr">
        <is>
          <t>Sob</t>
        </is>
      </c>
      <c r="H3342">
        <f>'Floor Hours Engine'!$E$5</f>
        <v/>
      </c>
      <c r="I3342" t="inlineStr">
        <is>
          <t>W4</t>
        </is>
      </c>
      <c r="J3342" t="inlineStr">
        <is>
          <t>2030_Luty_W4</t>
        </is>
      </c>
    </row>
    <row r="3343">
      <c r="A3343" s="177" t="n">
        <v>47538</v>
      </c>
      <c r="B3343" s="177" t="n">
        <v>47533</v>
      </c>
      <c r="C3343" s="177" t="n">
        <v>47539</v>
      </c>
      <c r="D3343" t="inlineStr">
        <is>
          <t>BW20300219</t>
        </is>
      </c>
      <c r="E3343" t="n">
        <v>2030</v>
      </c>
      <c r="F3343" t="inlineStr">
        <is>
          <t>Luty</t>
        </is>
      </c>
      <c r="G3343" t="inlineStr">
        <is>
          <t>Nd</t>
        </is>
      </c>
      <c r="H3343">
        <f>'Floor Hours Engine'!$E$6</f>
        <v/>
      </c>
      <c r="I3343" t="inlineStr">
        <is>
          <t>W4</t>
        </is>
      </c>
      <c r="J3343" t="inlineStr">
        <is>
          <t>2030_Luty_W4</t>
        </is>
      </c>
    </row>
    <row r="3344">
      <c r="A3344" s="177" t="n">
        <v>47539</v>
      </c>
      <c r="B3344" s="177" t="n">
        <v>47533</v>
      </c>
      <c r="C3344" s="177" t="n">
        <v>47539</v>
      </c>
      <c r="D3344" t="inlineStr">
        <is>
          <t>BW20300219</t>
        </is>
      </c>
      <c r="E3344" t="n">
        <v>2030</v>
      </c>
      <c r="F3344" t="inlineStr">
        <is>
          <t>Luty</t>
        </is>
      </c>
      <c r="G3344" t="inlineStr">
        <is>
          <t>Pn</t>
        </is>
      </c>
      <c r="H3344">
        <f>'Floor Hours Engine'!$E$4</f>
        <v/>
      </c>
      <c r="I3344" t="inlineStr">
        <is>
          <t>W4</t>
        </is>
      </c>
      <c r="J3344" t="inlineStr">
        <is>
          <t>2030_Luty_W4</t>
        </is>
      </c>
    </row>
    <row r="3345">
      <c r="A3345" s="177" t="n">
        <v>47540</v>
      </c>
      <c r="B3345" s="177" t="n">
        <v>47540</v>
      </c>
      <c r="C3345" s="177" t="n">
        <v>47546</v>
      </c>
      <c r="D3345" t="inlineStr">
        <is>
          <t>BW20300226</t>
        </is>
      </c>
      <c r="E3345" t="n">
        <v>2030</v>
      </c>
      <c r="F3345" t="inlineStr">
        <is>
          <t>Luty</t>
        </is>
      </c>
      <c r="G3345" t="inlineStr">
        <is>
          <t>Wt</t>
        </is>
      </c>
      <c r="H3345">
        <f>'Floor Hours Engine'!$E$4</f>
        <v/>
      </c>
      <c r="I3345" t="inlineStr">
        <is>
          <t>W5</t>
        </is>
      </c>
      <c r="J3345" t="inlineStr">
        <is>
          <t>2030_Luty_W5</t>
        </is>
      </c>
    </row>
    <row r="3346">
      <c r="A3346" s="177" t="n">
        <v>47541</v>
      </c>
      <c r="B3346" s="177" t="n">
        <v>47540</v>
      </c>
      <c r="C3346" s="177" t="n">
        <v>47546</v>
      </c>
      <c r="D3346" t="inlineStr">
        <is>
          <t>BW20300226</t>
        </is>
      </c>
      <c r="E3346" t="n">
        <v>2030</v>
      </c>
      <c r="F3346" t="inlineStr">
        <is>
          <t>Luty</t>
        </is>
      </c>
      <c r="G3346" t="inlineStr">
        <is>
          <t>Śr</t>
        </is>
      </c>
      <c r="H3346">
        <f>'Floor Hours Engine'!$E$4</f>
        <v/>
      </c>
      <c r="I3346" t="inlineStr">
        <is>
          <t>W5</t>
        </is>
      </c>
      <c r="J3346" t="inlineStr">
        <is>
          <t>2030_Luty_W5</t>
        </is>
      </c>
    </row>
    <row r="3347">
      <c r="A3347" s="177" t="n">
        <v>47542</v>
      </c>
      <c r="B3347" s="177" t="n">
        <v>47540</v>
      </c>
      <c r="C3347" s="177" t="n">
        <v>47546</v>
      </c>
      <c r="D3347" t="inlineStr">
        <is>
          <t>BW20300226</t>
        </is>
      </c>
      <c r="E3347" t="n">
        <v>2030</v>
      </c>
      <c r="F3347" t="inlineStr">
        <is>
          <t>Luty</t>
        </is>
      </c>
      <c r="G3347" t="inlineStr">
        <is>
          <t>Czw</t>
        </is>
      </c>
      <c r="H3347">
        <f>'Floor Hours Engine'!$E$4</f>
        <v/>
      </c>
      <c r="I3347" t="inlineStr">
        <is>
          <t>W5</t>
        </is>
      </c>
      <c r="J3347" t="inlineStr">
        <is>
          <t>2030_Luty_W5</t>
        </is>
      </c>
    </row>
    <row r="3348">
      <c r="A3348" s="177" t="n">
        <v>47543</v>
      </c>
      <c r="B3348" s="177" t="n">
        <v>47540</v>
      </c>
      <c r="C3348" s="177" t="n">
        <v>47546</v>
      </c>
      <c r="D3348" t="inlineStr">
        <is>
          <t>BW20300226</t>
        </is>
      </c>
      <c r="E3348" t="n">
        <v>2030</v>
      </c>
      <c r="F3348" t="inlineStr">
        <is>
          <t>Marzec</t>
        </is>
      </c>
      <c r="G3348" t="inlineStr">
        <is>
          <t>Pt</t>
        </is>
      </c>
      <c r="H3348">
        <f>'Floor Hours Engine'!$E$5</f>
        <v/>
      </c>
      <c r="I3348" t="inlineStr">
        <is>
          <t>W1</t>
        </is>
      </c>
      <c r="J3348" t="inlineStr">
        <is>
          <t>2030_Marzec_W1</t>
        </is>
      </c>
    </row>
    <row r="3349">
      <c r="A3349" s="177" t="n">
        <v>47544</v>
      </c>
      <c r="B3349" s="177" t="n">
        <v>47540</v>
      </c>
      <c r="C3349" s="177" t="n">
        <v>47546</v>
      </c>
      <c r="D3349" t="inlineStr">
        <is>
          <t>BW20300226</t>
        </is>
      </c>
      <c r="E3349" t="n">
        <v>2030</v>
      </c>
      <c r="F3349" t="inlineStr">
        <is>
          <t>Marzec</t>
        </is>
      </c>
      <c r="G3349" t="inlineStr">
        <is>
          <t>Sob</t>
        </is>
      </c>
      <c r="H3349">
        <f>'Floor Hours Engine'!$E$5</f>
        <v/>
      </c>
      <c r="I3349" t="inlineStr">
        <is>
          <t>W1</t>
        </is>
      </c>
      <c r="J3349" t="inlineStr">
        <is>
          <t>2030_Marzec_W1</t>
        </is>
      </c>
    </row>
    <row r="3350">
      <c r="A3350" s="177" t="n">
        <v>47545</v>
      </c>
      <c r="B3350" s="177" t="n">
        <v>47540</v>
      </c>
      <c r="C3350" s="177" t="n">
        <v>47546</v>
      </c>
      <c r="D3350" t="inlineStr">
        <is>
          <t>BW20300226</t>
        </is>
      </c>
      <c r="E3350" t="n">
        <v>2030</v>
      </c>
      <c r="F3350" t="inlineStr">
        <is>
          <t>Marzec</t>
        </is>
      </c>
      <c r="G3350" t="inlineStr">
        <is>
          <t>Nd</t>
        </is>
      </c>
      <c r="H3350">
        <f>'Floor Hours Engine'!$E$6</f>
        <v/>
      </c>
      <c r="I3350" t="inlineStr">
        <is>
          <t>W1</t>
        </is>
      </c>
      <c r="J3350" t="inlineStr">
        <is>
          <t>2030_Marzec_W1</t>
        </is>
      </c>
    </row>
    <row r="3351">
      <c r="A3351" s="177" t="n">
        <v>47546</v>
      </c>
      <c r="B3351" s="177" t="n">
        <v>47540</v>
      </c>
      <c r="C3351" s="177" t="n">
        <v>47546</v>
      </c>
      <c r="D3351" t="inlineStr">
        <is>
          <t>BW20300226</t>
        </is>
      </c>
      <c r="E3351" t="n">
        <v>2030</v>
      </c>
      <c r="F3351" t="inlineStr">
        <is>
          <t>Marzec</t>
        </is>
      </c>
      <c r="G3351" t="inlineStr">
        <is>
          <t>Pn</t>
        </is>
      </c>
      <c r="H3351">
        <f>'Floor Hours Engine'!$E$4</f>
        <v/>
      </c>
      <c r="I3351" t="inlineStr">
        <is>
          <t>W1</t>
        </is>
      </c>
      <c r="J3351" t="inlineStr">
        <is>
          <t>2030_Marzec_W1</t>
        </is>
      </c>
    </row>
    <row r="3352">
      <c r="A3352" s="177" t="n">
        <v>47547</v>
      </c>
      <c r="B3352" s="177" t="n">
        <v>47547</v>
      </c>
      <c r="C3352" s="177" t="n">
        <v>47553</v>
      </c>
      <c r="D3352" t="inlineStr">
        <is>
          <t>BW20300305</t>
        </is>
      </c>
      <c r="E3352" t="n">
        <v>2030</v>
      </c>
      <c r="F3352" t="inlineStr">
        <is>
          <t>Marzec</t>
        </is>
      </c>
      <c r="G3352" t="inlineStr">
        <is>
          <t>Wt</t>
        </is>
      </c>
      <c r="H3352">
        <f>'Floor Hours Engine'!$E$4</f>
        <v/>
      </c>
      <c r="I3352" t="inlineStr">
        <is>
          <t>W2</t>
        </is>
      </c>
      <c r="J3352" t="inlineStr">
        <is>
          <t>2030_Marzec_W2</t>
        </is>
      </c>
    </row>
    <row r="3353">
      <c r="A3353" s="177" t="n">
        <v>47548</v>
      </c>
      <c r="B3353" s="177" t="n">
        <v>47547</v>
      </c>
      <c r="C3353" s="177" t="n">
        <v>47553</v>
      </c>
      <c r="D3353" t="inlineStr">
        <is>
          <t>BW20300305</t>
        </is>
      </c>
      <c r="E3353" t="n">
        <v>2030</v>
      </c>
      <c r="F3353" t="inlineStr">
        <is>
          <t>Marzec</t>
        </is>
      </c>
      <c r="G3353" t="inlineStr">
        <is>
          <t>Śr</t>
        </is>
      </c>
      <c r="H3353">
        <f>'Floor Hours Engine'!$E$4</f>
        <v/>
      </c>
      <c r="I3353" t="inlineStr">
        <is>
          <t>W2</t>
        </is>
      </c>
      <c r="J3353" t="inlineStr">
        <is>
          <t>2030_Marzec_W2</t>
        </is>
      </c>
    </row>
    <row r="3354">
      <c r="A3354" s="177" t="n">
        <v>47549</v>
      </c>
      <c r="B3354" s="177" t="n">
        <v>47547</v>
      </c>
      <c r="C3354" s="177" t="n">
        <v>47553</v>
      </c>
      <c r="D3354" t="inlineStr">
        <is>
          <t>BW20300305</t>
        </is>
      </c>
      <c r="E3354" t="n">
        <v>2030</v>
      </c>
      <c r="F3354" t="inlineStr">
        <is>
          <t>Marzec</t>
        </is>
      </c>
      <c r="G3354" t="inlineStr">
        <is>
          <t>Czw</t>
        </is>
      </c>
      <c r="H3354">
        <f>'Floor Hours Engine'!$E$4</f>
        <v/>
      </c>
      <c r="I3354" t="inlineStr">
        <is>
          <t>W2</t>
        </is>
      </c>
      <c r="J3354" t="inlineStr">
        <is>
          <t>2030_Marzec_W2</t>
        </is>
      </c>
    </row>
    <row r="3355">
      <c r="A3355" s="177" t="n">
        <v>47550</v>
      </c>
      <c r="B3355" s="177" t="n">
        <v>47547</v>
      </c>
      <c r="C3355" s="177" t="n">
        <v>47553</v>
      </c>
      <c r="D3355" t="inlineStr">
        <is>
          <t>BW20300305</t>
        </is>
      </c>
      <c r="E3355" t="n">
        <v>2030</v>
      </c>
      <c r="F3355" t="inlineStr">
        <is>
          <t>Marzec</t>
        </is>
      </c>
      <c r="G3355" t="inlineStr">
        <is>
          <t>Pt</t>
        </is>
      </c>
      <c r="H3355">
        <f>'Floor Hours Engine'!$E$5</f>
        <v/>
      </c>
      <c r="I3355" t="inlineStr">
        <is>
          <t>W2</t>
        </is>
      </c>
      <c r="J3355" t="inlineStr">
        <is>
          <t>2030_Marzec_W2</t>
        </is>
      </c>
    </row>
    <row r="3356">
      <c r="A3356" s="177" t="n">
        <v>47551</v>
      </c>
      <c r="B3356" s="177" t="n">
        <v>47547</v>
      </c>
      <c r="C3356" s="177" t="n">
        <v>47553</v>
      </c>
      <c r="D3356" t="inlineStr">
        <is>
          <t>BW20300305</t>
        </is>
      </c>
      <c r="E3356" t="n">
        <v>2030</v>
      </c>
      <c r="F3356" t="inlineStr">
        <is>
          <t>Marzec</t>
        </is>
      </c>
      <c r="G3356" t="inlineStr">
        <is>
          <t>Sob</t>
        </is>
      </c>
      <c r="H3356">
        <f>'Floor Hours Engine'!$E$5</f>
        <v/>
      </c>
      <c r="I3356" t="inlineStr">
        <is>
          <t>W2</t>
        </is>
      </c>
      <c r="J3356" t="inlineStr">
        <is>
          <t>2030_Marzec_W2</t>
        </is>
      </c>
    </row>
    <row r="3357">
      <c r="A3357" s="177" t="n">
        <v>47552</v>
      </c>
      <c r="B3357" s="177" t="n">
        <v>47547</v>
      </c>
      <c r="C3357" s="177" t="n">
        <v>47553</v>
      </c>
      <c r="D3357" t="inlineStr">
        <is>
          <t>BW20300305</t>
        </is>
      </c>
      <c r="E3357" t="n">
        <v>2030</v>
      </c>
      <c r="F3357" t="inlineStr">
        <is>
          <t>Marzec</t>
        </is>
      </c>
      <c r="G3357" t="inlineStr">
        <is>
          <t>Nd</t>
        </is>
      </c>
      <c r="H3357">
        <f>'Floor Hours Engine'!$E$6</f>
        <v/>
      </c>
      <c r="I3357" t="inlineStr">
        <is>
          <t>W2</t>
        </is>
      </c>
      <c r="J3357" t="inlineStr">
        <is>
          <t>2030_Marzec_W2</t>
        </is>
      </c>
    </row>
    <row r="3358">
      <c r="A3358" s="177" t="n">
        <v>47553</v>
      </c>
      <c r="B3358" s="177" t="n">
        <v>47547</v>
      </c>
      <c r="C3358" s="177" t="n">
        <v>47553</v>
      </c>
      <c r="D3358" t="inlineStr">
        <is>
          <t>BW20300305</t>
        </is>
      </c>
      <c r="E3358" t="n">
        <v>2030</v>
      </c>
      <c r="F3358" t="inlineStr">
        <is>
          <t>Marzec</t>
        </is>
      </c>
      <c r="G3358" t="inlineStr">
        <is>
          <t>Pn</t>
        </is>
      </c>
      <c r="H3358">
        <f>'Floor Hours Engine'!$E$4</f>
        <v/>
      </c>
      <c r="I3358" t="inlineStr">
        <is>
          <t>W2</t>
        </is>
      </c>
      <c r="J3358" t="inlineStr">
        <is>
          <t>2030_Marzec_W2</t>
        </is>
      </c>
    </row>
    <row r="3359">
      <c r="A3359" s="177" t="n">
        <v>47554</v>
      </c>
      <c r="B3359" s="177" t="n">
        <v>47554</v>
      </c>
      <c r="C3359" s="177" t="n">
        <v>47560</v>
      </c>
      <c r="D3359" t="inlineStr">
        <is>
          <t>BW20300312</t>
        </is>
      </c>
      <c r="E3359" t="n">
        <v>2030</v>
      </c>
      <c r="F3359" t="inlineStr">
        <is>
          <t>Marzec</t>
        </is>
      </c>
      <c r="G3359" t="inlineStr">
        <is>
          <t>Wt</t>
        </is>
      </c>
      <c r="H3359">
        <f>'Floor Hours Engine'!$E$4</f>
        <v/>
      </c>
      <c r="I3359" t="inlineStr">
        <is>
          <t>W3</t>
        </is>
      </c>
      <c r="J3359" t="inlineStr">
        <is>
          <t>2030_Marzec_W3</t>
        </is>
      </c>
    </row>
    <row r="3360">
      <c r="A3360" s="177" t="n">
        <v>47555</v>
      </c>
      <c r="B3360" s="177" t="n">
        <v>47554</v>
      </c>
      <c r="C3360" s="177" t="n">
        <v>47560</v>
      </c>
      <c r="D3360" t="inlineStr">
        <is>
          <t>BW20300312</t>
        </is>
      </c>
      <c r="E3360" t="n">
        <v>2030</v>
      </c>
      <c r="F3360" t="inlineStr">
        <is>
          <t>Marzec</t>
        </is>
      </c>
      <c r="G3360" t="inlineStr">
        <is>
          <t>Śr</t>
        </is>
      </c>
      <c r="H3360">
        <f>'Floor Hours Engine'!$E$4</f>
        <v/>
      </c>
      <c r="I3360" t="inlineStr">
        <is>
          <t>W3</t>
        </is>
      </c>
      <c r="J3360" t="inlineStr">
        <is>
          <t>2030_Marzec_W3</t>
        </is>
      </c>
    </row>
    <row r="3361">
      <c r="A3361" s="177" t="n">
        <v>47556</v>
      </c>
      <c r="B3361" s="177" t="n">
        <v>47554</v>
      </c>
      <c r="C3361" s="177" t="n">
        <v>47560</v>
      </c>
      <c r="D3361" t="inlineStr">
        <is>
          <t>BW20300312</t>
        </is>
      </c>
      <c r="E3361" t="n">
        <v>2030</v>
      </c>
      <c r="F3361" t="inlineStr">
        <is>
          <t>Marzec</t>
        </is>
      </c>
      <c r="G3361" t="inlineStr">
        <is>
          <t>Czw</t>
        </is>
      </c>
      <c r="H3361">
        <f>'Floor Hours Engine'!$E$4</f>
        <v/>
      </c>
      <c r="I3361" t="inlineStr">
        <is>
          <t>W3</t>
        </is>
      </c>
      <c r="J3361" t="inlineStr">
        <is>
          <t>2030_Marzec_W3</t>
        </is>
      </c>
    </row>
    <row r="3362">
      <c r="A3362" s="177" t="n">
        <v>47557</v>
      </c>
      <c r="B3362" s="177" t="n">
        <v>47554</v>
      </c>
      <c r="C3362" s="177" t="n">
        <v>47560</v>
      </c>
      <c r="D3362" t="inlineStr">
        <is>
          <t>BW20300312</t>
        </is>
      </c>
      <c r="E3362" t="n">
        <v>2030</v>
      </c>
      <c r="F3362" t="inlineStr">
        <is>
          <t>Marzec</t>
        </is>
      </c>
      <c r="G3362" t="inlineStr">
        <is>
          <t>Pt</t>
        </is>
      </c>
      <c r="H3362">
        <f>'Floor Hours Engine'!$E$5</f>
        <v/>
      </c>
      <c r="I3362" t="inlineStr">
        <is>
          <t>W3</t>
        </is>
      </c>
      <c r="J3362" t="inlineStr">
        <is>
          <t>2030_Marzec_W3</t>
        </is>
      </c>
    </row>
    <row r="3363">
      <c r="A3363" s="177" t="n">
        <v>47558</v>
      </c>
      <c r="B3363" s="177" t="n">
        <v>47554</v>
      </c>
      <c r="C3363" s="177" t="n">
        <v>47560</v>
      </c>
      <c r="D3363" t="inlineStr">
        <is>
          <t>BW20300312</t>
        </is>
      </c>
      <c r="E3363" t="n">
        <v>2030</v>
      </c>
      <c r="F3363" t="inlineStr">
        <is>
          <t>Marzec</t>
        </is>
      </c>
      <c r="G3363" t="inlineStr">
        <is>
          <t>Sob</t>
        </is>
      </c>
      <c r="H3363">
        <f>'Floor Hours Engine'!$E$5</f>
        <v/>
      </c>
      <c r="I3363" t="inlineStr">
        <is>
          <t>W3</t>
        </is>
      </c>
      <c r="J3363" t="inlineStr">
        <is>
          <t>2030_Marzec_W3</t>
        </is>
      </c>
    </row>
    <row r="3364">
      <c r="A3364" s="177" t="n">
        <v>47559</v>
      </c>
      <c r="B3364" s="177" t="n">
        <v>47554</v>
      </c>
      <c r="C3364" s="177" t="n">
        <v>47560</v>
      </c>
      <c r="D3364" t="inlineStr">
        <is>
          <t>BW20300312</t>
        </is>
      </c>
      <c r="E3364" t="n">
        <v>2030</v>
      </c>
      <c r="F3364" t="inlineStr">
        <is>
          <t>Marzec</t>
        </is>
      </c>
      <c r="G3364" t="inlineStr">
        <is>
          <t>Nd</t>
        </is>
      </c>
      <c r="H3364">
        <f>'Floor Hours Engine'!$E$6</f>
        <v/>
      </c>
      <c r="I3364" t="inlineStr">
        <is>
          <t>W3</t>
        </is>
      </c>
      <c r="J3364" t="inlineStr">
        <is>
          <t>2030_Marzec_W3</t>
        </is>
      </c>
    </row>
    <row r="3365">
      <c r="A3365" s="177" t="n">
        <v>47560</v>
      </c>
      <c r="B3365" s="177" t="n">
        <v>47554</v>
      </c>
      <c r="C3365" s="177" t="n">
        <v>47560</v>
      </c>
      <c r="D3365" t="inlineStr">
        <is>
          <t>BW20300312</t>
        </is>
      </c>
      <c r="E3365" t="n">
        <v>2030</v>
      </c>
      <c r="F3365" t="inlineStr">
        <is>
          <t>Marzec</t>
        </is>
      </c>
      <c r="G3365" t="inlineStr">
        <is>
          <t>Pn</t>
        </is>
      </c>
      <c r="H3365">
        <f>'Floor Hours Engine'!$E$4</f>
        <v/>
      </c>
      <c r="I3365" t="inlineStr">
        <is>
          <t>W3</t>
        </is>
      </c>
      <c r="J3365" t="inlineStr">
        <is>
          <t>2030_Marzec_W3</t>
        </is>
      </c>
    </row>
    <row r="3366">
      <c r="A3366" s="177" t="n">
        <v>47561</v>
      </c>
      <c r="B3366" s="177" t="n">
        <v>47561</v>
      </c>
      <c r="C3366" s="177" t="n">
        <v>47567</v>
      </c>
      <c r="D3366" t="inlineStr">
        <is>
          <t>BW20300319</t>
        </is>
      </c>
      <c r="E3366" t="n">
        <v>2030</v>
      </c>
      <c r="F3366" t="inlineStr">
        <is>
          <t>Marzec</t>
        </is>
      </c>
      <c r="G3366" t="inlineStr">
        <is>
          <t>Wt</t>
        </is>
      </c>
      <c r="H3366">
        <f>'Floor Hours Engine'!$E$4</f>
        <v/>
      </c>
      <c r="I3366" t="inlineStr">
        <is>
          <t>W4</t>
        </is>
      </c>
      <c r="J3366" t="inlineStr">
        <is>
          <t>2030_Marzec_W4</t>
        </is>
      </c>
    </row>
    <row r="3367">
      <c r="A3367" s="177" t="n">
        <v>47562</v>
      </c>
      <c r="B3367" s="177" t="n">
        <v>47561</v>
      </c>
      <c r="C3367" s="177" t="n">
        <v>47567</v>
      </c>
      <c r="D3367" t="inlineStr">
        <is>
          <t>BW20300319</t>
        </is>
      </c>
      <c r="E3367" t="n">
        <v>2030</v>
      </c>
      <c r="F3367" t="inlineStr">
        <is>
          <t>Marzec</t>
        </is>
      </c>
      <c r="G3367" t="inlineStr">
        <is>
          <t>Śr</t>
        </is>
      </c>
      <c r="H3367">
        <f>'Floor Hours Engine'!$E$4</f>
        <v/>
      </c>
      <c r="I3367" t="inlineStr">
        <is>
          <t>W4</t>
        </is>
      </c>
      <c r="J3367" t="inlineStr">
        <is>
          <t>2030_Marzec_W4</t>
        </is>
      </c>
    </row>
    <row r="3368">
      <c r="A3368" s="177" t="n">
        <v>47563</v>
      </c>
      <c r="B3368" s="177" t="n">
        <v>47561</v>
      </c>
      <c r="C3368" s="177" t="n">
        <v>47567</v>
      </c>
      <c r="D3368" t="inlineStr">
        <is>
          <t>BW20300319</t>
        </is>
      </c>
      <c r="E3368" t="n">
        <v>2030</v>
      </c>
      <c r="F3368" t="inlineStr">
        <is>
          <t>Marzec</t>
        </is>
      </c>
      <c r="G3368" t="inlineStr">
        <is>
          <t>Czw</t>
        </is>
      </c>
      <c r="H3368">
        <f>'Floor Hours Engine'!$E$4</f>
        <v/>
      </c>
      <c r="I3368" t="inlineStr">
        <is>
          <t>W4</t>
        </is>
      </c>
      <c r="J3368" t="inlineStr">
        <is>
          <t>2030_Marzec_W4</t>
        </is>
      </c>
    </row>
    <row r="3369">
      <c r="A3369" s="177" t="n">
        <v>47564</v>
      </c>
      <c r="B3369" s="177" t="n">
        <v>47561</v>
      </c>
      <c r="C3369" s="177" t="n">
        <v>47567</v>
      </c>
      <c r="D3369" t="inlineStr">
        <is>
          <t>BW20300319</t>
        </is>
      </c>
      <c r="E3369" t="n">
        <v>2030</v>
      </c>
      <c r="F3369" t="inlineStr">
        <is>
          <t>Marzec</t>
        </is>
      </c>
      <c r="G3369" t="inlineStr">
        <is>
          <t>Pt</t>
        </is>
      </c>
      <c r="H3369">
        <f>'Floor Hours Engine'!$E$5</f>
        <v/>
      </c>
      <c r="I3369" t="inlineStr">
        <is>
          <t>W4</t>
        </is>
      </c>
      <c r="J3369" t="inlineStr">
        <is>
          <t>2030_Marzec_W4</t>
        </is>
      </c>
    </row>
    <row r="3370">
      <c r="A3370" s="177" t="n">
        <v>47565</v>
      </c>
      <c r="B3370" s="177" t="n">
        <v>47561</v>
      </c>
      <c r="C3370" s="177" t="n">
        <v>47567</v>
      </c>
      <c r="D3370" t="inlineStr">
        <is>
          <t>BW20300319</t>
        </is>
      </c>
      <c r="E3370" t="n">
        <v>2030</v>
      </c>
      <c r="F3370" t="inlineStr">
        <is>
          <t>Marzec</t>
        </is>
      </c>
      <c r="G3370" t="inlineStr">
        <is>
          <t>Sob</t>
        </is>
      </c>
      <c r="H3370">
        <f>'Floor Hours Engine'!$E$5</f>
        <v/>
      </c>
      <c r="I3370" t="inlineStr">
        <is>
          <t>W4</t>
        </is>
      </c>
      <c r="J3370" t="inlineStr">
        <is>
          <t>2030_Marzec_W4</t>
        </is>
      </c>
    </row>
    <row r="3371">
      <c r="A3371" s="177" t="n">
        <v>47566</v>
      </c>
      <c r="B3371" s="177" t="n">
        <v>47561</v>
      </c>
      <c r="C3371" s="177" t="n">
        <v>47567</v>
      </c>
      <c r="D3371" t="inlineStr">
        <is>
          <t>BW20300319</t>
        </is>
      </c>
      <c r="E3371" t="n">
        <v>2030</v>
      </c>
      <c r="F3371" t="inlineStr">
        <is>
          <t>Marzec</t>
        </is>
      </c>
      <c r="G3371" t="inlineStr">
        <is>
          <t>Nd</t>
        </is>
      </c>
      <c r="H3371">
        <f>'Floor Hours Engine'!$E$6</f>
        <v/>
      </c>
      <c r="I3371" t="inlineStr">
        <is>
          <t>W4</t>
        </is>
      </c>
      <c r="J3371" t="inlineStr">
        <is>
          <t>2030_Marzec_W4</t>
        </is>
      </c>
    </row>
    <row r="3372">
      <c r="A3372" s="177" t="n">
        <v>47567</v>
      </c>
      <c r="B3372" s="177" t="n">
        <v>47561</v>
      </c>
      <c r="C3372" s="177" t="n">
        <v>47567</v>
      </c>
      <c r="D3372" t="inlineStr">
        <is>
          <t>BW20300319</t>
        </is>
      </c>
      <c r="E3372" t="n">
        <v>2030</v>
      </c>
      <c r="F3372" t="inlineStr">
        <is>
          <t>Marzec</t>
        </is>
      </c>
      <c r="G3372" t="inlineStr">
        <is>
          <t>Pn</t>
        </is>
      </c>
      <c r="H3372">
        <f>'Floor Hours Engine'!$E$4</f>
        <v/>
      </c>
      <c r="I3372" t="inlineStr">
        <is>
          <t>W4</t>
        </is>
      </c>
      <c r="J3372" t="inlineStr">
        <is>
          <t>2030_Marzec_W4</t>
        </is>
      </c>
    </row>
    <row r="3373">
      <c r="A3373" s="177" t="n">
        <v>47568</v>
      </c>
      <c r="B3373" s="177" t="n">
        <v>47568</v>
      </c>
      <c r="C3373" s="177" t="n">
        <v>47574</v>
      </c>
      <c r="D3373" t="inlineStr">
        <is>
          <t>BW20300326</t>
        </is>
      </c>
      <c r="E3373" t="n">
        <v>2030</v>
      </c>
      <c r="F3373" t="inlineStr">
        <is>
          <t>Marzec</t>
        </is>
      </c>
      <c r="G3373" t="inlineStr">
        <is>
          <t>Wt</t>
        </is>
      </c>
      <c r="H3373">
        <f>'Floor Hours Engine'!$E$4</f>
        <v/>
      </c>
      <c r="I3373" t="inlineStr">
        <is>
          <t>W5</t>
        </is>
      </c>
      <c r="J3373" t="inlineStr">
        <is>
          <t>2030_Marzec_W5</t>
        </is>
      </c>
    </row>
    <row r="3374">
      <c r="A3374" s="177" t="n">
        <v>47569</v>
      </c>
      <c r="B3374" s="177" t="n">
        <v>47568</v>
      </c>
      <c r="C3374" s="177" t="n">
        <v>47574</v>
      </c>
      <c r="D3374" t="inlineStr">
        <is>
          <t>BW20300326</t>
        </is>
      </c>
      <c r="E3374" t="n">
        <v>2030</v>
      </c>
      <c r="F3374" t="inlineStr">
        <is>
          <t>Marzec</t>
        </is>
      </c>
      <c r="G3374" t="inlineStr">
        <is>
          <t>Śr</t>
        </is>
      </c>
      <c r="H3374">
        <f>'Floor Hours Engine'!$E$4</f>
        <v/>
      </c>
      <c r="I3374" t="inlineStr">
        <is>
          <t>W5</t>
        </is>
      </c>
      <c r="J3374" t="inlineStr">
        <is>
          <t>2030_Marzec_W5</t>
        </is>
      </c>
    </row>
    <row r="3375">
      <c r="A3375" s="177" t="n">
        <v>47570</v>
      </c>
      <c r="B3375" s="177" t="n">
        <v>47568</v>
      </c>
      <c r="C3375" s="177" t="n">
        <v>47574</v>
      </c>
      <c r="D3375" t="inlineStr">
        <is>
          <t>BW20300326</t>
        </is>
      </c>
      <c r="E3375" t="n">
        <v>2030</v>
      </c>
      <c r="F3375" t="inlineStr">
        <is>
          <t>Marzec</t>
        </is>
      </c>
      <c r="G3375" t="inlineStr">
        <is>
          <t>Czw</t>
        </is>
      </c>
      <c r="H3375">
        <f>'Floor Hours Engine'!$E$4</f>
        <v/>
      </c>
      <c r="I3375" t="inlineStr">
        <is>
          <t>W5</t>
        </is>
      </c>
      <c r="J3375" t="inlineStr">
        <is>
          <t>2030_Marzec_W5</t>
        </is>
      </c>
    </row>
    <row r="3376">
      <c r="A3376" s="177" t="n">
        <v>47571</v>
      </c>
      <c r="B3376" s="177" t="n">
        <v>47568</v>
      </c>
      <c r="C3376" s="177" t="n">
        <v>47574</v>
      </c>
      <c r="D3376" t="inlineStr">
        <is>
          <t>BW20300326</t>
        </is>
      </c>
      <c r="E3376" t="n">
        <v>2030</v>
      </c>
      <c r="F3376" t="inlineStr">
        <is>
          <t>Marzec</t>
        </is>
      </c>
      <c r="G3376" t="inlineStr">
        <is>
          <t>Pt</t>
        </is>
      </c>
      <c r="H3376">
        <f>'Floor Hours Engine'!$E$5</f>
        <v/>
      </c>
      <c r="I3376" t="inlineStr">
        <is>
          <t>W5</t>
        </is>
      </c>
      <c r="J3376" t="inlineStr">
        <is>
          <t>2030_Marzec_W5</t>
        </is>
      </c>
    </row>
    <row r="3377">
      <c r="A3377" s="177" t="n">
        <v>47572</v>
      </c>
      <c r="B3377" s="177" t="n">
        <v>47568</v>
      </c>
      <c r="C3377" s="177" t="n">
        <v>47574</v>
      </c>
      <c r="D3377" t="inlineStr">
        <is>
          <t>BW20300326</t>
        </is>
      </c>
      <c r="E3377" t="n">
        <v>2030</v>
      </c>
      <c r="F3377" t="inlineStr">
        <is>
          <t>Marzec</t>
        </is>
      </c>
      <c r="G3377" t="inlineStr">
        <is>
          <t>Sob</t>
        </is>
      </c>
      <c r="H3377">
        <f>'Floor Hours Engine'!$E$5</f>
        <v/>
      </c>
      <c r="I3377" t="inlineStr">
        <is>
          <t>W5</t>
        </is>
      </c>
      <c r="J3377" t="inlineStr">
        <is>
          <t>2030_Marzec_W5</t>
        </is>
      </c>
    </row>
    <row r="3378">
      <c r="A3378" s="177" t="n">
        <v>47573</v>
      </c>
      <c r="B3378" s="177" t="n">
        <v>47568</v>
      </c>
      <c r="C3378" s="177" t="n">
        <v>47574</v>
      </c>
      <c r="D3378" t="inlineStr">
        <is>
          <t>BW20300326</t>
        </is>
      </c>
      <c r="E3378" t="n">
        <v>2030</v>
      </c>
      <c r="F3378" t="inlineStr">
        <is>
          <t>Marzec</t>
        </is>
      </c>
      <c r="G3378" t="inlineStr">
        <is>
          <t>Nd</t>
        </is>
      </c>
      <c r="H3378">
        <f>'Floor Hours Engine'!$E$6</f>
        <v/>
      </c>
      <c r="I3378" t="inlineStr">
        <is>
          <t>W5</t>
        </is>
      </c>
      <c r="J3378" t="inlineStr">
        <is>
          <t>2030_Marzec_W5</t>
        </is>
      </c>
    </row>
    <row r="3379">
      <c r="A3379" s="177" t="n">
        <v>47574</v>
      </c>
      <c r="B3379" s="177" t="n">
        <v>47568</v>
      </c>
      <c r="C3379" s="177" t="n">
        <v>47574</v>
      </c>
      <c r="D3379" t="inlineStr">
        <is>
          <t>BW20300326</t>
        </is>
      </c>
      <c r="E3379" t="n">
        <v>2030</v>
      </c>
      <c r="F3379" t="inlineStr">
        <is>
          <t>Kwiecień</t>
        </is>
      </c>
      <c r="G3379" t="inlineStr">
        <is>
          <t>Pn</t>
        </is>
      </c>
      <c r="H3379">
        <f>'Floor Hours Engine'!$E$4</f>
        <v/>
      </c>
      <c r="I3379" t="inlineStr">
        <is>
          <t>W1</t>
        </is>
      </c>
      <c r="J3379" t="inlineStr">
        <is>
          <t>2030_Kwiecień_W1</t>
        </is>
      </c>
    </row>
    <row r="3380">
      <c r="A3380" s="177" t="n">
        <v>47575</v>
      </c>
      <c r="B3380" s="177" t="n">
        <v>47575</v>
      </c>
      <c r="C3380" s="177" t="n">
        <v>47581</v>
      </c>
      <c r="D3380" t="inlineStr">
        <is>
          <t>BW20300402</t>
        </is>
      </c>
      <c r="E3380" t="n">
        <v>2030</v>
      </c>
      <c r="F3380" t="inlineStr">
        <is>
          <t>Kwiecień</t>
        </is>
      </c>
      <c r="G3380" t="inlineStr">
        <is>
          <t>Wt</t>
        </is>
      </c>
      <c r="H3380">
        <f>'Floor Hours Engine'!$E$4</f>
        <v/>
      </c>
      <c r="I3380" t="inlineStr">
        <is>
          <t>W2</t>
        </is>
      </c>
      <c r="J3380" t="inlineStr">
        <is>
          <t>2030_Kwiecień_W2</t>
        </is>
      </c>
    </row>
    <row r="3381">
      <c r="A3381" s="177" t="n">
        <v>47576</v>
      </c>
      <c r="B3381" s="177" t="n">
        <v>47575</v>
      </c>
      <c r="C3381" s="177" t="n">
        <v>47581</v>
      </c>
      <c r="D3381" t="inlineStr">
        <is>
          <t>BW20300402</t>
        </is>
      </c>
      <c r="E3381" t="n">
        <v>2030</v>
      </c>
      <c r="F3381" t="inlineStr">
        <is>
          <t>Kwiecień</t>
        </is>
      </c>
      <c r="G3381" t="inlineStr">
        <is>
          <t>Śr</t>
        </is>
      </c>
      <c r="H3381">
        <f>'Floor Hours Engine'!$E$4</f>
        <v/>
      </c>
      <c r="I3381" t="inlineStr">
        <is>
          <t>W2</t>
        </is>
      </c>
      <c r="J3381" t="inlineStr">
        <is>
          <t>2030_Kwiecień_W2</t>
        </is>
      </c>
    </row>
    <row r="3382">
      <c r="A3382" s="177" t="n">
        <v>47577</v>
      </c>
      <c r="B3382" s="177" t="n">
        <v>47575</v>
      </c>
      <c r="C3382" s="177" t="n">
        <v>47581</v>
      </c>
      <c r="D3382" t="inlineStr">
        <is>
          <t>BW20300402</t>
        </is>
      </c>
      <c r="E3382" t="n">
        <v>2030</v>
      </c>
      <c r="F3382" t="inlineStr">
        <is>
          <t>Kwiecień</t>
        </is>
      </c>
      <c r="G3382" t="inlineStr">
        <is>
          <t>Czw</t>
        </is>
      </c>
      <c r="H3382">
        <f>'Floor Hours Engine'!$E$4</f>
        <v/>
      </c>
      <c r="I3382" t="inlineStr">
        <is>
          <t>W2</t>
        </is>
      </c>
      <c r="J3382" t="inlineStr">
        <is>
          <t>2030_Kwiecień_W2</t>
        </is>
      </c>
    </row>
    <row r="3383">
      <c r="A3383" s="177" t="n">
        <v>47578</v>
      </c>
      <c r="B3383" s="177" t="n">
        <v>47575</v>
      </c>
      <c r="C3383" s="177" t="n">
        <v>47581</v>
      </c>
      <c r="D3383" t="inlineStr">
        <is>
          <t>BW20300402</t>
        </is>
      </c>
      <c r="E3383" t="n">
        <v>2030</v>
      </c>
      <c r="F3383" t="inlineStr">
        <is>
          <t>Kwiecień</t>
        </is>
      </c>
      <c r="G3383" t="inlineStr">
        <is>
          <t>Pt</t>
        </is>
      </c>
      <c r="H3383">
        <f>'Floor Hours Engine'!$E$5</f>
        <v/>
      </c>
      <c r="I3383" t="inlineStr">
        <is>
          <t>W2</t>
        </is>
      </c>
      <c r="J3383" t="inlineStr">
        <is>
          <t>2030_Kwiecień_W2</t>
        </is>
      </c>
    </row>
    <row r="3384">
      <c r="A3384" s="177" t="n">
        <v>47579</v>
      </c>
      <c r="B3384" s="177" t="n">
        <v>47575</v>
      </c>
      <c r="C3384" s="177" t="n">
        <v>47581</v>
      </c>
      <c r="D3384" t="inlineStr">
        <is>
          <t>BW20300402</t>
        </is>
      </c>
      <c r="E3384" t="n">
        <v>2030</v>
      </c>
      <c r="F3384" t="inlineStr">
        <is>
          <t>Kwiecień</t>
        </is>
      </c>
      <c r="G3384" t="inlineStr">
        <is>
          <t>Sob</t>
        </is>
      </c>
      <c r="H3384">
        <f>'Floor Hours Engine'!$E$5</f>
        <v/>
      </c>
      <c r="I3384" t="inlineStr">
        <is>
          <t>W2</t>
        </is>
      </c>
      <c r="J3384" t="inlineStr">
        <is>
          <t>2030_Kwiecień_W2</t>
        </is>
      </c>
    </row>
    <row r="3385">
      <c r="A3385" s="177" t="n">
        <v>47580</v>
      </c>
      <c r="B3385" s="177" t="n">
        <v>47575</v>
      </c>
      <c r="C3385" s="177" t="n">
        <v>47581</v>
      </c>
      <c r="D3385" t="inlineStr">
        <is>
          <t>BW20300402</t>
        </is>
      </c>
      <c r="E3385" t="n">
        <v>2030</v>
      </c>
      <c r="F3385" t="inlineStr">
        <is>
          <t>Kwiecień</t>
        </is>
      </c>
      <c r="G3385" t="inlineStr">
        <is>
          <t>Nd</t>
        </is>
      </c>
      <c r="H3385">
        <f>'Floor Hours Engine'!$E$6</f>
        <v/>
      </c>
      <c r="I3385" t="inlineStr">
        <is>
          <t>W2</t>
        </is>
      </c>
      <c r="J3385" t="inlineStr">
        <is>
          <t>2030_Kwiecień_W2</t>
        </is>
      </c>
    </row>
    <row r="3386">
      <c r="A3386" s="177" t="n">
        <v>47581</v>
      </c>
      <c r="B3386" s="177" t="n">
        <v>47575</v>
      </c>
      <c r="C3386" s="177" t="n">
        <v>47581</v>
      </c>
      <c r="D3386" t="inlineStr">
        <is>
          <t>BW20300402</t>
        </is>
      </c>
      <c r="E3386" t="n">
        <v>2030</v>
      </c>
      <c r="F3386" t="inlineStr">
        <is>
          <t>Kwiecień</t>
        </is>
      </c>
      <c r="G3386" t="inlineStr">
        <is>
          <t>Pn</t>
        </is>
      </c>
      <c r="H3386">
        <f>'Floor Hours Engine'!$E$4</f>
        <v/>
      </c>
      <c r="I3386" t="inlineStr">
        <is>
          <t>W2</t>
        </is>
      </c>
      <c r="J3386" t="inlineStr">
        <is>
          <t>2030_Kwiecień_W2</t>
        </is>
      </c>
    </row>
    <row r="3387">
      <c r="A3387" s="177" t="n">
        <v>47582</v>
      </c>
      <c r="B3387" s="177" t="n">
        <v>47582</v>
      </c>
      <c r="C3387" s="177" t="n">
        <v>47588</v>
      </c>
      <c r="D3387" t="inlineStr">
        <is>
          <t>BW20300409</t>
        </is>
      </c>
      <c r="E3387" t="n">
        <v>2030</v>
      </c>
      <c r="F3387" t="inlineStr">
        <is>
          <t>Kwiecień</t>
        </is>
      </c>
      <c r="G3387" t="inlineStr">
        <is>
          <t>Wt</t>
        </is>
      </c>
      <c r="H3387">
        <f>'Floor Hours Engine'!$E$4</f>
        <v/>
      </c>
      <c r="I3387" t="inlineStr">
        <is>
          <t>W3</t>
        </is>
      </c>
      <c r="J3387" t="inlineStr">
        <is>
          <t>2030_Kwiecień_W3</t>
        </is>
      </c>
    </row>
    <row r="3388">
      <c r="A3388" s="177" t="n">
        <v>47583</v>
      </c>
      <c r="B3388" s="177" t="n">
        <v>47582</v>
      </c>
      <c r="C3388" s="177" t="n">
        <v>47588</v>
      </c>
      <c r="D3388" t="inlineStr">
        <is>
          <t>BW20300409</t>
        </is>
      </c>
      <c r="E3388" t="n">
        <v>2030</v>
      </c>
      <c r="F3388" t="inlineStr">
        <is>
          <t>Kwiecień</t>
        </is>
      </c>
      <c r="G3388" t="inlineStr">
        <is>
          <t>Śr</t>
        </is>
      </c>
      <c r="H3388">
        <f>'Floor Hours Engine'!$E$4</f>
        <v/>
      </c>
      <c r="I3388" t="inlineStr">
        <is>
          <t>W3</t>
        </is>
      </c>
      <c r="J3388" t="inlineStr">
        <is>
          <t>2030_Kwiecień_W3</t>
        </is>
      </c>
    </row>
    <row r="3389">
      <c r="A3389" s="177" t="n">
        <v>47584</v>
      </c>
      <c r="B3389" s="177" t="n">
        <v>47582</v>
      </c>
      <c r="C3389" s="177" t="n">
        <v>47588</v>
      </c>
      <c r="D3389" t="inlineStr">
        <is>
          <t>BW20300409</t>
        </is>
      </c>
      <c r="E3389" t="n">
        <v>2030</v>
      </c>
      <c r="F3389" t="inlineStr">
        <is>
          <t>Kwiecień</t>
        </is>
      </c>
      <c r="G3389" t="inlineStr">
        <is>
          <t>Czw</t>
        </is>
      </c>
      <c r="H3389">
        <f>'Floor Hours Engine'!$E$4</f>
        <v/>
      </c>
      <c r="I3389" t="inlineStr">
        <is>
          <t>W3</t>
        </is>
      </c>
      <c r="J3389" t="inlineStr">
        <is>
          <t>2030_Kwiecień_W3</t>
        </is>
      </c>
    </row>
    <row r="3390">
      <c r="A3390" s="177" t="n">
        <v>47585</v>
      </c>
      <c r="B3390" s="177" t="n">
        <v>47582</v>
      </c>
      <c r="C3390" s="177" t="n">
        <v>47588</v>
      </c>
      <c r="D3390" t="inlineStr">
        <is>
          <t>BW20300409</t>
        </is>
      </c>
      <c r="E3390" t="n">
        <v>2030</v>
      </c>
      <c r="F3390" t="inlineStr">
        <is>
          <t>Kwiecień</t>
        </is>
      </c>
      <c r="G3390" t="inlineStr">
        <is>
          <t>Pt</t>
        </is>
      </c>
      <c r="H3390">
        <f>'Floor Hours Engine'!$E$5</f>
        <v/>
      </c>
      <c r="I3390" t="inlineStr">
        <is>
          <t>W3</t>
        </is>
      </c>
      <c r="J3390" t="inlineStr">
        <is>
          <t>2030_Kwiecień_W3</t>
        </is>
      </c>
    </row>
    <row r="3391">
      <c r="A3391" s="177" t="n">
        <v>47586</v>
      </c>
      <c r="B3391" s="177" t="n">
        <v>47582</v>
      </c>
      <c r="C3391" s="177" t="n">
        <v>47588</v>
      </c>
      <c r="D3391" t="inlineStr">
        <is>
          <t>BW20300409</t>
        </is>
      </c>
      <c r="E3391" t="n">
        <v>2030</v>
      </c>
      <c r="F3391" t="inlineStr">
        <is>
          <t>Kwiecień</t>
        </is>
      </c>
      <c r="G3391" t="inlineStr">
        <is>
          <t>Sob</t>
        </is>
      </c>
      <c r="H3391">
        <f>'Floor Hours Engine'!$E$5</f>
        <v/>
      </c>
      <c r="I3391" t="inlineStr">
        <is>
          <t>W3</t>
        </is>
      </c>
      <c r="J3391" t="inlineStr">
        <is>
          <t>2030_Kwiecień_W3</t>
        </is>
      </c>
    </row>
    <row r="3392">
      <c r="A3392" s="177" t="n">
        <v>47587</v>
      </c>
      <c r="B3392" s="177" t="n">
        <v>47582</v>
      </c>
      <c r="C3392" s="177" t="n">
        <v>47588</v>
      </c>
      <c r="D3392" t="inlineStr">
        <is>
          <t>BW20300409</t>
        </is>
      </c>
      <c r="E3392" t="n">
        <v>2030</v>
      </c>
      <c r="F3392" t="inlineStr">
        <is>
          <t>Kwiecień</t>
        </is>
      </c>
      <c r="G3392" t="inlineStr">
        <is>
          <t>Nd</t>
        </is>
      </c>
      <c r="H3392">
        <f>'Floor Hours Engine'!$E$6</f>
        <v/>
      </c>
      <c r="I3392" t="inlineStr">
        <is>
          <t>W3</t>
        </is>
      </c>
      <c r="J3392" t="inlineStr">
        <is>
          <t>2030_Kwiecień_W3</t>
        </is>
      </c>
    </row>
    <row r="3393">
      <c r="A3393" s="177" t="n">
        <v>47588</v>
      </c>
      <c r="B3393" s="177" t="n">
        <v>47582</v>
      </c>
      <c r="C3393" s="177" t="n">
        <v>47588</v>
      </c>
      <c r="D3393" t="inlineStr">
        <is>
          <t>BW20300409</t>
        </is>
      </c>
      <c r="E3393" t="n">
        <v>2030</v>
      </c>
      <c r="F3393" t="inlineStr">
        <is>
          <t>Kwiecień</t>
        </is>
      </c>
      <c r="G3393" t="inlineStr">
        <is>
          <t>Pn</t>
        </is>
      </c>
      <c r="H3393">
        <f>'Floor Hours Engine'!$E$4</f>
        <v/>
      </c>
      <c r="I3393" t="inlineStr">
        <is>
          <t>W3</t>
        </is>
      </c>
      <c r="J3393" t="inlineStr">
        <is>
          <t>2030_Kwiecień_W3</t>
        </is>
      </c>
    </row>
    <row r="3394">
      <c r="A3394" s="177" t="n">
        <v>47589</v>
      </c>
      <c r="B3394" s="177" t="n">
        <v>47589</v>
      </c>
      <c r="C3394" s="177" t="n">
        <v>47595</v>
      </c>
      <c r="D3394" t="inlineStr">
        <is>
          <t>BW20300416</t>
        </is>
      </c>
      <c r="E3394" t="n">
        <v>2030</v>
      </c>
      <c r="F3394" t="inlineStr">
        <is>
          <t>Kwiecień</t>
        </is>
      </c>
      <c r="G3394" t="inlineStr">
        <is>
          <t>Wt</t>
        </is>
      </c>
      <c r="H3394">
        <f>'Floor Hours Engine'!$E$4</f>
        <v/>
      </c>
      <c r="I3394" t="inlineStr">
        <is>
          <t>W4</t>
        </is>
      </c>
      <c r="J3394" t="inlineStr">
        <is>
          <t>2030_Kwiecień_W4</t>
        </is>
      </c>
    </row>
    <row r="3395">
      <c r="A3395" s="177" t="n">
        <v>47590</v>
      </c>
      <c r="B3395" s="177" t="n">
        <v>47589</v>
      </c>
      <c r="C3395" s="177" t="n">
        <v>47595</v>
      </c>
      <c r="D3395" t="inlineStr">
        <is>
          <t>BW20300416</t>
        </is>
      </c>
      <c r="E3395" t="n">
        <v>2030</v>
      </c>
      <c r="F3395" t="inlineStr">
        <is>
          <t>Kwiecień</t>
        </is>
      </c>
      <c r="G3395" t="inlineStr">
        <is>
          <t>Śr</t>
        </is>
      </c>
      <c r="H3395">
        <f>'Floor Hours Engine'!$E$4</f>
        <v/>
      </c>
      <c r="I3395" t="inlineStr">
        <is>
          <t>W4</t>
        </is>
      </c>
      <c r="J3395" t="inlineStr">
        <is>
          <t>2030_Kwiecień_W4</t>
        </is>
      </c>
    </row>
    <row r="3396">
      <c r="A3396" s="177" t="n">
        <v>47591</v>
      </c>
      <c r="B3396" s="177" t="n">
        <v>47589</v>
      </c>
      <c r="C3396" s="177" t="n">
        <v>47595</v>
      </c>
      <c r="D3396" t="inlineStr">
        <is>
          <t>BW20300416</t>
        </is>
      </c>
      <c r="E3396" t="n">
        <v>2030</v>
      </c>
      <c r="F3396" t="inlineStr">
        <is>
          <t>Kwiecień</t>
        </is>
      </c>
      <c r="G3396" t="inlineStr">
        <is>
          <t>Czw</t>
        </is>
      </c>
      <c r="H3396">
        <f>'Floor Hours Engine'!$E$4</f>
        <v/>
      </c>
      <c r="I3396" t="inlineStr">
        <is>
          <t>W4</t>
        </is>
      </c>
      <c r="J3396" t="inlineStr">
        <is>
          <t>2030_Kwiecień_W4</t>
        </is>
      </c>
    </row>
    <row r="3397">
      <c r="A3397" s="177" t="n">
        <v>47592</v>
      </c>
      <c r="B3397" s="177" t="n">
        <v>47589</v>
      </c>
      <c r="C3397" s="177" t="n">
        <v>47595</v>
      </c>
      <c r="D3397" t="inlineStr">
        <is>
          <t>BW20300416</t>
        </is>
      </c>
      <c r="E3397" t="n">
        <v>2030</v>
      </c>
      <c r="F3397" t="inlineStr">
        <is>
          <t>Kwiecień</t>
        </is>
      </c>
      <c r="G3397" t="inlineStr">
        <is>
          <t>Pt</t>
        </is>
      </c>
      <c r="H3397">
        <f>'Floor Hours Engine'!$E$5</f>
        <v/>
      </c>
      <c r="I3397" t="inlineStr">
        <is>
          <t>W4</t>
        </is>
      </c>
      <c r="J3397" t="inlineStr">
        <is>
          <t>2030_Kwiecień_W4</t>
        </is>
      </c>
    </row>
    <row r="3398">
      <c r="A3398" s="177" t="n">
        <v>47593</v>
      </c>
      <c r="B3398" s="177" t="n">
        <v>47589</v>
      </c>
      <c r="C3398" s="177" t="n">
        <v>47595</v>
      </c>
      <c r="D3398" t="inlineStr">
        <is>
          <t>BW20300416</t>
        </is>
      </c>
      <c r="E3398" t="n">
        <v>2030</v>
      </c>
      <c r="F3398" t="inlineStr">
        <is>
          <t>Kwiecień</t>
        </is>
      </c>
      <c r="G3398" t="inlineStr">
        <is>
          <t>Sob</t>
        </is>
      </c>
      <c r="H3398">
        <f>'Floor Hours Engine'!$E$5</f>
        <v/>
      </c>
      <c r="I3398" t="inlineStr">
        <is>
          <t>W4</t>
        </is>
      </c>
      <c r="J3398" t="inlineStr">
        <is>
          <t>2030_Kwiecień_W4</t>
        </is>
      </c>
    </row>
    <row r="3399">
      <c r="A3399" s="177" t="n">
        <v>47594</v>
      </c>
      <c r="B3399" s="177" t="n">
        <v>47589</v>
      </c>
      <c r="C3399" s="177" t="n">
        <v>47595</v>
      </c>
      <c r="D3399" t="inlineStr">
        <is>
          <t>BW20300416</t>
        </is>
      </c>
      <c r="E3399" t="n">
        <v>2030</v>
      </c>
      <c r="F3399" t="inlineStr">
        <is>
          <t>Kwiecień</t>
        </is>
      </c>
      <c r="G3399" t="inlineStr">
        <is>
          <t>Nd</t>
        </is>
      </c>
      <c r="H3399">
        <f>'Floor Hours Engine'!$E$6</f>
        <v/>
      </c>
      <c r="I3399" t="inlineStr">
        <is>
          <t>W4</t>
        </is>
      </c>
      <c r="J3399" t="inlineStr">
        <is>
          <t>2030_Kwiecień_W4</t>
        </is>
      </c>
    </row>
    <row r="3400">
      <c r="A3400" s="177" t="n">
        <v>47595</v>
      </c>
      <c r="B3400" s="177" t="n">
        <v>47589</v>
      </c>
      <c r="C3400" s="177" t="n">
        <v>47595</v>
      </c>
      <c r="D3400" t="inlineStr">
        <is>
          <t>BW20300416</t>
        </is>
      </c>
      <c r="E3400" t="n">
        <v>2030</v>
      </c>
      <c r="F3400" t="inlineStr">
        <is>
          <t>Kwiecień</t>
        </is>
      </c>
      <c r="G3400" t="inlineStr">
        <is>
          <t>Pn</t>
        </is>
      </c>
      <c r="H3400">
        <f>'Floor Hours Engine'!$E$4</f>
        <v/>
      </c>
      <c r="I3400" t="inlineStr">
        <is>
          <t>W4</t>
        </is>
      </c>
      <c r="J3400" t="inlineStr">
        <is>
          <t>2030_Kwiecień_W4</t>
        </is>
      </c>
    </row>
    <row r="3401">
      <c r="A3401" s="177" t="n">
        <v>47596</v>
      </c>
      <c r="B3401" s="177" t="n">
        <v>47596</v>
      </c>
      <c r="C3401" s="177" t="n">
        <v>47602</v>
      </c>
      <c r="D3401" t="inlineStr">
        <is>
          <t>BW20300423</t>
        </is>
      </c>
      <c r="E3401" t="n">
        <v>2030</v>
      </c>
      <c r="F3401" t="inlineStr">
        <is>
          <t>Kwiecień</t>
        </is>
      </c>
      <c r="G3401" t="inlineStr">
        <is>
          <t>Wt</t>
        </is>
      </c>
      <c r="H3401">
        <f>'Floor Hours Engine'!$E$4</f>
        <v/>
      </c>
      <c r="I3401" t="inlineStr">
        <is>
          <t>W5</t>
        </is>
      </c>
      <c r="J3401" t="inlineStr">
        <is>
          <t>2030_Kwiecień_W5</t>
        </is>
      </c>
    </row>
    <row r="3402">
      <c r="A3402" s="177" t="n">
        <v>47597</v>
      </c>
      <c r="B3402" s="177" t="n">
        <v>47596</v>
      </c>
      <c r="C3402" s="177" t="n">
        <v>47602</v>
      </c>
      <c r="D3402" t="inlineStr">
        <is>
          <t>BW20300423</t>
        </is>
      </c>
      <c r="E3402" t="n">
        <v>2030</v>
      </c>
      <c r="F3402" t="inlineStr">
        <is>
          <t>Kwiecień</t>
        </is>
      </c>
      <c r="G3402" t="inlineStr">
        <is>
          <t>Śr</t>
        </is>
      </c>
      <c r="H3402">
        <f>'Floor Hours Engine'!$E$4</f>
        <v/>
      </c>
      <c r="I3402" t="inlineStr">
        <is>
          <t>W5</t>
        </is>
      </c>
      <c r="J3402" t="inlineStr">
        <is>
          <t>2030_Kwiecień_W5</t>
        </is>
      </c>
    </row>
    <row r="3403">
      <c r="A3403" s="177" t="n">
        <v>47598</v>
      </c>
      <c r="B3403" s="177" t="n">
        <v>47596</v>
      </c>
      <c r="C3403" s="177" t="n">
        <v>47602</v>
      </c>
      <c r="D3403" t="inlineStr">
        <is>
          <t>BW20300423</t>
        </is>
      </c>
      <c r="E3403" t="n">
        <v>2030</v>
      </c>
      <c r="F3403" t="inlineStr">
        <is>
          <t>Kwiecień</t>
        </is>
      </c>
      <c r="G3403" t="inlineStr">
        <is>
          <t>Czw</t>
        </is>
      </c>
      <c r="H3403">
        <f>'Floor Hours Engine'!$E$4</f>
        <v/>
      </c>
      <c r="I3403" t="inlineStr">
        <is>
          <t>W5</t>
        </is>
      </c>
      <c r="J3403" t="inlineStr">
        <is>
          <t>2030_Kwiecień_W5</t>
        </is>
      </c>
    </row>
    <row r="3404">
      <c r="A3404" s="177" t="n">
        <v>47599</v>
      </c>
      <c r="B3404" s="177" t="n">
        <v>47596</v>
      </c>
      <c r="C3404" s="177" t="n">
        <v>47602</v>
      </c>
      <c r="D3404" t="inlineStr">
        <is>
          <t>BW20300423</t>
        </is>
      </c>
      <c r="E3404" t="n">
        <v>2030</v>
      </c>
      <c r="F3404" t="inlineStr">
        <is>
          <t>Kwiecień</t>
        </is>
      </c>
      <c r="G3404" t="inlineStr">
        <is>
          <t>Pt</t>
        </is>
      </c>
      <c r="H3404">
        <f>'Floor Hours Engine'!$E$5</f>
        <v/>
      </c>
      <c r="I3404" t="inlineStr">
        <is>
          <t>W5</t>
        </is>
      </c>
      <c r="J3404" t="inlineStr">
        <is>
          <t>2030_Kwiecień_W5</t>
        </is>
      </c>
    </row>
    <row r="3405">
      <c r="A3405" s="177" t="n">
        <v>47600</v>
      </c>
      <c r="B3405" s="177" t="n">
        <v>47596</v>
      </c>
      <c r="C3405" s="177" t="n">
        <v>47602</v>
      </c>
      <c r="D3405" t="inlineStr">
        <is>
          <t>BW20300423</t>
        </is>
      </c>
      <c r="E3405" t="n">
        <v>2030</v>
      </c>
      <c r="F3405" t="inlineStr">
        <is>
          <t>Kwiecień</t>
        </is>
      </c>
      <c r="G3405" t="inlineStr">
        <is>
          <t>Sob</t>
        </is>
      </c>
      <c r="H3405">
        <f>'Floor Hours Engine'!$E$5</f>
        <v/>
      </c>
      <c r="I3405" t="inlineStr">
        <is>
          <t>W5</t>
        </is>
      </c>
      <c r="J3405" t="inlineStr">
        <is>
          <t>2030_Kwiecień_W5</t>
        </is>
      </c>
    </row>
    <row r="3406">
      <c r="A3406" s="177" t="n">
        <v>47601</v>
      </c>
      <c r="B3406" s="177" t="n">
        <v>47596</v>
      </c>
      <c r="C3406" s="177" t="n">
        <v>47602</v>
      </c>
      <c r="D3406" t="inlineStr">
        <is>
          <t>BW20300423</t>
        </is>
      </c>
      <c r="E3406" t="n">
        <v>2030</v>
      </c>
      <c r="F3406" t="inlineStr">
        <is>
          <t>Kwiecień</t>
        </is>
      </c>
      <c r="G3406" t="inlineStr">
        <is>
          <t>Nd</t>
        </is>
      </c>
      <c r="H3406">
        <f>'Floor Hours Engine'!$E$6</f>
        <v/>
      </c>
      <c r="I3406" t="inlineStr">
        <is>
          <t>W5</t>
        </is>
      </c>
      <c r="J3406" t="inlineStr">
        <is>
          <t>2030_Kwiecień_W5</t>
        </is>
      </c>
    </row>
    <row r="3407">
      <c r="A3407" s="177" t="n">
        <v>47602</v>
      </c>
      <c r="B3407" s="177" t="n">
        <v>47596</v>
      </c>
      <c r="C3407" s="177" t="n">
        <v>47602</v>
      </c>
      <c r="D3407" t="inlineStr">
        <is>
          <t>BW20300423</t>
        </is>
      </c>
      <c r="E3407" t="n">
        <v>2030</v>
      </c>
      <c r="F3407" t="inlineStr">
        <is>
          <t>Kwiecień</t>
        </is>
      </c>
      <c r="G3407" t="inlineStr">
        <is>
          <t>Pn</t>
        </is>
      </c>
      <c r="H3407">
        <f>'Floor Hours Engine'!$E$4</f>
        <v/>
      </c>
      <c r="I3407" t="inlineStr">
        <is>
          <t>W5</t>
        </is>
      </c>
      <c r="J3407" t="inlineStr">
        <is>
          <t>2030_Kwiecień_W5</t>
        </is>
      </c>
    </row>
    <row r="3408">
      <c r="A3408" s="177" t="n">
        <v>47603</v>
      </c>
      <c r="B3408" s="177" t="n">
        <v>47603</v>
      </c>
      <c r="C3408" s="177" t="n">
        <v>47609</v>
      </c>
      <c r="D3408" t="inlineStr">
        <is>
          <t>BW20300430</t>
        </is>
      </c>
      <c r="E3408" t="n">
        <v>2030</v>
      </c>
      <c r="F3408" t="inlineStr">
        <is>
          <t>Kwiecień</t>
        </is>
      </c>
      <c r="G3408" t="inlineStr">
        <is>
          <t>Wt</t>
        </is>
      </c>
      <c r="H3408">
        <f>'Floor Hours Engine'!$E$4</f>
        <v/>
      </c>
      <c r="I3408" t="inlineStr">
        <is>
          <t>W6</t>
        </is>
      </c>
      <c r="J3408" t="inlineStr">
        <is>
          <t>2030_Kwiecień_W6</t>
        </is>
      </c>
    </row>
    <row r="3409">
      <c r="A3409" s="177" t="n">
        <v>47604</v>
      </c>
      <c r="B3409" s="177" t="n">
        <v>47603</v>
      </c>
      <c r="C3409" s="177" t="n">
        <v>47609</v>
      </c>
      <c r="D3409" t="inlineStr">
        <is>
          <t>BW20300430</t>
        </is>
      </c>
      <c r="E3409" t="n">
        <v>2030</v>
      </c>
      <c r="F3409" t="inlineStr">
        <is>
          <t>Maj</t>
        </is>
      </c>
      <c r="G3409" t="inlineStr">
        <is>
          <t>Śr</t>
        </is>
      </c>
      <c r="H3409">
        <f>'Floor Hours Engine'!$E$4</f>
        <v/>
      </c>
      <c r="I3409" t="inlineStr">
        <is>
          <t>W1</t>
        </is>
      </c>
      <c r="J3409" t="inlineStr">
        <is>
          <t>2030_Maj_W1</t>
        </is>
      </c>
    </row>
    <row r="3410">
      <c r="A3410" s="177" t="n">
        <v>47605</v>
      </c>
      <c r="B3410" s="177" t="n">
        <v>47603</v>
      </c>
      <c r="C3410" s="177" t="n">
        <v>47609</v>
      </c>
      <c r="D3410" t="inlineStr">
        <is>
          <t>BW20300430</t>
        </is>
      </c>
      <c r="E3410" t="n">
        <v>2030</v>
      </c>
      <c r="F3410" t="inlineStr">
        <is>
          <t>Maj</t>
        </is>
      </c>
      <c r="G3410" t="inlineStr">
        <is>
          <t>Czw</t>
        </is>
      </c>
      <c r="H3410">
        <f>'Floor Hours Engine'!$E$4</f>
        <v/>
      </c>
      <c r="I3410" t="inlineStr">
        <is>
          <t>W1</t>
        </is>
      </c>
      <c r="J3410" t="inlineStr">
        <is>
          <t>2030_Maj_W1</t>
        </is>
      </c>
    </row>
    <row r="3411">
      <c r="A3411" s="177" t="n">
        <v>47606</v>
      </c>
      <c r="B3411" s="177" t="n">
        <v>47603</v>
      </c>
      <c r="C3411" s="177" t="n">
        <v>47609</v>
      </c>
      <c r="D3411" t="inlineStr">
        <is>
          <t>BW20300430</t>
        </is>
      </c>
      <c r="E3411" t="n">
        <v>2030</v>
      </c>
      <c r="F3411" t="inlineStr">
        <is>
          <t>Maj</t>
        </is>
      </c>
      <c r="G3411" t="inlineStr">
        <is>
          <t>Pt</t>
        </is>
      </c>
      <c r="H3411">
        <f>'Floor Hours Engine'!$E$5</f>
        <v/>
      </c>
      <c r="I3411" t="inlineStr">
        <is>
          <t>W1</t>
        </is>
      </c>
      <c r="J3411" t="inlineStr">
        <is>
          <t>2030_Maj_W1</t>
        </is>
      </c>
    </row>
    <row r="3412">
      <c r="A3412" s="177" t="n">
        <v>47607</v>
      </c>
      <c r="B3412" s="177" t="n">
        <v>47603</v>
      </c>
      <c r="C3412" s="177" t="n">
        <v>47609</v>
      </c>
      <c r="D3412" t="inlineStr">
        <is>
          <t>BW20300430</t>
        </is>
      </c>
      <c r="E3412" t="n">
        <v>2030</v>
      </c>
      <c r="F3412" t="inlineStr">
        <is>
          <t>Maj</t>
        </is>
      </c>
      <c r="G3412" t="inlineStr">
        <is>
          <t>Sob</t>
        </is>
      </c>
      <c r="H3412">
        <f>'Floor Hours Engine'!$E$5</f>
        <v/>
      </c>
      <c r="I3412" t="inlineStr">
        <is>
          <t>W1</t>
        </is>
      </c>
      <c r="J3412" t="inlineStr">
        <is>
          <t>2030_Maj_W1</t>
        </is>
      </c>
    </row>
    <row r="3413">
      <c r="A3413" s="177" t="n">
        <v>47608</v>
      </c>
      <c r="B3413" s="177" t="n">
        <v>47603</v>
      </c>
      <c r="C3413" s="177" t="n">
        <v>47609</v>
      </c>
      <c r="D3413" t="inlineStr">
        <is>
          <t>BW20300430</t>
        </is>
      </c>
      <c r="E3413" t="n">
        <v>2030</v>
      </c>
      <c r="F3413" t="inlineStr">
        <is>
          <t>Maj</t>
        </is>
      </c>
      <c r="G3413" t="inlineStr">
        <is>
          <t>Nd</t>
        </is>
      </c>
      <c r="H3413">
        <f>'Floor Hours Engine'!$E$6</f>
        <v/>
      </c>
      <c r="I3413" t="inlineStr">
        <is>
          <t>W1</t>
        </is>
      </c>
      <c r="J3413" t="inlineStr">
        <is>
          <t>2030_Maj_W1</t>
        </is>
      </c>
    </row>
    <row r="3414">
      <c r="A3414" s="177" t="n">
        <v>47609</v>
      </c>
      <c r="B3414" s="177" t="n">
        <v>47603</v>
      </c>
      <c r="C3414" s="177" t="n">
        <v>47609</v>
      </c>
      <c r="D3414" t="inlineStr">
        <is>
          <t>BW20300430</t>
        </is>
      </c>
      <c r="E3414" t="n">
        <v>2030</v>
      </c>
      <c r="F3414" t="inlineStr">
        <is>
          <t>Maj</t>
        </is>
      </c>
      <c r="G3414" t="inlineStr">
        <is>
          <t>Pn</t>
        </is>
      </c>
      <c r="H3414">
        <f>'Floor Hours Engine'!$E$4</f>
        <v/>
      </c>
      <c r="I3414" t="inlineStr">
        <is>
          <t>W1</t>
        </is>
      </c>
      <c r="J3414" t="inlineStr">
        <is>
          <t>2030_Maj_W1</t>
        </is>
      </c>
    </row>
    <row r="3415">
      <c r="A3415" s="177" t="n">
        <v>47610</v>
      </c>
      <c r="B3415" s="177" t="n">
        <v>47610</v>
      </c>
      <c r="C3415" s="177" t="n">
        <v>47616</v>
      </c>
      <c r="D3415" t="inlineStr">
        <is>
          <t>BW20300507</t>
        </is>
      </c>
      <c r="E3415" t="n">
        <v>2030</v>
      </c>
      <c r="F3415" t="inlineStr">
        <is>
          <t>Maj</t>
        </is>
      </c>
      <c r="G3415" t="inlineStr">
        <is>
          <t>Wt</t>
        </is>
      </c>
      <c r="H3415">
        <f>'Floor Hours Engine'!$E$4</f>
        <v/>
      </c>
      <c r="I3415" t="inlineStr">
        <is>
          <t>W2</t>
        </is>
      </c>
      <c r="J3415" t="inlineStr">
        <is>
          <t>2030_Maj_W2</t>
        </is>
      </c>
    </row>
    <row r="3416">
      <c r="A3416" s="177" t="n">
        <v>47611</v>
      </c>
      <c r="B3416" s="177" t="n">
        <v>47610</v>
      </c>
      <c r="C3416" s="177" t="n">
        <v>47616</v>
      </c>
      <c r="D3416" t="inlineStr">
        <is>
          <t>BW20300507</t>
        </is>
      </c>
      <c r="E3416" t="n">
        <v>2030</v>
      </c>
      <c r="F3416" t="inlineStr">
        <is>
          <t>Maj</t>
        </is>
      </c>
      <c r="G3416" t="inlineStr">
        <is>
          <t>Śr</t>
        </is>
      </c>
      <c r="H3416">
        <f>'Floor Hours Engine'!$E$4</f>
        <v/>
      </c>
      <c r="I3416" t="inlineStr">
        <is>
          <t>W2</t>
        </is>
      </c>
      <c r="J3416" t="inlineStr">
        <is>
          <t>2030_Maj_W2</t>
        </is>
      </c>
    </row>
    <row r="3417">
      <c r="A3417" s="177" t="n">
        <v>47612</v>
      </c>
      <c r="B3417" s="177" t="n">
        <v>47610</v>
      </c>
      <c r="C3417" s="177" t="n">
        <v>47616</v>
      </c>
      <c r="D3417" t="inlineStr">
        <is>
          <t>BW20300507</t>
        </is>
      </c>
      <c r="E3417" t="n">
        <v>2030</v>
      </c>
      <c r="F3417" t="inlineStr">
        <is>
          <t>Maj</t>
        </is>
      </c>
      <c r="G3417" t="inlineStr">
        <is>
          <t>Czw</t>
        </is>
      </c>
      <c r="H3417">
        <f>'Floor Hours Engine'!$E$4</f>
        <v/>
      </c>
      <c r="I3417" t="inlineStr">
        <is>
          <t>W2</t>
        </is>
      </c>
      <c r="J3417" t="inlineStr">
        <is>
          <t>2030_Maj_W2</t>
        </is>
      </c>
    </row>
    <row r="3418">
      <c r="A3418" s="177" t="n">
        <v>47613</v>
      </c>
      <c r="B3418" s="177" t="n">
        <v>47610</v>
      </c>
      <c r="C3418" s="177" t="n">
        <v>47616</v>
      </c>
      <c r="D3418" t="inlineStr">
        <is>
          <t>BW20300507</t>
        </is>
      </c>
      <c r="E3418" t="n">
        <v>2030</v>
      </c>
      <c r="F3418" t="inlineStr">
        <is>
          <t>Maj</t>
        </is>
      </c>
      <c r="G3418" t="inlineStr">
        <is>
          <t>Pt</t>
        </is>
      </c>
      <c r="H3418">
        <f>'Floor Hours Engine'!$E$5</f>
        <v/>
      </c>
      <c r="I3418" t="inlineStr">
        <is>
          <t>W2</t>
        </is>
      </c>
      <c r="J3418" t="inlineStr">
        <is>
          <t>2030_Maj_W2</t>
        </is>
      </c>
    </row>
    <row r="3419">
      <c r="A3419" s="177" t="n">
        <v>47614</v>
      </c>
      <c r="B3419" s="177" t="n">
        <v>47610</v>
      </c>
      <c r="C3419" s="177" t="n">
        <v>47616</v>
      </c>
      <c r="D3419" t="inlineStr">
        <is>
          <t>BW20300507</t>
        </is>
      </c>
      <c r="E3419" t="n">
        <v>2030</v>
      </c>
      <c r="F3419" t="inlineStr">
        <is>
          <t>Maj</t>
        </is>
      </c>
      <c r="G3419" t="inlineStr">
        <is>
          <t>Sob</t>
        </is>
      </c>
      <c r="H3419">
        <f>'Floor Hours Engine'!$E$5</f>
        <v/>
      </c>
      <c r="I3419" t="inlineStr">
        <is>
          <t>W2</t>
        </is>
      </c>
      <c r="J3419" t="inlineStr">
        <is>
          <t>2030_Maj_W2</t>
        </is>
      </c>
    </row>
    <row r="3420">
      <c r="A3420" s="177" t="n">
        <v>47615</v>
      </c>
      <c r="B3420" s="177" t="n">
        <v>47610</v>
      </c>
      <c r="C3420" s="177" t="n">
        <v>47616</v>
      </c>
      <c r="D3420" t="inlineStr">
        <is>
          <t>BW20300507</t>
        </is>
      </c>
      <c r="E3420" t="n">
        <v>2030</v>
      </c>
      <c r="F3420" t="inlineStr">
        <is>
          <t>Maj</t>
        </is>
      </c>
      <c r="G3420" t="inlineStr">
        <is>
          <t>Nd</t>
        </is>
      </c>
      <c r="H3420">
        <f>'Floor Hours Engine'!$E$6</f>
        <v/>
      </c>
      <c r="I3420" t="inlineStr">
        <is>
          <t>W2</t>
        </is>
      </c>
      <c r="J3420" t="inlineStr">
        <is>
          <t>2030_Maj_W2</t>
        </is>
      </c>
    </row>
    <row r="3421">
      <c r="A3421" s="177" t="n">
        <v>47616</v>
      </c>
      <c r="B3421" s="177" t="n">
        <v>47610</v>
      </c>
      <c r="C3421" s="177" t="n">
        <v>47616</v>
      </c>
      <c r="D3421" t="inlineStr">
        <is>
          <t>BW20300507</t>
        </is>
      </c>
      <c r="E3421" t="n">
        <v>2030</v>
      </c>
      <c r="F3421" t="inlineStr">
        <is>
          <t>Maj</t>
        </is>
      </c>
      <c r="G3421" t="inlineStr">
        <is>
          <t>Pn</t>
        </is>
      </c>
      <c r="H3421">
        <f>'Floor Hours Engine'!$E$4</f>
        <v/>
      </c>
      <c r="I3421" t="inlineStr">
        <is>
          <t>W2</t>
        </is>
      </c>
      <c r="J3421" t="inlineStr">
        <is>
          <t>2030_Maj_W2</t>
        </is>
      </c>
    </row>
    <row r="3422">
      <c r="A3422" s="177" t="n">
        <v>47617</v>
      </c>
      <c r="B3422" s="177" t="n">
        <v>47617</v>
      </c>
      <c r="C3422" s="177" t="n">
        <v>47623</v>
      </c>
      <c r="D3422" t="inlineStr">
        <is>
          <t>BW20300514</t>
        </is>
      </c>
      <c r="E3422" t="n">
        <v>2030</v>
      </c>
      <c r="F3422" t="inlineStr">
        <is>
          <t>Maj</t>
        </is>
      </c>
      <c r="G3422" t="inlineStr">
        <is>
          <t>Wt</t>
        </is>
      </c>
      <c r="H3422">
        <f>'Floor Hours Engine'!$E$4</f>
        <v/>
      </c>
      <c r="I3422" t="inlineStr">
        <is>
          <t>W3</t>
        </is>
      </c>
      <c r="J3422" t="inlineStr">
        <is>
          <t>2030_Maj_W3</t>
        </is>
      </c>
    </row>
    <row r="3423">
      <c r="A3423" s="177" t="n">
        <v>47618</v>
      </c>
      <c r="B3423" s="177" t="n">
        <v>47617</v>
      </c>
      <c r="C3423" s="177" t="n">
        <v>47623</v>
      </c>
      <c r="D3423" t="inlineStr">
        <is>
          <t>BW20300514</t>
        </is>
      </c>
      <c r="E3423" t="n">
        <v>2030</v>
      </c>
      <c r="F3423" t="inlineStr">
        <is>
          <t>Maj</t>
        </is>
      </c>
      <c r="G3423" t="inlineStr">
        <is>
          <t>Śr</t>
        </is>
      </c>
      <c r="H3423">
        <f>'Floor Hours Engine'!$E$4</f>
        <v/>
      </c>
      <c r="I3423" t="inlineStr">
        <is>
          <t>W3</t>
        </is>
      </c>
      <c r="J3423" t="inlineStr">
        <is>
          <t>2030_Maj_W3</t>
        </is>
      </c>
    </row>
    <row r="3424">
      <c r="A3424" s="177" t="n">
        <v>47619</v>
      </c>
      <c r="B3424" s="177" t="n">
        <v>47617</v>
      </c>
      <c r="C3424" s="177" t="n">
        <v>47623</v>
      </c>
      <c r="D3424" t="inlineStr">
        <is>
          <t>BW20300514</t>
        </is>
      </c>
      <c r="E3424" t="n">
        <v>2030</v>
      </c>
      <c r="F3424" t="inlineStr">
        <is>
          <t>Maj</t>
        </is>
      </c>
      <c r="G3424" t="inlineStr">
        <is>
          <t>Czw</t>
        </is>
      </c>
      <c r="H3424">
        <f>'Floor Hours Engine'!$E$4</f>
        <v/>
      </c>
      <c r="I3424" t="inlineStr">
        <is>
          <t>W3</t>
        </is>
      </c>
      <c r="J3424" t="inlineStr">
        <is>
          <t>2030_Maj_W3</t>
        </is>
      </c>
    </row>
    <row r="3425">
      <c r="A3425" s="177" t="n">
        <v>47620</v>
      </c>
      <c r="B3425" s="177" t="n">
        <v>47617</v>
      </c>
      <c r="C3425" s="177" t="n">
        <v>47623</v>
      </c>
      <c r="D3425" t="inlineStr">
        <is>
          <t>BW20300514</t>
        </is>
      </c>
      <c r="E3425" t="n">
        <v>2030</v>
      </c>
      <c r="F3425" t="inlineStr">
        <is>
          <t>Maj</t>
        </is>
      </c>
      <c r="G3425" t="inlineStr">
        <is>
          <t>Pt</t>
        </is>
      </c>
      <c r="H3425">
        <f>'Floor Hours Engine'!$E$5</f>
        <v/>
      </c>
      <c r="I3425" t="inlineStr">
        <is>
          <t>W3</t>
        </is>
      </c>
      <c r="J3425" t="inlineStr">
        <is>
          <t>2030_Maj_W3</t>
        </is>
      </c>
    </row>
    <row r="3426">
      <c r="A3426" s="177" t="n">
        <v>47621</v>
      </c>
      <c r="B3426" s="177" t="n">
        <v>47617</v>
      </c>
      <c r="C3426" s="177" t="n">
        <v>47623</v>
      </c>
      <c r="D3426" t="inlineStr">
        <is>
          <t>BW20300514</t>
        </is>
      </c>
      <c r="E3426" t="n">
        <v>2030</v>
      </c>
      <c r="F3426" t="inlineStr">
        <is>
          <t>Maj</t>
        </is>
      </c>
      <c r="G3426" t="inlineStr">
        <is>
          <t>Sob</t>
        </is>
      </c>
      <c r="H3426">
        <f>'Floor Hours Engine'!$E$5</f>
        <v/>
      </c>
      <c r="I3426" t="inlineStr">
        <is>
          <t>W3</t>
        </is>
      </c>
      <c r="J3426" t="inlineStr">
        <is>
          <t>2030_Maj_W3</t>
        </is>
      </c>
    </row>
    <row r="3427">
      <c r="A3427" s="177" t="n">
        <v>47622</v>
      </c>
      <c r="B3427" s="177" t="n">
        <v>47617</v>
      </c>
      <c r="C3427" s="177" t="n">
        <v>47623</v>
      </c>
      <c r="D3427" t="inlineStr">
        <is>
          <t>BW20300514</t>
        </is>
      </c>
      <c r="E3427" t="n">
        <v>2030</v>
      </c>
      <c r="F3427" t="inlineStr">
        <is>
          <t>Maj</t>
        </is>
      </c>
      <c r="G3427" t="inlineStr">
        <is>
          <t>Nd</t>
        </is>
      </c>
      <c r="H3427">
        <f>'Floor Hours Engine'!$E$6</f>
        <v/>
      </c>
      <c r="I3427" t="inlineStr">
        <is>
          <t>W3</t>
        </is>
      </c>
      <c r="J3427" t="inlineStr">
        <is>
          <t>2030_Maj_W3</t>
        </is>
      </c>
    </row>
    <row r="3428">
      <c r="A3428" s="177" t="n">
        <v>47623</v>
      </c>
      <c r="B3428" s="177" t="n">
        <v>47617</v>
      </c>
      <c r="C3428" s="177" t="n">
        <v>47623</v>
      </c>
      <c r="D3428" t="inlineStr">
        <is>
          <t>BW20300514</t>
        </is>
      </c>
      <c r="E3428" t="n">
        <v>2030</v>
      </c>
      <c r="F3428" t="inlineStr">
        <is>
          <t>Maj</t>
        </is>
      </c>
      <c r="G3428" t="inlineStr">
        <is>
          <t>Pn</t>
        </is>
      </c>
      <c r="H3428">
        <f>'Floor Hours Engine'!$E$4</f>
        <v/>
      </c>
      <c r="I3428" t="inlineStr">
        <is>
          <t>W3</t>
        </is>
      </c>
      <c r="J3428" t="inlineStr">
        <is>
          <t>2030_Maj_W3</t>
        </is>
      </c>
    </row>
    <row r="3429">
      <c r="A3429" s="177" t="n">
        <v>47624</v>
      </c>
      <c r="B3429" s="177" t="n">
        <v>47624</v>
      </c>
      <c r="C3429" s="177" t="n">
        <v>47630</v>
      </c>
      <c r="D3429" t="inlineStr">
        <is>
          <t>BW20300521</t>
        </is>
      </c>
      <c r="E3429" t="n">
        <v>2030</v>
      </c>
      <c r="F3429" t="inlineStr">
        <is>
          <t>Maj</t>
        </is>
      </c>
      <c r="G3429" t="inlineStr">
        <is>
          <t>Wt</t>
        </is>
      </c>
      <c r="H3429">
        <f>'Floor Hours Engine'!$E$4</f>
        <v/>
      </c>
      <c r="I3429" t="inlineStr">
        <is>
          <t>W4</t>
        </is>
      </c>
      <c r="J3429" t="inlineStr">
        <is>
          <t>2030_Maj_W4</t>
        </is>
      </c>
    </row>
    <row r="3430">
      <c r="A3430" s="177" t="n">
        <v>47625</v>
      </c>
      <c r="B3430" s="177" t="n">
        <v>47624</v>
      </c>
      <c r="C3430" s="177" t="n">
        <v>47630</v>
      </c>
      <c r="D3430" t="inlineStr">
        <is>
          <t>BW20300521</t>
        </is>
      </c>
      <c r="E3430" t="n">
        <v>2030</v>
      </c>
      <c r="F3430" t="inlineStr">
        <is>
          <t>Maj</t>
        </is>
      </c>
      <c r="G3430" t="inlineStr">
        <is>
          <t>Śr</t>
        </is>
      </c>
      <c r="H3430">
        <f>'Floor Hours Engine'!$E$4</f>
        <v/>
      </c>
      <c r="I3430" t="inlineStr">
        <is>
          <t>W4</t>
        </is>
      </c>
      <c r="J3430" t="inlineStr">
        <is>
          <t>2030_Maj_W4</t>
        </is>
      </c>
    </row>
    <row r="3431">
      <c r="A3431" s="177" t="n">
        <v>47626</v>
      </c>
      <c r="B3431" s="177" t="n">
        <v>47624</v>
      </c>
      <c r="C3431" s="177" t="n">
        <v>47630</v>
      </c>
      <c r="D3431" t="inlineStr">
        <is>
          <t>BW20300521</t>
        </is>
      </c>
      <c r="E3431" t="n">
        <v>2030</v>
      </c>
      <c r="F3431" t="inlineStr">
        <is>
          <t>Maj</t>
        </is>
      </c>
      <c r="G3431" t="inlineStr">
        <is>
          <t>Czw</t>
        </is>
      </c>
      <c r="H3431">
        <f>'Floor Hours Engine'!$E$4</f>
        <v/>
      </c>
      <c r="I3431" t="inlineStr">
        <is>
          <t>W4</t>
        </is>
      </c>
      <c r="J3431" t="inlineStr">
        <is>
          <t>2030_Maj_W4</t>
        </is>
      </c>
    </row>
    <row r="3432">
      <c r="A3432" s="177" t="n">
        <v>47627</v>
      </c>
      <c r="B3432" s="177" t="n">
        <v>47624</v>
      </c>
      <c r="C3432" s="177" t="n">
        <v>47630</v>
      </c>
      <c r="D3432" t="inlineStr">
        <is>
          <t>BW20300521</t>
        </is>
      </c>
      <c r="E3432" t="n">
        <v>2030</v>
      </c>
      <c r="F3432" t="inlineStr">
        <is>
          <t>Maj</t>
        </is>
      </c>
      <c r="G3432" t="inlineStr">
        <is>
          <t>Pt</t>
        </is>
      </c>
      <c r="H3432">
        <f>'Floor Hours Engine'!$E$5</f>
        <v/>
      </c>
      <c r="I3432" t="inlineStr">
        <is>
          <t>W4</t>
        </is>
      </c>
      <c r="J3432" t="inlineStr">
        <is>
          <t>2030_Maj_W4</t>
        </is>
      </c>
    </row>
    <row r="3433">
      <c r="A3433" s="177" t="n">
        <v>47628</v>
      </c>
      <c r="B3433" s="177" t="n">
        <v>47624</v>
      </c>
      <c r="C3433" s="177" t="n">
        <v>47630</v>
      </c>
      <c r="D3433" t="inlineStr">
        <is>
          <t>BW20300521</t>
        </is>
      </c>
      <c r="E3433" t="n">
        <v>2030</v>
      </c>
      <c r="F3433" t="inlineStr">
        <is>
          <t>Maj</t>
        </is>
      </c>
      <c r="G3433" t="inlineStr">
        <is>
          <t>Sob</t>
        </is>
      </c>
      <c r="H3433">
        <f>'Floor Hours Engine'!$E$5</f>
        <v/>
      </c>
      <c r="I3433" t="inlineStr">
        <is>
          <t>W4</t>
        </is>
      </c>
      <c r="J3433" t="inlineStr">
        <is>
          <t>2030_Maj_W4</t>
        </is>
      </c>
    </row>
    <row r="3434">
      <c r="A3434" s="177" t="n">
        <v>47629</v>
      </c>
      <c r="B3434" s="177" t="n">
        <v>47624</v>
      </c>
      <c r="C3434" s="177" t="n">
        <v>47630</v>
      </c>
      <c r="D3434" t="inlineStr">
        <is>
          <t>BW20300521</t>
        </is>
      </c>
      <c r="E3434" t="n">
        <v>2030</v>
      </c>
      <c r="F3434" t="inlineStr">
        <is>
          <t>Maj</t>
        </is>
      </c>
      <c r="G3434" t="inlineStr">
        <is>
          <t>Nd</t>
        </is>
      </c>
      <c r="H3434">
        <f>'Floor Hours Engine'!$E$6</f>
        <v/>
      </c>
      <c r="I3434" t="inlineStr">
        <is>
          <t>W4</t>
        </is>
      </c>
      <c r="J3434" t="inlineStr">
        <is>
          <t>2030_Maj_W4</t>
        </is>
      </c>
    </row>
    <row r="3435">
      <c r="A3435" s="177" t="n">
        <v>47630</v>
      </c>
      <c r="B3435" s="177" t="n">
        <v>47624</v>
      </c>
      <c r="C3435" s="177" t="n">
        <v>47630</v>
      </c>
      <c r="D3435" t="inlineStr">
        <is>
          <t>BW20300521</t>
        </is>
      </c>
      <c r="E3435" t="n">
        <v>2030</v>
      </c>
      <c r="F3435" t="inlineStr">
        <is>
          <t>Maj</t>
        </is>
      </c>
      <c r="G3435" t="inlineStr">
        <is>
          <t>Pn</t>
        </is>
      </c>
      <c r="H3435">
        <f>'Floor Hours Engine'!$E$4</f>
        <v/>
      </c>
      <c r="I3435" t="inlineStr">
        <is>
          <t>W4</t>
        </is>
      </c>
      <c r="J3435" t="inlineStr">
        <is>
          <t>2030_Maj_W4</t>
        </is>
      </c>
    </row>
    <row r="3436">
      <c r="A3436" s="177" t="n">
        <v>47631</v>
      </c>
      <c r="B3436" s="177" t="n">
        <v>47631</v>
      </c>
      <c r="C3436" s="177" t="n">
        <v>47637</v>
      </c>
      <c r="D3436" t="inlineStr">
        <is>
          <t>BW20300528</t>
        </is>
      </c>
      <c r="E3436" t="n">
        <v>2030</v>
      </c>
      <c r="F3436" t="inlineStr">
        <is>
          <t>Maj</t>
        </is>
      </c>
      <c r="G3436" t="inlineStr">
        <is>
          <t>Wt</t>
        </is>
      </c>
      <c r="H3436">
        <f>'Floor Hours Engine'!$E$4</f>
        <v/>
      </c>
      <c r="I3436" t="inlineStr">
        <is>
          <t>W5</t>
        </is>
      </c>
      <c r="J3436" t="inlineStr">
        <is>
          <t>2030_Maj_W5</t>
        </is>
      </c>
    </row>
    <row r="3437">
      <c r="A3437" s="177" t="n">
        <v>47632</v>
      </c>
      <c r="B3437" s="177" t="n">
        <v>47631</v>
      </c>
      <c r="C3437" s="177" t="n">
        <v>47637</v>
      </c>
      <c r="D3437" t="inlineStr">
        <is>
          <t>BW20300528</t>
        </is>
      </c>
      <c r="E3437" t="n">
        <v>2030</v>
      </c>
      <c r="F3437" t="inlineStr">
        <is>
          <t>Maj</t>
        </is>
      </c>
      <c r="G3437" t="inlineStr">
        <is>
          <t>Śr</t>
        </is>
      </c>
      <c r="H3437">
        <f>'Floor Hours Engine'!$E$4</f>
        <v/>
      </c>
      <c r="I3437" t="inlineStr">
        <is>
          <t>W5</t>
        </is>
      </c>
      <c r="J3437" t="inlineStr">
        <is>
          <t>2030_Maj_W5</t>
        </is>
      </c>
    </row>
    <row r="3438">
      <c r="A3438" s="177" t="n">
        <v>47633</v>
      </c>
      <c r="B3438" s="177" t="n">
        <v>47631</v>
      </c>
      <c r="C3438" s="177" t="n">
        <v>47637</v>
      </c>
      <c r="D3438" t="inlineStr">
        <is>
          <t>BW20300528</t>
        </is>
      </c>
      <c r="E3438" t="n">
        <v>2030</v>
      </c>
      <c r="F3438" t="inlineStr">
        <is>
          <t>Maj</t>
        </is>
      </c>
      <c r="G3438" t="inlineStr">
        <is>
          <t>Czw</t>
        </is>
      </c>
      <c r="H3438">
        <f>'Floor Hours Engine'!$E$4</f>
        <v/>
      </c>
      <c r="I3438" t="inlineStr">
        <is>
          <t>W5</t>
        </is>
      </c>
      <c r="J3438" t="inlineStr">
        <is>
          <t>2030_Maj_W5</t>
        </is>
      </c>
    </row>
    <row r="3439">
      <c r="A3439" s="177" t="n">
        <v>47634</v>
      </c>
      <c r="B3439" s="177" t="n">
        <v>47631</v>
      </c>
      <c r="C3439" s="177" t="n">
        <v>47637</v>
      </c>
      <c r="D3439" t="inlineStr">
        <is>
          <t>BW20300528</t>
        </is>
      </c>
      <c r="E3439" t="n">
        <v>2030</v>
      </c>
      <c r="F3439" t="inlineStr">
        <is>
          <t>Maj</t>
        </is>
      </c>
      <c r="G3439" t="inlineStr">
        <is>
          <t>Pt</t>
        </is>
      </c>
      <c r="H3439">
        <f>'Floor Hours Engine'!$E$5</f>
        <v/>
      </c>
      <c r="I3439" t="inlineStr">
        <is>
          <t>W5</t>
        </is>
      </c>
      <c r="J3439" t="inlineStr">
        <is>
          <t>2030_Maj_W5</t>
        </is>
      </c>
    </row>
    <row r="3440">
      <c r="A3440" s="177" t="n">
        <v>47635</v>
      </c>
      <c r="B3440" s="177" t="n">
        <v>47631</v>
      </c>
      <c r="C3440" s="177" t="n">
        <v>47637</v>
      </c>
      <c r="D3440" t="inlineStr">
        <is>
          <t>BW20300528</t>
        </is>
      </c>
      <c r="E3440" t="n">
        <v>2030</v>
      </c>
      <c r="F3440" t="inlineStr">
        <is>
          <t>Czerwiec</t>
        </is>
      </c>
      <c r="G3440" t="inlineStr">
        <is>
          <t>Sob</t>
        </is>
      </c>
      <c r="H3440">
        <f>'Floor Hours Engine'!$E$5</f>
        <v/>
      </c>
      <c r="I3440" t="inlineStr">
        <is>
          <t>W1</t>
        </is>
      </c>
      <c r="J3440" t="inlineStr">
        <is>
          <t>2030_Czerwiec_W1</t>
        </is>
      </c>
    </row>
    <row r="3441">
      <c r="A3441" s="177" t="n">
        <v>47636</v>
      </c>
      <c r="B3441" s="177" t="n">
        <v>47631</v>
      </c>
      <c r="C3441" s="177" t="n">
        <v>47637</v>
      </c>
      <c r="D3441" t="inlineStr">
        <is>
          <t>BW20300528</t>
        </is>
      </c>
      <c r="E3441" t="n">
        <v>2030</v>
      </c>
      <c r="F3441" t="inlineStr">
        <is>
          <t>Czerwiec</t>
        </is>
      </c>
      <c r="G3441" t="inlineStr">
        <is>
          <t>Nd</t>
        </is>
      </c>
      <c r="H3441">
        <f>'Floor Hours Engine'!$E$6</f>
        <v/>
      </c>
      <c r="I3441" t="inlineStr">
        <is>
          <t>W1</t>
        </is>
      </c>
      <c r="J3441" t="inlineStr">
        <is>
          <t>2030_Czerwiec_W1</t>
        </is>
      </c>
    </row>
    <row r="3442">
      <c r="A3442" s="177" t="n">
        <v>47637</v>
      </c>
      <c r="B3442" s="177" t="n">
        <v>47631</v>
      </c>
      <c r="C3442" s="177" t="n">
        <v>47637</v>
      </c>
      <c r="D3442" t="inlineStr">
        <is>
          <t>BW20300528</t>
        </is>
      </c>
      <c r="E3442" t="n">
        <v>2030</v>
      </c>
      <c r="F3442" t="inlineStr">
        <is>
          <t>Czerwiec</t>
        </is>
      </c>
      <c r="G3442" t="inlineStr">
        <is>
          <t>Pn</t>
        </is>
      </c>
      <c r="H3442">
        <f>'Floor Hours Engine'!$E$4</f>
        <v/>
      </c>
      <c r="I3442" t="inlineStr">
        <is>
          <t>W1</t>
        </is>
      </c>
      <c r="J3442" t="inlineStr">
        <is>
          <t>2030_Czerwiec_W1</t>
        </is>
      </c>
    </row>
    <row r="3443">
      <c r="A3443" s="177" t="n">
        <v>47638</v>
      </c>
      <c r="B3443" s="177" t="n">
        <v>47638</v>
      </c>
      <c r="C3443" s="177" t="n">
        <v>47644</v>
      </c>
      <c r="D3443" t="inlineStr">
        <is>
          <t>BW20300604</t>
        </is>
      </c>
      <c r="E3443" t="n">
        <v>2030</v>
      </c>
      <c r="F3443" t="inlineStr">
        <is>
          <t>Czerwiec</t>
        </is>
      </c>
      <c r="G3443" t="inlineStr">
        <is>
          <t>Wt</t>
        </is>
      </c>
      <c r="H3443">
        <f>'Floor Hours Engine'!$E$4</f>
        <v/>
      </c>
      <c r="I3443" t="inlineStr">
        <is>
          <t>W2</t>
        </is>
      </c>
      <c r="J3443" t="inlineStr">
        <is>
          <t>2030_Czerwiec_W2</t>
        </is>
      </c>
    </row>
    <row r="3444">
      <c r="A3444" s="177" t="n">
        <v>47639</v>
      </c>
      <c r="B3444" s="177" t="n">
        <v>47638</v>
      </c>
      <c r="C3444" s="177" t="n">
        <v>47644</v>
      </c>
      <c r="D3444" t="inlineStr">
        <is>
          <t>BW20300604</t>
        </is>
      </c>
      <c r="E3444" t="n">
        <v>2030</v>
      </c>
      <c r="F3444" t="inlineStr">
        <is>
          <t>Czerwiec</t>
        </is>
      </c>
      <c r="G3444" t="inlineStr">
        <is>
          <t>Śr</t>
        </is>
      </c>
      <c r="H3444">
        <f>'Floor Hours Engine'!$E$4</f>
        <v/>
      </c>
      <c r="I3444" t="inlineStr">
        <is>
          <t>W2</t>
        </is>
      </c>
      <c r="J3444" t="inlineStr">
        <is>
          <t>2030_Czerwiec_W2</t>
        </is>
      </c>
    </row>
    <row r="3445">
      <c r="A3445" s="177" t="n">
        <v>47640</v>
      </c>
      <c r="B3445" s="177" t="n">
        <v>47638</v>
      </c>
      <c r="C3445" s="177" t="n">
        <v>47644</v>
      </c>
      <c r="D3445" t="inlineStr">
        <is>
          <t>BW20300604</t>
        </is>
      </c>
      <c r="E3445" t="n">
        <v>2030</v>
      </c>
      <c r="F3445" t="inlineStr">
        <is>
          <t>Czerwiec</t>
        </is>
      </c>
      <c r="G3445" t="inlineStr">
        <is>
          <t>Czw</t>
        </is>
      </c>
      <c r="H3445">
        <f>'Floor Hours Engine'!$E$4</f>
        <v/>
      </c>
      <c r="I3445" t="inlineStr">
        <is>
          <t>W2</t>
        </is>
      </c>
      <c r="J3445" t="inlineStr">
        <is>
          <t>2030_Czerwiec_W2</t>
        </is>
      </c>
    </row>
    <row r="3446">
      <c r="A3446" s="177" t="n">
        <v>47641</v>
      </c>
      <c r="B3446" s="177" t="n">
        <v>47638</v>
      </c>
      <c r="C3446" s="177" t="n">
        <v>47644</v>
      </c>
      <c r="D3446" t="inlineStr">
        <is>
          <t>BW20300604</t>
        </is>
      </c>
      <c r="E3446" t="n">
        <v>2030</v>
      </c>
      <c r="F3446" t="inlineStr">
        <is>
          <t>Czerwiec</t>
        </is>
      </c>
      <c r="G3446" t="inlineStr">
        <is>
          <t>Pt</t>
        </is>
      </c>
      <c r="H3446">
        <f>'Floor Hours Engine'!$E$5</f>
        <v/>
      </c>
      <c r="I3446" t="inlineStr">
        <is>
          <t>W2</t>
        </is>
      </c>
      <c r="J3446" t="inlineStr">
        <is>
          <t>2030_Czerwiec_W2</t>
        </is>
      </c>
    </row>
    <row r="3447">
      <c r="A3447" s="177" t="n">
        <v>47642</v>
      </c>
      <c r="B3447" s="177" t="n">
        <v>47638</v>
      </c>
      <c r="C3447" s="177" t="n">
        <v>47644</v>
      </c>
      <c r="D3447" t="inlineStr">
        <is>
          <t>BW20300604</t>
        </is>
      </c>
      <c r="E3447" t="n">
        <v>2030</v>
      </c>
      <c r="F3447" t="inlineStr">
        <is>
          <t>Czerwiec</t>
        </is>
      </c>
      <c r="G3447" t="inlineStr">
        <is>
          <t>Sob</t>
        </is>
      </c>
      <c r="H3447">
        <f>'Floor Hours Engine'!$E$5</f>
        <v/>
      </c>
      <c r="I3447" t="inlineStr">
        <is>
          <t>W2</t>
        </is>
      </c>
      <c r="J3447" t="inlineStr">
        <is>
          <t>2030_Czerwiec_W2</t>
        </is>
      </c>
    </row>
    <row r="3448">
      <c r="A3448" s="177" t="n">
        <v>47643</v>
      </c>
      <c r="B3448" s="177" t="n">
        <v>47638</v>
      </c>
      <c r="C3448" s="177" t="n">
        <v>47644</v>
      </c>
      <c r="D3448" t="inlineStr">
        <is>
          <t>BW20300604</t>
        </is>
      </c>
      <c r="E3448" t="n">
        <v>2030</v>
      </c>
      <c r="F3448" t="inlineStr">
        <is>
          <t>Czerwiec</t>
        </is>
      </c>
      <c r="G3448" t="inlineStr">
        <is>
          <t>Nd</t>
        </is>
      </c>
      <c r="H3448">
        <f>'Floor Hours Engine'!$E$6</f>
        <v/>
      </c>
      <c r="I3448" t="inlineStr">
        <is>
          <t>W2</t>
        </is>
      </c>
      <c r="J3448" t="inlineStr">
        <is>
          <t>2030_Czerwiec_W2</t>
        </is>
      </c>
    </row>
    <row r="3449">
      <c r="A3449" s="177" t="n">
        <v>47644</v>
      </c>
      <c r="B3449" s="177" t="n">
        <v>47638</v>
      </c>
      <c r="C3449" s="177" t="n">
        <v>47644</v>
      </c>
      <c r="D3449" t="inlineStr">
        <is>
          <t>BW20300604</t>
        </is>
      </c>
      <c r="E3449" t="n">
        <v>2030</v>
      </c>
      <c r="F3449" t="inlineStr">
        <is>
          <t>Czerwiec</t>
        </is>
      </c>
      <c r="G3449" t="inlineStr">
        <is>
          <t>Pn</t>
        </is>
      </c>
      <c r="H3449">
        <f>'Floor Hours Engine'!$E$4</f>
        <v/>
      </c>
      <c r="I3449" t="inlineStr">
        <is>
          <t>W2</t>
        </is>
      </c>
      <c r="J3449" t="inlineStr">
        <is>
          <t>2030_Czerwiec_W2</t>
        </is>
      </c>
    </row>
    <row r="3450">
      <c r="A3450" s="177" t="n">
        <v>47645</v>
      </c>
      <c r="B3450" s="177" t="n">
        <v>47645</v>
      </c>
      <c r="C3450" s="177" t="n">
        <v>47651</v>
      </c>
      <c r="D3450" t="inlineStr">
        <is>
          <t>BW20300611</t>
        </is>
      </c>
      <c r="E3450" t="n">
        <v>2030</v>
      </c>
      <c r="F3450" t="inlineStr">
        <is>
          <t>Czerwiec</t>
        </is>
      </c>
      <c r="G3450" t="inlineStr">
        <is>
          <t>Wt</t>
        </is>
      </c>
      <c r="H3450">
        <f>'Floor Hours Engine'!$E$4</f>
        <v/>
      </c>
      <c r="I3450" t="inlineStr">
        <is>
          <t>W3</t>
        </is>
      </c>
      <c r="J3450" t="inlineStr">
        <is>
          <t>2030_Czerwiec_W3</t>
        </is>
      </c>
    </row>
    <row r="3451">
      <c r="A3451" s="177" t="n">
        <v>47646</v>
      </c>
      <c r="B3451" s="177" t="n">
        <v>47645</v>
      </c>
      <c r="C3451" s="177" t="n">
        <v>47651</v>
      </c>
      <c r="D3451" t="inlineStr">
        <is>
          <t>BW20300611</t>
        </is>
      </c>
      <c r="E3451" t="n">
        <v>2030</v>
      </c>
      <c r="F3451" t="inlineStr">
        <is>
          <t>Czerwiec</t>
        </is>
      </c>
      <c r="G3451" t="inlineStr">
        <is>
          <t>Śr</t>
        </is>
      </c>
      <c r="H3451">
        <f>'Floor Hours Engine'!$E$4</f>
        <v/>
      </c>
      <c r="I3451" t="inlineStr">
        <is>
          <t>W3</t>
        </is>
      </c>
      <c r="J3451" t="inlineStr">
        <is>
          <t>2030_Czerwiec_W3</t>
        </is>
      </c>
    </row>
    <row r="3452">
      <c r="A3452" s="177" t="n">
        <v>47647</v>
      </c>
      <c r="B3452" s="177" t="n">
        <v>47645</v>
      </c>
      <c r="C3452" s="177" t="n">
        <v>47651</v>
      </c>
      <c r="D3452" t="inlineStr">
        <is>
          <t>BW20300611</t>
        </is>
      </c>
      <c r="E3452" t="n">
        <v>2030</v>
      </c>
      <c r="F3452" t="inlineStr">
        <is>
          <t>Czerwiec</t>
        </is>
      </c>
      <c r="G3452" t="inlineStr">
        <is>
          <t>Czw</t>
        </is>
      </c>
      <c r="H3452">
        <f>'Floor Hours Engine'!$E$4</f>
        <v/>
      </c>
      <c r="I3452" t="inlineStr">
        <is>
          <t>W3</t>
        </is>
      </c>
      <c r="J3452" t="inlineStr">
        <is>
          <t>2030_Czerwiec_W3</t>
        </is>
      </c>
    </row>
    <row r="3453">
      <c r="A3453" s="177" t="n">
        <v>47648</v>
      </c>
      <c r="B3453" s="177" t="n">
        <v>47645</v>
      </c>
      <c r="C3453" s="177" t="n">
        <v>47651</v>
      </c>
      <c r="D3453" t="inlineStr">
        <is>
          <t>BW20300611</t>
        </is>
      </c>
      <c r="E3453" t="n">
        <v>2030</v>
      </c>
      <c r="F3453" t="inlineStr">
        <is>
          <t>Czerwiec</t>
        </is>
      </c>
      <c r="G3453" t="inlineStr">
        <is>
          <t>Pt</t>
        </is>
      </c>
      <c r="H3453">
        <f>'Floor Hours Engine'!$E$5</f>
        <v/>
      </c>
      <c r="I3453" t="inlineStr">
        <is>
          <t>W3</t>
        </is>
      </c>
      <c r="J3453" t="inlineStr">
        <is>
          <t>2030_Czerwiec_W3</t>
        </is>
      </c>
    </row>
    <row r="3454">
      <c r="A3454" s="177" t="n">
        <v>47649</v>
      </c>
      <c r="B3454" s="177" t="n">
        <v>47645</v>
      </c>
      <c r="C3454" s="177" t="n">
        <v>47651</v>
      </c>
      <c r="D3454" t="inlineStr">
        <is>
          <t>BW20300611</t>
        </is>
      </c>
      <c r="E3454" t="n">
        <v>2030</v>
      </c>
      <c r="F3454" t="inlineStr">
        <is>
          <t>Czerwiec</t>
        </is>
      </c>
      <c r="G3454" t="inlineStr">
        <is>
          <t>Sob</t>
        </is>
      </c>
      <c r="H3454">
        <f>'Floor Hours Engine'!$E$5</f>
        <v/>
      </c>
      <c r="I3454" t="inlineStr">
        <is>
          <t>W3</t>
        </is>
      </c>
      <c r="J3454" t="inlineStr">
        <is>
          <t>2030_Czerwiec_W3</t>
        </is>
      </c>
    </row>
    <row r="3455">
      <c r="A3455" s="177" t="n">
        <v>47650</v>
      </c>
      <c r="B3455" s="177" t="n">
        <v>47645</v>
      </c>
      <c r="C3455" s="177" t="n">
        <v>47651</v>
      </c>
      <c r="D3455" t="inlineStr">
        <is>
          <t>BW20300611</t>
        </is>
      </c>
      <c r="E3455" t="n">
        <v>2030</v>
      </c>
      <c r="F3455" t="inlineStr">
        <is>
          <t>Czerwiec</t>
        </is>
      </c>
      <c r="G3455" t="inlineStr">
        <is>
          <t>Nd</t>
        </is>
      </c>
      <c r="H3455">
        <f>'Floor Hours Engine'!$E$6</f>
        <v/>
      </c>
      <c r="I3455" t="inlineStr">
        <is>
          <t>W3</t>
        </is>
      </c>
      <c r="J3455" t="inlineStr">
        <is>
          <t>2030_Czerwiec_W3</t>
        </is>
      </c>
    </row>
    <row r="3456">
      <c r="A3456" s="177" t="n">
        <v>47651</v>
      </c>
      <c r="B3456" s="177" t="n">
        <v>47645</v>
      </c>
      <c r="C3456" s="177" t="n">
        <v>47651</v>
      </c>
      <c r="D3456" t="inlineStr">
        <is>
          <t>BW20300611</t>
        </is>
      </c>
      <c r="E3456" t="n">
        <v>2030</v>
      </c>
      <c r="F3456" t="inlineStr">
        <is>
          <t>Czerwiec</t>
        </is>
      </c>
      <c r="G3456" t="inlineStr">
        <is>
          <t>Pn</t>
        </is>
      </c>
      <c r="H3456">
        <f>'Floor Hours Engine'!$E$4</f>
        <v/>
      </c>
      <c r="I3456" t="inlineStr">
        <is>
          <t>W3</t>
        </is>
      </c>
      <c r="J3456" t="inlineStr">
        <is>
          <t>2030_Czerwiec_W3</t>
        </is>
      </c>
    </row>
    <row r="3457">
      <c r="A3457" s="177" t="n">
        <v>47652</v>
      </c>
      <c r="B3457" s="177" t="n">
        <v>47652</v>
      </c>
      <c r="C3457" s="177" t="n">
        <v>47658</v>
      </c>
      <c r="D3457" t="inlineStr">
        <is>
          <t>BW20300618</t>
        </is>
      </c>
      <c r="E3457" t="n">
        <v>2030</v>
      </c>
      <c r="F3457" t="inlineStr">
        <is>
          <t>Czerwiec</t>
        </is>
      </c>
      <c r="G3457" t="inlineStr">
        <is>
          <t>Wt</t>
        </is>
      </c>
      <c r="H3457">
        <f>'Floor Hours Engine'!$E$4</f>
        <v/>
      </c>
      <c r="I3457" t="inlineStr">
        <is>
          <t>W4</t>
        </is>
      </c>
      <c r="J3457" t="inlineStr">
        <is>
          <t>2030_Czerwiec_W4</t>
        </is>
      </c>
    </row>
    <row r="3458">
      <c r="A3458" s="177" t="n">
        <v>47653</v>
      </c>
      <c r="B3458" s="177" t="n">
        <v>47652</v>
      </c>
      <c r="C3458" s="177" t="n">
        <v>47658</v>
      </c>
      <c r="D3458" t="inlineStr">
        <is>
          <t>BW20300618</t>
        </is>
      </c>
      <c r="E3458" t="n">
        <v>2030</v>
      </c>
      <c r="F3458" t="inlineStr">
        <is>
          <t>Czerwiec</t>
        </is>
      </c>
      <c r="G3458" t="inlineStr">
        <is>
          <t>Śr</t>
        </is>
      </c>
      <c r="H3458">
        <f>'Floor Hours Engine'!$E$4</f>
        <v/>
      </c>
      <c r="I3458" t="inlineStr">
        <is>
          <t>W4</t>
        </is>
      </c>
      <c r="J3458" t="inlineStr">
        <is>
          <t>2030_Czerwiec_W4</t>
        </is>
      </c>
    </row>
    <row r="3459">
      <c r="A3459" s="177" t="n">
        <v>47654</v>
      </c>
      <c r="B3459" s="177" t="n">
        <v>47652</v>
      </c>
      <c r="C3459" s="177" t="n">
        <v>47658</v>
      </c>
      <c r="D3459" t="inlineStr">
        <is>
          <t>BW20300618</t>
        </is>
      </c>
      <c r="E3459" t="n">
        <v>2030</v>
      </c>
      <c r="F3459" t="inlineStr">
        <is>
          <t>Czerwiec</t>
        </is>
      </c>
      <c r="G3459" t="inlineStr">
        <is>
          <t>Czw</t>
        </is>
      </c>
      <c r="H3459">
        <f>'Floor Hours Engine'!$E$4</f>
        <v/>
      </c>
      <c r="I3459" t="inlineStr">
        <is>
          <t>W4</t>
        </is>
      </c>
      <c r="J3459" t="inlineStr">
        <is>
          <t>2030_Czerwiec_W4</t>
        </is>
      </c>
    </row>
    <row r="3460">
      <c r="A3460" s="177" t="n">
        <v>47655</v>
      </c>
      <c r="B3460" s="177" t="n">
        <v>47652</v>
      </c>
      <c r="C3460" s="177" t="n">
        <v>47658</v>
      </c>
      <c r="D3460" t="inlineStr">
        <is>
          <t>BW20300618</t>
        </is>
      </c>
      <c r="E3460" t="n">
        <v>2030</v>
      </c>
      <c r="F3460" t="inlineStr">
        <is>
          <t>Czerwiec</t>
        </is>
      </c>
      <c r="G3460" t="inlineStr">
        <is>
          <t>Pt</t>
        </is>
      </c>
      <c r="H3460">
        <f>'Floor Hours Engine'!$E$5</f>
        <v/>
      </c>
      <c r="I3460" t="inlineStr">
        <is>
          <t>W4</t>
        </is>
      </c>
      <c r="J3460" t="inlineStr">
        <is>
          <t>2030_Czerwiec_W4</t>
        </is>
      </c>
    </row>
    <row r="3461">
      <c r="A3461" s="177" t="n">
        <v>47656</v>
      </c>
      <c r="B3461" s="177" t="n">
        <v>47652</v>
      </c>
      <c r="C3461" s="177" t="n">
        <v>47658</v>
      </c>
      <c r="D3461" t="inlineStr">
        <is>
          <t>BW20300618</t>
        </is>
      </c>
      <c r="E3461" t="n">
        <v>2030</v>
      </c>
      <c r="F3461" t="inlineStr">
        <is>
          <t>Czerwiec</t>
        </is>
      </c>
      <c r="G3461" t="inlineStr">
        <is>
          <t>Sob</t>
        </is>
      </c>
      <c r="H3461">
        <f>'Floor Hours Engine'!$E$5</f>
        <v/>
      </c>
      <c r="I3461" t="inlineStr">
        <is>
          <t>W4</t>
        </is>
      </c>
      <c r="J3461" t="inlineStr">
        <is>
          <t>2030_Czerwiec_W4</t>
        </is>
      </c>
    </row>
    <row r="3462">
      <c r="A3462" s="177" t="n">
        <v>47657</v>
      </c>
      <c r="B3462" s="177" t="n">
        <v>47652</v>
      </c>
      <c r="C3462" s="177" t="n">
        <v>47658</v>
      </c>
      <c r="D3462" t="inlineStr">
        <is>
          <t>BW20300618</t>
        </is>
      </c>
      <c r="E3462" t="n">
        <v>2030</v>
      </c>
      <c r="F3462" t="inlineStr">
        <is>
          <t>Czerwiec</t>
        </is>
      </c>
      <c r="G3462" t="inlineStr">
        <is>
          <t>Nd</t>
        </is>
      </c>
      <c r="H3462">
        <f>'Floor Hours Engine'!$E$6</f>
        <v/>
      </c>
      <c r="I3462" t="inlineStr">
        <is>
          <t>W4</t>
        </is>
      </c>
      <c r="J3462" t="inlineStr">
        <is>
          <t>2030_Czerwiec_W4</t>
        </is>
      </c>
    </row>
    <row r="3463">
      <c r="A3463" s="177" t="n">
        <v>47658</v>
      </c>
      <c r="B3463" s="177" t="n">
        <v>47652</v>
      </c>
      <c r="C3463" s="177" t="n">
        <v>47658</v>
      </c>
      <c r="D3463" t="inlineStr">
        <is>
          <t>BW20300618</t>
        </is>
      </c>
      <c r="E3463" t="n">
        <v>2030</v>
      </c>
      <c r="F3463" t="inlineStr">
        <is>
          <t>Czerwiec</t>
        </is>
      </c>
      <c r="G3463" t="inlineStr">
        <is>
          <t>Pn</t>
        </is>
      </c>
      <c r="H3463">
        <f>'Floor Hours Engine'!$E$4</f>
        <v/>
      </c>
      <c r="I3463" t="inlineStr">
        <is>
          <t>W4</t>
        </is>
      </c>
      <c r="J3463" t="inlineStr">
        <is>
          <t>2030_Czerwiec_W4</t>
        </is>
      </c>
    </row>
    <row r="3464">
      <c r="A3464" s="177" t="n">
        <v>47659</v>
      </c>
      <c r="B3464" s="177" t="n">
        <v>47659</v>
      </c>
      <c r="C3464" s="177" t="n">
        <v>47665</v>
      </c>
      <c r="D3464" t="inlineStr">
        <is>
          <t>BW20300625</t>
        </is>
      </c>
      <c r="E3464" t="n">
        <v>2030</v>
      </c>
      <c r="F3464" t="inlineStr">
        <is>
          <t>Czerwiec</t>
        </is>
      </c>
      <c r="G3464" t="inlineStr">
        <is>
          <t>Wt</t>
        </is>
      </c>
      <c r="H3464">
        <f>'Floor Hours Engine'!$E$4</f>
        <v/>
      </c>
      <c r="I3464" t="inlineStr">
        <is>
          <t>W5</t>
        </is>
      </c>
      <c r="J3464" t="inlineStr">
        <is>
          <t>2030_Czerwiec_W5</t>
        </is>
      </c>
    </row>
    <row r="3465">
      <c r="A3465" s="177" t="n">
        <v>47660</v>
      </c>
      <c r="B3465" s="177" t="n">
        <v>47659</v>
      </c>
      <c r="C3465" s="177" t="n">
        <v>47665</v>
      </c>
      <c r="D3465" t="inlineStr">
        <is>
          <t>BW20300625</t>
        </is>
      </c>
      <c r="E3465" t="n">
        <v>2030</v>
      </c>
      <c r="F3465" t="inlineStr">
        <is>
          <t>Czerwiec</t>
        </is>
      </c>
      <c r="G3465" t="inlineStr">
        <is>
          <t>Śr</t>
        </is>
      </c>
      <c r="H3465">
        <f>'Floor Hours Engine'!$E$4</f>
        <v/>
      </c>
      <c r="I3465" t="inlineStr">
        <is>
          <t>W5</t>
        </is>
      </c>
      <c r="J3465" t="inlineStr">
        <is>
          <t>2030_Czerwiec_W5</t>
        </is>
      </c>
    </row>
    <row r="3466">
      <c r="A3466" s="177" t="n">
        <v>47661</v>
      </c>
      <c r="B3466" s="177" t="n">
        <v>47659</v>
      </c>
      <c r="C3466" s="177" t="n">
        <v>47665</v>
      </c>
      <c r="D3466" t="inlineStr">
        <is>
          <t>BW20300625</t>
        </is>
      </c>
      <c r="E3466" t="n">
        <v>2030</v>
      </c>
      <c r="F3466" t="inlineStr">
        <is>
          <t>Czerwiec</t>
        </is>
      </c>
      <c r="G3466" t="inlineStr">
        <is>
          <t>Czw</t>
        </is>
      </c>
      <c r="H3466">
        <f>'Floor Hours Engine'!$E$4</f>
        <v/>
      </c>
      <c r="I3466" t="inlineStr">
        <is>
          <t>W5</t>
        </is>
      </c>
      <c r="J3466" t="inlineStr">
        <is>
          <t>2030_Czerwiec_W5</t>
        </is>
      </c>
    </row>
    <row r="3467">
      <c r="A3467" s="177" t="n">
        <v>47662</v>
      </c>
      <c r="B3467" s="177" t="n">
        <v>47659</v>
      </c>
      <c r="C3467" s="177" t="n">
        <v>47665</v>
      </c>
      <c r="D3467" t="inlineStr">
        <is>
          <t>BW20300625</t>
        </is>
      </c>
      <c r="E3467" t="n">
        <v>2030</v>
      </c>
      <c r="F3467" t="inlineStr">
        <is>
          <t>Czerwiec</t>
        </is>
      </c>
      <c r="G3467" t="inlineStr">
        <is>
          <t>Pt</t>
        </is>
      </c>
      <c r="H3467">
        <f>'Floor Hours Engine'!$E$5</f>
        <v/>
      </c>
      <c r="I3467" t="inlineStr">
        <is>
          <t>W5</t>
        </is>
      </c>
      <c r="J3467" t="inlineStr">
        <is>
          <t>2030_Czerwiec_W5</t>
        </is>
      </c>
    </row>
    <row r="3468">
      <c r="A3468" s="177" t="n">
        <v>47663</v>
      </c>
      <c r="B3468" s="177" t="n">
        <v>47659</v>
      </c>
      <c r="C3468" s="177" t="n">
        <v>47665</v>
      </c>
      <c r="D3468" t="inlineStr">
        <is>
          <t>BW20300625</t>
        </is>
      </c>
      <c r="E3468" t="n">
        <v>2030</v>
      </c>
      <c r="F3468" t="inlineStr">
        <is>
          <t>Czerwiec</t>
        </is>
      </c>
      <c r="G3468" t="inlineStr">
        <is>
          <t>Sob</t>
        </is>
      </c>
      <c r="H3468">
        <f>'Floor Hours Engine'!$E$5</f>
        <v/>
      </c>
      <c r="I3468" t="inlineStr">
        <is>
          <t>W5</t>
        </is>
      </c>
      <c r="J3468" t="inlineStr">
        <is>
          <t>2030_Czerwiec_W5</t>
        </is>
      </c>
    </row>
    <row r="3469">
      <c r="A3469" s="177" t="n">
        <v>47664</v>
      </c>
      <c r="B3469" s="177" t="n">
        <v>47659</v>
      </c>
      <c r="C3469" s="177" t="n">
        <v>47665</v>
      </c>
      <c r="D3469" t="inlineStr">
        <is>
          <t>BW20300625</t>
        </is>
      </c>
      <c r="E3469" t="n">
        <v>2030</v>
      </c>
      <c r="F3469" t="inlineStr">
        <is>
          <t>Czerwiec</t>
        </is>
      </c>
      <c r="G3469" t="inlineStr">
        <is>
          <t>Nd</t>
        </is>
      </c>
      <c r="H3469">
        <f>'Floor Hours Engine'!$E$6</f>
        <v/>
      </c>
      <c r="I3469" t="inlineStr">
        <is>
          <t>W5</t>
        </is>
      </c>
      <c r="J3469" t="inlineStr">
        <is>
          <t>2030_Czerwiec_W5</t>
        </is>
      </c>
    </row>
    <row r="3470">
      <c r="A3470" s="177" t="n">
        <v>47665</v>
      </c>
      <c r="B3470" s="177" t="n">
        <v>47659</v>
      </c>
      <c r="C3470" s="177" t="n">
        <v>47665</v>
      </c>
      <c r="D3470" t="inlineStr">
        <is>
          <t>BW20300625</t>
        </is>
      </c>
      <c r="E3470" t="n">
        <v>2030</v>
      </c>
      <c r="F3470" t="inlineStr">
        <is>
          <t>Lipiec</t>
        </is>
      </c>
      <c r="G3470" t="inlineStr">
        <is>
          <t>Pn</t>
        </is>
      </c>
      <c r="H3470">
        <f>'Floor Hours Engine'!$E$4</f>
        <v/>
      </c>
      <c r="I3470" t="inlineStr">
        <is>
          <t>W1</t>
        </is>
      </c>
      <c r="J3470" t="inlineStr">
        <is>
          <t>2030_Lipiec_W1</t>
        </is>
      </c>
    </row>
    <row r="3471">
      <c r="A3471" s="177" t="n">
        <v>47666</v>
      </c>
      <c r="B3471" s="177" t="n">
        <v>47666</v>
      </c>
      <c r="C3471" s="177" t="n">
        <v>47672</v>
      </c>
      <c r="D3471" t="inlineStr">
        <is>
          <t>BW20300702</t>
        </is>
      </c>
      <c r="E3471" t="n">
        <v>2030</v>
      </c>
      <c r="F3471" t="inlineStr">
        <is>
          <t>Lipiec</t>
        </is>
      </c>
      <c r="G3471" t="inlineStr">
        <is>
          <t>Wt</t>
        </is>
      </c>
      <c r="H3471">
        <f>'Floor Hours Engine'!$E$4</f>
        <v/>
      </c>
      <c r="I3471" t="inlineStr">
        <is>
          <t>W2</t>
        </is>
      </c>
      <c r="J3471" t="inlineStr">
        <is>
          <t>2030_Lipiec_W2</t>
        </is>
      </c>
    </row>
    <row r="3472">
      <c r="A3472" s="177" t="n">
        <v>47667</v>
      </c>
      <c r="B3472" s="177" t="n">
        <v>47666</v>
      </c>
      <c r="C3472" s="177" t="n">
        <v>47672</v>
      </c>
      <c r="D3472" t="inlineStr">
        <is>
          <t>BW20300702</t>
        </is>
      </c>
      <c r="E3472" t="n">
        <v>2030</v>
      </c>
      <c r="F3472" t="inlineStr">
        <is>
          <t>Lipiec</t>
        </is>
      </c>
      <c r="G3472" t="inlineStr">
        <is>
          <t>Śr</t>
        </is>
      </c>
      <c r="H3472">
        <f>'Floor Hours Engine'!$E$4</f>
        <v/>
      </c>
      <c r="I3472" t="inlineStr">
        <is>
          <t>W2</t>
        </is>
      </c>
      <c r="J3472" t="inlineStr">
        <is>
          <t>2030_Lipiec_W2</t>
        </is>
      </c>
    </row>
    <row r="3473">
      <c r="A3473" s="177" t="n">
        <v>47668</v>
      </c>
      <c r="B3473" s="177" t="n">
        <v>47666</v>
      </c>
      <c r="C3473" s="177" t="n">
        <v>47672</v>
      </c>
      <c r="D3473" t="inlineStr">
        <is>
          <t>BW20300702</t>
        </is>
      </c>
      <c r="E3473" t="n">
        <v>2030</v>
      </c>
      <c r="F3473" t="inlineStr">
        <is>
          <t>Lipiec</t>
        </is>
      </c>
      <c r="G3473" t="inlineStr">
        <is>
          <t>Czw</t>
        </is>
      </c>
      <c r="H3473">
        <f>'Floor Hours Engine'!$E$4</f>
        <v/>
      </c>
      <c r="I3473" t="inlineStr">
        <is>
          <t>W2</t>
        </is>
      </c>
      <c r="J3473" t="inlineStr">
        <is>
          <t>2030_Lipiec_W2</t>
        </is>
      </c>
    </row>
    <row r="3474">
      <c r="A3474" s="177" t="n">
        <v>47669</v>
      </c>
      <c r="B3474" s="177" t="n">
        <v>47666</v>
      </c>
      <c r="C3474" s="177" t="n">
        <v>47672</v>
      </c>
      <c r="D3474" t="inlineStr">
        <is>
          <t>BW20300702</t>
        </is>
      </c>
      <c r="E3474" t="n">
        <v>2030</v>
      </c>
      <c r="F3474" t="inlineStr">
        <is>
          <t>Lipiec</t>
        </is>
      </c>
      <c r="G3474" t="inlineStr">
        <is>
          <t>Pt</t>
        </is>
      </c>
      <c r="H3474">
        <f>'Floor Hours Engine'!$E$5</f>
        <v/>
      </c>
      <c r="I3474" t="inlineStr">
        <is>
          <t>W2</t>
        </is>
      </c>
      <c r="J3474" t="inlineStr">
        <is>
          <t>2030_Lipiec_W2</t>
        </is>
      </c>
    </row>
    <row r="3475">
      <c r="A3475" s="177" t="n">
        <v>47670</v>
      </c>
      <c r="B3475" s="177" t="n">
        <v>47666</v>
      </c>
      <c r="C3475" s="177" t="n">
        <v>47672</v>
      </c>
      <c r="D3475" t="inlineStr">
        <is>
          <t>BW20300702</t>
        </is>
      </c>
      <c r="E3475" t="n">
        <v>2030</v>
      </c>
      <c r="F3475" t="inlineStr">
        <is>
          <t>Lipiec</t>
        </is>
      </c>
      <c r="G3475" t="inlineStr">
        <is>
          <t>Sob</t>
        </is>
      </c>
      <c r="H3475">
        <f>'Floor Hours Engine'!$E$5</f>
        <v/>
      </c>
      <c r="I3475" t="inlineStr">
        <is>
          <t>W2</t>
        </is>
      </c>
      <c r="J3475" t="inlineStr">
        <is>
          <t>2030_Lipiec_W2</t>
        </is>
      </c>
    </row>
    <row r="3476">
      <c r="A3476" s="177" t="n">
        <v>47671</v>
      </c>
      <c r="B3476" s="177" t="n">
        <v>47666</v>
      </c>
      <c r="C3476" s="177" t="n">
        <v>47672</v>
      </c>
      <c r="D3476" t="inlineStr">
        <is>
          <t>BW20300702</t>
        </is>
      </c>
      <c r="E3476" t="n">
        <v>2030</v>
      </c>
      <c r="F3476" t="inlineStr">
        <is>
          <t>Lipiec</t>
        </is>
      </c>
      <c r="G3476" t="inlineStr">
        <is>
          <t>Nd</t>
        </is>
      </c>
      <c r="H3476">
        <f>'Floor Hours Engine'!$E$6</f>
        <v/>
      </c>
      <c r="I3476" t="inlineStr">
        <is>
          <t>W2</t>
        </is>
      </c>
      <c r="J3476" t="inlineStr">
        <is>
          <t>2030_Lipiec_W2</t>
        </is>
      </c>
    </row>
    <row r="3477">
      <c r="A3477" s="177" t="n">
        <v>47672</v>
      </c>
      <c r="B3477" s="177" t="n">
        <v>47666</v>
      </c>
      <c r="C3477" s="177" t="n">
        <v>47672</v>
      </c>
      <c r="D3477" t="inlineStr">
        <is>
          <t>BW20300702</t>
        </is>
      </c>
      <c r="E3477" t="n">
        <v>2030</v>
      </c>
      <c r="F3477" t="inlineStr">
        <is>
          <t>Lipiec</t>
        </is>
      </c>
      <c r="G3477" t="inlineStr">
        <is>
          <t>Pn</t>
        </is>
      </c>
      <c r="H3477">
        <f>'Floor Hours Engine'!$E$4</f>
        <v/>
      </c>
      <c r="I3477" t="inlineStr">
        <is>
          <t>W2</t>
        </is>
      </c>
      <c r="J3477" t="inlineStr">
        <is>
          <t>2030_Lipiec_W2</t>
        </is>
      </c>
    </row>
    <row r="3478">
      <c r="A3478" s="177" t="n">
        <v>47673</v>
      </c>
      <c r="B3478" s="177" t="n">
        <v>47673</v>
      </c>
      <c r="C3478" s="177" t="n">
        <v>47679</v>
      </c>
      <c r="D3478" t="inlineStr">
        <is>
          <t>BW20300709</t>
        </is>
      </c>
      <c r="E3478" t="n">
        <v>2030</v>
      </c>
      <c r="F3478" t="inlineStr">
        <is>
          <t>Lipiec</t>
        </is>
      </c>
      <c r="G3478" t="inlineStr">
        <is>
          <t>Wt</t>
        </is>
      </c>
      <c r="H3478">
        <f>'Floor Hours Engine'!$E$4</f>
        <v/>
      </c>
      <c r="I3478" t="inlineStr">
        <is>
          <t>W3</t>
        </is>
      </c>
      <c r="J3478" t="inlineStr">
        <is>
          <t>2030_Lipiec_W3</t>
        </is>
      </c>
    </row>
    <row r="3479">
      <c r="A3479" s="177" t="n">
        <v>47674</v>
      </c>
      <c r="B3479" s="177" t="n">
        <v>47673</v>
      </c>
      <c r="C3479" s="177" t="n">
        <v>47679</v>
      </c>
      <c r="D3479" t="inlineStr">
        <is>
          <t>BW20300709</t>
        </is>
      </c>
      <c r="E3479" t="n">
        <v>2030</v>
      </c>
      <c r="F3479" t="inlineStr">
        <is>
          <t>Lipiec</t>
        </is>
      </c>
      <c r="G3479" t="inlineStr">
        <is>
          <t>Śr</t>
        </is>
      </c>
      <c r="H3479">
        <f>'Floor Hours Engine'!$E$4</f>
        <v/>
      </c>
      <c r="I3479" t="inlineStr">
        <is>
          <t>W3</t>
        </is>
      </c>
      <c r="J3479" t="inlineStr">
        <is>
          <t>2030_Lipiec_W3</t>
        </is>
      </c>
    </row>
    <row r="3480">
      <c r="A3480" s="177" t="n">
        <v>47675</v>
      </c>
      <c r="B3480" s="177" t="n">
        <v>47673</v>
      </c>
      <c r="C3480" s="177" t="n">
        <v>47679</v>
      </c>
      <c r="D3480" t="inlineStr">
        <is>
          <t>BW20300709</t>
        </is>
      </c>
      <c r="E3480" t="n">
        <v>2030</v>
      </c>
      <c r="F3480" t="inlineStr">
        <is>
          <t>Lipiec</t>
        </is>
      </c>
      <c r="G3480" t="inlineStr">
        <is>
          <t>Czw</t>
        </is>
      </c>
      <c r="H3480">
        <f>'Floor Hours Engine'!$E$4</f>
        <v/>
      </c>
      <c r="I3480" t="inlineStr">
        <is>
          <t>W3</t>
        </is>
      </c>
      <c r="J3480" t="inlineStr">
        <is>
          <t>2030_Lipiec_W3</t>
        </is>
      </c>
    </row>
    <row r="3481">
      <c r="A3481" s="177" t="n">
        <v>47676</v>
      </c>
      <c r="B3481" s="177" t="n">
        <v>47673</v>
      </c>
      <c r="C3481" s="177" t="n">
        <v>47679</v>
      </c>
      <c r="D3481" t="inlineStr">
        <is>
          <t>BW20300709</t>
        </is>
      </c>
      <c r="E3481" t="n">
        <v>2030</v>
      </c>
      <c r="F3481" t="inlineStr">
        <is>
          <t>Lipiec</t>
        </is>
      </c>
      <c r="G3481" t="inlineStr">
        <is>
          <t>Pt</t>
        </is>
      </c>
      <c r="H3481">
        <f>'Floor Hours Engine'!$E$5</f>
        <v/>
      </c>
      <c r="I3481" t="inlineStr">
        <is>
          <t>W3</t>
        </is>
      </c>
      <c r="J3481" t="inlineStr">
        <is>
          <t>2030_Lipiec_W3</t>
        </is>
      </c>
    </row>
    <row r="3482">
      <c r="A3482" s="177" t="n">
        <v>47677</v>
      </c>
      <c r="B3482" s="177" t="n">
        <v>47673</v>
      </c>
      <c r="C3482" s="177" t="n">
        <v>47679</v>
      </c>
      <c r="D3482" t="inlineStr">
        <is>
          <t>BW20300709</t>
        </is>
      </c>
      <c r="E3482" t="n">
        <v>2030</v>
      </c>
      <c r="F3482" t="inlineStr">
        <is>
          <t>Lipiec</t>
        </is>
      </c>
      <c r="G3482" t="inlineStr">
        <is>
          <t>Sob</t>
        </is>
      </c>
      <c r="H3482">
        <f>'Floor Hours Engine'!$E$5</f>
        <v/>
      </c>
      <c r="I3482" t="inlineStr">
        <is>
          <t>W3</t>
        </is>
      </c>
      <c r="J3482" t="inlineStr">
        <is>
          <t>2030_Lipiec_W3</t>
        </is>
      </c>
    </row>
    <row r="3483">
      <c r="A3483" s="177" t="n">
        <v>47678</v>
      </c>
      <c r="B3483" s="177" t="n">
        <v>47673</v>
      </c>
      <c r="C3483" s="177" t="n">
        <v>47679</v>
      </c>
      <c r="D3483" t="inlineStr">
        <is>
          <t>BW20300709</t>
        </is>
      </c>
      <c r="E3483" t="n">
        <v>2030</v>
      </c>
      <c r="F3483" t="inlineStr">
        <is>
          <t>Lipiec</t>
        </is>
      </c>
      <c r="G3483" t="inlineStr">
        <is>
          <t>Nd</t>
        </is>
      </c>
      <c r="H3483">
        <f>'Floor Hours Engine'!$E$6</f>
        <v/>
      </c>
      <c r="I3483" t="inlineStr">
        <is>
          <t>W3</t>
        </is>
      </c>
      <c r="J3483" t="inlineStr">
        <is>
          <t>2030_Lipiec_W3</t>
        </is>
      </c>
    </row>
    <row r="3484">
      <c r="A3484" s="177" t="n">
        <v>47679</v>
      </c>
      <c r="B3484" s="177" t="n">
        <v>47673</v>
      </c>
      <c r="C3484" s="177" t="n">
        <v>47679</v>
      </c>
      <c r="D3484" t="inlineStr">
        <is>
          <t>BW20300709</t>
        </is>
      </c>
      <c r="E3484" t="n">
        <v>2030</v>
      </c>
      <c r="F3484" t="inlineStr">
        <is>
          <t>Lipiec</t>
        </is>
      </c>
      <c r="G3484" t="inlineStr">
        <is>
          <t>Pn</t>
        </is>
      </c>
      <c r="H3484">
        <f>'Floor Hours Engine'!$E$4</f>
        <v/>
      </c>
      <c r="I3484" t="inlineStr">
        <is>
          <t>W3</t>
        </is>
      </c>
      <c r="J3484" t="inlineStr">
        <is>
          <t>2030_Lipiec_W3</t>
        </is>
      </c>
    </row>
    <row r="3485">
      <c r="A3485" s="177" t="n">
        <v>47680</v>
      </c>
      <c r="B3485" s="177" t="n">
        <v>47680</v>
      </c>
      <c r="C3485" s="177" t="n">
        <v>47686</v>
      </c>
      <c r="D3485" t="inlineStr">
        <is>
          <t>BW20300716</t>
        </is>
      </c>
      <c r="E3485" t="n">
        <v>2030</v>
      </c>
      <c r="F3485" t="inlineStr">
        <is>
          <t>Lipiec</t>
        </is>
      </c>
      <c r="G3485" t="inlineStr">
        <is>
          <t>Wt</t>
        </is>
      </c>
      <c r="H3485">
        <f>'Floor Hours Engine'!$E$4</f>
        <v/>
      </c>
      <c r="I3485" t="inlineStr">
        <is>
          <t>W4</t>
        </is>
      </c>
      <c r="J3485" t="inlineStr">
        <is>
          <t>2030_Lipiec_W4</t>
        </is>
      </c>
    </row>
    <row r="3486">
      <c r="A3486" s="177" t="n">
        <v>47681</v>
      </c>
      <c r="B3486" s="177" t="n">
        <v>47680</v>
      </c>
      <c r="C3486" s="177" t="n">
        <v>47686</v>
      </c>
      <c r="D3486" t="inlineStr">
        <is>
          <t>BW20300716</t>
        </is>
      </c>
      <c r="E3486" t="n">
        <v>2030</v>
      </c>
      <c r="F3486" t="inlineStr">
        <is>
          <t>Lipiec</t>
        </is>
      </c>
      <c r="G3486" t="inlineStr">
        <is>
          <t>Śr</t>
        </is>
      </c>
      <c r="H3486">
        <f>'Floor Hours Engine'!$E$4</f>
        <v/>
      </c>
      <c r="I3486" t="inlineStr">
        <is>
          <t>W4</t>
        </is>
      </c>
      <c r="J3486" t="inlineStr">
        <is>
          <t>2030_Lipiec_W4</t>
        </is>
      </c>
    </row>
    <row r="3487">
      <c r="A3487" s="177" t="n">
        <v>47682</v>
      </c>
      <c r="B3487" s="177" t="n">
        <v>47680</v>
      </c>
      <c r="C3487" s="177" t="n">
        <v>47686</v>
      </c>
      <c r="D3487" t="inlineStr">
        <is>
          <t>BW20300716</t>
        </is>
      </c>
      <c r="E3487" t="n">
        <v>2030</v>
      </c>
      <c r="F3487" t="inlineStr">
        <is>
          <t>Lipiec</t>
        </is>
      </c>
      <c r="G3487" t="inlineStr">
        <is>
          <t>Czw</t>
        </is>
      </c>
      <c r="H3487">
        <f>'Floor Hours Engine'!$E$4</f>
        <v/>
      </c>
      <c r="I3487" t="inlineStr">
        <is>
          <t>W4</t>
        </is>
      </c>
      <c r="J3487" t="inlineStr">
        <is>
          <t>2030_Lipiec_W4</t>
        </is>
      </c>
    </row>
    <row r="3488">
      <c r="A3488" s="177" t="n">
        <v>47683</v>
      </c>
      <c r="B3488" s="177" t="n">
        <v>47680</v>
      </c>
      <c r="C3488" s="177" t="n">
        <v>47686</v>
      </c>
      <c r="D3488" t="inlineStr">
        <is>
          <t>BW20300716</t>
        </is>
      </c>
      <c r="E3488" t="n">
        <v>2030</v>
      </c>
      <c r="F3488" t="inlineStr">
        <is>
          <t>Lipiec</t>
        </is>
      </c>
      <c r="G3488" t="inlineStr">
        <is>
          <t>Pt</t>
        </is>
      </c>
      <c r="H3488">
        <f>'Floor Hours Engine'!$E$5</f>
        <v/>
      </c>
      <c r="I3488" t="inlineStr">
        <is>
          <t>W4</t>
        </is>
      </c>
      <c r="J3488" t="inlineStr">
        <is>
          <t>2030_Lipiec_W4</t>
        </is>
      </c>
    </row>
    <row r="3489">
      <c r="A3489" s="177" t="n">
        <v>47684</v>
      </c>
      <c r="B3489" s="177" t="n">
        <v>47680</v>
      </c>
      <c r="C3489" s="177" t="n">
        <v>47686</v>
      </c>
      <c r="D3489" t="inlineStr">
        <is>
          <t>BW20300716</t>
        </is>
      </c>
      <c r="E3489" t="n">
        <v>2030</v>
      </c>
      <c r="F3489" t="inlineStr">
        <is>
          <t>Lipiec</t>
        </is>
      </c>
      <c r="G3489" t="inlineStr">
        <is>
          <t>Sob</t>
        </is>
      </c>
      <c r="H3489">
        <f>'Floor Hours Engine'!$E$5</f>
        <v/>
      </c>
      <c r="I3489" t="inlineStr">
        <is>
          <t>W4</t>
        </is>
      </c>
      <c r="J3489" t="inlineStr">
        <is>
          <t>2030_Lipiec_W4</t>
        </is>
      </c>
    </row>
    <row r="3490">
      <c r="A3490" s="177" t="n">
        <v>47685</v>
      </c>
      <c r="B3490" s="177" t="n">
        <v>47680</v>
      </c>
      <c r="C3490" s="177" t="n">
        <v>47686</v>
      </c>
      <c r="D3490" t="inlineStr">
        <is>
          <t>BW20300716</t>
        </is>
      </c>
      <c r="E3490" t="n">
        <v>2030</v>
      </c>
      <c r="F3490" t="inlineStr">
        <is>
          <t>Lipiec</t>
        </is>
      </c>
      <c r="G3490" t="inlineStr">
        <is>
          <t>Nd</t>
        </is>
      </c>
      <c r="H3490">
        <f>'Floor Hours Engine'!$E$6</f>
        <v/>
      </c>
      <c r="I3490" t="inlineStr">
        <is>
          <t>W4</t>
        </is>
      </c>
      <c r="J3490" t="inlineStr">
        <is>
          <t>2030_Lipiec_W4</t>
        </is>
      </c>
    </row>
    <row r="3491">
      <c r="A3491" s="177" t="n">
        <v>47686</v>
      </c>
      <c r="B3491" s="177" t="n">
        <v>47680</v>
      </c>
      <c r="C3491" s="177" t="n">
        <v>47686</v>
      </c>
      <c r="D3491" t="inlineStr">
        <is>
          <t>BW20300716</t>
        </is>
      </c>
      <c r="E3491" t="n">
        <v>2030</v>
      </c>
      <c r="F3491" t="inlineStr">
        <is>
          <t>Lipiec</t>
        </is>
      </c>
      <c r="G3491" t="inlineStr">
        <is>
          <t>Pn</t>
        </is>
      </c>
      <c r="H3491">
        <f>'Floor Hours Engine'!$E$4</f>
        <v/>
      </c>
      <c r="I3491" t="inlineStr">
        <is>
          <t>W4</t>
        </is>
      </c>
      <c r="J3491" t="inlineStr">
        <is>
          <t>2030_Lipiec_W4</t>
        </is>
      </c>
    </row>
    <row r="3492">
      <c r="A3492" s="177" t="n">
        <v>47687</v>
      </c>
      <c r="B3492" s="177" t="n">
        <v>47687</v>
      </c>
      <c r="C3492" s="177" t="n">
        <v>47693</v>
      </c>
      <c r="D3492" t="inlineStr">
        <is>
          <t>BW20300723</t>
        </is>
      </c>
      <c r="E3492" t="n">
        <v>2030</v>
      </c>
      <c r="F3492" t="inlineStr">
        <is>
          <t>Lipiec</t>
        </is>
      </c>
      <c r="G3492" t="inlineStr">
        <is>
          <t>Wt</t>
        </is>
      </c>
      <c r="H3492">
        <f>'Floor Hours Engine'!$E$4</f>
        <v/>
      </c>
      <c r="I3492" t="inlineStr">
        <is>
          <t>W5</t>
        </is>
      </c>
      <c r="J3492" t="inlineStr">
        <is>
          <t>2030_Lipiec_W5</t>
        </is>
      </c>
    </row>
    <row r="3493">
      <c r="A3493" s="177" t="n">
        <v>47688</v>
      </c>
      <c r="B3493" s="177" t="n">
        <v>47687</v>
      </c>
      <c r="C3493" s="177" t="n">
        <v>47693</v>
      </c>
      <c r="D3493" t="inlineStr">
        <is>
          <t>BW20300723</t>
        </is>
      </c>
      <c r="E3493" t="n">
        <v>2030</v>
      </c>
      <c r="F3493" t="inlineStr">
        <is>
          <t>Lipiec</t>
        </is>
      </c>
      <c r="G3493" t="inlineStr">
        <is>
          <t>Śr</t>
        </is>
      </c>
      <c r="H3493">
        <f>'Floor Hours Engine'!$E$4</f>
        <v/>
      </c>
      <c r="I3493" t="inlineStr">
        <is>
          <t>W5</t>
        </is>
      </c>
      <c r="J3493" t="inlineStr">
        <is>
          <t>2030_Lipiec_W5</t>
        </is>
      </c>
    </row>
    <row r="3494">
      <c r="A3494" s="177" t="n">
        <v>47689</v>
      </c>
      <c r="B3494" s="177" t="n">
        <v>47687</v>
      </c>
      <c r="C3494" s="177" t="n">
        <v>47693</v>
      </c>
      <c r="D3494" t="inlineStr">
        <is>
          <t>BW20300723</t>
        </is>
      </c>
      <c r="E3494" t="n">
        <v>2030</v>
      </c>
      <c r="F3494" t="inlineStr">
        <is>
          <t>Lipiec</t>
        </is>
      </c>
      <c r="G3494" t="inlineStr">
        <is>
          <t>Czw</t>
        </is>
      </c>
      <c r="H3494">
        <f>'Floor Hours Engine'!$E$4</f>
        <v/>
      </c>
      <c r="I3494" t="inlineStr">
        <is>
          <t>W5</t>
        </is>
      </c>
      <c r="J3494" t="inlineStr">
        <is>
          <t>2030_Lipiec_W5</t>
        </is>
      </c>
    </row>
    <row r="3495">
      <c r="A3495" s="177" t="n">
        <v>47690</v>
      </c>
      <c r="B3495" s="177" t="n">
        <v>47687</v>
      </c>
      <c r="C3495" s="177" t="n">
        <v>47693</v>
      </c>
      <c r="D3495" t="inlineStr">
        <is>
          <t>BW20300723</t>
        </is>
      </c>
      <c r="E3495" t="n">
        <v>2030</v>
      </c>
      <c r="F3495" t="inlineStr">
        <is>
          <t>Lipiec</t>
        </is>
      </c>
      <c r="G3495" t="inlineStr">
        <is>
          <t>Pt</t>
        </is>
      </c>
      <c r="H3495">
        <f>'Floor Hours Engine'!$E$5</f>
        <v/>
      </c>
      <c r="I3495" t="inlineStr">
        <is>
          <t>W5</t>
        </is>
      </c>
      <c r="J3495" t="inlineStr">
        <is>
          <t>2030_Lipiec_W5</t>
        </is>
      </c>
    </row>
    <row r="3496">
      <c r="A3496" s="177" t="n">
        <v>47691</v>
      </c>
      <c r="B3496" s="177" t="n">
        <v>47687</v>
      </c>
      <c r="C3496" s="177" t="n">
        <v>47693</v>
      </c>
      <c r="D3496" t="inlineStr">
        <is>
          <t>BW20300723</t>
        </is>
      </c>
      <c r="E3496" t="n">
        <v>2030</v>
      </c>
      <c r="F3496" t="inlineStr">
        <is>
          <t>Lipiec</t>
        </is>
      </c>
      <c r="G3496" t="inlineStr">
        <is>
          <t>Sob</t>
        </is>
      </c>
      <c r="H3496">
        <f>'Floor Hours Engine'!$E$5</f>
        <v/>
      </c>
      <c r="I3496" t="inlineStr">
        <is>
          <t>W5</t>
        </is>
      </c>
      <c r="J3496" t="inlineStr">
        <is>
          <t>2030_Lipiec_W5</t>
        </is>
      </c>
    </row>
    <row r="3497">
      <c r="A3497" s="177" t="n">
        <v>47692</v>
      </c>
      <c r="B3497" s="177" t="n">
        <v>47687</v>
      </c>
      <c r="C3497" s="177" t="n">
        <v>47693</v>
      </c>
      <c r="D3497" t="inlineStr">
        <is>
          <t>BW20300723</t>
        </is>
      </c>
      <c r="E3497" t="n">
        <v>2030</v>
      </c>
      <c r="F3497" t="inlineStr">
        <is>
          <t>Lipiec</t>
        </is>
      </c>
      <c r="G3497" t="inlineStr">
        <is>
          <t>Nd</t>
        </is>
      </c>
      <c r="H3497">
        <f>'Floor Hours Engine'!$E$6</f>
        <v/>
      </c>
      <c r="I3497" t="inlineStr">
        <is>
          <t>W5</t>
        </is>
      </c>
      <c r="J3497" t="inlineStr">
        <is>
          <t>2030_Lipiec_W5</t>
        </is>
      </c>
    </row>
    <row r="3498">
      <c r="A3498" s="177" t="n">
        <v>47693</v>
      </c>
      <c r="B3498" s="177" t="n">
        <v>47687</v>
      </c>
      <c r="C3498" s="177" t="n">
        <v>47693</v>
      </c>
      <c r="D3498" t="inlineStr">
        <is>
          <t>BW20300723</t>
        </is>
      </c>
      <c r="E3498" t="n">
        <v>2030</v>
      </c>
      <c r="F3498" t="inlineStr">
        <is>
          <t>Lipiec</t>
        </is>
      </c>
      <c r="G3498" t="inlineStr">
        <is>
          <t>Pn</t>
        </is>
      </c>
      <c r="H3498">
        <f>'Floor Hours Engine'!$E$4</f>
        <v/>
      </c>
      <c r="I3498" t="inlineStr">
        <is>
          <t>W5</t>
        </is>
      </c>
      <c r="J3498" t="inlineStr">
        <is>
          <t>2030_Lipiec_W5</t>
        </is>
      </c>
    </row>
    <row r="3499">
      <c r="A3499" s="177" t="n">
        <v>47694</v>
      </c>
      <c r="B3499" s="177" t="n">
        <v>47694</v>
      </c>
      <c r="C3499" s="177" t="n">
        <v>47700</v>
      </c>
      <c r="D3499" t="inlineStr">
        <is>
          <t>BW20300730</t>
        </is>
      </c>
      <c r="E3499" t="n">
        <v>2030</v>
      </c>
      <c r="F3499" t="inlineStr">
        <is>
          <t>Lipiec</t>
        </is>
      </c>
      <c r="G3499" t="inlineStr">
        <is>
          <t>Wt</t>
        </is>
      </c>
      <c r="H3499">
        <f>'Floor Hours Engine'!$E$4</f>
        <v/>
      </c>
      <c r="I3499" t="inlineStr">
        <is>
          <t>W6</t>
        </is>
      </c>
      <c r="J3499" t="inlineStr">
        <is>
          <t>2030_Lipiec_W6</t>
        </is>
      </c>
    </row>
    <row r="3500">
      <c r="A3500" s="177" t="n">
        <v>47695</v>
      </c>
      <c r="B3500" s="177" t="n">
        <v>47694</v>
      </c>
      <c r="C3500" s="177" t="n">
        <v>47700</v>
      </c>
      <c r="D3500" t="inlineStr">
        <is>
          <t>BW20300730</t>
        </is>
      </c>
      <c r="E3500" t="n">
        <v>2030</v>
      </c>
      <c r="F3500" t="inlineStr">
        <is>
          <t>Lipiec</t>
        </is>
      </c>
      <c r="G3500" t="inlineStr">
        <is>
          <t>Śr</t>
        </is>
      </c>
      <c r="H3500">
        <f>'Floor Hours Engine'!$E$4</f>
        <v/>
      </c>
      <c r="I3500" t="inlineStr">
        <is>
          <t>W6</t>
        </is>
      </c>
      <c r="J3500" t="inlineStr">
        <is>
          <t>2030_Lipiec_W6</t>
        </is>
      </c>
    </row>
    <row r="3501">
      <c r="A3501" s="177" t="n">
        <v>47696</v>
      </c>
      <c r="B3501" s="177" t="n">
        <v>47694</v>
      </c>
      <c r="C3501" s="177" t="n">
        <v>47700</v>
      </c>
      <c r="D3501" t="inlineStr">
        <is>
          <t>BW20300730</t>
        </is>
      </c>
      <c r="E3501" t="n">
        <v>2030</v>
      </c>
      <c r="F3501" t="inlineStr">
        <is>
          <t>Sierpień</t>
        </is>
      </c>
      <c r="G3501" t="inlineStr">
        <is>
          <t>Czw</t>
        </is>
      </c>
      <c r="H3501">
        <f>'Floor Hours Engine'!$E$4</f>
        <v/>
      </c>
      <c r="I3501" t="inlineStr">
        <is>
          <t>W1</t>
        </is>
      </c>
      <c r="J3501" t="inlineStr">
        <is>
          <t>2030_Sierpień_W1</t>
        </is>
      </c>
    </row>
    <row r="3502">
      <c r="A3502" s="177" t="n">
        <v>47697</v>
      </c>
      <c r="B3502" s="177" t="n">
        <v>47694</v>
      </c>
      <c r="C3502" s="177" t="n">
        <v>47700</v>
      </c>
      <c r="D3502" t="inlineStr">
        <is>
          <t>BW20300730</t>
        </is>
      </c>
      <c r="E3502" t="n">
        <v>2030</v>
      </c>
      <c r="F3502" t="inlineStr">
        <is>
          <t>Sierpień</t>
        </is>
      </c>
      <c r="G3502" t="inlineStr">
        <is>
          <t>Pt</t>
        </is>
      </c>
      <c r="H3502">
        <f>'Floor Hours Engine'!$E$5</f>
        <v/>
      </c>
      <c r="I3502" t="inlineStr">
        <is>
          <t>W1</t>
        </is>
      </c>
      <c r="J3502" t="inlineStr">
        <is>
          <t>2030_Sierpień_W1</t>
        </is>
      </c>
    </row>
    <row r="3503">
      <c r="A3503" s="177" t="n">
        <v>47698</v>
      </c>
      <c r="B3503" s="177" t="n">
        <v>47694</v>
      </c>
      <c r="C3503" s="177" t="n">
        <v>47700</v>
      </c>
      <c r="D3503" t="inlineStr">
        <is>
          <t>BW20300730</t>
        </is>
      </c>
      <c r="E3503" t="n">
        <v>2030</v>
      </c>
      <c r="F3503" t="inlineStr">
        <is>
          <t>Sierpień</t>
        </is>
      </c>
      <c r="G3503" t="inlineStr">
        <is>
          <t>Sob</t>
        </is>
      </c>
      <c r="H3503">
        <f>'Floor Hours Engine'!$E$5</f>
        <v/>
      </c>
      <c r="I3503" t="inlineStr">
        <is>
          <t>W1</t>
        </is>
      </c>
      <c r="J3503" t="inlineStr">
        <is>
          <t>2030_Sierpień_W1</t>
        </is>
      </c>
    </row>
    <row r="3504">
      <c r="A3504" s="177" t="n">
        <v>47699</v>
      </c>
      <c r="B3504" s="177" t="n">
        <v>47694</v>
      </c>
      <c r="C3504" s="177" t="n">
        <v>47700</v>
      </c>
      <c r="D3504" t="inlineStr">
        <is>
          <t>BW20300730</t>
        </is>
      </c>
      <c r="E3504" t="n">
        <v>2030</v>
      </c>
      <c r="F3504" t="inlineStr">
        <is>
          <t>Sierpień</t>
        </is>
      </c>
      <c r="G3504" t="inlineStr">
        <is>
          <t>Nd</t>
        </is>
      </c>
      <c r="H3504">
        <f>'Floor Hours Engine'!$E$6</f>
        <v/>
      </c>
      <c r="I3504" t="inlineStr">
        <is>
          <t>W1</t>
        </is>
      </c>
      <c r="J3504" t="inlineStr">
        <is>
          <t>2030_Sierpień_W1</t>
        </is>
      </c>
    </row>
    <row r="3505">
      <c r="A3505" s="177" t="n">
        <v>47700</v>
      </c>
      <c r="B3505" s="177" t="n">
        <v>47694</v>
      </c>
      <c r="C3505" s="177" t="n">
        <v>47700</v>
      </c>
      <c r="D3505" t="inlineStr">
        <is>
          <t>BW20300730</t>
        </is>
      </c>
      <c r="E3505" t="n">
        <v>2030</v>
      </c>
      <c r="F3505" t="inlineStr">
        <is>
          <t>Sierpień</t>
        </is>
      </c>
      <c r="G3505" t="inlineStr">
        <is>
          <t>Pn</t>
        </is>
      </c>
      <c r="H3505">
        <f>'Floor Hours Engine'!$E$4</f>
        <v/>
      </c>
      <c r="I3505" t="inlineStr">
        <is>
          <t>W1</t>
        </is>
      </c>
      <c r="J3505" t="inlineStr">
        <is>
          <t>2030_Sierpień_W1</t>
        </is>
      </c>
    </row>
    <row r="3506">
      <c r="A3506" s="177" t="n">
        <v>47701</v>
      </c>
      <c r="B3506" s="177" t="n">
        <v>47701</v>
      </c>
      <c r="C3506" s="177" t="n">
        <v>47707</v>
      </c>
      <c r="D3506" t="inlineStr">
        <is>
          <t>BW20300806</t>
        </is>
      </c>
      <c r="E3506" t="n">
        <v>2030</v>
      </c>
      <c r="F3506" t="inlineStr">
        <is>
          <t>Sierpień</t>
        </is>
      </c>
      <c r="G3506" t="inlineStr">
        <is>
          <t>Wt</t>
        </is>
      </c>
      <c r="H3506">
        <f>'Floor Hours Engine'!$E$4</f>
        <v/>
      </c>
      <c r="I3506" t="inlineStr">
        <is>
          <t>W2</t>
        </is>
      </c>
      <c r="J3506" t="inlineStr">
        <is>
          <t>2030_Sierpień_W2</t>
        </is>
      </c>
    </row>
    <row r="3507">
      <c r="A3507" s="177" t="n">
        <v>47702</v>
      </c>
      <c r="B3507" s="177" t="n">
        <v>47701</v>
      </c>
      <c r="C3507" s="177" t="n">
        <v>47707</v>
      </c>
      <c r="D3507" t="inlineStr">
        <is>
          <t>BW20300806</t>
        </is>
      </c>
      <c r="E3507" t="n">
        <v>2030</v>
      </c>
      <c r="F3507" t="inlineStr">
        <is>
          <t>Sierpień</t>
        </is>
      </c>
      <c r="G3507" t="inlineStr">
        <is>
          <t>Śr</t>
        </is>
      </c>
      <c r="H3507">
        <f>'Floor Hours Engine'!$E$4</f>
        <v/>
      </c>
      <c r="I3507" t="inlineStr">
        <is>
          <t>W2</t>
        </is>
      </c>
      <c r="J3507" t="inlineStr">
        <is>
          <t>2030_Sierpień_W2</t>
        </is>
      </c>
    </row>
    <row r="3508">
      <c r="A3508" s="177" t="n">
        <v>47703</v>
      </c>
      <c r="B3508" s="177" t="n">
        <v>47701</v>
      </c>
      <c r="C3508" s="177" t="n">
        <v>47707</v>
      </c>
      <c r="D3508" t="inlineStr">
        <is>
          <t>BW20300806</t>
        </is>
      </c>
      <c r="E3508" t="n">
        <v>2030</v>
      </c>
      <c r="F3508" t="inlineStr">
        <is>
          <t>Sierpień</t>
        </is>
      </c>
      <c r="G3508" t="inlineStr">
        <is>
          <t>Czw</t>
        </is>
      </c>
      <c r="H3508">
        <f>'Floor Hours Engine'!$E$4</f>
        <v/>
      </c>
      <c r="I3508" t="inlineStr">
        <is>
          <t>W2</t>
        </is>
      </c>
      <c r="J3508" t="inlineStr">
        <is>
          <t>2030_Sierpień_W2</t>
        </is>
      </c>
    </row>
    <row r="3509">
      <c r="A3509" s="177" t="n">
        <v>47704</v>
      </c>
      <c r="B3509" s="177" t="n">
        <v>47701</v>
      </c>
      <c r="C3509" s="177" t="n">
        <v>47707</v>
      </c>
      <c r="D3509" t="inlineStr">
        <is>
          <t>BW20300806</t>
        </is>
      </c>
      <c r="E3509" t="n">
        <v>2030</v>
      </c>
      <c r="F3509" t="inlineStr">
        <is>
          <t>Sierpień</t>
        </is>
      </c>
      <c r="G3509" t="inlineStr">
        <is>
          <t>Pt</t>
        </is>
      </c>
      <c r="H3509">
        <f>'Floor Hours Engine'!$E$5</f>
        <v/>
      </c>
      <c r="I3509" t="inlineStr">
        <is>
          <t>W2</t>
        </is>
      </c>
      <c r="J3509" t="inlineStr">
        <is>
          <t>2030_Sierpień_W2</t>
        </is>
      </c>
    </row>
    <row r="3510">
      <c r="A3510" s="177" t="n">
        <v>47705</v>
      </c>
      <c r="B3510" s="177" t="n">
        <v>47701</v>
      </c>
      <c r="C3510" s="177" t="n">
        <v>47707</v>
      </c>
      <c r="D3510" t="inlineStr">
        <is>
          <t>BW20300806</t>
        </is>
      </c>
      <c r="E3510" t="n">
        <v>2030</v>
      </c>
      <c r="F3510" t="inlineStr">
        <is>
          <t>Sierpień</t>
        </is>
      </c>
      <c r="G3510" t="inlineStr">
        <is>
          <t>Sob</t>
        </is>
      </c>
      <c r="H3510">
        <f>'Floor Hours Engine'!$E$5</f>
        <v/>
      </c>
      <c r="I3510" t="inlineStr">
        <is>
          <t>W2</t>
        </is>
      </c>
      <c r="J3510" t="inlineStr">
        <is>
          <t>2030_Sierpień_W2</t>
        </is>
      </c>
    </row>
    <row r="3511">
      <c r="A3511" s="177" t="n">
        <v>47706</v>
      </c>
      <c r="B3511" s="177" t="n">
        <v>47701</v>
      </c>
      <c r="C3511" s="177" t="n">
        <v>47707</v>
      </c>
      <c r="D3511" t="inlineStr">
        <is>
          <t>BW20300806</t>
        </is>
      </c>
      <c r="E3511" t="n">
        <v>2030</v>
      </c>
      <c r="F3511" t="inlineStr">
        <is>
          <t>Sierpień</t>
        </is>
      </c>
      <c r="G3511" t="inlineStr">
        <is>
          <t>Nd</t>
        </is>
      </c>
      <c r="H3511">
        <f>'Floor Hours Engine'!$E$6</f>
        <v/>
      </c>
      <c r="I3511" t="inlineStr">
        <is>
          <t>W2</t>
        </is>
      </c>
      <c r="J3511" t="inlineStr">
        <is>
          <t>2030_Sierpień_W2</t>
        </is>
      </c>
    </row>
    <row r="3512">
      <c r="A3512" s="177" t="n">
        <v>47707</v>
      </c>
      <c r="B3512" s="177" t="n">
        <v>47701</v>
      </c>
      <c r="C3512" s="177" t="n">
        <v>47707</v>
      </c>
      <c r="D3512" t="inlineStr">
        <is>
          <t>BW20300806</t>
        </is>
      </c>
      <c r="E3512" t="n">
        <v>2030</v>
      </c>
      <c r="F3512" t="inlineStr">
        <is>
          <t>Sierpień</t>
        </is>
      </c>
      <c r="G3512" t="inlineStr">
        <is>
          <t>Pn</t>
        </is>
      </c>
      <c r="H3512">
        <f>'Floor Hours Engine'!$E$4</f>
        <v/>
      </c>
      <c r="I3512" t="inlineStr">
        <is>
          <t>W2</t>
        </is>
      </c>
      <c r="J3512" t="inlineStr">
        <is>
          <t>2030_Sierpień_W2</t>
        </is>
      </c>
    </row>
    <row r="3513">
      <c r="A3513" s="177" t="n">
        <v>47708</v>
      </c>
      <c r="B3513" s="177" t="n">
        <v>47708</v>
      </c>
      <c r="C3513" s="177" t="n">
        <v>47714</v>
      </c>
      <c r="D3513" t="inlineStr">
        <is>
          <t>BW20300813</t>
        </is>
      </c>
      <c r="E3513" t="n">
        <v>2030</v>
      </c>
      <c r="F3513" t="inlineStr">
        <is>
          <t>Sierpień</t>
        </is>
      </c>
      <c r="G3513" t="inlineStr">
        <is>
          <t>Wt</t>
        </is>
      </c>
      <c r="H3513">
        <f>'Floor Hours Engine'!$E$4</f>
        <v/>
      </c>
      <c r="I3513" t="inlineStr">
        <is>
          <t>W3</t>
        </is>
      </c>
      <c r="J3513" t="inlineStr">
        <is>
          <t>2030_Sierpień_W3</t>
        </is>
      </c>
    </row>
    <row r="3514">
      <c r="A3514" s="177" t="n">
        <v>47709</v>
      </c>
      <c r="B3514" s="177" t="n">
        <v>47708</v>
      </c>
      <c r="C3514" s="177" t="n">
        <v>47714</v>
      </c>
      <c r="D3514" t="inlineStr">
        <is>
          <t>BW20300813</t>
        </is>
      </c>
      <c r="E3514" t="n">
        <v>2030</v>
      </c>
      <c r="F3514" t="inlineStr">
        <is>
          <t>Sierpień</t>
        </is>
      </c>
      <c r="G3514" t="inlineStr">
        <is>
          <t>Śr</t>
        </is>
      </c>
      <c r="H3514">
        <f>'Floor Hours Engine'!$E$4</f>
        <v/>
      </c>
      <c r="I3514" t="inlineStr">
        <is>
          <t>W3</t>
        </is>
      </c>
      <c r="J3514" t="inlineStr">
        <is>
          <t>2030_Sierpień_W3</t>
        </is>
      </c>
    </row>
    <row r="3515">
      <c r="A3515" s="177" t="n">
        <v>47710</v>
      </c>
      <c r="B3515" s="177" t="n">
        <v>47708</v>
      </c>
      <c r="C3515" s="177" t="n">
        <v>47714</v>
      </c>
      <c r="D3515" t="inlineStr">
        <is>
          <t>BW20300813</t>
        </is>
      </c>
      <c r="E3515" t="n">
        <v>2030</v>
      </c>
      <c r="F3515" t="inlineStr">
        <is>
          <t>Sierpień</t>
        </is>
      </c>
      <c r="G3515" t="inlineStr">
        <is>
          <t>Czw</t>
        </is>
      </c>
      <c r="H3515">
        <f>'Floor Hours Engine'!$E$4</f>
        <v/>
      </c>
      <c r="I3515" t="inlineStr">
        <is>
          <t>W3</t>
        </is>
      </c>
      <c r="J3515" t="inlineStr">
        <is>
          <t>2030_Sierpień_W3</t>
        </is>
      </c>
    </row>
    <row r="3516">
      <c r="A3516" s="177" t="n">
        <v>47711</v>
      </c>
      <c r="B3516" s="177" t="n">
        <v>47708</v>
      </c>
      <c r="C3516" s="177" t="n">
        <v>47714</v>
      </c>
      <c r="D3516" t="inlineStr">
        <is>
          <t>BW20300813</t>
        </is>
      </c>
      <c r="E3516" t="n">
        <v>2030</v>
      </c>
      <c r="F3516" t="inlineStr">
        <is>
          <t>Sierpień</t>
        </is>
      </c>
      <c r="G3516" t="inlineStr">
        <is>
          <t>Pt</t>
        </is>
      </c>
      <c r="H3516">
        <f>'Floor Hours Engine'!$E$5</f>
        <v/>
      </c>
      <c r="I3516" t="inlineStr">
        <is>
          <t>W3</t>
        </is>
      </c>
      <c r="J3516" t="inlineStr">
        <is>
          <t>2030_Sierpień_W3</t>
        </is>
      </c>
    </row>
    <row r="3517">
      <c r="A3517" s="177" t="n">
        <v>47712</v>
      </c>
      <c r="B3517" s="177" t="n">
        <v>47708</v>
      </c>
      <c r="C3517" s="177" t="n">
        <v>47714</v>
      </c>
      <c r="D3517" t="inlineStr">
        <is>
          <t>BW20300813</t>
        </is>
      </c>
      <c r="E3517" t="n">
        <v>2030</v>
      </c>
      <c r="F3517" t="inlineStr">
        <is>
          <t>Sierpień</t>
        </is>
      </c>
      <c r="G3517" t="inlineStr">
        <is>
          <t>Sob</t>
        </is>
      </c>
      <c r="H3517">
        <f>'Floor Hours Engine'!$E$5</f>
        <v/>
      </c>
      <c r="I3517" t="inlineStr">
        <is>
          <t>W3</t>
        </is>
      </c>
      <c r="J3517" t="inlineStr">
        <is>
          <t>2030_Sierpień_W3</t>
        </is>
      </c>
    </row>
    <row r="3518">
      <c r="A3518" s="177" t="n">
        <v>47713</v>
      </c>
      <c r="B3518" s="177" t="n">
        <v>47708</v>
      </c>
      <c r="C3518" s="177" t="n">
        <v>47714</v>
      </c>
      <c r="D3518" t="inlineStr">
        <is>
          <t>BW20300813</t>
        </is>
      </c>
      <c r="E3518" t="n">
        <v>2030</v>
      </c>
      <c r="F3518" t="inlineStr">
        <is>
          <t>Sierpień</t>
        </is>
      </c>
      <c r="G3518" t="inlineStr">
        <is>
          <t>Nd</t>
        </is>
      </c>
      <c r="H3518">
        <f>'Floor Hours Engine'!$E$6</f>
        <v/>
      </c>
      <c r="I3518" t="inlineStr">
        <is>
          <t>W3</t>
        </is>
      </c>
      <c r="J3518" t="inlineStr">
        <is>
          <t>2030_Sierpień_W3</t>
        </is>
      </c>
    </row>
    <row r="3519">
      <c r="A3519" s="177" t="n">
        <v>47714</v>
      </c>
      <c r="B3519" s="177" t="n">
        <v>47708</v>
      </c>
      <c r="C3519" s="177" t="n">
        <v>47714</v>
      </c>
      <c r="D3519" t="inlineStr">
        <is>
          <t>BW20300813</t>
        </is>
      </c>
      <c r="E3519" t="n">
        <v>2030</v>
      </c>
      <c r="F3519" t="inlineStr">
        <is>
          <t>Sierpień</t>
        </is>
      </c>
      <c r="G3519" t="inlineStr">
        <is>
          <t>Pn</t>
        </is>
      </c>
      <c r="H3519">
        <f>'Floor Hours Engine'!$E$4</f>
        <v/>
      </c>
      <c r="I3519" t="inlineStr">
        <is>
          <t>W3</t>
        </is>
      </c>
      <c r="J3519" t="inlineStr">
        <is>
          <t>2030_Sierpień_W3</t>
        </is>
      </c>
    </row>
    <row r="3520">
      <c r="A3520" s="177" t="n">
        <v>47715</v>
      </c>
      <c r="B3520" s="177" t="n">
        <v>47715</v>
      </c>
      <c r="C3520" s="177" t="n">
        <v>47721</v>
      </c>
      <c r="D3520" t="inlineStr">
        <is>
          <t>BW20300820</t>
        </is>
      </c>
      <c r="E3520" t="n">
        <v>2030</v>
      </c>
      <c r="F3520" t="inlineStr">
        <is>
          <t>Sierpień</t>
        </is>
      </c>
      <c r="G3520" t="inlineStr">
        <is>
          <t>Wt</t>
        </is>
      </c>
      <c r="H3520">
        <f>'Floor Hours Engine'!$E$4</f>
        <v/>
      </c>
      <c r="I3520" t="inlineStr">
        <is>
          <t>W4</t>
        </is>
      </c>
      <c r="J3520" t="inlineStr">
        <is>
          <t>2030_Sierpień_W4</t>
        </is>
      </c>
    </row>
    <row r="3521">
      <c r="A3521" s="177" t="n">
        <v>47716</v>
      </c>
      <c r="B3521" s="177" t="n">
        <v>47715</v>
      </c>
      <c r="C3521" s="177" t="n">
        <v>47721</v>
      </c>
      <c r="D3521" t="inlineStr">
        <is>
          <t>BW20300820</t>
        </is>
      </c>
      <c r="E3521" t="n">
        <v>2030</v>
      </c>
      <c r="F3521" t="inlineStr">
        <is>
          <t>Sierpień</t>
        </is>
      </c>
      <c r="G3521" t="inlineStr">
        <is>
          <t>Śr</t>
        </is>
      </c>
      <c r="H3521">
        <f>'Floor Hours Engine'!$E$4</f>
        <v/>
      </c>
      <c r="I3521" t="inlineStr">
        <is>
          <t>W4</t>
        </is>
      </c>
      <c r="J3521" t="inlineStr">
        <is>
          <t>2030_Sierpień_W4</t>
        </is>
      </c>
    </row>
    <row r="3522">
      <c r="A3522" s="177" t="n">
        <v>47717</v>
      </c>
      <c r="B3522" s="177" t="n">
        <v>47715</v>
      </c>
      <c r="C3522" s="177" t="n">
        <v>47721</v>
      </c>
      <c r="D3522" t="inlineStr">
        <is>
          <t>BW20300820</t>
        </is>
      </c>
      <c r="E3522" t="n">
        <v>2030</v>
      </c>
      <c r="F3522" t="inlineStr">
        <is>
          <t>Sierpień</t>
        </is>
      </c>
      <c r="G3522" t="inlineStr">
        <is>
          <t>Czw</t>
        </is>
      </c>
      <c r="H3522">
        <f>'Floor Hours Engine'!$E$4</f>
        <v/>
      </c>
      <c r="I3522" t="inlineStr">
        <is>
          <t>W4</t>
        </is>
      </c>
      <c r="J3522" t="inlineStr">
        <is>
          <t>2030_Sierpień_W4</t>
        </is>
      </c>
    </row>
    <row r="3523">
      <c r="A3523" s="177" t="n">
        <v>47718</v>
      </c>
      <c r="B3523" s="177" t="n">
        <v>47715</v>
      </c>
      <c r="C3523" s="177" t="n">
        <v>47721</v>
      </c>
      <c r="D3523" t="inlineStr">
        <is>
          <t>BW20300820</t>
        </is>
      </c>
      <c r="E3523" t="n">
        <v>2030</v>
      </c>
      <c r="F3523" t="inlineStr">
        <is>
          <t>Sierpień</t>
        </is>
      </c>
      <c r="G3523" t="inlineStr">
        <is>
          <t>Pt</t>
        </is>
      </c>
      <c r="H3523">
        <f>'Floor Hours Engine'!$E$5</f>
        <v/>
      </c>
      <c r="I3523" t="inlineStr">
        <is>
          <t>W4</t>
        </is>
      </c>
      <c r="J3523" t="inlineStr">
        <is>
          <t>2030_Sierpień_W4</t>
        </is>
      </c>
    </row>
    <row r="3524">
      <c r="A3524" s="177" t="n">
        <v>47719</v>
      </c>
      <c r="B3524" s="177" t="n">
        <v>47715</v>
      </c>
      <c r="C3524" s="177" t="n">
        <v>47721</v>
      </c>
      <c r="D3524" t="inlineStr">
        <is>
          <t>BW20300820</t>
        </is>
      </c>
      <c r="E3524" t="n">
        <v>2030</v>
      </c>
      <c r="F3524" t="inlineStr">
        <is>
          <t>Sierpień</t>
        </is>
      </c>
      <c r="G3524" t="inlineStr">
        <is>
          <t>Sob</t>
        </is>
      </c>
      <c r="H3524">
        <f>'Floor Hours Engine'!$E$5</f>
        <v/>
      </c>
      <c r="I3524" t="inlineStr">
        <is>
          <t>W4</t>
        </is>
      </c>
      <c r="J3524" t="inlineStr">
        <is>
          <t>2030_Sierpień_W4</t>
        </is>
      </c>
    </row>
    <row r="3525">
      <c r="A3525" s="177" t="n">
        <v>47720</v>
      </c>
      <c r="B3525" s="177" t="n">
        <v>47715</v>
      </c>
      <c r="C3525" s="177" t="n">
        <v>47721</v>
      </c>
      <c r="D3525" t="inlineStr">
        <is>
          <t>BW20300820</t>
        </is>
      </c>
      <c r="E3525" t="n">
        <v>2030</v>
      </c>
      <c r="F3525" t="inlineStr">
        <is>
          <t>Sierpień</t>
        </is>
      </c>
      <c r="G3525" t="inlineStr">
        <is>
          <t>Nd</t>
        </is>
      </c>
      <c r="H3525">
        <f>'Floor Hours Engine'!$E$6</f>
        <v/>
      </c>
      <c r="I3525" t="inlineStr">
        <is>
          <t>W4</t>
        </is>
      </c>
      <c r="J3525" t="inlineStr">
        <is>
          <t>2030_Sierpień_W4</t>
        </is>
      </c>
    </row>
    <row r="3526">
      <c r="A3526" s="177" t="n">
        <v>47721</v>
      </c>
      <c r="B3526" s="177" t="n">
        <v>47715</v>
      </c>
      <c r="C3526" s="177" t="n">
        <v>47721</v>
      </c>
      <c r="D3526" t="inlineStr">
        <is>
          <t>BW20300820</t>
        </is>
      </c>
      <c r="E3526" t="n">
        <v>2030</v>
      </c>
      <c r="F3526" t="inlineStr">
        <is>
          <t>Sierpień</t>
        </is>
      </c>
      <c r="G3526" t="inlineStr">
        <is>
          <t>Pn</t>
        </is>
      </c>
      <c r="H3526">
        <f>'Floor Hours Engine'!$E$4</f>
        <v/>
      </c>
      <c r="I3526" t="inlineStr">
        <is>
          <t>W4</t>
        </is>
      </c>
      <c r="J3526" t="inlineStr">
        <is>
          <t>2030_Sierpień_W4</t>
        </is>
      </c>
    </row>
    <row r="3527">
      <c r="A3527" s="177" t="n">
        <v>47722</v>
      </c>
      <c r="B3527" s="177" t="n">
        <v>47722</v>
      </c>
      <c r="C3527" s="177" t="n">
        <v>47728</v>
      </c>
      <c r="D3527" t="inlineStr">
        <is>
          <t>BW20300827</t>
        </is>
      </c>
      <c r="E3527" t="n">
        <v>2030</v>
      </c>
      <c r="F3527" t="inlineStr">
        <is>
          <t>Sierpień</t>
        </is>
      </c>
      <c r="G3527" t="inlineStr">
        <is>
          <t>Wt</t>
        </is>
      </c>
      <c r="H3527">
        <f>'Floor Hours Engine'!$E$4</f>
        <v/>
      </c>
      <c r="I3527" t="inlineStr">
        <is>
          <t>W5</t>
        </is>
      </c>
      <c r="J3527" t="inlineStr">
        <is>
          <t>2030_Sierpień_W5</t>
        </is>
      </c>
    </row>
    <row r="3528">
      <c r="A3528" s="177" t="n">
        <v>47723</v>
      </c>
      <c r="B3528" s="177" t="n">
        <v>47722</v>
      </c>
      <c r="C3528" s="177" t="n">
        <v>47728</v>
      </c>
      <c r="D3528" t="inlineStr">
        <is>
          <t>BW20300827</t>
        </is>
      </c>
      <c r="E3528" t="n">
        <v>2030</v>
      </c>
      <c r="F3528" t="inlineStr">
        <is>
          <t>Sierpień</t>
        </is>
      </c>
      <c r="G3528" t="inlineStr">
        <is>
          <t>Śr</t>
        </is>
      </c>
      <c r="H3528">
        <f>'Floor Hours Engine'!$E$4</f>
        <v/>
      </c>
      <c r="I3528" t="inlineStr">
        <is>
          <t>W5</t>
        </is>
      </c>
      <c r="J3528" t="inlineStr">
        <is>
          <t>2030_Sierpień_W5</t>
        </is>
      </c>
    </row>
    <row r="3529">
      <c r="A3529" s="177" t="n">
        <v>47724</v>
      </c>
      <c r="B3529" s="177" t="n">
        <v>47722</v>
      </c>
      <c r="C3529" s="177" t="n">
        <v>47728</v>
      </c>
      <c r="D3529" t="inlineStr">
        <is>
          <t>BW20300827</t>
        </is>
      </c>
      <c r="E3529" t="n">
        <v>2030</v>
      </c>
      <c r="F3529" t="inlineStr">
        <is>
          <t>Sierpień</t>
        </is>
      </c>
      <c r="G3529" t="inlineStr">
        <is>
          <t>Czw</t>
        </is>
      </c>
      <c r="H3529">
        <f>'Floor Hours Engine'!$E$4</f>
        <v/>
      </c>
      <c r="I3529" t="inlineStr">
        <is>
          <t>W5</t>
        </is>
      </c>
      <c r="J3529" t="inlineStr">
        <is>
          <t>2030_Sierpień_W5</t>
        </is>
      </c>
    </row>
    <row r="3530">
      <c r="A3530" s="177" t="n">
        <v>47725</v>
      </c>
      <c r="B3530" s="177" t="n">
        <v>47722</v>
      </c>
      <c r="C3530" s="177" t="n">
        <v>47728</v>
      </c>
      <c r="D3530" t="inlineStr">
        <is>
          <t>BW20300827</t>
        </is>
      </c>
      <c r="E3530" t="n">
        <v>2030</v>
      </c>
      <c r="F3530" t="inlineStr">
        <is>
          <t>Sierpień</t>
        </is>
      </c>
      <c r="G3530" t="inlineStr">
        <is>
          <t>Pt</t>
        </is>
      </c>
      <c r="H3530">
        <f>'Floor Hours Engine'!$E$5</f>
        <v/>
      </c>
      <c r="I3530" t="inlineStr">
        <is>
          <t>W5</t>
        </is>
      </c>
      <c r="J3530" t="inlineStr">
        <is>
          <t>2030_Sierpień_W5</t>
        </is>
      </c>
    </row>
    <row r="3531">
      <c r="A3531" s="177" t="n">
        <v>47726</v>
      </c>
      <c r="B3531" s="177" t="n">
        <v>47722</v>
      </c>
      <c r="C3531" s="177" t="n">
        <v>47728</v>
      </c>
      <c r="D3531" t="inlineStr">
        <is>
          <t>BW20300827</t>
        </is>
      </c>
      <c r="E3531" t="n">
        <v>2030</v>
      </c>
      <c r="F3531" t="inlineStr">
        <is>
          <t>Sierpień</t>
        </is>
      </c>
      <c r="G3531" t="inlineStr">
        <is>
          <t>Sob</t>
        </is>
      </c>
      <c r="H3531">
        <f>'Floor Hours Engine'!$E$5</f>
        <v/>
      </c>
      <c r="I3531" t="inlineStr">
        <is>
          <t>W5</t>
        </is>
      </c>
      <c r="J3531" t="inlineStr">
        <is>
          <t>2030_Sierpień_W5</t>
        </is>
      </c>
    </row>
    <row r="3532">
      <c r="A3532" s="177" t="n">
        <v>47727</v>
      </c>
      <c r="B3532" s="177" t="n">
        <v>47722</v>
      </c>
      <c r="C3532" s="177" t="n">
        <v>47728</v>
      </c>
      <c r="D3532" t="inlineStr">
        <is>
          <t>BW20300827</t>
        </is>
      </c>
      <c r="E3532" t="n">
        <v>2030</v>
      </c>
      <c r="F3532" t="inlineStr">
        <is>
          <t>Wrzesień</t>
        </is>
      </c>
      <c r="G3532" t="inlineStr">
        <is>
          <t>Nd</t>
        </is>
      </c>
      <c r="H3532">
        <f>'Floor Hours Engine'!$E$6</f>
        <v/>
      </c>
      <c r="I3532" t="inlineStr">
        <is>
          <t>W1</t>
        </is>
      </c>
      <c r="J3532" t="inlineStr">
        <is>
          <t>2030_Wrzesień_W1</t>
        </is>
      </c>
    </row>
    <row r="3533">
      <c r="A3533" s="177" t="n">
        <v>47728</v>
      </c>
      <c r="B3533" s="177" t="n">
        <v>47722</v>
      </c>
      <c r="C3533" s="177" t="n">
        <v>47728</v>
      </c>
      <c r="D3533" t="inlineStr">
        <is>
          <t>BW20300827</t>
        </is>
      </c>
      <c r="E3533" t="n">
        <v>2030</v>
      </c>
      <c r="F3533" t="inlineStr">
        <is>
          <t>Wrzesień</t>
        </is>
      </c>
      <c r="G3533" t="inlineStr">
        <is>
          <t>Pn</t>
        </is>
      </c>
      <c r="H3533">
        <f>'Floor Hours Engine'!$E$4</f>
        <v/>
      </c>
      <c r="I3533" t="inlineStr">
        <is>
          <t>W1</t>
        </is>
      </c>
      <c r="J3533" t="inlineStr">
        <is>
          <t>2030_Wrzesień_W1</t>
        </is>
      </c>
    </row>
    <row r="3534">
      <c r="A3534" s="177" t="n">
        <v>47729</v>
      </c>
      <c r="B3534" s="177" t="n">
        <v>47729</v>
      </c>
      <c r="C3534" s="177" t="n">
        <v>47735</v>
      </c>
      <c r="D3534" t="inlineStr">
        <is>
          <t>BW20300903</t>
        </is>
      </c>
      <c r="E3534" t="n">
        <v>2030</v>
      </c>
      <c r="F3534" t="inlineStr">
        <is>
          <t>Wrzesień</t>
        </is>
      </c>
      <c r="G3534" t="inlineStr">
        <is>
          <t>Wt</t>
        </is>
      </c>
      <c r="H3534">
        <f>'Floor Hours Engine'!$E$4</f>
        <v/>
      </c>
      <c r="I3534" t="inlineStr">
        <is>
          <t>W2</t>
        </is>
      </c>
      <c r="J3534" t="inlineStr">
        <is>
          <t>2030_Wrzesień_W2</t>
        </is>
      </c>
    </row>
    <row r="3535">
      <c r="A3535" s="177" t="n">
        <v>47730</v>
      </c>
      <c r="B3535" s="177" t="n">
        <v>47729</v>
      </c>
      <c r="C3535" s="177" t="n">
        <v>47735</v>
      </c>
      <c r="D3535" t="inlineStr">
        <is>
          <t>BW20300903</t>
        </is>
      </c>
      <c r="E3535" t="n">
        <v>2030</v>
      </c>
      <c r="F3535" t="inlineStr">
        <is>
          <t>Wrzesień</t>
        </is>
      </c>
      <c r="G3535" t="inlineStr">
        <is>
          <t>Śr</t>
        </is>
      </c>
      <c r="H3535">
        <f>'Floor Hours Engine'!$E$4</f>
        <v/>
      </c>
      <c r="I3535" t="inlineStr">
        <is>
          <t>W2</t>
        </is>
      </c>
      <c r="J3535" t="inlineStr">
        <is>
          <t>2030_Wrzesień_W2</t>
        </is>
      </c>
    </row>
    <row r="3536">
      <c r="A3536" s="177" t="n">
        <v>47731</v>
      </c>
      <c r="B3536" s="177" t="n">
        <v>47729</v>
      </c>
      <c r="C3536" s="177" t="n">
        <v>47735</v>
      </c>
      <c r="D3536" t="inlineStr">
        <is>
          <t>BW20300903</t>
        </is>
      </c>
      <c r="E3536" t="n">
        <v>2030</v>
      </c>
      <c r="F3536" t="inlineStr">
        <is>
          <t>Wrzesień</t>
        </is>
      </c>
      <c r="G3536" t="inlineStr">
        <is>
          <t>Czw</t>
        </is>
      </c>
      <c r="H3536">
        <f>'Floor Hours Engine'!$E$4</f>
        <v/>
      </c>
      <c r="I3536" t="inlineStr">
        <is>
          <t>W2</t>
        </is>
      </c>
      <c r="J3536" t="inlineStr">
        <is>
          <t>2030_Wrzesień_W2</t>
        </is>
      </c>
    </row>
    <row r="3537">
      <c r="A3537" s="177" t="n">
        <v>47732</v>
      </c>
      <c r="B3537" s="177" t="n">
        <v>47729</v>
      </c>
      <c r="C3537" s="177" t="n">
        <v>47735</v>
      </c>
      <c r="D3537" t="inlineStr">
        <is>
          <t>BW20300903</t>
        </is>
      </c>
      <c r="E3537" t="n">
        <v>2030</v>
      </c>
      <c r="F3537" t="inlineStr">
        <is>
          <t>Wrzesień</t>
        </is>
      </c>
      <c r="G3537" t="inlineStr">
        <is>
          <t>Pt</t>
        </is>
      </c>
      <c r="H3537">
        <f>'Floor Hours Engine'!$E$5</f>
        <v/>
      </c>
      <c r="I3537" t="inlineStr">
        <is>
          <t>W2</t>
        </is>
      </c>
      <c r="J3537" t="inlineStr">
        <is>
          <t>2030_Wrzesień_W2</t>
        </is>
      </c>
    </row>
    <row r="3538">
      <c r="A3538" s="177" t="n">
        <v>47733</v>
      </c>
      <c r="B3538" s="177" t="n">
        <v>47729</v>
      </c>
      <c r="C3538" s="177" t="n">
        <v>47735</v>
      </c>
      <c r="D3538" t="inlineStr">
        <is>
          <t>BW20300903</t>
        </is>
      </c>
      <c r="E3538" t="n">
        <v>2030</v>
      </c>
      <c r="F3538" t="inlineStr">
        <is>
          <t>Wrzesień</t>
        </is>
      </c>
      <c r="G3538" t="inlineStr">
        <is>
          <t>Sob</t>
        </is>
      </c>
      <c r="H3538">
        <f>'Floor Hours Engine'!$E$5</f>
        <v/>
      </c>
      <c r="I3538" t="inlineStr">
        <is>
          <t>W2</t>
        </is>
      </c>
      <c r="J3538" t="inlineStr">
        <is>
          <t>2030_Wrzesień_W2</t>
        </is>
      </c>
    </row>
    <row r="3539">
      <c r="A3539" s="177" t="n">
        <v>47734</v>
      </c>
      <c r="B3539" s="177" t="n">
        <v>47729</v>
      </c>
      <c r="C3539" s="177" t="n">
        <v>47735</v>
      </c>
      <c r="D3539" t="inlineStr">
        <is>
          <t>BW20300903</t>
        </is>
      </c>
      <c r="E3539" t="n">
        <v>2030</v>
      </c>
      <c r="F3539" t="inlineStr">
        <is>
          <t>Wrzesień</t>
        </is>
      </c>
      <c r="G3539" t="inlineStr">
        <is>
          <t>Nd</t>
        </is>
      </c>
      <c r="H3539">
        <f>'Floor Hours Engine'!$E$6</f>
        <v/>
      </c>
      <c r="I3539" t="inlineStr">
        <is>
          <t>W2</t>
        </is>
      </c>
      <c r="J3539" t="inlineStr">
        <is>
          <t>2030_Wrzesień_W2</t>
        </is>
      </c>
    </row>
    <row r="3540">
      <c r="A3540" s="177" t="n">
        <v>47735</v>
      </c>
      <c r="B3540" s="177" t="n">
        <v>47729</v>
      </c>
      <c r="C3540" s="177" t="n">
        <v>47735</v>
      </c>
      <c r="D3540" t="inlineStr">
        <is>
          <t>BW20300903</t>
        </is>
      </c>
      <c r="E3540" t="n">
        <v>2030</v>
      </c>
      <c r="F3540" t="inlineStr">
        <is>
          <t>Wrzesień</t>
        </is>
      </c>
      <c r="G3540" t="inlineStr">
        <is>
          <t>Pn</t>
        </is>
      </c>
      <c r="H3540">
        <f>'Floor Hours Engine'!$E$4</f>
        <v/>
      </c>
      <c r="I3540" t="inlineStr">
        <is>
          <t>W2</t>
        </is>
      </c>
      <c r="J3540" t="inlineStr">
        <is>
          <t>2030_Wrzesień_W2</t>
        </is>
      </c>
    </row>
    <row r="3541">
      <c r="A3541" s="177" t="n">
        <v>47736</v>
      </c>
      <c r="B3541" s="177" t="n">
        <v>47736</v>
      </c>
      <c r="C3541" s="177" t="n">
        <v>47742</v>
      </c>
      <c r="D3541" t="inlineStr">
        <is>
          <t>BW20300910</t>
        </is>
      </c>
      <c r="E3541" t="n">
        <v>2030</v>
      </c>
      <c r="F3541" t="inlineStr">
        <is>
          <t>Wrzesień</t>
        </is>
      </c>
      <c r="G3541" t="inlineStr">
        <is>
          <t>Wt</t>
        </is>
      </c>
      <c r="H3541">
        <f>'Floor Hours Engine'!$E$4</f>
        <v/>
      </c>
      <c r="I3541" t="inlineStr">
        <is>
          <t>W3</t>
        </is>
      </c>
      <c r="J3541" t="inlineStr">
        <is>
          <t>2030_Wrzesień_W3</t>
        </is>
      </c>
    </row>
    <row r="3542">
      <c r="A3542" s="177" t="n">
        <v>47737</v>
      </c>
      <c r="B3542" s="177" t="n">
        <v>47736</v>
      </c>
      <c r="C3542" s="177" t="n">
        <v>47742</v>
      </c>
      <c r="D3542" t="inlineStr">
        <is>
          <t>BW20300910</t>
        </is>
      </c>
      <c r="E3542" t="n">
        <v>2030</v>
      </c>
      <c r="F3542" t="inlineStr">
        <is>
          <t>Wrzesień</t>
        </is>
      </c>
      <c r="G3542" t="inlineStr">
        <is>
          <t>Śr</t>
        </is>
      </c>
      <c r="H3542">
        <f>'Floor Hours Engine'!$E$4</f>
        <v/>
      </c>
      <c r="I3542" t="inlineStr">
        <is>
          <t>W3</t>
        </is>
      </c>
      <c r="J3542" t="inlineStr">
        <is>
          <t>2030_Wrzesień_W3</t>
        </is>
      </c>
    </row>
    <row r="3543">
      <c r="A3543" s="177" t="n">
        <v>47738</v>
      </c>
      <c r="B3543" s="177" t="n">
        <v>47736</v>
      </c>
      <c r="C3543" s="177" t="n">
        <v>47742</v>
      </c>
      <c r="D3543" t="inlineStr">
        <is>
          <t>BW20300910</t>
        </is>
      </c>
      <c r="E3543" t="n">
        <v>2030</v>
      </c>
      <c r="F3543" t="inlineStr">
        <is>
          <t>Wrzesień</t>
        </is>
      </c>
      <c r="G3543" t="inlineStr">
        <is>
          <t>Czw</t>
        </is>
      </c>
      <c r="H3543">
        <f>'Floor Hours Engine'!$E$4</f>
        <v/>
      </c>
      <c r="I3543" t="inlineStr">
        <is>
          <t>W3</t>
        </is>
      </c>
      <c r="J3543" t="inlineStr">
        <is>
          <t>2030_Wrzesień_W3</t>
        </is>
      </c>
    </row>
    <row r="3544">
      <c r="A3544" s="177" t="n">
        <v>47739</v>
      </c>
      <c r="B3544" s="177" t="n">
        <v>47736</v>
      </c>
      <c r="C3544" s="177" t="n">
        <v>47742</v>
      </c>
      <c r="D3544" t="inlineStr">
        <is>
          <t>BW20300910</t>
        </is>
      </c>
      <c r="E3544" t="n">
        <v>2030</v>
      </c>
      <c r="F3544" t="inlineStr">
        <is>
          <t>Wrzesień</t>
        </is>
      </c>
      <c r="G3544" t="inlineStr">
        <is>
          <t>Pt</t>
        </is>
      </c>
      <c r="H3544">
        <f>'Floor Hours Engine'!$E$5</f>
        <v/>
      </c>
      <c r="I3544" t="inlineStr">
        <is>
          <t>W3</t>
        </is>
      </c>
      <c r="J3544" t="inlineStr">
        <is>
          <t>2030_Wrzesień_W3</t>
        </is>
      </c>
    </row>
    <row r="3545">
      <c r="A3545" s="177" t="n">
        <v>47740</v>
      </c>
      <c r="B3545" s="177" t="n">
        <v>47736</v>
      </c>
      <c r="C3545" s="177" t="n">
        <v>47742</v>
      </c>
      <c r="D3545" t="inlineStr">
        <is>
          <t>BW20300910</t>
        </is>
      </c>
      <c r="E3545" t="n">
        <v>2030</v>
      </c>
      <c r="F3545" t="inlineStr">
        <is>
          <t>Wrzesień</t>
        </is>
      </c>
      <c r="G3545" t="inlineStr">
        <is>
          <t>Sob</t>
        </is>
      </c>
      <c r="H3545">
        <f>'Floor Hours Engine'!$E$5</f>
        <v/>
      </c>
      <c r="I3545" t="inlineStr">
        <is>
          <t>W3</t>
        </is>
      </c>
      <c r="J3545" t="inlineStr">
        <is>
          <t>2030_Wrzesień_W3</t>
        </is>
      </c>
    </row>
    <row r="3546">
      <c r="A3546" s="177" t="n">
        <v>47741</v>
      </c>
      <c r="B3546" s="177" t="n">
        <v>47736</v>
      </c>
      <c r="C3546" s="177" t="n">
        <v>47742</v>
      </c>
      <c r="D3546" t="inlineStr">
        <is>
          <t>BW20300910</t>
        </is>
      </c>
      <c r="E3546" t="n">
        <v>2030</v>
      </c>
      <c r="F3546" t="inlineStr">
        <is>
          <t>Wrzesień</t>
        </is>
      </c>
      <c r="G3546" t="inlineStr">
        <is>
          <t>Nd</t>
        </is>
      </c>
      <c r="H3546">
        <f>'Floor Hours Engine'!$E$6</f>
        <v/>
      </c>
      <c r="I3546" t="inlineStr">
        <is>
          <t>W3</t>
        </is>
      </c>
      <c r="J3546" t="inlineStr">
        <is>
          <t>2030_Wrzesień_W3</t>
        </is>
      </c>
    </row>
    <row r="3547">
      <c r="A3547" s="177" t="n">
        <v>47742</v>
      </c>
      <c r="B3547" s="177" t="n">
        <v>47736</v>
      </c>
      <c r="C3547" s="177" t="n">
        <v>47742</v>
      </c>
      <c r="D3547" t="inlineStr">
        <is>
          <t>BW20300910</t>
        </is>
      </c>
      <c r="E3547" t="n">
        <v>2030</v>
      </c>
      <c r="F3547" t="inlineStr">
        <is>
          <t>Wrzesień</t>
        </is>
      </c>
      <c r="G3547" t="inlineStr">
        <is>
          <t>Pn</t>
        </is>
      </c>
      <c r="H3547">
        <f>'Floor Hours Engine'!$E$4</f>
        <v/>
      </c>
      <c r="I3547" t="inlineStr">
        <is>
          <t>W3</t>
        </is>
      </c>
      <c r="J3547" t="inlineStr">
        <is>
          <t>2030_Wrzesień_W3</t>
        </is>
      </c>
    </row>
    <row r="3548">
      <c r="A3548" s="177" t="n">
        <v>47743</v>
      </c>
      <c r="B3548" s="177" t="n">
        <v>47743</v>
      </c>
      <c r="C3548" s="177" t="n">
        <v>47749</v>
      </c>
      <c r="D3548" t="inlineStr">
        <is>
          <t>BW20300917</t>
        </is>
      </c>
      <c r="E3548" t="n">
        <v>2030</v>
      </c>
      <c r="F3548" t="inlineStr">
        <is>
          <t>Wrzesień</t>
        </is>
      </c>
      <c r="G3548" t="inlineStr">
        <is>
          <t>Wt</t>
        </is>
      </c>
      <c r="H3548">
        <f>'Floor Hours Engine'!$E$4</f>
        <v/>
      </c>
      <c r="I3548" t="inlineStr">
        <is>
          <t>W4</t>
        </is>
      </c>
      <c r="J3548" t="inlineStr">
        <is>
          <t>2030_Wrzesień_W4</t>
        </is>
      </c>
    </row>
    <row r="3549">
      <c r="A3549" s="177" t="n">
        <v>47744</v>
      </c>
      <c r="B3549" s="177" t="n">
        <v>47743</v>
      </c>
      <c r="C3549" s="177" t="n">
        <v>47749</v>
      </c>
      <c r="D3549" t="inlineStr">
        <is>
          <t>BW20300917</t>
        </is>
      </c>
      <c r="E3549" t="n">
        <v>2030</v>
      </c>
      <c r="F3549" t="inlineStr">
        <is>
          <t>Wrzesień</t>
        </is>
      </c>
      <c r="G3549" t="inlineStr">
        <is>
          <t>Śr</t>
        </is>
      </c>
      <c r="H3549">
        <f>'Floor Hours Engine'!$E$4</f>
        <v/>
      </c>
      <c r="I3549" t="inlineStr">
        <is>
          <t>W4</t>
        </is>
      </c>
      <c r="J3549" t="inlineStr">
        <is>
          <t>2030_Wrzesień_W4</t>
        </is>
      </c>
    </row>
    <row r="3550">
      <c r="A3550" s="177" t="n">
        <v>47745</v>
      </c>
      <c r="B3550" s="177" t="n">
        <v>47743</v>
      </c>
      <c r="C3550" s="177" t="n">
        <v>47749</v>
      </c>
      <c r="D3550" t="inlineStr">
        <is>
          <t>BW20300917</t>
        </is>
      </c>
      <c r="E3550" t="n">
        <v>2030</v>
      </c>
      <c r="F3550" t="inlineStr">
        <is>
          <t>Wrzesień</t>
        </is>
      </c>
      <c r="G3550" t="inlineStr">
        <is>
          <t>Czw</t>
        </is>
      </c>
      <c r="H3550">
        <f>'Floor Hours Engine'!$E$4</f>
        <v/>
      </c>
      <c r="I3550" t="inlineStr">
        <is>
          <t>W4</t>
        </is>
      </c>
      <c r="J3550" t="inlineStr">
        <is>
          <t>2030_Wrzesień_W4</t>
        </is>
      </c>
    </row>
    <row r="3551">
      <c r="A3551" s="177" t="n">
        <v>47746</v>
      </c>
      <c r="B3551" s="177" t="n">
        <v>47743</v>
      </c>
      <c r="C3551" s="177" t="n">
        <v>47749</v>
      </c>
      <c r="D3551" t="inlineStr">
        <is>
          <t>BW20300917</t>
        </is>
      </c>
      <c r="E3551" t="n">
        <v>2030</v>
      </c>
      <c r="F3551" t="inlineStr">
        <is>
          <t>Wrzesień</t>
        </is>
      </c>
      <c r="G3551" t="inlineStr">
        <is>
          <t>Pt</t>
        </is>
      </c>
      <c r="H3551">
        <f>'Floor Hours Engine'!$E$5</f>
        <v/>
      </c>
      <c r="I3551" t="inlineStr">
        <is>
          <t>W4</t>
        </is>
      </c>
      <c r="J3551" t="inlineStr">
        <is>
          <t>2030_Wrzesień_W4</t>
        </is>
      </c>
    </row>
    <row r="3552">
      <c r="A3552" s="177" t="n">
        <v>47747</v>
      </c>
      <c r="B3552" s="177" t="n">
        <v>47743</v>
      </c>
      <c r="C3552" s="177" t="n">
        <v>47749</v>
      </c>
      <c r="D3552" t="inlineStr">
        <is>
          <t>BW20300917</t>
        </is>
      </c>
      <c r="E3552" t="n">
        <v>2030</v>
      </c>
      <c r="F3552" t="inlineStr">
        <is>
          <t>Wrzesień</t>
        </is>
      </c>
      <c r="G3552" t="inlineStr">
        <is>
          <t>Sob</t>
        </is>
      </c>
      <c r="H3552">
        <f>'Floor Hours Engine'!$E$5</f>
        <v/>
      </c>
      <c r="I3552" t="inlineStr">
        <is>
          <t>W4</t>
        </is>
      </c>
      <c r="J3552" t="inlineStr">
        <is>
          <t>2030_Wrzesień_W4</t>
        </is>
      </c>
    </row>
    <row r="3553">
      <c r="A3553" s="177" t="n">
        <v>47748</v>
      </c>
      <c r="B3553" s="177" t="n">
        <v>47743</v>
      </c>
      <c r="C3553" s="177" t="n">
        <v>47749</v>
      </c>
      <c r="D3553" t="inlineStr">
        <is>
          <t>BW20300917</t>
        </is>
      </c>
      <c r="E3553" t="n">
        <v>2030</v>
      </c>
      <c r="F3553" t="inlineStr">
        <is>
          <t>Wrzesień</t>
        </is>
      </c>
      <c r="G3553" t="inlineStr">
        <is>
          <t>Nd</t>
        </is>
      </c>
      <c r="H3553">
        <f>'Floor Hours Engine'!$E$6</f>
        <v/>
      </c>
      <c r="I3553" t="inlineStr">
        <is>
          <t>W4</t>
        </is>
      </c>
      <c r="J3553" t="inlineStr">
        <is>
          <t>2030_Wrzesień_W4</t>
        </is>
      </c>
    </row>
    <row r="3554">
      <c r="A3554" s="177" t="n">
        <v>47749</v>
      </c>
      <c r="B3554" s="177" t="n">
        <v>47743</v>
      </c>
      <c r="C3554" s="177" t="n">
        <v>47749</v>
      </c>
      <c r="D3554" t="inlineStr">
        <is>
          <t>BW20300917</t>
        </is>
      </c>
      <c r="E3554" t="n">
        <v>2030</v>
      </c>
      <c r="F3554" t="inlineStr">
        <is>
          <t>Wrzesień</t>
        </is>
      </c>
      <c r="G3554" t="inlineStr">
        <is>
          <t>Pn</t>
        </is>
      </c>
      <c r="H3554">
        <f>'Floor Hours Engine'!$E$4</f>
        <v/>
      </c>
      <c r="I3554" t="inlineStr">
        <is>
          <t>W4</t>
        </is>
      </c>
      <c r="J3554" t="inlineStr">
        <is>
          <t>2030_Wrzesień_W4</t>
        </is>
      </c>
    </row>
    <row r="3555">
      <c r="A3555" s="177" t="n">
        <v>47750</v>
      </c>
      <c r="B3555" s="177" t="n">
        <v>47750</v>
      </c>
      <c r="C3555" s="177" t="n">
        <v>47756</v>
      </c>
      <c r="D3555" t="inlineStr">
        <is>
          <t>BW20300924</t>
        </is>
      </c>
      <c r="E3555" t="n">
        <v>2030</v>
      </c>
      <c r="F3555" t="inlineStr">
        <is>
          <t>Wrzesień</t>
        </is>
      </c>
      <c r="G3555" t="inlineStr">
        <is>
          <t>Wt</t>
        </is>
      </c>
      <c r="H3555">
        <f>'Floor Hours Engine'!$E$4</f>
        <v/>
      </c>
      <c r="I3555" t="inlineStr">
        <is>
          <t>W5</t>
        </is>
      </c>
      <c r="J3555" t="inlineStr">
        <is>
          <t>2030_Wrzesień_W5</t>
        </is>
      </c>
    </row>
    <row r="3556">
      <c r="A3556" s="177" t="n">
        <v>47751</v>
      </c>
      <c r="B3556" s="177" t="n">
        <v>47750</v>
      </c>
      <c r="C3556" s="177" t="n">
        <v>47756</v>
      </c>
      <c r="D3556" t="inlineStr">
        <is>
          <t>BW20300924</t>
        </is>
      </c>
      <c r="E3556" t="n">
        <v>2030</v>
      </c>
      <c r="F3556" t="inlineStr">
        <is>
          <t>Wrzesień</t>
        </is>
      </c>
      <c r="G3556" t="inlineStr">
        <is>
          <t>Śr</t>
        </is>
      </c>
      <c r="H3556">
        <f>'Floor Hours Engine'!$E$4</f>
        <v/>
      </c>
      <c r="I3556" t="inlineStr">
        <is>
          <t>W5</t>
        </is>
      </c>
      <c r="J3556" t="inlineStr">
        <is>
          <t>2030_Wrzesień_W5</t>
        </is>
      </c>
    </row>
    <row r="3557">
      <c r="A3557" s="177" t="n">
        <v>47752</v>
      </c>
      <c r="B3557" s="177" t="n">
        <v>47750</v>
      </c>
      <c r="C3557" s="177" t="n">
        <v>47756</v>
      </c>
      <c r="D3557" t="inlineStr">
        <is>
          <t>BW20300924</t>
        </is>
      </c>
      <c r="E3557" t="n">
        <v>2030</v>
      </c>
      <c r="F3557" t="inlineStr">
        <is>
          <t>Wrzesień</t>
        </is>
      </c>
      <c r="G3557" t="inlineStr">
        <is>
          <t>Czw</t>
        </is>
      </c>
      <c r="H3557">
        <f>'Floor Hours Engine'!$E$4</f>
        <v/>
      </c>
      <c r="I3557" t="inlineStr">
        <is>
          <t>W5</t>
        </is>
      </c>
      <c r="J3557" t="inlineStr">
        <is>
          <t>2030_Wrzesień_W5</t>
        </is>
      </c>
    </row>
    <row r="3558">
      <c r="A3558" s="177" t="n">
        <v>47753</v>
      </c>
      <c r="B3558" s="177" t="n">
        <v>47750</v>
      </c>
      <c r="C3558" s="177" t="n">
        <v>47756</v>
      </c>
      <c r="D3558" t="inlineStr">
        <is>
          <t>BW20300924</t>
        </is>
      </c>
      <c r="E3558" t="n">
        <v>2030</v>
      </c>
      <c r="F3558" t="inlineStr">
        <is>
          <t>Wrzesień</t>
        </is>
      </c>
      <c r="G3558" t="inlineStr">
        <is>
          <t>Pt</t>
        </is>
      </c>
      <c r="H3558">
        <f>'Floor Hours Engine'!$E$5</f>
        <v/>
      </c>
      <c r="I3558" t="inlineStr">
        <is>
          <t>W5</t>
        </is>
      </c>
      <c r="J3558" t="inlineStr">
        <is>
          <t>2030_Wrzesień_W5</t>
        </is>
      </c>
    </row>
    <row r="3559">
      <c r="A3559" s="177" t="n">
        <v>47754</v>
      </c>
      <c r="B3559" s="177" t="n">
        <v>47750</v>
      </c>
      <c r="C3559" s="177" t="n">
        <v>47756</v>
      </c>
      <c r="D3559" t="inlineStr">
        <is>
          <t>BW20300924</t>
        </is>
      </c>
      <c r="E3559" t="n">
        <v>2030</v>
      </c>
      <c r="F3559" t="inlineStr">
        <is>
          <t>Wrzesień</t>
        </is>
      </c>
      <c r="G3559" t="inlineStr">
        <is>
          <t>Sob</t>
        </is>
      </c>
      <c r="H3559">
        <f>'Floor Hours Engine'!$E$5</f>
        <v/>
      </c>
      <c r="I3559" t="inlineStr">
        <is>
          <t>W5</t>
        </is>
      </c>
      <c r="J3559" t="inlineStr">
        <is>
          <t>2030_Wrzesień_W5</t>
        </is>
      </c>
    </row>
    <row r="3560">
      <c r="A3560" s="177" t="n">
        <v>47755</v>
      </c>
      <c r="B3560" s="177" t="n">
        <v>47750</v>
      </c>
      <c r="C3560" s="177" t="n">
        <v>47756</v>
      </c>
      <c r="D3560" t="inlineStr">
        <is>
          <t>BW20300924</t>
        </is>
      </c>
      <c r="E3560" t="n">
        <v>2030</v>
      </c>
      <c r="F3560" t="inlineStr">
        <is>
          <t>Wrzesień</t>
        </is>
      </c>
      <c r="G3560" t="inlineStr">
        <is>
          <t>Nd</t>
        </is>
      </c>
      <c r="H3560">
        <f>'Floor Hours Engine'!$E$6</f>
        <v/>
      </c>
      <c r="I3560" t="inlineStr">
        <is>
          <t>W5</t>
        </is>
      </c>
      <c r="J3560" t="inlineStr">
        <is>
          <t>2030_Wrzesień_W5</t>
        </is>
      </c>
    </row>
    <row r="3561">
      <c r="A3561" s="177" t="n">
        <v>47756</v>
      </c>
      <c r="B3561" s="177" t="n">
        <v>47750</v>
      </c>
      <c r="C3561" s="177" t="n">
        <v>47756</v>
      </c>
      <c r="D3561" t="inlineStr">
        <is>
          <t>BW20300924</t>
        </is>
      </c>
      <c r="E3561" t="n">
        <v>2030</v>
      </c>
      <c r="F3561" t="inlineStr">
        <is>
          <t>Wrzesień</t>
        </is>
      </c>
      <c r="G3561" t="inlineStr">
        <is>
          <t>Pn</t>
        </is>
      </c>
      <c r="H3561">
        <f>'Floor Hours Engine'!$E$4</f>
        <v/>
      </c>
      <c r="I3561" t="inlineStr">
        <is>
          <t>W5</t>
        </is>
      </c>
      <c r="J3561" t="inlineStr">
        <is>
          <t>2030_Wrzesień_W5</t>
        </is>
      </c>
    </row>
    <row r="3562">
      <c r="A3562" s="177" t="n">
        <v>47757</v>
      </c>
      <c r="B3562" s="177" t="n">
        <v>47757</v>
      </c>
      <c r="C3562" s="177" t="n">
        <v>47763</v>
      </c>
      <c r="D3562" t="inlineStr">
        <is>
          <t>BW20301001</t>
        </is>
      </c>
      <c r="E3562" t="n">
        <v>2030</v>
      </c>
      <c r="F3562" t="inlineStr">
        <is>
          <t>Październik</t>
        </is>
      </c>
      <c r="G3562" t="inlineStr">
        <is>
          <t>Wt</t>
        </is>
      </c>
      <c r="H3562">
        <f>'Floor Hours Engine'!$E$4</f>
        <v/>
      </c>
      <c r="I3562" t="inlineStr">
        <is>
          <t>W1</t>
        </is>
      </c>
      <c r="J3562" t="inlineStr">
        <is>
          <t>2030_Październik_W1</t>
        </is>
      </c>
    </row>
    <row r="3563">
      <c r="A3563" s="177" t="n">
        <v>47758</v>
      </c>
      <c r="B3563" s="177" t="n">
        <v>47757</v>
      </c>
      <c r="C3563" s="177" t="n">
        <v>47763</v>
      </c>
      <c r="D3563" t="inlineStr">
        <is>
          <t>BW20301001</t>
        </is>
      </c>
      <c r="E3563" t="n">
        <v>2030</v>
      </c>
      <c r="F3563" t="inlineStr">
        <is>
          <t>Październik</t>
        </is>
      </c>
      <c r="G3563" t="inlineStr">
        <is>
          <t>Śr</t>
        </is>
      </c>
      <c r="H3563">
        <f>'Floor Hours Engine'!$E$4</f>
        <v/>
      </c>
      <c r="I3563" t="inlineStr">
        <is>
          <t>W1</t>
        </is>
      </c>
      <c r="J3563" t="inlineStr">
        <is>
          <t>2030_Październik_W1</t>
        </is>
      </c>
    </row>
    <row r="3564">
      <c r="A3564" s="177" t="n">
        <v>47759</v>
      </c>
      <c r="B3564" s="177" t="n">
        <v>47757</v>
      </c>
      <c r="C3564" s="177" t="n">
        <v>47763</v>
      </c>
      <c r="D3564" t="inlineStr">
        <is>
          <t>BW20301001</t>
        </is>
      </c>
      <c r="E3564" t="n">
        <v>2030</v>
      </c>
      <c r="F3564" t="inlineStr">
        <is>
          <t>Październik</t>
        </is>
      </c>
      <c r="G3564" t="inlineStr">
        <is>
          <t>Czw</t>
        </is>
      </c>
      <c r="H3564">
        <f>'Floor Hours Engine'!$E$4</f>
        <v/>
      </c>
      <c r="I3564" t="inlineStr">
        <is>
          <t>W1</t>
        </is>
      </c>
      <c r="J3564" t="inlineStr">
        <is>
          <t>2030_Październik_W1</t>
        </is>
      </c>
    </row>
    <row r="3565">
      <c r="A3565" s="177" t="n">
        <v>47760</v>
      </c>
      <c r="B3565" s="177" t="n">
        <v>47757</v>
      </c>
      <c r="C3565" s="177" t="n">
        <v>47763</v>
      </c>
      <c r="D3565" t="inlineStr">
        <is>
          <t>BW20301001</t>
        </is>
      </c>
      <c r="E3565" t="n">
        <v>2030</v>
      </c>
      <c r="F3565" t="inlineStr">
        <is>
          <t>Październik</t>
        </is>
      </c>
      <c r="G3565" t="inlineStr">
        <is>
          <t>Pt</t>
        </is>
      </c>
      <c r="H3565">
        <f>'Floor Hours Engine'!$E$5</f>
        <v/>
      </c>
      <c r="I3565" t="inlineStr">
        <is>
          <t>W1</t>
        </is>
      </c>
      <c r="J3565" t="inlineStr">
        <is>
          <t>2030_Październik_W1</t>
        </is>
      </c>
    </row>
    <row r="3566">
      <c r="A3566" s="177" t="n">
        <v>47761</v>
      </c>
      <c r="B3566" s="177" t="n">
        <v>47757</v>
      </c>
      <c r="C3566" s="177" t="n">
        <v>47763</v>
      </c>
      <c r="D3566" t="inlineStr">
        <is>
          <t>BW20301001</t>
        </is>
      </c>
      <c r="E3566" t="n">
        <v>2030</v>
      </c>
      <c r="F3566" t="inlineStr">
        <is>
          <t>Październik</t>
        </is>
      </c>
      <c r="G3566" t="inlineStr">
        <is>
          <t>Sob</t>
        </is>
      </c>
      <c r="H3566">
        <f>'Floor Hours Engine'!$E$5</f>
        <v/>
      </c>
      <c r="I3566" t="inlineStr">
        <is>
          <t>W1</t>
        </is>
      </c>
      <c r="J3566" t="inlineStr">
        <is>
          <t>2030_Październik_W1</t>
        </is>
      </c>
    </row>
    <row r="3567">
      <c r="A3567" s="177" t="n">
        <v>47762</v>
      </c>
      <c r="B3567" s="177" t="n">
        <v>47757</v>
      </c>
      <c r="C3567" s="177" t="n">
        <v>47763</v>
      </c>
      <c r="D3567" t="inlineStr">
        <is>
          <t>BW20301001</t>
        </is>
      </c>
      <c r="E3567" t="n">
        <v>2030</v>
      </c>
      <c r="F3567" t="inlineStr">
        <is>
          <t>Październik</t>
        </is>
      </c>
      <c r="G3567" t="inlineStr">
        <is>
          <t>Nd</t>
        </is>
      </c>
      <c r="H3567">
        <f>'Floor Hours Engine'!$E$6</f>
        <v/>
      </c>
      <c r="I3567" t="inlineStr">
        <is>
          <t>W1</t>
        </is>
      </c>
      <c r="J3567" t="inlineStr">
        <is>
          <t>2030_Październik_W1</t>
        </is>
      </c>
    </row>
    <row r="3568">
      <c r="A3568" s="177" t="n">
        <v>47763</v>
      </c>
      <c r="B3568" s="177" t="n">
        <v>47757</v>
      </c>
      <c r="C3568" s="177" t="n">
        <v>47763</v>
      </c>
      <c r="D3568" t="inlineStr">
        <is>
          <t>BW20301001</t>
        </is>
      </c>
      <c r="E3568" t="n">
        <v>2030</v>
      </c>
      <c r="F3568" t="inlineStr">
        <is>
          <t>Październik</t>
        </is>
      </c>
      <c r="G3568" t="inlineStr">
        <is>
          <t>Pn</t>
        </is>
      </c>
      <c r="H3568">
        <f>'Floor Hours Engine'!$E$4</f>
        <v/>
      </c>
      <c r="I3568" t="inlineStr">
        <is>
          <t>W1</t>
        </is>
      </c>
      <c r="J3568" t="inlineStr">
        <is>
          <t>2030_Październik_W1</t>
        </is>
      </c>
    </row>
    <row r="3569">
      <c r="A3569" s="177" t="n">
        <v>47764</v>
      </c>
      <c r="B3569" s="177" t="n">
        <v>47764</v>
      </c>
      <c r="C3569" s="177" t="n">
        <v>47770</v>
      </c>
      <c r="D3569" t="inlineStr">
        <is>
          <t>BW20301008</t>
        </is>
      </c>
      <c r="E3569" t="n">
        <v>2030</v>
      </c>
      <c r="F3569" t="inlineStr">
        <is>
          <t>Październik</t>
        </is>
      </c>
      <c r="G3569" t="inlineStr">
        <is>
          <t>Wt</t>
        </is>
      </c>
      <c r="H3569">
        <f>'Floor Hours Engine'!$E$4</f>
        <v/>
      </c>
      <c r="I3569" t="inlineStr">
        <is>
          <t>W2</t>
        </is>
      </c>
      <c r="J3569" t="inlineStr">
        <is>
          <t>2030_Październik_W2</t>
        </is>
      </c>
    </row>
    <row r="3570">
      <c r="A3570" s="177" t="n">
        <v>47765</v>
      </c>
      <c r="B3570" s="177" t="n">
        <v>47764</v>
      </c>
      <c r="C3570" s="177" t="n">
        <v>47770</v>
      </c>
      <c r="D3570" t="inlineStr">
        <is>
          <t>BW20301008</t>
        </is>
      </c>
      <c r="E3570" t="n">
        <v>2030</v>
      </c>
      <c r="F3570" t="inlineStr">
        <is>
          <t>Październik</t>
        </is>
      </c>
      <c r="G3570" t="inlineStr">
        <is>
          <t>Śr</t>
        </is>
      </c>
      <c r="H3570">
        <f>'Floor Hours Engine'!$E$4</f>
        <v/>
      </c>
      <c r="I3570" t="inlineStr">
        <is>
          <t>W2</t>
        </is>
      </c>
      <c r="J3570" t="inlineStr">
        <is>
          <t>2030_Październik_W2</t>
        </is>
      </c>
    </row>
    <row r="3571">
      <c r="A3571" s="177" t="n">
        <v>47766</v>
      </c>
      <c r="B3571" s="177" t="n">
        <v>47764</v>
      </c>
      <c r="C3571" s="177" t="n">
        <v>47770</v>
      </c>
      <c r="D3571" t="inlineStr">
        <is>
          <t>BW20301008</t>
        </is>
      </c>
      <c r="E3571" t="n">
        <v>2030</v>
      </c>
      <c r="F3571" t="inlineStr">
        <is>
          <t>Październik</t>
        </is>
      </c>
      <c r="G3571" t="inlineStr">
        <is>
          <t>Czw</t>
        </is>
      </c>
      <c r="H3571">
        <f>'Floor Hours Engine'!$E$4</f>
        <v/>
      </c>
      <c r="I3571" t="inlineStr">
        <is>
          <t>W2</t>
        </is>
      </c>
      <c r="J3571" t="inlineStr">
        <is>
          <t>2030_Październik_W2</t>
        </is>
      </c>
    </row>
    <row r="3572">
      <c r="A3572" s="177" t="n">
        <v>47767</v>
      </c>
      <c r="B3572" s="177" t="n">
        <v>47764</v>
      </c>
      <c r="C3572" s="177" t="n">
        <v>47770</v>
      </c>
      <c r="D3572" t="inlineStr">
        <is>
          <t>BW20301008</t>
        </is>
      </c>
      <c r="E3572" t="n">
        <v>2030</v>
      </c>
      <c r="F3572" t="inlineStr">
        <is>
          <t>Październik</t>
        </is>
      </c>
      <c r="G3572" t="inlineStr">
        <is>
          <t>Pt</t>
        </is>
      </c>
      <c r="H3572">
        <f>'Floor Hours Engine'!$E$5</f>
        <v/>
      </c>
      <c r="I3572" t="inlineStr">
        <is>
          <t>W2</t>
        </is>
      </c>
      <c r="J3572" t="inlineStr">
        <is>
          <t>2030_Październik_W2</t>
        </is>
      </c>
    </row>
    <row r="3573">
      <c r="A3573" s="177" t="n">
        <v>47768</v>
      </c>
      <c r="B3573" s="177" t="n">
        <v>47764</v>
      </c>
      <c r="C3573" s="177" t="n">
        <v>47770</v>
      </c>
      <c r="D3573" t="inlineStr">
        <is>
          <t>BW20301008</t>
        </is>
      </c>
      <c r="E3573" t="n">
        <v>2030</v>
      </c>
      <c r="F3573" t="inlineStr">
        <is>
          <t>Październik</t>
        </is>
      </c>
      <c r="G3573" t="inlineStr">
        <is>
          <t>Sob</t>
        </is>
      </c>
      <c r="H3573">
        <f>'Floor Hours Engine'!$E$5</f>
        <v/>
      </c>
      <c r="I3573" t="inlineStr">
        <is>
          <t>W2</t>
        </is>
      </c>
      <c r="J3573" t="inlineStr">
        <is>
          <t>2030_Październik_W2</t>
        </is>
      </c>
    </row>
    <row r="3574">
      <c r="A3574" s="177" t="n">
        <v>47769</v>
      </c>
      <c r="B3574" s="177" t="n">
        <v>47764</v>
      </c>
      <c r="C3574" s="177" t="n">
        <v>47770</v>
      </c>
      <c r="D3574" t="inlineStr">
        <is>
          <t>BW20301008</t>
        </is>
      </c>
      <c r="E3574" t="n">
        <v>2030</v>
      </c>
      <c r="F3574" t="inlineStr">
        <is>
          <t>Październik</t>
        </is>
      </c>
      <c r="G3574" t="inlineStr">
        <is>
          <t>Nd</t>
        </is>
      </c>
      <c r="H3574">
        <f>'Floor Hours Engine'!$E$6</f>
        <v/>
      </c>
      <c r="I3574" t="inlineStr">
        <is>
          <t>W2</t>
        </is>
      </c>
      <c r="J3574" t="inlineStr">
        <is>
          <t>2030_Październik_W2</t>
        </is>
      </c>
    </row>
    <row r="3575">
      <c r="A3575" s="177" t="n">
        <v>47770</v>
      </c>
      <c r="B3575" s="177" t="n">
        <v>47764</v>
      </c>
      <c r="C3575" s="177" t="n">
        <v>47770</v>
      </c>
      <c r="D3575" t="inlineStr">
        <is>
          <t>BW20301008</t>
        </is>
      </c>
      <c r="E3575" t="n">
        <v>2030</v>
      </c>
      <c r="F3575" t="inlineStr">
        <is>
          <t>Październik</t>
        </is>
      </c>
      <c r="G3575" t="inlineStr">
        <is>
          <t>Pn</t>
        </is>
      </c>
      <c r="H3575">
        <f>'Floor Hours Engine'!$E$4</f>
        <v/>
      </c>
      <c r="I3575" t="inlineStr">
        <is>
          <t>W2</t>
        </is>
      </c>
      <c r="J3575" t="inlineStr">
        <is>
          <t>2030_Październik_W2</t>
        </is>
      </c>
    </row>
    <row r="3576">
      <c r="A3576" s="177" t="n">
        <v>47771</v>
      </c>
      <c r="B3576" s="177" t="n">
        <v>47771</v>
      </c>
      <c r="C3576" s="177" t="n">
        <v>47777</v>
      </c>
      <c r="D3576" t="inlineStr">
        <is>
          <t>BW20301015</t>
        </is>
      </c>
      <c r="E3576" t="n">
        <v>2030</v>
      </c>
      <c r="F3576" t="inlineStr">
        <is>
          <t>Październik</t>
        </is>
      </c>
      <c r="G3576" t="inlineStr">
        <is>
          <t>Wt</t>
        </is>
      </c>
      <c r="H3576">
        <f>'Floor Hours Engine'!$E$4</f>
        <v/>
      </c>
      <c r="I3576" t="inlineStr">
        <is>
          <t>W3</t>
        </is>
      </c>
      <c r="J3576" t="inlineStr">
        <is>
          <t>2030_Październik_W3</t>
        </is>
      </c>
    </row>
    <row r="3577">
      <c r="A3577" s="177" t="n">
        <v>47772</v>
      </c>
      <c r="B3577" s="177" t="n">
        <v>47771</v>
      </c>
      <c r="C3577" s="177" t="n">
        <v>47777</v>
      </c>
      <c r="D3577" t="inlineStr">
        <is>
          <t>BW20301015</t>
        </is>
      </c>
      <c r="E3577" t="n">
        <v>2030</v>
      </c>
      <c r="F3577" t="inlineStr">
        <is>
          <t>Październik</t>
        </is>
      </c>
      <c r="G3577" t="inlineStr">
        <is>
          <t>Śr</t>
        </is>
      </c>
      <c r="H3577">
        <f>'Floor Hours Engine'!$E$4</f>
        <v/>
      </c>
      <c r="I3577" t="inlineStr">
        <is>
          <t>W3</t>
        </is>
      </c>
      <c r="J3577" t="inlineStr">
        <is>
          <t>2030_Październik_W3</t>
        </is>
      </c>
    </row>
    <row r="3578">
      <c r="A3578" s="177" t="n">
        <v>47773</v>
      </c>
      <c r="B3578" s="177" t="n">
        <v>47771</v>
      </c>
      <c r="C3578" s="177" t="n">
        <v>47777</v>
      </c>
      <c r="D3578" t="inlineStr">
        <is>
          <t>BW20301015</t>
        </is>
      </c>
      <c r="E3578" t="n">
        <v>2030</v>
      </c>
      <c r="F3578" t="inlineStr">
        <is>
          <t>Październik</t>
        </is>
      </c>
      <c r="G3578" t="inlineStr">
        <is>
          <t>Czw</t>
        </is>
      </c>
      <c r="H3578">
        <f>'Floor Hours Engine'!$E$4</f>
        <v/>
      </c>
      <c r="I3578" t="inlineStr">
        <is>
          <t>W3</t>
        </is>
      </c>
      <c r="J3578" t="inlineStr">
        <is>
          <t>2030_Październik_W3</t>
        </is>
      </c>
    </row>
    <row r="3579">
      <c r="A3579" s="177" t="n">
        <v>47774</v>
      </c>
      <c r="B3579" s="177" t="n">
        <v>47771</v>
      </c>
      <c r="C3579" s="177" t="n">
        <v>47777</v>
      </c>
      <c r="D3579" t="inlineStr">
        <is>
          <t>BW20301015</t>
        </is>
      </c>
      <c r="E3579" t="n">
        <v>2030</v>
      </c>
      <c r="F3579" t="inlineStr">
        <is>
          <t>Październik</t>
        </is>
      </c>
      <c r="G3579" t="inlineStr">
        <is>
          <t>Pt</t>
        </is>
      </c>
      <c r="H3579">
        <f>'Floor Hours Engine'!$E$5</f>
        <v/>
      </c>
      <c r="I3579" t="inlineStr">
        <is>
          <t>W3</t>
        </is>
      </c>
      <c r="J3579" t="inlineStr">
        <is>
          <t>2030_Październik_W3</t>
        </is>
      </c>
    </row>
    <row r="3580">
      <c r="A3580" s="177" t="n">
        <v>47775</v>
      </c>
      <c r="B3580" s="177" t="n">
        <v>47771</v>
      </c>
      <c r="C3580" s="177" t="n">
        <v>47777</v>
      </c>
      <c r="D3580" t="inlineStr">
        <is>
          <t>BW20301015</t>
        </is>
      </c>
      <c r="E3580" t="n">
        <v>2030</v>
      </c>
      <c r="F3580" t="inlineStr">
        <is>
          <t>Październik</t>
        </is>
      </c>
      <c r="G3580" t="inlineStr">
        <is>
          <t>Sob</t>
        </is>
      </c>
      <c r="H3580">
        <f>'Floor Hours Engine'!$E$5</f>
        <v/>
      </c>
      <c r="I3580" t="inlineStr">
        <is>
          <t>W3</t>
        </is>
      </c>
      <c r="J3580" t="inlineStr">
        <is>
          <t>2030_Październik_W3</t>
        </is>
      </c>
    </row>
    <row r="3581">
      <c r="A3581" s="177" t="n">
        <v>47776</v>
      </c>
      <c r="B3581" s="177" t="n">
        <v>47771</v>
      </c>
      <c r="C3581" s="177" t="n">
        <v>47777</v>
      </c>
      <c r="D3581" t="inlineStr">
        <is>
          <t>BW20301015</t>
        </is>
      </c>
      <c r="E3581" t="n">
        <v>2030</v>
      </c>
      <c r="F3581" t="inlineStr">
        <is>
          <t>Październik</t>
        </is>
      </c>
      <c r="G3581" t="inlineStr">
        <is>
          <t>Nd</t>
        </is>
      </c>
      <c r="H3581">
        <f>'Floor Hours Engine'!$E$6</f>
        <v/>
      </c>
      <c r="I3581" t="inlineStr">
        <is>
          <t>W3</t>
        </is>
      </c>
      <c r="J3581" t="inlineStr">
        <is>
          <t>2030_Październik_W3</t>
        </is>
      </c>
    </row>
    <row r="3582">
      <c r="A3582" s="177" t="n">
        <v>47777</v>
      </c>
      <c r="B3582" s="177" t="n">
        <v>47771</v>
      </c>
      <c r="C3582" s="177" t="n">
        <v>47777</v>
      </c>
      <c r="D3582" t="inlineStr">
        <is>
          <t>BW20301015</t>
        </is>
      </c>
      <c r="E3582" t="n">
        <v>2030</v>
      </c>
      <c r="F3582" t="inlineStr">
        <is>
          <t>Październik</t>
        </is>
      </c>
      <c r="G3582" t="inlineStr">
        <is>
          <t>Pn</t>
        </is>
      </c>
      <c r="H3582">
        <f>'Floor Hours Engine'!$E$4</f>
        <v/>
      </c>
      <c r="I3582" t="inlineStr">
        <is>
          <t>W3</t>
        </is>
      </c>
      <c r="J3582" t="inlineStr">
        <is>
          <t>2030_Październik_W3</t>
        </is>
      </c>
    </row>
    <row r="3583">
      <c r="A3583" s="177" t="n">
        <v>47778</v>
      </c>
      <c r="B3583" s="177" t="n">
        <v>47778</v>
      </c>
      <c r="C3583" s="177" t="n">
        <v>47784</v>
      </c>
      <c r="D3583" t="inlineStr">
        <is>
          <t>BW20301022</t>
        </is>
      </c>
      <c r="E3583" t="n">
        <v>2030</v>
      </c>
      <c r="F3583" t="inlineStr">
        <is>
          <t>Październik</t>
        </is>
      </c>
      <c r="G3583" t="inlineStr">
        <is>
          <t>Wt</t>
        </is>
      </c>
      <c r="H3583">
        <f>'Floor Hours Engine'!$E$4</f>
        <v/>
      </c>
      <c r="I3583" t="inlineStr">
        <is>
          <t>W4</t>
        </is>
      </c>
      <c r="J3583" t="inlineStr">
        <is>
          <t>2030_Październik_W4</t>
        </is>
      </c>
    </row>
    <row r="3584">
      <c r="A3584" s="177" t="n">
        <v>47779</v>
      </c>
      <c r="B3584" s="177" t="n">
        <v>47778</v>
      </c>
      <c r="C3584" s="177" t="n">
        <v>47784</v>
      </c>
      <c r="D3584" t="inlineStr">
        <is>
          <t>BW20301022</t>
        </is>
      </c>
      <c r="E3584" t="n">
        <v>2030</v>
      </c>
      <c r="F3584" t="inlineStr">
        <is>
          <t>Październik</t>
        </is>
      </c>
      <c r="G3584" t="inlineStr">
        <is>
          <t>Śr</t>
        </is>
      </c>
      <c r="H3584">
        <f>'Floor Hours Engine'!$E$4</f>
        <v/>
      </c>
      <c r="I3584" t="inlineStr">
        <is>
          <t>W4</t>
        </is>
      </c>
      <c r="J3584" t="inlineStr">
        <is>
          <t>2030_Październik_W4</t>
        </is>
      </c>
    </row>
    <row r="3585">
      <c r="A3585" s="177" t="n">
        <v>47780</v>
      </c>
      <c r="B3585" s="177" t="n">
        <v>47778</v>
      </c>
      <c r="C3585" s="177" t="n">
        <v>47784</v>
      </c>
      <c r="D3585" t="inlineStr">
        <is>
          <t>BW20301022</t>
        </is>
      </c>
      <c r="E3585" t="n">
        <v>2030</v>
      </c>
      <c r="F3585" t="inlineStr">
        <is>
          <t>Październik</t>
        </is>
      </c>
      <c r="G3585" t="inlineStr">
        <is>
          <t>Czw</t>
        </is>
      </c>
      <c r="H3585">
        <f>'Floor Hours Engine'!$E$4</f>
        <v/>
      </c>
      <c r="I3585" t="inlineStr">
        <is>
          <t>W4</t>
        </is>
      </c>
      <c r="J3585" t="inlineStr">
        <is>
          <t>2030_Październik_W4</t>
        </is>
      </c>
    </row>
    <row r="3586">
      <c r="A3586" s="177" t="n">
        <v>47781</v>
      </c>
      <c r="B3586" s="177" t="n">
        <v>47778</v>
      </c>
      <c r="C3586" s="177" t="n">
        <v>47784</v>
      </c>
      <c r="D3586" t="inlineStr">
        <is>
          <t>BW20301022</t>
        </is>
      </c>
      <c r="E3586" t="n">
        <v>2030</v>
      </c>
      <c r="F3586" t="inlineStr">
        <is>
          <t>Październik</t>
        </is>
      </c>
      <c r="G3586" t="inlineStr">
        <is>
          <t>Pt</t>
        </is>
      </c>
      <c r="H3586">
        <f>'Floor Hours Engine'!$E$5</f>
        <v/>
      </c>
      <c r="I3586" t="inlineStr">
        <is>
          <t>W4</t>
        </is>
      </c>
      <c r="J3586" t="inlineStr">
        <is>
          <t>2030_Październik_W4</t>
        </is>
      </c>
    </row>
    <row r="3587">
      <c r="A3587" s="177" t="n">
        <v>47782</v>
      </c>
      <c r="B3587" s="177" t="n">
        <v>47778</v>
      </c>
      <c r="C3587" s="177" t="n">
        <v>47784</v>
      </c>
      <c r="D3587" t="inlineStr">
        <is>
          <t>BW20301022</t>
        </is>
      </c>
      <c r="E3587" t="n">
        <v>2030</v>
      </c>
      <c r="F3587" t="inlineStr">
        <is>
          <t>Październik</t>
        </is>
      </c>
      <c r="G3587" t="inlineStr">
        <is>
          <t>Sob</t>
        </is>
      </c>
      <c r="H3587">
        <f>'Floor Hours Engine'!$E$5</f>
        <v/>
      </c>
      <c r="I3587" t="inlineStr">
        <is>
          <t>W4</t>
        </is>
      </c>
      <c r="J3587" t="inlineStr">
        <is>
          <t>2030_Październik_W4</t>
        </is>
      </c>
    </row>
    <row r="3588">
      <c r="A3588" s="177" t="n">
        <v>47783</v>
      </c>
      <c r="B3588" s="177" t="n">
        <v>47778</v>
      </c>
      <c r="C3588" s="177" t="n">
        <v>47784</v>
      </c>
      <c r="D3588" t="inlineStr">
        <is>
          <t>BW20301022</t>
        </is>
      </c>
      <c r="E3588" t="n">
        <v>2030</v>
      </c>
      <c r="F3588" t="inlineStr">
        <is>
          <t>Październik</t>
        </is>
      </c>
      <c r="G3588" t="inlineStr">
        <is>
          <t>Nd</t>
        </is>
      </c>
      <c r="H3588">
        <f>'Floor Hours Engine'!$E$6</f>
        <v/>
      </c>
      <c r="I3588" t="inlineStr">
        <is>
          <t>W4</t>
        </is>
      </c>
      <c r="J3588" t="inlineStr">
        <is>
          <t>2030_Październik_W4</t>
        </is>
      </c>
    </row>
    <row r="3589">
      <c r="A3589" s="177" t="n">
        <v>47784</v>
      </c>
      <c r="B3589" s="177" t="n">
        <v>47778</v>
      </c>
      <c r="C3589" s="177" t="n">
        <v>47784</v>
      </c>
      <c r="D3589" t="inlineStr">
        <is>
          <t>BW20301022</t>
        </is>
      </c>
      <c r="E3589" t="n">
        <v>2030</v>
      </c>
      <c r="F3589" t="inlineStr">
        <is>
          <t>Październik</t>
        </is>
      </c>
      <c r="G3589" t="inlineStr">
        <is>
          <t>Pn</t>
        </is>
      </c>
      <c r="H3589">
        <f>'Floor Hours Engine'!$E$4</f>
        <v/>
      </c>
      <c r="I3589" t="inlineStr">
        <is>
          <t>W4</t>
        </is>
      </c>
      <c r="J3589" t="inlineStr">
        <is>
          <t>2030_Październik_W4</t>
        </is>
      </c>
    </row>
    <row r="3590">
      <c r="A3590" s="177" t="n">
        <v>47785</v>
      </c>
      <c r="B3590" s="177" t="n">
        <v>47785</v>
      </c>
      <c r="C3590" s="177" t="n">
        <v>47791</v>
      </c>
      <c r="D3590" t="inlineStr">
        <is>
          <t>BW20301029</t>
        </is>
      </c>
      <c r="E3590" t="n">
        <v>2030</v>
      </c>
      <c r="F3590" t="inlineStr">
        <is>
          <t>Październik</t>
        </is>
      </c>
      <c r="G3590" t="inlineStr">
        <is>
          <t>Wt</t>
        </is>
      </c>
      <c r="H3590">
        <f>'Floor Hours Engine'!$E$4</f>
        <v/>
      </c>
      <c r="I3590" t="inlineStr">
        <is>
          <t>W5</t>
        </is>
      </c>
      <c r="J3590" t="inlineStr">
        <is>
          <t>2030_Październik_W5</t>
        </is>
      </c>
    </row>
    <row r="3591">
      <c r="A3591" s="177" t="n">
        <v>47786</v>
      </c>
      <c r="B3591" s="177" t="n">
        <v>47785</v>
      </c>
      <c r="C3591" s="177" t="n">
        <v>47791</v>
      </c>
      <c r="D3591" t="inlineStr">
        <is>
          <t>BW20301029</t>
        </is>
      </c>
      <c r="E3591" t="n">
        <v>2030</v>
      </c>
      <c r="F3591" t="inlineStr">
        <is>
          <t>Październik</t>
        </is>
      </c>
      <c r="G3591" t="inlineStr">
        <is>
          <t>Śr</t>
        </is>
      </c>
      <c r="H3591">
        <f>'Floor Hours Engine'!$E$4</f>
        <v/>
      </c>
      <c r="I3591" t="inlineStr">
        <is>
          <t>W5</t>
        </is>
      </c>
      <c r="J3591" t="inlineStr">
        <is>
          <t>2030_Październik_W5</t>
        </is>
      </c>
    </row>
    <row r="3592">
      <c r="A3592" s="177" t="n">
        <v>47787</v>
      </c>
      <c r="B3592" s="177" t="n">
        <v>47785</v>
      </c>
      <c r="C3592" s="177" t="n">
        <v>47791</v>
      </c>
      <c r="D3592" t="inlineStr">
        <is>
          <t>BW20301029</t>
        </is>
      </c>
      <c r="E3592" t="n">
        <v>2030</v>
      </c>
      <c r="F3592" t="inlineStr">
        <is>
          <t>Październik</t>
        </is>
      </c>
      <c r="G3592" t="inlineStr">
        <is>
          <t>Czw</t>
        </is>
      </c>
      <c r="H3592">
        <f>'Floor Hours Engine'!$E$4</f>
        <v/>
      </c>
      <c r="I3592" t="inlineStr">
        <is>
          <t>W5</t>
        </is>
      </c>
      <c r="J3592" t="inlineStr">
        <is>
          <t>2030_Październik_W5</t>
        </is>
      </c>
    </row>
    <row r="3593">
      <c r="A3593" s="177" t="n">
        <v>47788</v>
      </c>
      <c r="B3593" s="177" t="n">
        <v>47785</v>
      </c>
      <c r="C3593" s="177" t="n">
        <v>47791</v>
      </c>
      <c r="D3593" t="inlineStr">
        <is>
          <t>BW20301029</t>
        </is>
      </c>
      <c r="E3593" t="n">
        <v>2030</v>
      </c>
      <c r="F3593" t="inlineStr">
        <is>
          <t>Listopad</t>
        </is>
      </c>
      <c r="G3593" t="inlineStr">
        <is>
          <t>Pt</t>
        </is>
      </c>
      <c r="H3593">
        <f>'Floor Hours Engine'!$E$5</f>
        <v/>
      </c>
      <c r="I3593" t="inlineStr">
        <is>
          <t>W1</t>
        </is>
      </c>
      <c r="J3593" t="inlineStr">
        <is>
          <t>2030_Listopad_W1</t>
        </is>
      </c>
    </row>
    <row r="3594">
      <c r="A3594" s="177" t="n">
        <v>47789</v>
      </c>
      <c r="B3594" s="177" t="n">
        <v>47785</v>
      </c>
      <c r="C3594" s="177" t="n">
        <v>47791</v>
      </c>
      <c r="D3594" t="inlineStr">
        <is>
          <t>BW20301029</t>
        </is>
      </c>
      <c r="E3594" t="n">
        <v>2030</v>
      </c>
      <c r="F3594" t="inlineStr">
        <is>
          <t>Listopad</t>
        </is>
      </c>
      <c r="G3594" t="inlineStr">
        <is>
          <t>Sob</t>
        </is>
      </c>
      <c r="H3594">
        <f>'Floor Hours Engine'!$E$5</f>
        <v/>
      </c>
      <c r="I3594" t="inlineStr">
        <is>
          <t>W1</t>
        </is>
      </c>
      <c r="J3594" t="inlineStr">
        <is>
          <t>2030_Listopad_W1</t>
        </is>
      </c>
    </row>
    <row r="3595">
      <c r="A3595" s="177" t="n">
        <v>47790</v>
      </c>
      <c r="B3595" s="177" t="n">
        <v>47785</v>
      </c>
      <c r="C3595" s="177" t="n">
        <v>47791</v>
      </c>
      <c r="D3595" t="inlineStr">
        <is>
          <t>BW20301029</t>
        </is>
      </c>
      <c r="E3595" t="n">
        <v>2030</v>
      </c>
      <c r="F3595" t="inlineStr">
        <is>
          <t>Listopad</t>
        </is>
      </c>
      <c r="G3595" t="inlineStr">
        <is>
          <t>Nd</t>
        </is>
      </c>
      <c r="H3595">
        <f>'Floor Hours Engine'!$E$6</f>
        <v/>
      </c>
      <c r="I3595" t="inlineStr">
        <is>
          <t>W1</t>
        </is>
      </c>
      <c r="J3595" t="inlineStr">
        <is>
          <t>2030_Listopad_W1</t>
        </is>
      </c>
    </row>
    <row r="3596">
      <c r="A3596" s="177" t="n">
        <v>47791</v>
      </c>
      <c r="B3596" s="177" t="n">
        <v>47785</v>
      </c>
      <c r="C3596" s="177" t="n">
        <v>47791</v>
      </c>
      <c r="D3596" t="inlineStr">
        <is>
          <t>BW20301029</t>
        </is>
      </c>
      <c r="E3596" t="n">
        <v>2030</v>
      </c>
      <c r="F3596" t="inlineStr">
        <is>
          <t>Listopad</t>
        </is>
      </c>
      <c r="G3596" t="inlineStr">
        <is>
          <t>Pn</t>
        </is>
      </c>
      <c r="H3596">
        <f>'Floor Hours Engine'!$E$4</f>
        <v/>
      </c>
      <c r="I3596" t="inlineStr">
        <is>
          <t>W1</t>
        </is>
      </c>
      <c r="J3596" t="inlineStr">
        <is>
          <t>2030_Listopad_W1</t>
        </is>
      </c>
    </row>
    <row r="3597">
      <c r="A3597" s="177" t="n">
        <v>47792</v>
      </c>
      <c r="B3597" s="177" t="n">
        <v>47792</v>
      </c>
      <c r="C3597" s="177" t="n">
        <v>47798</v>
      </c>
      <c r="D3597" t="inlineStr">
        <is>
          <t>BW20301105</t>
        </is>
      </c>
      <c r="E3597" t="n">
        <v>2030</v>
      </c>
      <c r="F3597" t="inlineStr">
        <is>
          <t>Listopad</t>
        </is>
      </c>
      <c r="G3597" t="inlineStr">
        <is>
          <t>Wt</t>
        </is>
      </c>
      <c r="H3597">
        <f>'Floor Hours Engine'!$E$4</f>
        <v/>
      </c>
      <c r="I3597" t="inlineStr">
        <is>
          <t>W2</t>
        </is>
      </c>
      <c r="J3597" t="inlineStr">
        <is>
          <t>2030_Listopad_W2</t>
        </is>
      </c>
    </row>
    <row r="3598">
      <c r="A3598" s="177" t="n">
        <v>47793</v>
      </c>
      <c r="B3598" s="177" t="n">
        <v>47792</v>
      </c>
      <c r="C3598" s="177" t="n">
        <v>47798</v>
      </c>
      <c r="D3598" t="inlineStr">
        <is>
          <t>BW20301105</t>
        </is>
      </c>
      <c r="E3598" t="n">
        <v>2030</v>
      </c>
      <c r="F3598" t="inlineStr">
        <is>
          <t>Listopad</t>
        </is>
      </c>
      <c r="G3598" t="inlineStr">
        <is>
          <t>Śr</t>
        </is>
      </c>
      <c r="H3598">
        <f>'Floor Hours Engine'!$E$4</f>
        <v/>
      </c>
      <c r="I3598" t="inlineStr">
        <is>
          <t>W2</t>
        </is>
      </c>
      <c r="J3598" t="inlineStr">
        <is>
          <t>2030_Listopad_W2</t>
        </is>
      </c>
    </row>
    <row r="3599">
      <c r="A3599" s="177" t="n">
        <v>47794</v>
      </c>
      <c r="B3599" s="177" t="n">
        <v>47792</v>
      </c>
      <c r="C3599" s="177" t="n">
        <v>47798</v>
      </c>
      <c r="D3599" t="inlineStr">
        <is>
          <t>BW20301105</t>
        </is>
      </c>
      <c r="E3599" t="n">
        <v>2030</v>
      </c>
      <c r="F3599" t="inlineStr">
        <is>
          <t>Listopad</t>
        </is>
      </c>
      <c r="G3599" t="inlineStr">
        <is>
          <t>Czw</t>
        </is>
      </c>
      <c r="H3599">
        <f>'Floor Hours Engine'!$E$4</f>
        <v/>
      </c>
      <c r="I3599" t="inlineStr">
        <is>
          <t>W2</t>
        </is>
      </c>
      <c r="J3599" t="inlineStr">
        <is>
          <t>2030_Listopad_W2</t>
        </is>
      </c>
    </row>
    <row r="3600">
      <c r="A3600" s="177" t="n">
        <v>47795</v>
      </c>
      <c r="B3600" s="177" t="n">
        <v>47792</v>
      </c>
      <c r="C3600" s="177" t="n">
        <v>47798</v>
      </c>
      <c r="D3600" t="inlineStr">
        <is>
          <t>BW20301105</t>
        </is>
      </c>
      <c r="E3600" t="n">
        <v>2030</v>
      </c>
      <c r="F3600" t="inlineStr">
        <is>
          <t>Listopad</t>
        </is>
      </c>
      <c r="G3600" t="inlineStr">
        <is>
          <t>Pt</t>
        </is>
      </c>
      <c r="H3600">
        <f>'Floor Hours Engine'!$E$5</f>
        <v/>
      </c>
      <c r="I3600" t="inlineStr">
        <is>
          <t>W2</t>
        </is>
      </c>
      <c r="J3600" t="inlineStr">
        <is>
          <t>2030_Listopad_W2</t>
        </is>
      </c>
    </row>
    <row r="3601">
      <c r="A3601" s="177" t="n">
        <v>47796</v>
      </c>
      <c r="B3601" s="177" t="n">
        <v>47792</v>
      </c>
      <c r="C3601" s="177" t="n">
        <v>47798</v>
      </c>
      <c r="D3601" t="inlineStr">
        <is>
          <t>BW20301105</t>
        </is>
      </c>
      <c r="E3601" t="n">
        <v>2030</v>
      </c>
      <c r="F3601" t="inlineStr">
        <is>
          <t>Listopad</t>
        </is>
      </c>
      <c r="G3601" t="inlineStr">
        <is>
          <t>Sob</t>
        </is>
      </c>
      <c r="H3601">
        <f>'Floor Hours Engine'!$E$5</f>
        <v/>
      </c>
      <c r="I3601" t="inlineStr">
        <is>
          <t>W2</t>
        </is>
      </c>
      <c r="J3601" t="inlineStr">
        <is>
          <t>2030_Listopad_W2</t>
        </is>
      </c>
    </row>
    <row r="3602">
      <c r="A3602" s="177" t="n">
        <v>47797</v>
      </c>
      <c r="B3602" s="177" t="n">
        <v>47792</v>
      </c>
      <c r="C3602" s="177" t="n">
        <v>47798</v>
      </c>
      <c r="D3602" t="inlineStr">
        <is>
          <t>BW20301105</t>
        </is>
      </c>
      <c r="E3602" t="n">
        <v>2030</v>
      </c>
      <c r="F3602" t="inlineStr">
        <is>
          <t>Listopad</t>
        </is>
      </c>
      <c r="G3602" t="inlineStr">
        <is>
          <t>Nd</t>
        </is>
      </c>
      <c r="H3602">
        <f>'Floor Hours Engine'!$E$6</f>
        <v/>
      </c>
      <c r="I3602" t="inlineStr">
        <is>
          <t>W2</t>
        </is>
      </c>
      <c r="J3602" t="inlineStr">
        <is>
          <t>2030_Listopad_W2</t>
        </is>
      </c>
    </row>
    <row r="3603">
      <c r="A3603" s="177" t="n">
        <v>47798</v>
      </c>
      <c r="B3603" s="177" t="n">
        <v>47792</v>
      </c>
      <c r="C3603" s="177" t="n">
        <v>47798</v>
      </c>
      <c r="D3603" t="inlineStr">
        <is>
          <t>BW20301105</t>
        </is>
      </c>
      <c r="E3603" t="n">
        <v>2030</v>
      </c>
      <c r="F3603" t="inlineStr">
        <is>
          <t>Listopad</t>
        </is>
      </c>
      <c r="G3603" t="inlineStr">
        <is>
          <t>Pn</t>
        </is>
      </c>
      <c r="H3603">
        <f>'Floor Hours Engine'!$E$4</f>
        <v/>
      </c>
      <c r="I3603" t="inlineStr">
        <is>
          <t>W2</t>
        </is>
      </c>
      <c r="J3603" t="inlineStr">
        <is>
          <t>2030_Listopad_W2</t>
        </is>
      </c>
    </row>
    <row r="3604">
      <c r="A3604" s="177" t="n">
        <v>47799</v>
      </c>
      <c r="B3604" s="177" t="n">
        <v>47799</v>
      </c>
      <c r="C3604" s="177" t="n">
        <v>47805</v>
      </c>
      <c r="D3604" t="inlineStr">
        <is>
          <t>BW20301112</t>
        </is>
      </c>
      <c r="E3604" t="n">
        <v>2030</v>
      </c>
      <c r="F3604" t="inlineStr">
        <is>
          <t>Listopad</t>
        </is>
      </c>
      <c r="G3604" t="inlineStr">
        <is>
          <t>Wt</t>
        </is>
      </c>
      <c r="H3604">
        <f>'Floor Hours Engine'!$E$4</f>
        <v/>
      </c>
      <c r="I3604" t="inlineStr">
        <is>
          <t>W3</t>
        </is>
      </c>
      <c r="J3604" t="inlineStr">
        <is>
          <t>2030_Listopad_W3</t>
        </is>
      </c>
    </row>
    <row r="3605">
      <c r="A3605" s="177" t="n">
        <v>47800</v>
      </c>
      <c r="B3605" s="177" t="n">
        <v>47799</v>
      </c>
      <c r="C3605" s="177" t="n">
        <v>47805</v>
      </c>
      <c r="D3605" t="inlineStr">
        <is>
          <t>BW20301112</t>
        </is>
      </c>
      <c r="E3605" t="n">
        <v>2030</v>
      </c>
      <c r="F3605" t="inlineStr">
        <is>
          <t>Listopad</t>
        </is>
      </c>
      <c r="G3605" t="inlineStr">
        <is>
          <t>Śr</t>
        </is>
      </c>
      <c r="H3605">
        <f>'Floor Hours Engine'!$E$4</f>
        <v/>
      </c>
      <c r="I3605" t="inlineStr">
        <is>
          <t>W3</t>
        </is>
      </c>
      <c r="J3605" t="inlineStr">
        <is>
          <t>2030_Listopad_W3</t>
        </is>
      </c>
    </row>
    <row r="3606">
      <c r="A3606" s="177" t="n">
        <v>47801</v>
      </c>
      <c r="B3606" s="177" t="n">
        <v>47799</v>
      </c>
      <c r="C3606" s="177" t="n">
        <v>47805</v>
      </c>
      <c r="D3606" t="inlineStr">
        <is>
          <t>BW20301112</t>
        </is>
      </c>
      <c r="E3606" t="n">
        <v>2030</v>
      </c>
      <c r="F3606" t="inlineStr">
        <is>
          <t>Listopad</t>
        </is>
      </c>
      <c r="G3606" t="inlineStr">
        <is>
          <t>Czw</t>
        </is>
      </c>
      <c r="H3606">
        <f>'Floor Hours Engine'!$E$4</f>
        <v/>
      </c>
      <c r="I3606" t="inlineStr">
        <is>
          <t>W3</t>
        </is>
      </c>
      <c r="J3606" t="inlineStr">
        <is>
          <t>2030_Listopad_W3</t>
        </is>
      </c>
    </row>
    <row r="3607">
      <c r="A3607" s="177" t="n">
        <v>47802</v>
      </c>
      <c r="B3607" s="177" t="n">
        <v>47799</v>
      </c>
      <c r="C3607" s="177" t="n">
        <v>47805</v>
      </c>
      <c r="D3607" t="inlineStr">
        <is>
          <t>BW20301112</t>
        </is>
      </c>
      <c r="E3607" t="n">
        <v>2030</v>
      </c>
      <c r="F3607" t="inlineStr">
        <is>
          <t>Listopad</t>
        </is>
      </c>
      <c r="G3607" t="inlineStr">
        <is>
          <t>Pt</t>
        </is>
      </c>
      <c r="H3607">
        <f>'Floor Hours Engine'!$E$5</f>
        <v/>
      </c>
      <c r="I3607" t="inlineStr">
        <is>
          <t>W3</t>
        </is>
      </c>
      <c r="J3607" t="inlineStr">
        <is>
          <t>2030_Listopad_W3</t>
        </is>
      </c>
    </row>
    <row r="3608">
      <c r="A3608" s="177" t="n">
        <v>47803</v>
      </c>
      <c r="B3608" s="177" t="n">
        <v>47799</v>
      </c>
      <c r="C3608" s="177" t="n">
        <v>47805</v>
      </c>
      <c r="D3608" t="inlineStr">
        <is>
          <t>BW20301112</t>
        </is>
      </c>
      <c r="E3608" t="n">
        <v>2030</v>
      </c>
      <c r="F3608" t="inlineStr">
        <is>
          <t>Listopad</t>
        </is>
      </c>
      <c r="G3608" t="inlineStr">
        <is>
          <t>Sob</t>
        </is>
      </c>
      <c r="H3608">
        <f>'Floor Hours Engine'!$E$5</f>
        <v/>
      </c>
      <c r="I3608" t="inlineStr">
        <is>
          <t>W3</t>
        </is>
      </c>
      <c r="J3608" t="inlineStr">
        <is>
          <t>2030_Listopad_W3</t>
        </is>
      </c>
    </row>
    <row r="3609">
      <c r="A3609" s="177" t="n">
        <v>47804</v>
      </c>
      <c r="B3609" s="177" t="n">
        <v>47799</v>
      </c>
      <c r="C3609" s="177" t="n">
        <v>47805</v>
      </c>
      <c r="D3609" t="inlineStr">
        <is>
          <t>BW20301112</t>
        </is>
      </c>
      <c r="E3609" t="n">
        <v>2030</v>
      </c>
      <c r="F3609" t="inlineStr">
        <is>
          <t>Listopad</t>
        </is>
      </c>
      <c r="G3609" t="inlineStr">
        <is>
          <t>Nd</t>
        </is>
      </c>
      <c r="H3609">
        <f>'Floor Hours Engine'!$E$6</f>
        <v/>
      </c>
      <c r="I3609" t="inlineStr">
        <is>
          <t>W3</t>
        </is>
      </c>
      <c r="J3609" t="inlineStr">
        <is>
          <t>2030_Listopad_W3</t>
        </is>
      </c>
    </row>
    <row r="3610">
      <c r="A3610" s="177" t="n">
        <v>47805</v>
      </c>
      <c r="B3610" s="177" t="n">
        <v>47799</v>
      </c>
      <c r="C3610" s="177" t="n">
        <v>47805</v>
      </c>
      <c r="D3610" t="inlineStr">
        <is>
          <t>BW20301112</t>
        </is>
      </c>
      <c r="E3610" t="n">
        <v>2030</v>
      </c>
      <c r="F3610" t="inlineStr">
        <is>
          <t>Listopad</t>
        </is>
      </c>
      <c r="G3610" t="inlineStr">
        <is>
          <t>Pn</t>
        </is>
      </c>
      <c r="H3610">
        <f>'Floor Hours Engine'!$E$4</f>
        <v/>
      </c>
      <c r="I3610" t="inlineStr">
        <is>
          <t>W3</t>
        </is>
      </c>
      <c r="J3610" t="inlineStr">
        <is>
          <t>2030_Listopad_W3</t>
        </is>
      </c>
    </row>
    <row r="3611">
      <c r="A3611" s="177" t="n">
        <v>47806</v>
      </c>
      <c r="B3611" s="177" t="n">
        <v>47806</v>
      </c>
      <c r="C3611" s="177" t="n">
        <v>47812</v>
      </c>
      <c r="D3611" t="inlineStr">
        <is>
          <t>BW20301119</t>
        </is>
      </c>
      <c r="E3611" t="n">
        <v>2030</v>
      </c>
      <c r="F3611" t="inlineStr">
        <is>
          <t>Listopad</t>
        </is>
      </c>
      <c r="G3611" t="inlineStr">
        <is>
          <t>Wt</t>
        </is>
      </c>
      <c r="H3611">
        <f>'Floor Hours Engine'!$E$4</f>
        <v/>
      </c>
      <c r="I3611" t="inlineStr">
        <is>
          <t>W4</t>
        </is>
      </c>
      <c r="J3611" t="inlineStr">
        <is>
          <t>2030_Listopad_W4</t>
        </is>
      </c>
    </row>
    <row r="3612">
      <c r="A3612" s="177" t="n">
        <v>47807</v>
      </c>
      <c r="B3612" s="177" t="n">
        <v>47806</v>
      </c>
      <c r="C3612" s="177" t="n">
        <v>47812</v>
      </c>
      <c r="D3612" t="inlineStr">
        <is>
          <t>BW20301119</t>
        </is>
      </c>
      <c r="E3612" t="n">
        <v>2030</v>
      </c>
      <c r="F3612" t="inlineStr">
        <is>
          <t>Listopad</t>
        </is>
      </c>
      <c r="G3612" t="inlineStr">
        <is>
          <t>Śr</t>
        </is>
      </c>
      <c r="H3612">
        <f>'Floor Hours Engine'!$E$4</f>
        <v/>
      </c>
      <c r="I3612" t="inlineStr">
        <is>
          <t>W4</t>
        </is>
      </c>
      <c r="J3612" t="inlineStr">
        <is>
          <t>2030_Listopad_W4</t>
        </is>
      </c>
    </row>
    <row r="3613">
      <c r="A3613" s="177" t="n">
        <v>47808</v>
      </c>
      <c r="B3613" s="177" t="n">
        <v>47806</v>
      </c>
      <c r="C3613" s="177" t="n">
        <v>47812</v>
      </c>
      <c r="D3613" t="inlineStr">
        <is>
          <t>BW20301119</t>
        </is>
      </c>
      <c r="E3613" t="n">
        <v>2030</v>
      </c>
      <c r="F3613" t="inlineStr">
        <is>
          <t>Listopad</t>
        </is>
      </c>
      <c r="G3613" t="inlineStr">
        <is>
          <t>Czw</t>
        </is>
      </c>
      <c r="H3613">
        <f>'Floor Hours Engine'!$E$4</f>
        <v/>
      </c>
      <c r="I3613" t="inlineStr">
        <is>
          <t>W4</t>
        </is>
      </c>
      <c r="J3613" t="inlineStr">
        <is>
          <t>2030_Listopad_W4</t>
        </is>
      </c>
    </row>
    <row r="3614">
      <c r="A3614" s="177" t="n">
        <v>47809</v>
      </c>
      <c r="B3614" s="177" t="n">
        <v>47806</v>
      </c>
      <c r="C3614" s="177" t="n">
        <v>47812</v>
      </c>
      <c r="D3614" t="inlineStr">
        <is>
          <t>BW20301119</t>
        </is>
      </c>
      <c r="E3614" t="n">
        <v>2030</v>
      </c>
      <c r="F3614" t="inlineStr">
        <is>
          <t>Listopad</t>
        </is>
      </c>
      <c r="G3614" t="inlineStr">
        <is>
          <t>Pt</t>
        </is>
      </c>
      <c r="H3614">
        <f>'Floor Hours Engine'!$E$5</f>
        <v/>
      </c>
      <c r="I3614" t="inlineStr">
        <is>
          <t>W4</t>
        </is>
      </c>
      <c r="J3614" t="inlineStr">
        <is>
          <t>2030_Listopad_W4</t>
        </is>
      </c>
    </row>
    <row r="3615">
      <c r="A3615" s="177" t="n">
        <v>47810</v>
      </c>
      <c r="B3615" s="177" t="n">
        <v>47806</v>
      </c>
      <c r="C3615" s="177" t="n">
        <v>47812</v>
      </c>
      <c r="D3615" t="inlineStr">
        <is>
          <t>BW20301119</t>
        </is>
      </c>
      <c r="E3615" t="n">
        <v>2030</v>
      </c>
      <c r="F3615" t="inlineStr">
        <is>
          <t>Listopad</t>
        </is>
      </c>
      <c r="G3615" t="inlineStr">
        <is>
          <t>Sob</t>
        </is>
      </c>
      <c r="H3615">
        <f>'Floor Hours Engine'!$E$5</f>
        <v/>
      </c>
      <c r="I3615" t="inlineStr">
        <is>
          <t>W4</t>
        </is>
      </c>
      <c r="J3615" t="inlineStr">
        <is>
          <t>2030_Listopad_W4</t>
        </is>
      </c>
    </row>
    <row r="3616">
      <c r="A3616" s="177" t="n">
        <v>47811</v>
      </c>
      <c r="B3616" s="177" t="n">
        <v>47806</v>
      </c>
      <c r="C3616" s="177" t="n">
        <v>47812</v>
      </c>
      <c r="D3616" t="inlineStr">
        <is>
          <t>BW20301119</t>
        </is>
      </c>
      <c r="E3616" t="n">
        <v>2030</v>
      </c>
      <c r="F3616" t="inlineStr">
        <is>
          <t>Listopad</t>
        </is>
      </c>
      <c r="G3616" t="inlineStr">
        <is>
          <t>Nd</t>
        </is>
      </c>
      <c r="H3616">
        <f>'Floor Hours Engine'!$E$6</f>
        <v/>
      </c>
      <c r="I3616" t="inlineStr">
        <is>
          <t>W4</t>
        </is>
      </c>
      <c r="J3616" t="inlineStr">
        <is>
          <t>2030_Listopad_W4</t>
        </is>
      </c>
    </row>
    <row r="3617">
      <c r="A3617" s="177" t="n">
        <v>47812</v>
      </c>
      <c r="B3617" s="177" t="n">
        <v>47806</v>
      </c>
      <c r="C3617" s="177" t="n">
        <v>47812</v>
      </c>
      <c r="D3617" t="inlineStr">
        <is>
          <t>BW20301119</t>
        </is>
      </c>
      <c r="E3617" t="n">
        <v>2030</v>
      </c>
      <c r="F3617" t="inlineStr">
        <is>
          <t>Listopad</t>
        </is>
      </c>
      <c r="G3617" t="inlineStr">
        <is>
          <t>Pn</t>
        </is>
      </c>
      <c r="H3617">
        <f>'Floor Hours Engine'!$E$4</f>
        <v/>
      </c>
      <c r="I3617" t="inlineStr">
        <is>
          <t>W4</t>
        </is>
      </c>
      <c r="J3617" t="inlineStr">
        <is>
          <t>2030_Listopad_W4</t>
        </is>
      </c>
    </row>
    <row r="3618">
      <c r="A3618" s="177" t="n">
        <v>47813</v>
      </c>
      <c r="B3618" s="177" t="n">
        <v>47813</v>
      </c>
      <c r="C3618" s="177" t="n">
        <v>47819</v>
      </c>
      <c r="D3618" t="inlineStr">
        <is>
          <t>BW20301126</t>
        </is>
      </c>
      <c r="E3618" t="n">
        <v>2030</v>
      </c>
      <c r="F3618" t="inlineStr">
        <is>
          <t>Listopad</t>
        </is>
      </c>
      <c r="G3618" t="inlineStr">
        <is>
          <t>Wt</t>
        </is>
      </c>
      <c r="H3618">
        <f>'Floor Hours Engine'!$E$4</f>
        <v/>
      </c>
      <c r="I3618" t="inlineStr">
        <is>
          <t>W5</t>
        </is>
      </c>
      <c r="J3618" t="inlineStr">
        <is>
          <t>2030_Listopad_W5</t>
        </is>
      </c>
    </row>
    <row r="3619">
      <c r="A3619" s="177" t="n">
        <v>47814</v>
      </c>
      <c r="B3619" s="177" t="n">
        <v>47813</v>
      </c>
      <c r="C3619" s="177" t="n">
        <v>47819</v>
      </c>
      <c r="D3619" t="inlineStr">
        <is>
          <t>BW20301126</t>
        </is>
      </c>
      <c r="E3619" t="n">
        <v>2030</v>
      </c>
      <c r="F3619" t="inlineStr">
        <is>
          <t>Listopad</t>
        </is>
      </c>
      <c r="G3619" t="inlineStr">
        <is>
          <t>Śr</t>
        </is>
      </c>
      <c r="H3619">
        <f>'Floor Hours Engine'!$E$4</f>
        <v/>
      </c>
      <c r="I3619" t="inlineStr">
        <is>
          <t>W5</t>
        </is>
      </c>
      <c r="J3619" t="inlineStr">
        <is>
          <t>2030_Listopad_W5</t>
        </is>
      </c>
    </row>
    <row r="3620">
      <c r="A3620" s="177" t="n">
        <v>47815</v>
      </c>
      <c r="B3620" s="177" t="n">
        <v>47813</v>
      </c>
      <c r="C3620" s="177" t="n">
        <v>47819</v>
      </c>
      <c r="D3620" t="inlineStr">
        <is>
          <t>BW20301126</t>
        </is>
      </c>
      <c r="E3620" t="n">
        <v>2030</v>
      </c>
      <c r="F3620" t="inlineStr">
        <is>
          <t>Listopad</t>
        </is>
      </c>
      <c r="G3620" t="inlineStr">
        <is>
          <t>Czw</t>
        </is>
      </c>
      <c r="H3620">
        <f>'Floor Hours Engine'!$E$4</f>
        <v/>
      </c>
      <c r="I3620" t="inlineStr">
        <is>
          <t>W5</t>
        </is>
      </c>
      <c r="J3620" t="inlineStr">
        <is>
          <t>2030_Listopad_W5</t>
        </is>
      </c>
    </row>
    <row r="3621">
      <c r="A3621" s="177" t="n">
        <v>47816</v>
      </c>
      <c r="B3621" s="177" t="n">
        <v>47813</v>
      </c>
      <c r="C3621" s="177" t="n">
        <v>47819</v>
      </c>
      <c r="D3621" t="inlineStr">
        <is>
          <t>BW20301126</t>
        </is>
      </c>
      <c r="E3621" t="n">
        <v>2030</v>
      </c>
      <c r="F3621" t="inlineStr">
        <is>
          <t>Listopad</t>
        </is>
      </c>
      <c r="G3621" t="inlineStr">
        <is>
          <t>Pt</t>
        </is>
      </c>
      <c r="H3621">
        <f>'Floor Hours Engine'!$E$5</f>
        <v/>
      </c>
      <c r="I3621" t="inlineStr">
        <is>
          <t>W5</t>
        </is>
      </c>
      <c r="J3621" t="inlineStr">
        <is>
          <t>2030_Listopad_W5</t>
        </is>
      </c>
    </row>
    <row r="3622">
      <c r="A3622" s="177" t="n">
        <v>47817</v>
      </c>
      <c r="B3622" s="177" t="n">
        <v>47813</v>
      </c>
      <c r="C3622" s="177" t="n">
        <v>47819</v>
      </c>
      <c r="D3622" t="inlineStr">
        <is>
          <t>BW20301126</t>
        </is>
      </c>
      <c r="E3622" t="n">
        <v>2030</v>
      </c>
      <c r="F3622" t="inlineStr">
        <is>
          <t>Listopad</t>
        </is>
      </c>
      <c r="G3622" t="inlineStr">
        <is>
          <t>Sob</t>
        </is>
      </c>
      <c r="H3622">
        <f>'Floor Hours Engine'!$E$5</f>
        <v/>
      </c>
      <c r="I3622" t="inlineStr">
        <is>
          <t>W5</t>
        </is>
      </c>
      <c r="J3622" t="inlineStr">
        <is>
          <t>2030_Listopad_W5</t>
        </is>
      </c>
    </row>
    <row r="3623">
      <c r="A3623" s="177" t="n">
        <v>47818</v>
      </c>
      <c r="B3623" s="177" t="n">
        <v>47813</v>
      </c>
      <c r="C3623" s="177" t="n">
        <v>47819</v>
      </c>
      <c r="D3623" t="inlineStr">
        <is>
          <t>BW20301126</t>
        </is>
      </c>
      <c r="E3623" t="n">
        <v>2030</v>
      </c>
      <c r="F3623" t="inlineStr">
        <is>
          <t>Grudzień</t>
        </is>
      </c>
      <c r="G3623" t="inlineStr">
        <is>
          <t>Nd</t>
        </is>
      </c>
      <c r="H3623">
        <f>'Floor Hours Engine'!$E$6</f>
        <v/>
      </c>
      <c r="I3623" t="inlineStr">
        <is>
          <t>W1</t>
        </is>
      </c>
      <c r="J3623" t="inlineStr">
        <is>
          <t>2030_Grudzień_W1</t>
        </is>
      </c>
    </row>
    <row r="3624">
      <c r="A3624" s="177" t="n">
        <v>47819</v>
      </c>
      <c r="B3624" s="177" t="n">
        <v>47813</v>
      </c>
      <c r="C3624" s="177" t="n">
        <v>47819</v>
      </c>
      <c r="D3624" t="inlineStr">
        <is>
          <t>BW20301126</t>
        </is>
      </c>
      <c r="E3624" t="n">
        <v>2030</v>
      </c>
      <c r="F3624" t="inlineStr">
        <is>
          <t>Grudzień</t>
        </is>
      </c>
      <c r="G3624" t="inlineStr">
        <is>
          <t>Pn</t>
        </is>
      </c>
      <c r="H3624">
        <f>'Floor Hours Engine'!$E$4</f>
        <v/>
      </c>
      <c r="I3624" t="inlineStr">
        <is>
          <t>W1</t>
        </is>
      </c>
      <c r="J3624" t="inlineStr">
        <is>
          <t>2030_Grudzień_W1</t>
        </is>
      </c>
    </row>
    <row r="3625">
      <c r="A3625" s="177" t="n">
        <v>47820</v>
      </c>
      <c r="B3625" s="177" t="n">
        <v>47820</v>
      </c>
      <c r="C3625" s="177" t="n">
        <v>47826</v>
      </c>
      <c r="D3625" t="inlineStr">
        <is>
          <t>BW20301203</t>
        </is>
      </c>
      <c r="E3625" t="n">
        <v>2030</v>
      </c>
      <c r="F3625" t="inlineStr">
        <is>
          <t>Grudzień</t>
        </is>
      </c>
      <c r="G3625" t="inlineStr">
        <is>
          <t>Wt</t>
        </is>
      </c>
      <c r="H3625">
        <f>'Floor Hours Engine'!$E$4</f>
        <v/>
      </c>
      <c r="I3625" t="inlineStr">
        <is>
          <t>W2</t>
        </is>
      </c>
      <c r="J3625" t="inlineStr">
        <is>
          <t>2030_Grudzień_W2</t>
        </is>
      </c>
    </row>
    <row r="3626">
      <c r="A3626" s="177" t="n">
        <v>47821</v>
      </c>
      <c r="B3626" s="177" t="n">
        <v>47820</v>
      </c>
      <c r="C3626" s="177" t="n">
        <v>47826</v>
      </c>
      <c r="D3626" t="inlineStr">
        <is>
          <t>BW20301203</t>
        </is>
      </c>
      <c r="E3626" t="n">
        <v>2030</v>
      </c>
      <c r="F3626" t="inlineStr">
        <is>
          <t>Grudzień</t>
        </is>
      </c>
      <c r="G3626" t="inlineStr">
        <is>
          <t>Śr</t>
        </is>
      </c>
      <c r="H3626">
        <f>'Floor Hours Engine'!$E$4</f>
        <v/>
      </c>
      <c r="I3626" t="inlineStr">
        <is>
          <t>W2</t>
        </is>
      </c>
      <c r="J3626" t="inlineStr">
        <is>
          <t>2030_Grudzień_W2</t>
        </is>
      </c>
    </row>
    <row r="3627">
      <c r="A3627" s="177" t="n">
        <v>47822</v>
      </c>
      <c r="B3627" s="177" t="n">
        <v>47820</v>
      </c>
      <c r="C3627" s="177" t="n">
        <v>47826</v>
      </c>
      <c r="D3627" t="inlineStr">
        <is>
          <t>BW20301203</t>
        </is>
      </c>
      <c r="E3627" t="n">
        <v>2030</v>
      </c>
      <c r="F3627" t="inlineStr">
        <is>
          <t>Grudzień</t>
        </is>
      </c>
      <c r="G3627" t="inlineStr">
        <is>
          <t>Czw</t>
        </is>
      </c>
      <c r="H3627">
        <f>'Floor Hours Engine'!$E$4</f>
        <v/>
      </c>
      <c r="I3627" t="inlineStr">
        <is>
          <t>W2</t>
        </is>
      </c>
      <c r="J3627" t="inlineStr">
        <is>
          <t>2030_Grudzień_W2</t>
        </is>
      </c>
    </row>
    <row r="3628">
      <c r="A3628" s="177" t="n">
        <v>47823</v>
      </c>
      <c r="B3628" s="177" t="n">
        <v>47820</v>
      </c>
      <c r="C3628" s="177" t="n">
        <v>47826</v>
      </c>
      <c r="D3628" t="inlineStr">
        <is>
          <t>BW20301203</t>
        </is>
      </c>
      <c r="E3628" t="n">
        <v>2030</v>
      </c>
      <c r="F3628" t="inlineStr">
        <is>
          <t>Grudzień</t>
        </is>
      </c>
      <c r="G3628" t="inlineStr">
        <is>
          <t>Pt</t>
        </is>
      </c>
      <c r="H3628">
        <f>'Floor Hours Engine'!$E$5</f>
        <v/>
      </c>
      <c r="I3628" t="inlineStr">
        <is>
          <t>W2</t>
        </is>
      </c>
      <c r="J3628" t="inlineStr">
        <is>
          <t>2030_Grudzień_W2</t>
        </is>
      </c>
    </row>
    <row r="3629">
      <c r="A3629" s="177" t="n">
        <v>47824</v>
      </c>
      <c r="B3629" s="177" t="n">
        <v>47820</v>
      </c>
      <c r="C3629" s="177" t="n">
        <v>47826</v>
      </c>
      <c r="D3629" t="inlineStr">
        <is>
          <t>BW20301203</t>
        </is>
      </c>
      <c r="E3629" t="n">
        <v>2030</v>
      </c>
      <c r="F3629" t="inlineStr">
        <is>
          <t>Grudzień</t>
        </is>
      </c>
      <c r="G3629" t="inlineStr">
        <is>
          <t>Sob</t>
        </is>
      </c>
      <c r="H3629">
        <f>'Floor Hours Engine'!$E$5</f>
        <v/>
      </c>
      <c r="I3629" t="inlineStr">
        <is>
          <t>W2</t>
        </is>
      </c>
      <c r="J3629" t="inlineStr">
        <is>
          <t>2030_Grudzień_W2</t>
        </is>
      </c>
    </row>
    <row r="3630">
      <c r="A3630" s="177" t="n">
        <v>47825</v>
      </c>
      <c r="B3630" s="177" t="n">
        <v>47820</v>
      </c>
      <c r="C3630" s="177" t="n">
        <v>47826</v>
      </c>
      <c r="D3630" t="inlineStr">
        <is>
          <t>BW20301203</t>
        </is>
      </c>
      <c r="E3630" t="n">
        <v>2030</v>
      </c>
      <c r="F3630" t="inlineStr">
        <is>
          <t>Grudzień</t>
        </is>
      </c>
      <c r="G3630" t="inlineStr">
        <is>
          <t>Nd</t>
        </is>
      </c>
      <c r="H3630">
        <f>'Floor Hours Engine'!$E$6</f>
        <v/>
      </c>
      <c r="I3630" t="inlineStr">
        <is>
          <t>W2</t>
        </is>
      </c>
      <c r="J3630" t="inlineStr">
        <is>
          <t>2030_Grudzień_W2</t>
        </is>
      </c>
    </row>
    <row r="3631">
      <c r="A3631" s="177" t="n">
        <v>47826</v>
      </c>
      <c r="B3631" s="177" t="n">
        <v>47820</v>
      </c>
      <c r="C3631" s="177" t="n">
        <v>47826</v>
      </c>
      <c r="D3631" t="inlineStr">
        <is>
          <t>BW20301203</t>
        </is>
      </c>
      <c r="E3631" t="n">
        <v>2030</v>
      </c>
      <c r="F3631" t="inlineStr">
        <is>
          <t>Grudzień</t>
        </is>
      </c>
      <c r="G3631" t="inlineStr">
        <is>
          <t>Pn</t>
        </is>
      </c>
      <c r="H3631">
        <f>'Floor Hours Engine'!$E$4</f>
        <v/>
      </c>
      <c r="I3631" t="inlineStr">
        <is>
          <t>W2</t>
        </is>
      </c>
      <c r="J3631" t="inlineStr">
        <is>
          <t>2030_Grudzień_W2</t>
        </is>
      </c>
    </row>
    <row r="3632">
      <c r="A3632" s="177" t="n">
        <v>47827</v>
      </c>
      <c r="B3632" s="177" t="n">
        <v>47827</v>
      </c>
      <c r="C3632" s="177" t="n">
        <v>47833</v>
      </c>
      <c r="D3632" t="inlineStr">
        <is>
          <t>BW20301210</t>
        </is>
      </c>
      <c r="E3632" t="n">
        <v>2030</v>
      </c>
      <c r="F3632" t="inlineStr">
        <is>
          <t>Grudzień</t>
        </is>
      </c>
      <c r="G3632" t="inlineStr">
        <is>
          <t>Wt</t>
        </is>
      </c>
      <c r="H3632">
        <f>'Floor Hours Engine'!$E$4</f>
        <v/>
      </c>
      <c r="I3632" t="inlineStr">
        <is>
          <t>W3</t>
        </is>
      </c>
      <c r="J3632" t="inlineStr">
        <is>
          <t>2030_Grudzień_W3</t>
        </is>
      </c>
    </row>
    <row r="3633">
      <c r="A3633" s="177" t="n">
        <v>47828</v>
      </c>
      <c r="B3633" s="177" t="n">
        <v>47827</v>
      </c>
      <c r="C3633" s="177" t="n">
        <v>47833</v>
      </c>
      <c r="D3633" t="inlineStr">
        <is>
          <t>BW20301210</t>
        </is>
      </c>
      <c r="E3633" t="n">
        <v>2030</v>
      </c>
      <c r="F3633" t="inlineStr">
        <is>
          <t>Grudzień</t>
        </is>
      </c>
      <c r="G3633" t="inlineStr">
        <is>
          <t>Śr</t>
        </is>
      </c>
      <c r="H3633">
        <f>'Floor Hours Engine'!$E$4</f>
        <v/>
      </c>
      <c r="I3633" t="inlineStr">
        <is>
          <t>W3</t>
        </is>
      </c>
      <c r="J3633" t="inlineStr">
        <is>
          <t>2030_Grudzień_W3</t>
        </is>
      </c>
    </row>
    <row r="3634">
      <c r="A3634" s="177" t="n">
        <v>47829</v>
      </c>
      <c r="B3634" s="177" t="n">
        <v>47827</v>
      </c>
      <c r="C3634" s="177" t="n">
        <v>47833</v>
      </c>
      <c r="D3634" t="inlineStr">
        <is>
          <t>BW20301210</t>
        </is>
      </c>
      <c r="E3634" t="n">
        <v>2030</v>
      </c>
      <c r="F3634" t="inlineStr">
        <is>
          <t>Grudzień</t>
        </is>
      </c>
      <c r="G3634" t="inlineStr">
        <is>
          <t>Czw</t>
        </is>
      </c>
      <c r="H3634">
        <f>'Floor Hours Engine'!$E$4</f>
        <v/>
      </c>
      <c r="I3634" t="inlineStr">
        <is>
          <t>W3</t>
        </is>
      </c>
      <c r="J3634" t="inlineStr">
        <is>
          <t>2030_Grudzień_W3</t>
        </is>
      </c>
    </row>
    <row r="3635">
      <c r="A3635" s="177" t="n">
        <v>47830</v>
      </c>
      <c r="B3635" s="177" t="n">
        <v>47827</v>
      </c>
      <c r="C3635" s="177" t="n">
        <v>47833</v>
      </c>
      <c r="D3635" t="inlineStr">
        <is>
          <t>BW20301210</t>
        </is>
      </c>
      <c r="E3635" t="n">
        <v>2030</v>
      </c>
      <c r="F3635" t="inlineStr">
        <is>
          <t>Grudzień</t>
        </is>
      </c>
      <c r="G3635" t="inlineStr">
        <is>
          <t>Pt</t>
        </is>
      </c>
      <c r="H3635">
        <f>'Floor Hours Engine'!$E$5</f>
        <v/>
      </c>
      <c r="I3635" t="inlineStr">
        <is>
          <t>W3</t>
        </is>
      </c>
      <c r="J3635" t="inlineStr">
        <is>
          <t>2030_Grudzień_W3</t>
        </is>
      </c>
    </row>
    <row r="3636">
      <c r="A3636" s="177" t="n">
        <v>47831</v>
      </c>
      <c r="B3636" s="177" t="n">
        <v>47827</v>
      </c>
      <c r="C3636" s="177" t="n">
        <v>47833</v>
      </c>
      <c r="D3636" t="inlineStr">
        <is>
          <t>BW20301210</t>
        </is>
      </c>
      <c r="E3636" t="n">
        <v>2030</v>
      </c>
      <c r="F3636" t="inlineStr">
        <is>
          <t>Grudzień</t>
        </is>
      </c>
      <c r="G3636" t="inlineStr">
        <is>
          <t>Sob</t>
        </is>
      </c>
      <c r="H3636">
        <f>'Floor Hours Engine'!$E$5</f>
        <v/>
      </c>
      <c r="I3636" t="inlineStr">
        <is>
          <t>W3</t>
        </is>
      </c>
      <c r="J3636" t="inlineStr">
        <is>
          <t>2030_Grudzień_W3</t>
        </is>
      </c>
    </row>
    <row r="3637">
      <c r="A3637" s="177" t="n">
        <v>47832</v>
      </c>
      <c r="B3637" s="177" t="n">
        <v>47827</v>
      </c>
      <c r="C3637" s="177" t="n">
        <v>47833</v>
      </c>
      <c r="D3637" t="inlineStr">
        <is>
          <t>BW20301210</t>
        </is>
      </c>
      <c r="E3637" t="n">
        <v>2030</v>
      </c>
      <c r="F3637" t="inlineStr">
        <is>
          <t>Grudzień</t>
        </is>
      </c>
      <c r="G3637" t="inlineStr">
        <is>
          <t>Nd</t>
        </is>
      </c>
      <c r="H3637">
        <f>'Floor Hours Engine'!$E$6</f>
        <v/>
      </c>
      <c r="I3637" t="inlineStr">
        <is>
          <t>W3</t>
        </is>
      </c>
      <c r="J3637" t="inlineStr">
        <is>
          <t>2030_Grudzień_W3</t>
        </is>
      </c>
    </row>
    <row r="3638">
      <c r="A3638" s="177" t="n">
        <v>47833</v>
      </c>
      <c r="B3638" s="177" t="n">
        <v>47827</v>
      </c>
      <c r="C3638" s="177" t="n">
        <v>47833</v>
      </c>
      <c r="D3638" t="inlineStr">
        <is>
          <t>BW20301210</t>
        </is>
      </c>
      <c r="E3638" t="n">
        <v>2030</v>
      </c>
      <c r="F3638" t="inlineStr">
        <is>
          <t>Grudzień</t>
        </is>
      </c>
      <c r="G3638" t="inlineStr">
        <is>
          <t>Pn</t>
        </is>
      </c>
      <c r="H3638">
        <f>'Floor Hours Engine'!$E$4</f>
        <v/>
      </c>
      <c r="I3638" t="inlineStr">
        <is>
          <t>W3</t>
        </is>
      </c>
      <c r="J3638" t="inlineStr">
        <is>
          <t>2030_Grudzień_W3</t>
        </is>
      </c>
    </row>
    <row r="3639">
      <c r="A3639" s="177" t="n">
        <v>47834</v>
      </c>
      <c r="B3639" s="177" t="n">
        <v>47834</v>
      </c>
      <c r="C3639" s="177" t="n">
        <v>47840</v>
      </c>
      <c r="D3639" t="inlineStr">
        <is>
          <t>BW20301217</t>
        </is>
      </c>
      <c r="E3639" t="n">
        <v>2030</v>
      </c>
      <c r="F3639" t="inlineStr">
        <is>
          <t>Grudzień</t>
        </is>
      </c>
      <c r="G3639" t="inlineStr">
        <is>
          <t>Wt</t>
        </is>
      </c>
      <c r="H3639">
        <f>'Floor Hours Engine'!$E$4</f>
        <v/>
      </c>
      <c r="I3639" t="inlineStr">
        <is>
          <t>W4</t>
        </is>
      </c>
      <c r="J3639" t="inlineStr">
        <is>
          <t>2030_Grudzień_W4</t>
        </is>
      </c>
    </row>
    <row r="3640">
      <c r="A3640" s="177" t="n">
        <v>47835</v>
      </c>
      <c r="B3640" s="177" t="n">
        <v>47834</v>
      </c>
      <c r="C3640" s="177" t="n">
        <v>47840</v>
      </c>
      <c r="D3640" t="inlineStr">
        <is>
          <t>BW20301217</t>
        </is>
      </c>
      <c r="E3640" t="n">
        <v>2030</v>
      </c>
      <c r="F3640" t="inlineStr">
        <is>
          <t>Grudzień</t>
        </is>
      </c>
      <c r="G3640" t="inlineStr">
        <is>
          <t>Śr</t>
        </is>
      </c>
      <c r="H3640">
        <f>'Floor Hours Engine'!$E$4</f>
        <v/>
      </c>
      <c r="I3640" t="inlineStr">
        <is>
          <t>W4</t>
        </is>
      </c>
      <c r="J3640" t="inlineStr">
        <is>
          <t>2030_Grudzień_W4</t>
        </is>
      </c>
    </row>
    <row r="3641">
      <c r="A3641" s="177" t="n">
        <v>47836</v>
      </c>
      <c r="B3641" s="177" t="n">
        <v>47834</v>
      </c>
      <c r="C3641" s="177" t="n">
        <v>47840</v>
      </c>
      <c r="D3641" t="inlineStr">
        <is>
          <t>BW20301217</t>
        </is>
      </c>
      <c r="E3641" t="n">
        <v>2030</v>
      </c>
      <c r="F3641" t="inlineStr">
        <is>
          <t>Grudzień</t>
        </is>
      </c>
      <c r="G3641" t="inlineStr">
        <is>
          <t>Czw</t>
        </is>
      </c>
      <c r="H3641">
        <f>'Floor Hours Engine'!$E$4</f>
        <v/>
      </c>
      <c r="I3641" t="inlineStr">
        <is>
          <t>W4</t>
        </is>
      </c>
      <c r="J3641" t="inlineStr">
        <is>
          <t>2030_Grudzień_W4</t>
        </is>
      </c>
    </row>
    <row r="3642">
      <c r="A3642" s="177" t="n">
        <v>47837</v>
      </c>
      <c r="B3642" s="177" t="n">
        <v>47834</v>
      </c>
      <c r="C3642" s="177" t="n">
        <v>47840</v>
      </c>
      <c r="D3642" t="inlineStr">
        <is>
          <t>BW20301217</t>
        </is>
      </c>
      <c r="E3642" t="n">
        <v>2030</v>
      </c>
      <c r="F3642" t="inlineStr">
        <is>
          <t>Grudzień</t>
        </is>
      </c>
      <c r="G3642" t="inlineStr">
        <is>
          <t>Pt</t>
        </is>
      </c>
      <c r="H3642">
        <f>'Floor Hours Engine'!$E$5</f>
        <v/>
      </c>
      <c r="I3642" t="inlineStr">
        <is>
          <t>W4</t>
        </is>
      </c>
      <c r="J3642" t="inlineStr">
        <is>
          <t>2030_Grudzień_W4</t>
        </is>
      </c>
    </row>
    <row r="3643">
      <c r="A3643" s="177" t="n">
        <v>47838</v>
      </c>
      <c r="B3643" s="177" t="n">
        <v>47834</v>
      </c>
      <c r="C3643" s="177" t="n">
        <v>47840</v>
      </c>
      <c r="D3643" t="inlineStr">
        <is>
          <t>BW20301217</t>
        </is>
      </c>
      <c r="E3643" t="n">
        <v>2030</v>
      </c>
      <c r="F3643" t="inlineStr">
        <is>
          <t>Grudzień</t>
        </is>
      </c>
      <c r="G3643" t="inlineStr">
        <is>
          <t>Sob</t>
        </is>
      </c>
      <c r="H3643">
        <f>'Floor Hours Engine'!$E$5</f>
        <v/>
      </c>
      <c r="I3643" t="inlineStr">
        <is>
          <t>W4</t>
        </is>
      </c>
      <c r="J3643" t="inlineStr">
        <is>
          <t>2030_Grudzień_W4</t>
        </is>
      </c>
    </row>
    <row r="3644">
      <c r="A3644" s="177" t="n">
        <v>47839</v>
      </c>
      <c r="B3644" s="177" t="n">
        <v>47834</v>
      </c>
      <c r="C3644" s="177" t="n">
        <v>47840</v>
      </c>
      <c r="D3644" t="inlineStr">
        <is>
          <t>BW20301217</t>
        </is>
      </c>
      <c r="E3644" t="n">
        <v>2030</v>
      </c>
      <c r="F3644" t="inlineStr">
        <is>
          <t>Grudzień</t>
        </is>
      </c>
      <c r="G3644" t="inlineStr">
        <is>
          <t>Nd</t>
        </is>
      </c>
      <c r="H3644">
        <f>'Floor Hours Engine'!$E$6</f>
        <v/>
      </c>
      <c r="I3644" t="inlineStr">
        <is>
          <t>W4</t>
        </is>
      </c>
      <c r="J3644" t="inlineStr">
        <is>
          <t>2030_Grudzień_W4</t>
        </is>
      </c>
    </row>
    <row r="3645">
      <c r="A3645" s="177" t="n">
        <v>47840</v>
      </c>
      <c r="B3645" s="177" t="n">
        <v>47834</v>
      </c>
      <c r="C3645" s="177" t="n">
        <v>47840</v>
      </c>
      <c r="D3645" t="inlineStr">
        <is>
          <t>BW20301217</t>
        </is>
      </c>
      <c r="E3645" t="n">
        <v>2030</v>
      </c>
      <c r="F3645" t="inlineStr">
        <is>
          <t>Grudzień</t>
        </is>
      </c>
      <c r="G3645" t="inlineStr">
        <is>
          <t>Pn</t>
        </is>
      </c>
      <c r="H3645">
        <f>'Floor Hours Engine'!$E$4</f>
        <v/>
      </c>
      <c r="I3645" t="inlineStr">
        <is>
          <t>W4</t>
        </is>
      </c>
      <c r="J3645" t="inlineStr">
        <is>
          <t>2030_Grudzień_W4</t>
        </is>
      </c>
    </row>
    <row r="3646">
      <c r="A3646" s="177" t="n">
        <v>47841</v>
      </c>
      <c r="B3646" s="177" t="n">
        <v>47841</v>
      </c>
      <c r="C3646" s="177" t="n">
        <v>47847</v>
      </c>
      <c r="D3646" t="inlineStr">
        <is>
          <t>BW20301224</t>
        </is>
      </c>
      <c r="E3646" t="n">
        <v>2030</v>
      </c>
      <c r="F3646" t="inlineStr">
        <is>
          <t>Grudzień</t>
        </is>
      </c>
      <c r="G3646" t="inlineStr">
        <is>
          <t>Wt</t>
        </is>
      </c>
      <c r="H3646">
        <f>'Floor Hours Engine'!$E$4</f>
        <v/>
      </c>
      <c r="I3646" t="inlineStr">
        <is>
          <t>W5</t>
        </is>
      </c>
      <c r="J3646" t="inlineStr">
        <is>
          <t>2030_Grudzień_W5</t>
        </is>
      </c>
    </row>
    <row r="3647">
      <c r="A3647" s="177" t="n">
        <v>47842</v>
      </c>
      <c r="B3647" s="177" t="n">
        <v>47841</v>
      </c>
      <c r="C3647" s="177" t="n">
        <v>47847</v>
      </c>
      <c r="D3647" t="inlineStr">
        <is>
          <t>BW20301224</t>
        </is>
      </c>
      <c r="E3647" t="n">
        <v>2030</v>
      </c>
      <c r="F3647" t="inlineStr">
        <is>
          <t>Grudzień</t>
        </is>
      </c>
      <c r="G3647" t="inlineStr">
        <is>
          <t>Śr</t>
        </is>
      </c>
      <c r="H3647">
        <f>'Floor Hours Engine'!$E$4</f>
        <v/>
      </c>
      <c r="I3647" t="inlineStr">
        <is>
          <t>W5</t>
        </is>
      </c>
      <c r="J3647" t="inlineStr">
        <is>
          <t>2030_Grudzień_W5</t>
        </is>
      </c>
    </row>
    <row r="3648">
      <c r="A3648" s="177" t="n">
        <v>47843</v>
      </c>
      <c r="B3648" s="177" t="n">
        <v>47841</v>
      </c>
      <c r="C3648" s="177" t="n">
        <v>47847</v>
      </c>
      <c r="D3648" t="inlineStr">
        <is>
          <t>BW20301224</t>
        </is>
      </c>
      <c r="E3648" t="n">
        <v>2030</v>
      </c>
      <c r="F3648" t="inlineStr">
        <is>
          <t>Grudzień</t>
        </is>
      </c>
      <c r="G3648" t="inlineStr">
        <is>
          <t>Czw</t>
        </is>
      </c>
      <c r="H3648">
        <f>'Floor Hours Engine'!$E$4</f>
        <v/>
      </c>
      <c r="I3648" t="inlineStr">
        <is>
          <t>W5</t>
        </is>
      </c>
      <c r="J3648" t="inlineStr">
        <is>
          <t>2030_Grudzień_W5</t>
        </is>
      </c>
    </row>
    <row r="3649">
      <c r="A3649" s="177" t="n">
        <v>47844</v>
      </c>
      <c r="B3649" s="177" t="n">
        <v>47841</v>
      </c>
      <c r="C3649" s="177" t="n">
        <v>47847</v>
      </c>
      <c r="D3649" t="inlineStr">
        <is>
          <t>BW20301224</t>
        </is>
      </c>
      <c r="E3649" t="n">
        <v>2030</v>
      </c>
      <c r="F3649" t="inlineStr">
        <is>
          <t>Grudzień</t>
        </is>
      </c>
      <c r="G3649" t="inlineStr">
        <is>
          <t>Pt</t>
        </is>
      </c>
      <c r="H3649">
        <f>'Floor Hours Engine'!$E$5</f>
        <v/>
      </c>
      <c r="I3649" t="inlineStr">
        <is>
          <t>W5</t>
        </is>
      </c>
      <c r="J3649" t="inlineStr">
        <is>
          <t>2030_Grudzień_W5</t>
        </is>
      </c>
    </row>
    <row r="3650">
      <c r="A3650" s="177" t="n">
        <v>47845</v>
      </c>
      <c r="B3650" s="177" t="n">
        <v>47841</v>
      </c>
      <c r="C3650" s="177" t="n">
        <v>47847</v>
      </c>
      <c r="D3650" t="inlineStr">
        <is>
          <t>BW20301224</t>
        </is>
      </c>
      <c r="E3650" t="n">
        <v>2030</v>
      </c>
      <c r="F3650" t="inlineStr">
        <is>
          <t>Grudzień</t>
        </is>
      </c>
      <c r="G3650" t="inlineStr">
        <is>
          <t>Sob</t>
        </is>
      </c>
      <c r="H3650">
        <f>'Floor Hours Engine'!$E$5</f>
        <v/>
      </c>
      <c r="I3650" t="inlineStr">
        <is>
          <t>W5</t>
        </is>
      </c>
      <c r="J3650" t="inlineStr">
        <is>
          <t>2030_Grudzień_W5</t>
        </is>
      </c>
    </row>
    <row r="3651">
      <c r="A3651" s="177" t="n">
        <v>47846</v>
      </c>
      <c r="B3651" s="177" t="n">
        <v>47841</v>
      </c>
      <c r="C3651" s="177" t="n">
        <v>47847</v>
      </c>
      <c r="D3651" t="inlineStr">
        <is>
          <t>BW20301224</t>
        </is>
      </c>
      <c r="E3651" t="n">
        <v>2030</v>
      </c>
      <c r="F3651" t="inlineStr">
        <is>
          <t>Grudzień</t>
        </is>
      </c>
      <c r="G3651" t="inlineStr">
        <is>
          <t>Nd</t>
        </is>
      </c>
      <c r="H3651">
        <f>'Floor Hours Engine'!$E$6</f>
        <v/>
      </c>
      <c r="I3651" t="inlineStr">
        <is>
          <t>W5</t>
        </is>
      </c>
      <c r="J3651" t="inlineStr">
        <is>
          <t>2030_Grudzień_W5</t>
        </is>
      </c>
    </row>
    <row r="3652">
      <c r="A3652" s="177" t="n">
        <v>47847</v>
      </c>
      <c r="B3652" s="177" t="n">
        <v>47841</v>
      </c>
      <c r="C3652" s="177" t="n">
        <v>47847</v>
      </c>
      <c r="D3652" t="inlineStr">
        <is>
          <t>BW20301224</t>
        </is>
      </c>
      <c r="E3652" t="n">
        <v>2030</v>
      </c>
      <c r="F3652" t="inlineStr">
        <is>
          <t>Grudzień</t>
        </is>
      </c>
      <c r="G3652" t="inlineStr">
        <is>
          <t>Pn</t>
        </is>
      </c>
      <c r="H3652">
        <f>'Floor Hours Engine'!$E$4</f>
        <v/>
      </c>
      <c r="I3652" t="inlineStr">
        <is>
          <t>W5</t>
        </is>
      </c>
      <c r="J3652" t="inlineStr">
        <is>
          <t>2030_Grudzień_W5</t>
        </is>
      </c>
    </row>
    <row r="3653">
      <c r="A3653" s="177" t="n">
        <v>47848</v>
      </c>
      <c r="B3653" s="177" t="n">
        <v>47848</v>
      </c>
      <c r="C3653" s="177" t="n">
        <v>47854</v>
      </c>
      <c r="D3653" t="inlineStr">
        <is>
          <t>BW20301231</t>
        </is>
      </c>
      <c r="E3653" t="n">
        <v>2030</v>
      </c>
      <c r="F3653" t="inlineStr">
        <is>
          <t>Grudzień</t>
        </is>
      </c>
      <c r="G3653" t="inlineStr">
        <is>
          <t>Wt</t>
        </is>
      </c>
      <c r="H3653">
        <f>'Floor Hours Engine'!$E$4</f>
        <v/>
      </c>
      <c r="I3653" t="inlineStr">
        <is>
          <t>W6</t>
        </is>
      </c>
      <c r="J3653" t="inlineStr">
        <is>
          <t>2030_Grudzień_W6</t>
        </is>
      </c>
    </row>
    <row r="3654">
      <c r="A3654" s="177" t="n">
        <v>47849</v>
      </c>
      <c r="B3654" s="177" t="n">
        <v>47848</v>
      </c>
      <c r="C3654" s="177" t="n">
        <v>47854</v>
      </c>
      <c r="D3654" t="inlineStr">
        <is>
          <t>BW20301231</t>
        </is>
      </c>
      <c r="E3654" t="n">
        <v>2031</v>
      </c>
      <c r="F3654" t="inlineStr">
        <is>
          <t>Styczeń</t>
        </is>
      </c>
      <c r="G3654" t="inlineStr">
        <is>
          <t>Śr</t>
        </is>
      </c>
      <c r="H3654">
        <f>'Floor Hours Engine'!$E$4</f>
        <v/>
      </c>
      <c r="I3654" t="inlineStr">
        <is>
          <t>W1</t>
        </is>
      </c>
      <c r="J3654" t="inlineStr">
        <is>
          <t>2031_Styczeń_W1</t>
        </is>
      </c>
    </row>
    <row r="3655">
      <c r="A3655" s="177" t="n">
        <v>47850</v>
      </c>
      <c r="B3655" s="177" t="n">
        <v>47848</v>
      </c>
      <c r="C3655" s="177" t="n">
        <v>47854</v>
      </c>
      <c r="D3655" t="inlineStr">
        <is>
          <t>BW20301231</t>
        </is>
      </c>
      <c r="E3655" t="n">
        <v>2031</v>
      </c>
      <c r="F3655" t="inlineStr">
        <is>
          <t>Styczeń</t>
        </is>
      </c>
      <c r="G3655" t="inlineStr">
        <is>
          <t>Czw</t>
        </is>
      </c>
      <c r="H3655">
        <f>'Floor Hours Engine'!$E$4</f>
        <v/>
      </c>
      <c r="I3655" t="inlineStr">
        <is>
          <t>W1</t>
        </is>
      </c>
      <c r="J3655" t="inlineStr">
        <is>
          <t>2031_Styczeń_W1</t>
        </is>
      </c>
    </row>
    <row r="3656">
      <c r="A3656" s="177" t="n">
        <v>47851</v>
      </c>
      <c r="B3656" s="177" t="n">
        <v>47848</v>
      </c>
      <c r="C3656" s="177" t="n">
        <v>47854</v>
      </c>
      <c r="D3656" t="inlineStr">
        <is>
          <t>BW20301231</t>
        </is>
      </c>
      <c r="E3656" t="n">
        <v>2031</v>
      </c>
      <c r="F3656" t="inlineStr">
        <is>
          <t>Styczeń</t>
        </is>
      </c>
      <c r="G3656" t="inlineStr">
        <is>
          <t>Pt</t>
        </is>
      </c>
      <c r="H3656">
        <f>'Floor Hours Engine'!$E$5</f>
        <v/>
      </c>
      <c r="I3656" t="inlineStr">
        <is>
          <t>W1</t>
        </is>
      </c>
      <c r="J3656" t="inlineStr">
        <is>
          <t>2031_Styczeń_W1</t>
        </is>
      </c>
    </row>
    <row r="3657">
      <c r="A3657" s="177" t="n">
        <v>47852</v>
      </c>
      <c r="B3657" s="177" t="n">
        <v>47848</v>
      </c>
      <c r="C3657" s="177" t="n">
        <v>47854</v>
      </c>
      <c r="D3657" t="inlineStr">
        <is>
          <t>BW20301231</t>
        </is>
      </c>
      <c r="E3657" t="n">
        <v>2031</v>
      </c>
      <c r="F3657" t="inlineStr">
        <is>
          <t>Styczeń</t>
        </is>
      </c>
      <c r="G3657" t="inlineStr">
        <is>
          <t>Sob</t>
        </is>
      </c>
      <c r="H3657">
        <f>'Floor Hours Engine'!$E$5</f>
        <v/>
      </c>
      <c r="I3657" t="inlineStr">
        <is>
          <t>W1</t>
        </is>
      </c>
      <c r="J3657" t="inlineStr">
        <is>
          <t>2031_Styczeń_W1</t>
        </is>
      </c>
    </row>
    <row r="3658">
      <c r="A3658" s="177" t="n">
        <v>47853</v>
      </c>
      <c r="B3658" s="177" t="n">
        <v>47848</v>
      </c>
      <c r="C3658" s="177" t="n">
        <v>47854</v>
      </c>
      <c r="D3658" t="inlineStr">
        <is>
          <t>BW20301231</t>
        </is>
      </c>
      <c r="E3658" t="n">
        <v>2031</v>
      </c>
      <c r="F3658" t="inlineStr">
        <is>
          <t>Styczeń</t>
        </is>
      </c>
      <c r="G3658" t="inlineStr">
        <is>
          <t>Nd</t>
        </is>
      </c>
      <c r="H3658">
        <f>'Floor Hours Engine'!$E$6</f>
        <v/>
      </c>
      <c r="I3658" t="inlineStr">
        <is>
          <t>W1</t>
        </is>
      </c>
      <c r="J3658" t="inlineStr">
        <is>
          <t>2031_Styczeń_W1</t>
        </is>
      </c>
    </row>
    <row r="3659">
      <c r="A3659" s="177" t="n">
        <v>47854</v>
      </c>
      <c r="B3659" s="177" t="n">
        <v>47848</v>
      </c>
      <c r="C3659" s="177" t="n">
        <v>47854</v>
      </c>
      <c r="D3659" t="inlineStr">
        <is>
          <t>BW20301231</t>
        </is>
      </c>
      <c r="E3659" t="n">
        <v>2031</v>
      </c>
      <c r="F3659" t="inlineStr">
        <is>
          <t>Styczeń</t>
        </is>
      </c>
      <c r="G3659" t="inlineStr">
        <is>
          <t>Pn</t>
        </is>
      </c>
      <c r="H3659">
        <f>'Floor Hours Engine'!$E$4</f>
        <v/>
      </c>
      <c r="I3659" t="inlineStr">
        <is>
          <t>W1</t>
        </is>
      </c>
      <c r="J3659" t="inlineStr">
        <is>
          <t>2031_Styczeń_W1</t>
        </is>
      </c>
    </row>
    <row r="3660">
      <c r="A3660" s="177" t="n">
        <v>47855</v>
      </c>
      <c r="B3660" s="177" t="n">
        <v>47855</v>
      </c>
      <c r="C3660" s="177" t="n">
        <v>47861</v>
      </c>
      <c r="D3660" t="inlineStr">
        <is>
          <t>BW20310107</t>
        </is>
      </c>
      <c r="E3660" t="n">
        <v>2031</v>
      </c>
      <c r="F3660" t="inlineStr">
        <is>
          <t>Styczeń</t>
        </is>
      </c>
      <c r="G3660" t="inlineStr">
        <is>
          <t>Wt</t>
        </is>
      </c>
      <c r="H3660">
        <f>'Floor Hours Engine'!$E$4</f>
        <v/>
      </c>
      <c r="I3660" t="inlineStr">
        <is>
          <t>W2</t>
        </is>
      </c>
      <c r="J3660" t="inlineStr">
        <is>
          <t>2031_Styczeń_W2</t>
        </is>
      </c>
    </row>
    <row r="3661">
      <c r="A3661" s="177" t="n">
        <v>47856</v>
      </c>
      <c r="B3661" s="177" t="n">
        <v>47855</v>
      </c>
      <c r="C3661" s="177" t="n">
        <v>47861</v>
      </c>
      <c r="D3661" t="inlineStr">
        <is>
          <t>BW20310107</t>
        </is>
      </c>
      <c r="E3661" t="n">
        <v>2031</v>
      </c>
      <c r="F3661" t="inlineStr">
        <is>
          <t>Styczeń</t>
        </is>
      </c>
      <c r="G3661" t="inlineStr">
        <is>
          <t>Śr</t>
        </is>
      </c>
      <c r="H3661">
        <f>'Floor Hours Engine'!$E$4</f>
        <v/>
      </c>
      <c r="I3661" t="inlineStr">
        <is>
          <t>W2</t>
        </is>
      </c>
      <c r="J3661" t="inlineStr">
        <is>
          <t>2031_Styczeń_W2</t>
        </is>
      </c>
    </row>
    <row r="3662">
      <c r="A3662" s="177" t="n">
        <v>47857</v>
      </c>
      <c r="B3662" s="177" t="n">
        <v>47855</v>
      </c>
      <c r="C3662" s="177" t="n">
        <v>47861</v>
      </c>
      <c r="D3662" t="inlineStr">
        <is>
          <t>BW20310107</t>
        </is>
      </c>
      <c r="E3662" t="n">
        <v>2031</v>
      </c>
      <c r="F3662" t="inlineStr">
        <is>
          <t>Styczeń</t>
        </is>
      </c>
      <c r="G3662" t="inlineStr">
        <is>
          <t>Czw</t>
        </is>
      </c>
      <c r="H3662">
        <f>'Floor Hours Engine'!$E$4</f>
        <v/>
      </c>
      <c r="I3662" t="inlineStr">
        <is>
          <t>W2</t>
        </is>
      </c>
      <c r="J3662" t="inlineStr">
        <is>
          <t>2031_Styczeń_W2</t>
        </is>
      </c>
    </row>
    <row r="3663">
      <c r="A3663" s="177" t="n">
        <v>47858</v>
      </c>
      <c r="B3663" s="177" t="n">
        <v>47855</v>
      </c>
      <c r="C3663" s="177" t="n">
        <v>47861</v>
      </c>
      <c r="D3663" t="inlineStr">
        <is>
          <t>BW20310107</t>
        </is>
      </c>
      <c r="E3663" t="n">
        <v>2031</v>
      </c>
      <c r="F3663" t="inlineStr">
        <is>
          <t>Styczeń</t>
        </is>
      </c>
      <c r="G3663" t="inlineStr">
        <is>
          <t>Pt</t>
        </is>
      </c>
      <c r="H3663">
        <f>'Floor Hours Engine'!$E$5</f>
        <v/>
      </c>
      <c r="I3663" t="inlineStr">
        <is>
          <t>W2</t>
        </is>
      </c>
      <c r="J3663" t="inlineStr">
        <is>
          <t>2031_Styczeń_W2</t>
        </is>
      </c>
    </row>
    <row r="3664">
      <c r="A3664" s="177" t="n">
        <v>47859</v>
      </c>
      <c r="B3664" s="177" t="n">
        <v>47855</v>
      </c>
      <c r="C3664" s="177" t="n">
        <v>47861</v>
      </c>
      <c r="D3664" t="inlineStr">
        <is>
          <t>BW20310107</t>
        </is>
      </c>
      <c r="E3664" t="n">
        <v>2031</v>
      </c>
      <c r="F3664" t="inlineStr">
        <is>
          <t>Styczeń</t>
        </is>
      </c>
      <c r="G3664" t="inlineStr">
        <is>
          <t>Sob</t>
        </is>
      </c>
      <c r="H3664">
        <f>'Floor Hours Engine'!$E$5</f>
        <v/>
      </c>
      <c r="I3664" t="inlineStr">
        <is>
          <t>W2</t>
        </is>
      </c>
      <c r="J3664" t="inlineStr">
        <is>
          <t>2031_Styczeń_W2</t>
        </is>
      </c>
    </row>
    <row r="3665">
      <c r="A3665" s="177" t="n">
        <v>47860</v>
      </c>
      <c r="B3665" s="177" t="n">
        <v>47855</v>
      </c>
      <c r="C3665" s="177" t="n">
        <v>47861</v>
      </c>
      <c r="D3665" t="inlineStr">
        <is>
          <t>BW20310107</t>
        </is>
      </c>
      <c r="E3665" t="n">
        <v>2031</v>
      </c>
      <c r="F3665" t="inlineStr">
        <is>
          <t>Styczeń</t>
        </is>
      </c>
      <c r="G3665" t="inlineStr">
        <is>
          <t>Nd</t>
        </is>
      </c>
      <c r="H3665">
        <f>'Floor Hours Engine'!$E$6</f>
        <v/>
      </c>
      <c r="I3665" t="inlineStr">
        <is>
          <t>W2</t>
        </is>
      </c>
      <c r="J3665" t="inlineStr">
        <is>
          <t>2031_Styczeń_W2</t>
        </is>
      </c>
    </row>
    <row r="3666">
      <c r="A3666" s="177" t="n">
        <v>47861</v>
      </c>
      <c r="B3666" s="177" t="n">
        <v>47855</v>
      </c>
      <c r="C3666" s="177" t="n">
        <v>47861</v>
      </c>
      <c r="D3666" t="inlineStr">
        <is>
          <t>BW20310107</t>
        </is>
      </c>
      <c r="E3666" t="n">
        <v>2031</v>
      </c>
      <c r="F3666" t="inlineStr">
        <is>
          <t>Styczeń</t>
        </is>
      </c>
      <c r="G3666" t="inlineStr">
        <is>
          <t>Pn</t>
        </is>
      </c>
      <c r="H3666">
        <f>'Floor Hours Engine'!$E$4</f>
        <v/>
      </c>
      <c r="I3666" t="inlineStr">
        <is>
          <t>W2</t>
        </is>
      </c>
      <c r="J3666" t="inlineStr">
        <is>
          <t>2031_Styczeń_W2</t>
        </is>
      </c>
    </row>
    <row r="3667">
      <c r="A3667" s="177" t="n">
        <v>47862</v>
      </c>
      <c r="B3667" s="177" t="n">
        <v>47862</v>
      </c>
      <c r="C3667" s="177" t="n">
        <v>47868</v>
      </c>
      <c r="D3667" t="inlineStr">
        <is>
          <t>BW20310114</t>
        </is>
      </c>
      <c r="E3667" t="n">
        <v>2031</v>
      </c>
      <c r="F3667" t="inlineStr">
        <is>
          <t>Styczeń</t>
        </is>
      </c>
      <c r="G3667" t="inlineStr">
        <is>
          <t>Wt</t>
        </is>
      </c>
      <c r="H3667">
        <f>'Floor Hours Engine'!$E$4</f>
        <v/>
      </c>
      <c r="I3667" t="inlineStr">
        <is>
          <t>W3</t>
        </is>
      </c>
      <c r="J3667" t="inlineStr">
        <is>
          <t>2031_Styczeń_W3</t>
        </is>
      </c>
    </row>
    <row r="3668">
      <c r="A3668" s="177" t="n">
        <v>47863</v>
      </c>
      <c r="B3668" s="177" t="n">
        <v>47862</v>
      </c>
      <c r="C3668" s="177" t="n">
        <v>47868</v>
      </c>
      <c r="D3668" t="inlineStr">
        <is>
          <t>BW20310114</t>
        </is>
      </c>
      <c r="E3668" t="n">
        <v>2031</v>
      </c>
      <c r="F3668" t="inlineStr">
        <is>
          <t>Styczeń</t>
        </is>
      </c>
      <c r="G3668" t="inlineStr">
        <is>
          <t>Śr</t>
        </is>
      </c>
      <c r="H3668">
        <f>'Floor Hours Engine'!$E$4</f>
        <v/>
      </c>
      <c r="I3668" t="inlineStr">
        <is>
          <t>W3</t>
        </is>
      </c>
      <c r="J3668" t="inlineStr">
        <is>
          <t>2031_Styczeń_W3</t>
        </is>
      </c>
    </row>
    <row r="3669">
      <c r="A3669" s="177" t="n">
        <v>47864</v>
      </c>
      <c r="B3669" s="177" t="n">
        <v>47862</v>
      </c>
      <c r="C3669" s="177" t="n">
        <v>47868</v>
      </c>
      <c r="D3669" t="inlineStr">
        <is>
          <t>BW20310114</t>
        </is>
      </c>
      <c r="E3669" t="n">
        <v>2031</v>
      </c>
      <c r="F3669" t="inlineStr">
        <is>
          <t>Styczeń</t>
        </is>
      </c>
      <c r="G3669" t="inlineStr">
        <is>
          <t>Czw</t>
        </is>
      </c>
      <c r="H3669">
        <f>'Floor Hours Engine'!$E$4</f>
        <v/>
      </c>
      <c r="I3669" t="inlineStr">
        <is>
          <t>W3</t>
        </is>
      </c>
      <c r="J3669" t="inlineStr">
        <is>
          <t>2031_Styczeń_W3</t>
        </is>
      </c>
    </row>
    <row r="3670">
      <c r="A3670" s="177" t="n">
        <v>47865</v>
      </c>
      <c r="B3670" s="177" t="n">
        <v>47862</v>
      </c>
      <c r="C3670" s="177" t="n">
        <v>47868</v>
      </c>
      <c r="D3670" t="inlineStr">
        <is>
          <t>BW20310114</t>
        </is>
      </c>
      <c r="E3670" t="n">
        <v>2031</v>
      </c>
      <c r="F3670" t="inlineStr">
        <is>
          <t>Styczeń</t>
        </is>
      </c>
      <c r="G3670" t="inlineStr">
        <is>
          <t>Pt</t>
        </is>
      </c>
      <c r="H3670">
        <f>'Floor Hours Engine'!$E$5</f>
        <v/>
      </c>
      <c r="I3670" t="inlineStr">
        <is>
          <t>W3</t>
        </is>
      </c>
      <c r="J3670" t="inlineStr">
        <is>
          <t>2031_Styczeń_W3</t>
        </is>
      </c>
    </row>
    <row r="3671">
      <c r="A3671" s="177" t="n">
        <v>47866</v>
      </c>
      <c r="B3671" s="177" t="n">
        <v>47862</v>
      </c>
      <c r="C3671" s="177" t="n">
        <v>47868</v>
      </c>
      <c r="D3671" t="inlineStr">
        <is>
          <t>BW20310114</t>
        </is>
      </c>
      <c r="E3671" t="n">
        <v>2031</v>
      </c>
      <c r="F3671" t="inlineStr">
        <is>
          <t>Styczeń</t>
        </is>
      </c>
      <c r="G3671" t="inlineStr">
        <is>
          <t>Sob</t>
        </is>
      </c>
      <c r="H3671">
        <f>'Floor Hours Engine'!$E$5</f>
        <v/>
      </c>
      <c r="I3671" t="inlineStr">
        <is>
          <t>W3</t>
        </is>
      </c>
      <c r="J3671" t="inlineStr">
        <is>
          <t>2031_Styczeń_W3</t>
        </is>
      </c>
    </row>
    <row r="3672">
      <c r="A3672" s="177" t="n">
        <v>47867</v>
      </c>
      <c r="B3672" s="177" t="n">
        <v>47862</v>
      </c>
      <c r="C3672" s="177" t="n">
        <v>47868</v>
      </c>
      <c r="D3672" t="inlineStr">
        <is>
          <t>BW20310114</t>
        </is>
      </c>
      <c r="E3672" t="n">
        <v>2031</v>
      </c>
      <c r="F3672" t="inlineStr">
        <is>
          <t>Styczeń</t>
        </is>
      </c>
      <c r="G3672" t="inlineStr">
        <is>
          <t>Nd</t>
        </is>
      </c>
      <c r="H3672">
        <f>'Floor Hours Engine'!$E$6</f>
        <v/>
      </c>
      <c r="I3672" t="inlineStr">
        <is>
          <t>W3</t>
        </is>
      </c>
      <c r="J3672" t="inlineStr">
        <is>
          <t>2031_Styczeń_W3</t>
        </is>
      </c>
    </row>
    <row r="3673">
      <c r="A3673" s="177" t="n">
        <v>47868</v>
      </c>
      <c r="B3673" s="177" t="n">
        <v>47862</v>
      </c>
      <c r="C3673" s="177" t="n">
        <v>47868</v>
      </c>
      <c r="D3673" t="inlineStr">
        <is>
          <t>BW20310114</t>
        </is>
      </c>
      <c r="E3673" t="n">
        <v>2031</v>
      </c>
      <c r="F3673" t="inlineStr">
        <is>
          <t>Styczeń</t>
        </is>
      </c>
      <c r="G3673" t="inlineStr">
        <is>
          <t>Pn</t>
        </is>
      </c>
      <c r="H3673">
        <f>'Floor Hours Engine'!$E$4</f>
        <v/>
      </c>
      <c r="I3673" t="inlineStr">
        <is>
          <t>W3</t>
        </is>
      </c>
      <c r="J3673" t="inlineStr">
        <is>
          <t>2031_Styczeń_W3</t>
        </is>
      </c>
    </row>
    <row r="3674">
      <c r="A3674" s="177" t="n">
        <v>47869</v>
      </c>
      <c r="B3674" s="177" t="n">
        <v>47869</v>
      </c>
      <c r="C3674" s="177" t="n">
        <v>47875</v>
      </c>
      <c r="D3674" t="inlineStr">
        <is>
          <t>BW20310121</t>
        </is>
      </c>
      <c r="E3674" t="n">
        <v>2031</v>
      </c>
      <c r="F3674" t="inlineStr">
        <is>
          <t>Styczeń</t>
        </is>
      </c>
      <c r="G3674" t="inlineStr">
        <is>
          <t>Wt</t>
        </is>
      </c>
      <c r="H3674">
        <f>'Floor Hours Engine'!$E$4</f>
        <v/>
      </c>
      <c r="I3674" t="inlineStr">
        <is>
          <t>W4</t>
        </is>
      </c>
      <c r="J3674" t="inlineStr">
        <is>
          <t>2031_Styczeń_W4</t>
        </is>
      </c>
    </row>
    <row r="3675">
      <c r="A3675" s="177" t="n">
        <v>47870</v>
      </c>
      <c r="B3675" s="177" t="n">
        <v>47869</v>
      </c>
      <c r="C3675" s="177" t="n">
        <v>47875</v>
      </c>
      <c r="D3675" t="inlineStr">
        <is>
          <t>BW20310121</t>
        </is>
      </c>
      <c r="E3675" t="n">
        <v>2031</v>
      </c>
      <c r="F3675" t="inlineStr">
        <is>
          <t>Styczeń</t>
        </is>
      </c>
      <c r="G3675" t="inlineStr">
        <is>
          <t>Śr</t>
        </is>
      </c>
      <c r="H3675">
        <f>'Floor Hours Engine'!$E$4</f>
        <v/>
      </c>
      <c r="I3675" t="inlineStr">
        <is>
          <t>W4</t>
        </is>
      </c>
      <c r="J3675" t="inlineStr">
        <is>
          <t>2031_Styczeń_W4</t>
        </is>
      </c>
    </row>
    <row r="3676">
      <c r="A3676" s="177" t="n">
        <v>47871</v>
      </c>
      <c r="B3676" s="177" t="n">
        <v>47869</v>
      </c>
      <c r="C3676" s="177" t="n">
        <v>47875</v>
      </c>
      <c r="D3676" t="inlineStr">
        <is>
          <t>BW20310121</t>
        </is>
      </c>
      <c r="E3676" t="n">
        <v>2031</v>
      </c>
      <c r="F3676" t="inlineStr">
        <is>
          <t>Styczeń</t>
        </is>
      </c>
      <c r="G3676" t="inlineStr">
        <is>
          <t>Czw</t>
        </is>
      </c>
      <c r="H3676">
        <f>'Floor Hours Engine'!$E$4</f>
        <v/>
      </c>
      <c r="I3676" t="inlineStr">
        <is>
          <t>W4</t>
        </is>
      </c>
      <c r="J3676" t="inlineStr">
        <is>
          <t>2031_Styczeń_W4</t>
        </is>
      </c>
    </row>
    <row r="3677">
      <c r="A3677" s="177" t="n">
        <v>47872</v>
      </c>
      <c r="B3677" s="177" t="n">
        <v>47869</v>
      </c>
      <c r="C3677" s="177" t="n">
        <v>47875</v>
      </c>
      <c r="D3677" t="inlineStr">
        <is>
          <t>BW20310121</t>
        </is>
      </c>
      <c r="E3677" t="n">
        <v>2031</v>
      </c>
      <c r="F3677" t="inlineStr">
        <is>
          <t>Styczeń</t>
        </is>
      </c>
      <c r="G3677" t="inlineStr">
        <is>
          <t>Pt</t>
        </is>
      </c>
      <c r="H3677">
        <f>'Floor Hours Engine'!$E$5</f>
        <v/>
      </c>
      <c r="I3677" t="inlineStr">
        <is>
          <t>W4</t>
        </is>
      </c>
      <c r="J3677" t="inlineStr">
        <is>
          <t>2031_Styczeń_W4</t>
        </is>
      </c>
    </row>
    <row r="3678">
      <c r="A3678" s="177" t="n">
        <v>47873</v>
      </c>
      <c r="B3678" s="177" t="n">
        <v>47869</v>
      </c>
      <c r="C3678" s="177" t="n">
        <v>47875</v>
      </c>
      <c r="D3678" t="inlineStr">
        <is>
          <t>BW20310121</t>
        </is>
      </c>
      <c r="E3678" t="n">
        <v>2031</v>
      </c>
      <c r="F3678" t="inlineStr">
        <is>
          <t>Styczeń</t>
        </is>
      </c>
      <c r="G3678" t="inlineStr">
        <is>
          <t>Sob</t>
        </is>
      </c>
      <c r="H3678">
        <f>'Floor Hours Engine'!$E$5</f>
        <v/>
      </c>
      <c r="I3678" t="inlineStr">
        <is>
          <t>W4</t>
        </is>
      </c>
      <c r="J3678" t="inlineStr">
        <is>
          <t>2031_Styczeń_W4</t>
        </is>
      </c>
    </row>
    <row r="3679">
      <c r="A3679" s="177" t="n">
        <v>47874</v>
      </c>
      <c r="B3679" s="177" t="n">
        <v>47869</v>
      </c>
      <c r="C3679" s="177" t="n">
        <v>47875</v>
      </c>
      <c r="D3679" t="inlineStr">
        <is>
          <t>BW20310121</t>
        </is>
      </c>
      <c r="E3679" t="n">
        <v>2031</v>
      </c>
      <c r="F3679" t="inlineStr">
        <is>
          <t>Styczeń</t>
        </is>
      </c>
      <c r="G3679" t="inlineStr">
        <is>
          <t>Nd</t>
        </is>
      </c>
      <c r="H3679">
        <f>'Floor Hours Engine'!$E$6</f>
        <v/>
      </c>
      <c r="I3679" t="inlineStr">
        <is>
          <t>W4</t>
        </is>
      </c>
      <c r="J3679" t="inlineStr">
        <is>
          <t>2031_Styczeń_W4</t>
        </is>
      </c>
    </row>
    <row r="3680">
      <c r="A3680" s="177" t="n">
        <v>47875</v>
      </c>
      <c r="B3680" s="177" t="n">
        <v>47869</v>
      </c>
      <c r="C3680" s="177" t="n">
        <v>47875</v>
      </c>
      <c r="D3680" t="inlineStr">
        <is>
          <t>BW20310121</t>
        </is>
      </c>
      <c r="E3680" t="n">
        <v>2031</v>
      </c>
      <c r="F3680" t="inlineStr">
        <is>
          <t>Styczeń</t>
        </is>
      </c>
      <c r="G3680" t="inlineStr">
        <is>
          <t>Pn</t>
        </is>
      </c>
      <c r="H3680">
        <f>'Floor Hours Engine'!$E$4</f>
        <v/>
      </c>
      <c r="I3680" t="inlineStr">
        <is>
          <t>W4</t>
        </is>
      </c>
      <c r="J3680" t="inlineStr">
        <is>
          <t>2031_Styczeń_W4</t>
        </is>
      </c>
    </row>
    <row r="3681">
      <c r="A3681" s="177" t="n">
        <v>47876</v>
      </c>
      <c r="B3681" s="177" t="n">
        <v>47876</v>
      </c>
      <c r="C3681" s="177" t="n">
        <v>47882</v>
      </c>
      <c r="D3681" t="inlineStr">
        <is>
          <t>BW20310128</t>
        </is>
      </c>
      <c r="E3681" t="n">
        <v>2031</v>
      </c>
      <c r="F3681" t="inlineStr">
        <is>
          <t>Styczeń</t>
        </is>
      </c>
      <c r="G3681" t="inlineStr">
        <is>
          <t>Wt</t>
        </is>
      </c>
      <c r="H3681">
        <f>'Floor Hours Engine'!$E$4</f>
        <v/>
      </c>
      <c r="I3681" t="inlineStr">
        <is>
          <t>W5</t>
        </is>
      </c>
      <c r="J3681" t="inlineStr">
        <is>
          <t>2031_Styczeń_W5</t>
        </is>
      </c>
    </row>
    <row r="3682">
      <c r="A3682" s="177" t="n">
        <v>47877</v>
      </c>
      <c r="B3682" s="177" t="n">
        <v>47876</v>
      </c>
      <c r="C3682" s="177" t="n">
        <v>47882</v>
      </c>
      <c r="D3682" t="inlineStr">
        <is>
          <t>BW20310128</t>
        </is>
      </c>
      <c r="E3682" t="n">
        <v>2031</v>
      </c>
      <c r="F3682" t="inlineStr">
        <is>
          <t>Styczeń</t>
        </is>
      </c>
      <c r="G3682" t="inlineStr">
        <is>
          <t>Śr</t>
        </is>
      </c>
      <c r="H3682">
        <f>'Floor Hours Engine'!$E$4</f>
        <v/>
      </c>
      <c r="I3682" t="inlineStr">
        <is>
          <t>W5</t>
        </is>
      </c>
      <c r="J3682" t="inlineStr">
        <is>
          <t>2031_Styczeń_W5</t>
        </is>
      </c>
    </row>
    <row r="3683">
      <c r="A3683" s="177" t="n">
        <v>47878</v>
      </c>
      <c r="B3683" s="177" t="n">
        <v>47876</v>
      </c>
      <c r="C3683" s="177" t="n">
        <v>47882</v>
      </c>
      <c r="D3683" t="inlineStr">
        <is>
          <t>BW20310128</t>
        </is>
      </c>
      <c r="E3683" t="n">
        <v>2031</v>
      </c>
      <c r="F3683" t="inlineStr">
        <is>
          <t>Styczeń</t>
        </is>
      </c>
      <c r="G3683" t="inlineStr">
        <is>
          <t>Czw</t>
        </is>
      </c>
      <c r="H3683">
        <f>'Floor Hours Engine'!$E$4</f>
        <v/>
      </c>
      <c r="I3683" t="inlineStr">
        <is>
          <t>W5</t>
        </is>
      </c>
      <c r="J3683" t="inlineStr">
        <is>
          <t>2031_Styczeń_W5</t>
        </is>
      </c>
    </row>
    <row r="3684">
      <c r="A3684" s="177" t="n">
        <v>47879</v>
      </c>
      <c r="B3684" s="177" t="n">
        <v>47876</v>
      </c>
      <c r="C3684" s="177" t="n">
        <v>47882</v>
      </c>
      <c r="D3684" t="inlineStr">
        <is>
          <t>BW20310128</t>
        </is>
      </c>
      <c r="E3684" t="n">
        <v>2031</v>
      </c>
      <c r="F3684" t="inlineStr">
        <is>
          <t>Styczeń</t>
        </is>
      </c>
      <c r="G3684" t="inlineStr">
        <is>
          <t>Pt</t>
        </is>
      </c>
      <c r="H3684">
        <f>'Floor Hours Engine'!$E$5</f>
        <v/>
      </c>
      <c r="I3684" t="inlineStr">
        <is>
          <t>W5</t>
        </is>
      </c>
      <c r="J3684" t="inlineStr">
        <is>
          <t>2031_Styczeń_W5</t>
        </is>
      </c>
    </row>
    <row r="3685">
      <c r="A3685" s="177" t="n">
        <v>47880</v>
      </c>
      <c r="B3685" s="177" t="n">
        <v>47876</v>
      </c>
      <c r="C3685" s="177" t="n">
        <v>47882</v>
      </c>
      <c r="D3685" t="inlineStr">
        <is>
          <t>BW20310128</t>
        </is>
      </c>
      <c r="E3685" t="n">
        <v>2031</v>
      </c>
      <c r="F3685" t="inlineStr">
        <is>
          <t>Luty</t>
        </is>
      </c>
      <c r="G3685" t="inlineStr">
        <is>
          <t>Sob</t>
        </is>
      </c>
      <c r="H3685">
        <f>'Floor Hours Engine'!$E$5</f>
        <v/>
      </c>
      <c r="I3685" t="inlineStr">
        <is>
          <t>W1</t>
        </is>
      </c>
      <c r="J3685" t="inlineStr">
        <is>
          <t>2031_Luty_W1</t>
        </is>
      </c>
    </row>
    <row r="3686">
      <c r="A3686" s="177" t="n">
        <v>47881</v>
      </c>
      <c r="B3686" s="177" t="n">
        <v>47876</v>
      </c>
      <c r="C3686" s="177" t="n">
        <v>47882</v>
      </c>
      <c r="D3686" t="inlineStr">
        <is>
          <t>BW20310128</t>
        </is>
      </c>
      <c r="E3686" t="n">
        <v>2031</v>
      </c>
      <c r="F3686" t="inlineStr">
        <is>
          <t>Luty</t>
        </is>
      </c>
      <c r="G3686" t="inlineStr">
        <is>
          <t>Nd</t>
        </is>
      </c>
      <c r="H3686">
        <f>'Floor Hours Engine'!$E$6</f>
        <v/>
      </c>
      <c r="I3686" t="inlineStr">
        <is>
          <t>W1</t>
        </is>
      </c>
      <c r="J3686" t="inlineStr">
        <is>
          <t>2031_Luty_W1</t>
        </is>
      </c>
    </row>
    <row r="3687">
      <c r="A3687" s="177" t="n">
        <v>47882</v>
      </c>
      <c r="B3687" s="177" t="n">
        <v>47876</v>
      </c>
      <c r="C3687" s="177" t="n">
        <v>47882</v>
      </c>
      <c r="D3687" t="inlineStr">
        <is>
          <t>BW20310128</t>
        </is>
      </c>
      <c r="E3687" t="n">
        <v>2031</v>
      </c>
      <c r="F3687" t="inlineStr">
        <is>
          <t>Luty</t>
        </is>
      </c>
      <c r="G3687" t="inlineStr">
        <is>
          <t>Pn</t>
        </is>
      </c>
      <c r="H3687">
        <f>'Floor Hours Engine'!$E$4</f>
        <v/>
      </c>
      <c r="I3687" t="inlineStr">
        <is>
          <t>W1</t>
        </is>
      </c>
      <c r="J3687" t="inlineStr">
        <is>
          <t>2031_Luty_W1</t>
        </is>
      </c>
    </row>
    <row r="3688">
      <c r="A3688" s="177" t="n">
        <v>47883</v>
      </c>
      <c r="B3688" s="177" t="n">
        <v>47883</v>
      </c>
      <c r="C3688" s="177" t="n">
        <v>47889</v>
      </c>
      <c r="D3688" t="inlineStr">
        <is>
          <t>BW20310204</t>
        </is>
      </c>
      <c r="E3688" t="n">
        <v>2031</v>
      </c>
      <c r="F3688" t="inlineStr">
        <is>
          <t>Luty</t>
        </is>
      </c>
      <c r="G3688" t="inlineStr">
        <is>
          <t>Wt</t>
        </is>
      </c>
      <c r="H3688">
        <f>'Floor Hours Engine'!$E$4</f>
        <v/>
      </c>
      <c r="I3688" t="inlineStr">
        <is>
          <t>W2</t>
        </is>
      </c>
      <c r="J3688" t="inlineStr">
        <is>
          <t>2031_Luty_W2</t>
        </is>
      </c>
    </row>
    <row r="3689">
      <c r="A3689" s="177" t="n">
        <v>47884</v>
      </c>
      <c r="B3689" s="177" t="n">
        <v>47883</v>
      </c>
      <c r="C3689" s="177" t="n">
        <v>47889</v>
      </c>
      <c r="D3689" t="inlineStr">
        <is>
          <t>BW20310204</t>
        </is>
      </c>
      <c r="E3689" t="n">
        <v>2031</v>
      </c>
      <c r="F3689" t="inlineStr">
        <is>
          <t>Luty</t>
        </is>
      </c>
      <c r="G3689" t="inlineStr">
        <is>
          <t>Śr</t>
        </is>
      </c>
      <c r="H3689">
        <f>'Floor Hours Engine'!$E$4</f>
        <v/>
      </c>
      <c r="I3689" t="inlineStr">
        <is>
          <t>W2</t>
        </is>
      </c>
      <c r="J3689" t="inlineStr">
        <is>
          <t>2031_Luty_W2</t>
        </is>
      </c>
    </row>
    <row r="3690">
      <c r="A3690" s="177" t="n">
        <v>47885</v>
      </c>
      <c r="B3690" s="177" t="n">
        <v>47883</v>
      </c>
      <c r="C3690" s="177" t="n">
        <v>47889</v>
      </c>
      <c r="D3690" t="inlineStr">
        <is>
          <t>BW20310204</t>
        </is>
      </c>
      <c r="E3690" t="n">
        <v>2031</v>
      </c>
      <c r="F3690" t="inlineStr">
        <is>
          <t>Luty</t>
        </is>
      </c>
      <c r="G3690" t="inlineStr">
        <is>
          <t>Czw</t>
        </is>
      </c>
      <c r="H3690">
        <f>'Floor Hours Engine'!$E$4</f>
        <v/>
      </c>
      <c r="I3690" t="inlineStr">
        <is>
          <t>W2</t>
        </is>
      </c>
      <c r="J3690" t="inlineStr">
        <is>
          <t>2031_Luty_W2</t>
        </is>
      </c>
    </row>
    <row r="3691">
      <c r="A3691" s="177" t="n">
        <v>47886</v>
      </c>
      <c r="B3691" s="177" t="n">
        <v>47883</v>
      </c>
      <c r="C3691" s="177" t="n">
        <v>47889</v>
      </c>
      <c r="D3691" t="inlineStr">
        <is>
          <t>BW20310204</t>
        </is>
      </c>
      <c r="E3691" t="n">
        <v>2031</v>
      </c>
      <c r="F3691" t="inlineStr">
        <is>
          <t>Luty</t>
        </is>
      </c>
      <c r="G3691" t="inlineStr">
        <is>
          <t>Pt</t>
        </is>
      </c>
      <c r="H3691">
        <f>'Floor Hours Engine'!$E$5</f>
        <v/>
      </c>
      <c r="I3691" t="inlineStr">
        <is>
          <t>W2</t>
        </is>
      </c>
      <c r="J3691" t="inlineStr">
        <is>
          <t>2031_Luty_W2</t>
        </is>
      </c>
    </row>
    <row r="3692">
      <c r="A3692" s="177" t="n">
        <v>47887</v>
      </c>
      <c r="B3692" s="177" t="n">
        <v>47883</v>
      </c>
      <c r="C3692" s="177" t="n">
        <v>47889</v>
      </c>
      <c r="D3692" t="inlineStr">
        <is>
          <t>BW20310204</t>
        </is>
      </c>
      <c r="E3692" t="n">
        <v>2031</v>
      </c>
      <c r="F3692" t="inlineStr">
        <is>
          <t>Luty</t>
        </is>
      </c>
      <c r="G3692" t="inlineStr">
        <is>
          <t>Sob</t>
        </is>
      </c>
      <c r="H3692">
        <f>'Floor Hours Engine'!$E$5</f>
        <v/>
      </c>
      <c r="I3692" t="inlineStr">
        <is>
          <t>W2</t>
        </is>
      </c>
      <c r="J3692" t="inlineStr">
        <is>
          <t>2031_Luty_W2</t>
        </is>
      </c>
    </row>
    <row r="3693">
      <c r="A3693" s="177" t="n">
        <v>47888</v>
      </c>
      <c r="B3693" s="177" t="n">
        <v>47883</v>
      </c>
      <c r="C3693" s="177" t="n">
        <v>47889</v>
      </c>
      <c r="D3693" t="inlineStr">
        <is>
          <t>BW20310204</t>
        </is>
      </c>
      <c r="E3693" t="n">
        <v>2031</v>
      </c>
      <c r="F3693" t="inlineStr">
        <is>
          <t>Luty</t>
        </is>
      </c>
      <c r="G3693" t="inlineStr">
        <is>
          <t>Nd</t>
        </is>
      </c>
      <c r="H3693">
        <f>'Floor Hours Engine'!$E$6</f>
        <v/>
      </c>
      <c r="I3693" t="inlineStr">
        <is>
          <t>W2</t>
        </is>
      </c>
      <c r="J3693" t="inlineStr">
        <is>
          <t>2031_Luty_W2</t>
        </is>
      </c>
    </row>
    <row r="3694">
      <c r="A3694" s="177" t="n">
        <v>47889</v>
      </c>
      <c r="B3694" s="177" t="n">
        <v>47883</v>
      </c>
      <c r="C3694" s="177" t="n">
        <v>47889</v>
      </c>
      <c r="D3694" t="inlineStr">
        <is>
          <t>BW20310204</t>
        </is>
      </c>
      <c r="E3694" t="n">
        <v>2031</v>
      </c>
      <c r="F3694" t="inlineStr">
        <is>
          <t>Luty</t>
        </is>
      </c>
      <c r="G3694" t="inlineStr">
        <is>
          <t>Pn</t>
        </is>
      </c>
      <c r="H3694">
        <f>'Floor Hours Engine'!$E$4</f>
        <v/>
      </c>
      <c r="I3694" t="inlineStr">
        <is>
          <t>W2</t>
        </is>
      </c>
      <c r="J3694" t="inlineStr">
        <is>
          <t>2031_Luty_W2</t>
        </is>
      </c>
    </row>
    <row r="3695">
      <c r="A3695" s="177" t="n">
        <v>47890</v>
      </c>
      <c r="B3695" s="177" t="n">
        <v>47890</v>
      </c>
      <c r="C3695" s="177" t="n">
        <v>47896</v>
      </c>
      <c r="D3695" t="inlineStr">
        <is>
          <t>BW20310211</t>
        </is>
      </c>
      <c r="E3695" t="n">
        <v>2031</v>
      </c>
      <c r="F3695" t="inlineStr">
        <is>
          <t>Luty</t>
        </is>
      </c>
      <c r="G3695" t="inlineStr">
        <is>
          <t>Wt</t>
        </is>
      </c>
      <c r="H3695">
        <f>'Floor Hours Engine'!$E$4</f>
        <v/>
      </c>
      <c r="I3695" t="inlineStr">
        <is>
          <t>W3</t>
        </is>
      </c>
      <c r="J3695" t="inlineStr">
        <is>
          <t>2031_Luty_W3</t>
        </is>
      </c>
    </row>
    <row r="3696">
      <c r="A3696" s="177" t="n">
        <v>47891</v>
      </c>
      <c r="B3696" s="177" t="n">
        <v>47890</v>
      </c>
      <c r="C3696" s="177" t="n">
        <v>47896</v>
      </c>
      <c r="D3696" t="inlineStr">
        <is>
          <t>BW20310211</t>
        </is>
      </c>
      <c r="E3696" t="n">
        <v>2031</v>
      </c>
      <c r="F3696" t="inlineStr">
        <is>
          <t>Luty</t>
        </is>
      </c>
      <c r="G3696" t="inlineStr">
        <is>
          <t>Śr</t>
        </is>
      </c>
      <c r="H3696">
        <f>'Floor Hours Engine'!$E$4</f>
        <v/>
      </c>
      <c r="I3696" t="inlineStr">
        <is>
          <t>W3</t>
        </is>
      </c>
      <c r="J3696" t="inlineStr">
        <is>
          <t>2031_Luty_W3</t>
        </is>
      </c>
    </row>
    <row r="3697">
      <c r="A3697" s="177" t="n">
        <v>47892</v>
      </c>
      <c r="B3697" s="177" t="n">
        <v>47890</v>
      </c>
      <c r="C3697" s="177" t="n">
        <v>47896</v>
      </c>
      <c r="D3697" t="inlineStr">
        <is>
          <t>BW20310211</t>
        </is>
      </c>
      <c r="E3697" t="n">
        <v>2031</v>
      </c>
      <c r="F3697" t="inlineStr">
        <is>
          <t>Luty</t>
        </is>
      </c>
      <c r="G3697" t="inlineStr">
        <is>
          <t>Czw</t>
        </is>
      </c>
      <c r="H3697">
        <f>'Floor Hours Engine'!$E$4</f>
        <v/>
      </c>
      <c r="I3697" t="inlineStr">
        <is>
          <t>W3</t>
        </is>
      </c>
      <c r="J3697" t="inlineStr">
        <is>
          <t>2031_Luty_W3</t>
        </is>
      </c>
    </row>
    <row r="3698">
      <c r="A3698" s="177" t="n">
        <v>47893</v>
      </c>
      <c r="B3698" s="177" t="n">
        <v>47890</v>
      </c>
      <c r="C3698" s="177" t="n">
        <v>47896</v>
      </c>
      <c r="D3698" t="inlineStr">
        <is>
          <t>BW20310211</t>
        </is>
      </c>
      <c r="E3698" t="n">
        <v>2031</v>
      </c>
      <c r="F3698" t="inlineStr">
        <is>
          <t>Luty</t>
        </is>
      </c>
      <c r="G3698" t="inlineStr">
        <is>
          <t>Pt</t>
        </is>
      </c>
      <c r="H3698">
        <f>'Floor Hours Engine'!$E$5</f>
        <v/>
      </c>
      <c r="I3698" t="inlineStr">
        <is>
          <t>W3</t>
        </is>
      </c>
      <c r="J3698" t="inlineStr">
        <is>
          <t>2031_Luty_W3</t>
        </is>
      </c>
    </row>
    <row r="3699">
      <c r="A3699" s="177" t="n">
        <v>47894</v>
      </c>
      <c r="B3699" s="177" t="n">
        <v>47890</v>
      </c>
      <c r="C3699" s="177" t="n">
        <v>47896</v>
      </c>
      <c r="D3699" t="inlineStr">
        <is>
          <t>BW20310211</t>
        </is>
      </c>
      <c r="E3699" t="n">
        <v>2031</v>
      </c>
      <c r="F3699" t="inlineStr">
        <is>
          <t>Luty</t>
        </is>
      </c>
      <c r="G3699" t="inlineStr">
        <is>
          <t>Sob</t>
        </is>
      </c>
      <c r="H3699">
        <f>'Floor Hours Engine'!$E$5</f>
        <v/>
      </c>
      <c r="I3699" t="inlineStr">
        <is>
          <t>W3</t>
        </is>
      </c>
      <c r="J3699" t="inlineStr">
        <is>
          <t>2031_Luty_W3</t>
        </is>
      </c>
    </row>
    <row r="3700">
      <c r="A3700" s="177" t="n">
        <v>47895</v>
      </c>
      <c r="B3700" s="177" t="n">
        <v>47890</v>
      </c>
      <c r="C3700" s="177" t="n">
        <v>47896</v>
      </c>
      <c r="D3700" t="inlineStr">
        <is>
          <t>BW20310211</t>
        </is>
      </c>
      <c r="E3700" t="n">
        <v>2031</v>
      </c>
      <c r="F3700" t="inlineStr">
        <is>
          <t>Luty</t>
        </is>
      </c>
      <c r="G3700" t="inlineStr">
        <is>
          <t>Nd</t>
        </is>
      </c>
      <c r="H3700">
        <f>'Floor Hours Engine'!$E$6</f>
        <v/>
      </c>
      <c r="I3700" t="inlineStr">
        <is>
          <t>W3</t>
        </is>
      </c>
      <c r="J3700" t="inlineStr">
        <is>
          <t>2031_Luty_W3</t>
        </is>
      </c>
    </row>
    <row r="3701">
      <c r="A3701" s="177" t="n">
        <v>47896</v>
      </c>
      <c r="B3701" s="177" t="n">
        <v>47890</v>
      </c>
      <c r="C3701" s="177" t="n">
        <v>47896</v>
      </c>
      <c r="D3701" t="inlineStr">
        <is>
          <t>BW20310211</t>
        </is>
      </c>
      <c r="E3701" t="n">
        <v>2031</v>
      </c>
      <c r="F3701" t="inlineStr">
        <is>
          <t>Luty</t>
        </is>
      </c>
      <c r="G3701" t="inlineStr">
        <is>
          <t>Pn</t>
        </is>
      </c>
      <c r="H3701">
        <f>'Floor Hours Engine'!$E$4</f>
        <v/>
      </c>
      <c r="I3701" t="inlineStr">
        <is>
          <t>W3</t>
        </is>
      </c>
      <c r="J3701" t="inlineStr">
        <is>
          <t>2031_Luty_W3</t>
        </is>
      </c>
    </row>
    <row r="3702">
      <c r="A3702" s="177" t="n">
        <v>47897</v>
      </c>
      <c r="B3702" s="177" t="n">
        <v>47897</v>
      </c>
      <c r="C3702" s="177" t="n">
        <v>47903</v>
      </c>
      <c r="D3702" t="inlineStr">
        <is>
          <t>BW20310218</t>
        </is>
      </c>
      <c r="E3702" t="n">
        <v>2031</v>
      </c>
      <c r="F3702" t="inlineStr">
        <is>
          <t>Luty</t>
        </is>
      </c>
      <c r="G3702" t="inlineStr">
        <is>
          <t>Wt</t>
        </is>
      </c>
      <c r="H3702">
        <f>'Floor Hours Engine'!$E$4</f>
        <v/>
      </c>
      <c r="I3702" t="inlineStr">
        <is>
          <t>W4</t>
        </is>
      </c>
      <c r="J3702" t="inlineStr">
        <is>
          <t>2031_Luty_W4</t>
        </is>
      </c>
    </row>
    <row r="3703">
      <c r="A3703" s="177" t="n">
        <v>47898</v>
      </c>
      <c r="B3703" s="177" t="n">
        <v>47897</v>
      </c>
      <c r="C3703" s="177" t="n">
        <v>47903</v>
      </c>
      <c r="D3703" t="inlineStr">
        <is>
          <t>BW20310218</t>
        </is>
      </c>
      <c r="E3703" t="n">
        <v>2031</v>
      </c>
      <c r="F3703" t="inlineStr">
        <is>
          <t>Luty</t>
        </is>
      </c>
      <c r="G3703" t="inlineStr">
        <is>
          <t>Śr</t>
        </is>
      </c>
      <c r="H3703">
        <f>'Floor Hours Engine'!$E$4</f>
        <v/>
      </c>
      <c r="I3703" t="inlineStr">
        <is>
          <t>W4</t>
        </is>
      </c>
      <c r="J3703" t="inlineStr">
        <is>
          <t>2031_Luty_W4</t>
        </is>
      </c>
    </row>
    <row r="3704">
      <c r="A3704" s="177" t="n">
        <v>47899</v>
      </c>
      <c r="B3704" s="177" t="n">
        <v>47897</v>
      </c>
      <c r="C3704" s="177" t="n">
        <v>47903</v>
      </c>
      <c r="D3704" t="inlineStr">
        <is>
          <t>BW20310218</t>
        </is>
      </c>
      <c r="E3704" t="n">
        <v>2031</v>
      </c>
      <c r="F3704" t="inlineStr">
        <is>
          <t>Luty</t>
        </is>
      </c>
      <c r="G3704" t="inlineStr">
        <is>
          <t>Czw</t>
        </is>
      </c>
      <c r="H3704">
        <f>'Floor Hours Engine'!$E$4</f>
        <v/>
      </c>
      <c r="I3704" t="inlineStr">
        <is>
          <t>W4</t>
        </is>
      </c>
      <c r="J3704" t="inlineStr">
        <is>
          <t>2031_Luty_W4</t>
        </is>
      </c>
    </row>
    <row r="3705">
      <c r="A3705" s="177" t="n">
        <v>47900</v>
      </c>
      <c r="B3705" s="177" t="n">
        <v>47897</v>
      </c>
      <c r="C3705" s="177" t="n">
        <v>47903</v>
      </c>
      <c r="D3705" t="inlineStr">
        <is>
          <t>BW20310218</t>
        </is>
      </c>
      <c r="E3705" t="n">
        <v>2031</v>
      </c>
      <c r="F3705" t="inlineStr">
        <is>
          <t>Luty</t>
        </is>
      </c>
      <c r="G3705" t="inlineStr">
        <is>
          <t>Pt</t>
        </is>
      </c>
      <c r="H3705">
        <f>'Floor Hours Engine'!$E$5</f>
        <v/>
      </c>
      <c r="I3705" t="inlineStr">
        <is>
          <t>W4</t>
        </is>
      </c>
      <c r="J3705" t="inlineStr">
        <is>
          <t>2031_Luty_W4</t>
        </is>
      </c>
    </row>
    <row r="3706">
      <c r="A3706" s="177" t="n">
        <v>47901</v>
      </c>
      <c r="B3706" s="177" t="n">
        <v>47897</v>
      </c>
      <c r="C3706" s="177" t="n">
        <v>47903</v>
      </c>
      <c r="D3706" t="inlineStr">
        <is>
          <t>BW20310218</t>
        </is>
      </c>
      <c r="E3706" t="n">
        <v>2031</v>
      </c>
      <c r="F3706" t="inlineStr">
        <is>
          <t>Luty</t>
        </is>
      </c>
      <c r="G3706" t="inlineStr">
        <is>
          <t>Sob</t>
        </is>
      </c>
      <c r="H3706">
        <f>'Floor Hours Engine'!$E$5</f>
        <v/>
      </c>
      <c r="I3706" t="inlineStr">
        <is>
          <t>W4</t>
        </is>
      </c>
      <c r="J3706" t="inlineStr">
        <is>
          <t>2031_Luty_W4</t>
        </is>
      </c>
    </row>
    <row r="3707">
      <c r="A3707" s="177" t="n">
        <v>47902</v>
      </c>
      <c r="B3707" s="177" t="n">
        <v>47897</v>
      </c>
      <c r="C3707" s="177" t="n">
        <v>47903</v>
      </c>
      <c r="D3707" t="inlineStr">
        <is>
          <t>BW20310218</t>
        </is>
      </c>
      <c r="E3707" t="n">
        <v>2031</v>
      </c>
      <c r="F3707" t="inlineStr">
        <is>
          <t>Luty</t>
        </is>
      </c>
      <c r="G3707" t="inlineStr">
        <is>
          <t>Nd</t>
        </is>
      </c>
      <c r="H3707">
        <f>'Floor Hours Engine'!$E$6</f>
        <v/>
      </c>
      <c r="I3707" t="inlineStr">
        <is>
          <t>W4</t>
        </is>
      </c>
      <c r="J3707" t="inlineStr">
        <is>
          <t>2031_Luty_W4</t>
        </is>
      </c>
    </row>
    <row r="3708">
      <c r="A3708" s="177" t="n">
        <v>47903</v>
      </c>
      <c r="B3708" s="177" t="n">
        <v>47897</v>
      </c>
      <c r="C3708" s="177" t="n">
        <v>47903</v>
      </c>
      <c r="D3708" t="inlineStr">
        <is>
          <t>BW20310218</t>
        </is>
      </c>
      <c r="E3708" t="n">
        <v>2031</v>
      </c>
      <c r="F3708" t="inlineStr">
        <is>
          <t>Luty</t>
        </is>
      </c>
      <c r="G3708" t="inlineStr">
        <is>
          <t>Pn</t>
        </is>
      </c>
      <c r="H3708">
        <f>'Floor Hours Engine'!$E$4</f>
        <v/>
      </c>
      <c r="I3708" t="inlineStr">
        <is>
          <t>W4</t>
        </is>
      </c>
      <c r="J3708" t="inlineStr">
        <is>
          <t>2031_Luty_W4</t>
        </is>
      </c>
    </row>
    <row r="3709">
      <c r="A3709" s="177" t="n">
        <v>47904</v>
      </c>
      <c r="B3709" s="177" t="n">
        <v>47904</v>
      </c>
      <c r="C3709" s="177" t="n">
        <v>47910</v>
      </c>
      <c r="D3709" t="inlineStr">
        <is>
          <t>BW20310225</t>
        </is>
      </c>
      <c r="E3709" t="n">
        <v>2031</v>
      </c>
      <c r="F3709" t="inlineStr">
        <is>
          <t>Luty</t>
        </is>
      </c>
      <c r="G3709" t="inlineStr">
        <is>
          <t>Wt</t>
        </is>
      </c>
      <c r="H3709">
        <f>'Floor Hours Engine'!$E$4</f>
        <v/>
      </c>
      <c r="I3709" t="inlineStr">
        <is>
          <t>W5</t>
        </is>
      </c>
      <c r="J3709" t="inlineStr">
        <is>
          <t>2031_Luty_W5</t>
        </is>
      </c>
    </row>
    <row r="3710">
      <c r="A3710" s="177" t="n">
        <v>47905</v>
      </c>
      <c r="B3710" s="177" t="n">
        <v>47904</v>
      </c>
      <c r="C3710" s="177" t="n">
        <v>47910</v>
      </c>
      <c r="D3710" t="inlineStr">
        <is>
          <t>BW20310225</t>
        </is>
      </c>
      <c r="E3710" t="n">
        <v>2031</v>
      </c>
      <c r="F3710" t="inlineStr">
        <is>
          <t>Luty</t>
        </is>
      </c>
      <c r="G3710" t="inlineStr">
        <is>
          <t>Śr</t>
        </is>
      </c>
      <c r="H3710">
        <f>'Floor Hours Engine'!$E$4</f>
        <v/>
      </c>
      <c r="I3710" t="inlineStr">
        <is>
          <t>W5</t>
        </is>
      </c>
      <c r="J3710" t="inlineStr">
        <is>
          <t>2031_Luty_W5</t>
        </is>
      </c>
    </row>
    <row r="3711">
      <c r="A3711" s="177" t="n">
        <v>47906</v>
      </c>
      <c r="B3711" s="177" t="n">
        <v>47904</v>
      </c>
      <c r="C3711" s="177" t="n">
        <v>47910</v>
      </c>
      <c r="D3711" t="inlineStr">
        <is>
          <t>BW20310225</t>
        </is>
      </c>
      <c r="E3711" t="n">
        <v>2031</v>
      </c>
      <c r="F3711" t="inlineStr">
        <is>
          <t>Luty</t>
        </is>
      </c>
      <c r="G3711" t="inlineStr">
        <is>
          <t>Czw</t>
        </is>
      </c>
      <c r="H3711">
        <f>'Floor Hours Engine'!$E$4</f>
        <v/>
      </c>
      <c r="I3711" t="inlineStr">
        <is>
          <t>W5</t>
        </is>
      </c>
      <c r="J3711" t="inlineStr">
        <is>
          <t>2031_Luty_W5</t>
        </is>
      </c>
    </row>
    <row r="3712">
      <c r="A3712" s="177" t="n">
        <v>47907</v>
      </c>
      <c r="B3712" s="177" t="n">
        <v>47904</v>
      </c>
      <c r="C3712" s="177" t="n">
        <v>47910</v>
      </c>
      <c r="D3712" t="inlineStr">
        <is>
          <t>BW20310225</t>
        </is>
      </c>
      <c r="E3712" t="n">
        <v>2031</v>
      </c>
      <c r="F3712" t="inlineStr">
        <is>
          <t>Luty</t>
        </is>
      </c>
      <c r="G3712" t="inlineStr">
        <is>
          <t>Pt</t>
        </is>
      </c>
      <c r="H3712">
        <f>'Floor Hours Engine'!$E$5</f>
        <v/>
      </c>
      <c r="I3712" t="inlineStr">
        <is>
          <t>W5</t>
        </is>
      </c>
      <c r="J3712" t="inlineStr">
        <is>
          <t>2031_Luty_W5</t>
        </is>
      </c>
    </row>
    <row r="3713">
      <c r="A3713" s="177" t="n">
        <v>47908</v>
      </c>
      <c r="B3713" s="177" t="n">
        <v>47904</v>
      </c>
      <c r="C3713" s="177" t="n">
        <v>47910</v>
      </c>
      <c r="D3713" t="inlineStr">
        <is>
          <t>BW20310225</t>
        </is>
      </c>
      <c r="E3713" t="n">
        <v>2031</v>
      </c>
      <c r="F3713" t="inlineStr">
        <is>
          <t>Marzec</t>
        </is>
      </c>
      <c r="G3713" t="inlineStr">
        <is>
          <t>Sob</t>
        </is>
      </c>
      <c r="H3713">
        <f>'Floor Hours Engine'!$E$5</f>
        <v/>
      </c>
      <c r="I3713" t="inlineStr">
        <is>
          <t>W1</t>
        </is>
      </c>
      <c r="J3713" t="inlineStr">
        <is>
          <t>2031_Marzec_W1</t>
        </is>
      </c>
    </row>
    <row r="3714">
      <c r="A3714" s="177" t="n">
        <v>47909</v>
      </c>
      <c r="B3714" s="177" t="n">
        <v>47904</v>
      </c>
      <c r="C3714" s="177" t="n">
        <v>47910</v>
      </c>
      <c r="D3714" t="inlineStr">
        <is>
          <t>BW20310225</t>
        </is>
      </c>
      <c r="E3714" t="n">
        <v>2031</v>
      </c>
      <c r="F3714" t="inlineStr">
        <is>
          <t>Marzec</t>
        </is>
      </c>
      <c r="G3714" t="inlineStr">
        <is>
          <t>Nd</t>
        </is>
      </c>
      <c r="H3714">
        <f>'Floor Hours Engine'!$E$6</f>
        <v/>
      </c>
      <c r="I3714" t="inlineStr">
        <is>
          <t>W1</t>
        </is>
      </c>
      <c r="J3714" t="inlineStr">
        <is>
          <t>2031_Marzec_W1</t>
        </is>
      </c>
    </row>
    <row r="3715">
      <c r="A3715" s="177" t="n">
        <v>47910</v>
      </c>
      <c r="B3715" s="177" t="n">
        <v>47904</v>
      </c>
      <c r="C3715" s="177" t="n">
        <v>47910</v>
      </c>
      <c r="D3715" t="inlineStr">
        <is>
          <t>BW20310225</t>
        </is>
      </c>
      <c r="E3715" t="n">
        <v>2031</v>
      </c>
      <c r="F3715" t="inlineStr">
        <is>
          <t>Marzec</t>
        </is>
      </c>
      <c r="G3715" t="inlineStr">
        <is>
          <t>Pn</t>
        </is>
      </c>
      <c r="H3715">
        <f>'Floor Hours Engine'!$E$4</f>
        <v/>
      </c>
      <c r="I3715" t="inlineStr">
        <is>
          <t>W1</t>
        </is>
      </c>
      <c r="J3715" t="inlineStr">
        <is>
          <t>2031_Marzec_W1</t>
        </is>
      </c>
    </row>
    <row r="3716">
      <c r="A3716" s="177" t="n">
        <v>47911</v>
      </c>
      <c r="B3716" s="177" t="n">
        <v>47911</v>
      </c>
      <c r="C3716" s="177" t="n">
        <v>47917</v>
      </c>
      <c r="D3716" t="inlineStr">
        <is>
          <t>BW20310304</t>
        </is>
      </c>
      <c r="E3716" t="n">
        <v>2031</v>
      </c>
      <c r="F3716" t="inlineStr">
        <is>
          <t>Marzec</t>
        </is>
      </c>
      <c r="G3716" t="inlineStr">
        <is>
          <t>Wt</t>
        </is>
      </c>
      <c r="H3716">
        <f>'Floor Hours Engine'!$E$4</f>
        <v/>
      </c>
      <c r="I3716" t="inlineStr">
        <is>
          <t>W2</t>
        </is>
      </c>
      <c r="J3716" t="inlineStr">
        <is>
          <t>2031_Marzec_W2</t>
        </is>
      </c>
    </row>
    <row r="3717">
      <c r="A3717" s="177" t="n">
        <v>47912</v>
      </c>
      <c r="B3717" s="177" t="n">
        <v>47911</v>
      </c>
      <c r="C3717" s="177" t="n">
        <v>47917</v>
      </c>
      <c r="D3717" t="inlineStr">
        <is>
          <t>BW20310304</t>
        </is>
      </c>
      <c r="E3717" t="n">
        <v>2031</v>
      </c>
      <c r="F3717" t="inlineStr">
        <is>
          <t>Marzec</t>
        </is>
      </c>
      <c r="G3717" t="inlineStr">
        <is>
          <t>Śr</t>
        </is>
      </c>
      <c r="H3717">
        <f>'Floor Hours Engine'!$E$4</f>
        <v/>
      </c>
      <c r="I3717" t="inlineStr">
        <is>
          <t>W2</t>
        </is>
      </c>
      <c r="J3717" t="inlineStr">
        <is>
          <t>2031_Marzec_W2</t>
        </is>
      </c>
    </row>
    <row r="3718">
      <c r="A3718" s="177" t="n">
        <v>47913</v>
      </c>
      <c r="B3718" s="177" t="n">
        <v>47911</v>
      </c>
      <c r="C3718" s="177" t="n">
        <v>47917</v>
      </c>
      <c r="D3718" t="inlineStr">
        <is>
          <t>BW20310304</t>
        </is>
      </c>
      <c r="E3718" t="n">
        <v>2031</v>
      </c>
      <c r="F3718" t="inlineStr">
        <is>
          <t>Marzec</t>
        </is>
      </c>
      <c r="G3718" t="inlineStr">
        <is>
          <t>Czw</t>
        </is>
      </c>
      <c r="H3718">
        <f>'Floor Hours Engine'!$E$4</f>
        <v/>
      </c>
      <c r="I3718" t="inlineStr">
        <is>
          <t>W2</t>
        </is>
      </c>
      <c r="J3718" t="inlineStr">
        <is>
          <t>2031_Marzec_W2</t>
        </is>
      </c>
    </row>
    <row r="3719">
      <c r="A3719" s="177" t="n">
        <v>47914</v>
      </c>
      <c r="B3719" s="177" t="n">
        <v>47911</v>
      </c>
      <c r="C3719" s="177" t="n">
        <v>47917</v>
      </c>
      <c r="D3719" t="inlineStr">
        <is>
          <t>BW20310304</t>
        </is>
      </c>
      <c r="E3719" t="n">
        <v>2031</v>
      </c>
      <c r="F3719" t="inlineStr">
        <is>
          <t>Marzec</t>
        </is>
      </c>
      <c r="G3719" t="inlineStr">
        <is>
          <t>Pt</t>
        </is>
      </c>
      <c r="H3719">
        <f>'Floor Hours Engine'!$E$5</f>
        <v/>
      </c>
      <c r="I3719" t="inlineStr">
        <is>
          <t>W2</t>
        </is>
      </c>
      <c r="J3719" t="inlineStr">
        <is>
          <t>2031_Marzec_W2</t>
        </is>
      </c>
    </row>
    <row r="3720">
      <c r="A3720" s="177" t="n">
        <v>47915</v>
      </c>
      <c r="B3720" s="177" t="n">
        <v>47911</v>
      </c>
      <c r="C3720" s="177" t="n">
        <v>47917</v>
      </c>
      <c r="D3720" t="inlineStr">
        <is>
          <t>BW20310304</t>
        </is>
      </c>
      <c r="E3720" t="n">
        <v>2031</v>
      </c>
      <c r="F3720" t="inlineStr">
        <is>
          <t>Marzec</t>
        </is>
      </c>
      <c r="G3720" t="inlineStr">
        <is>
          <t>Sob</t>
        </is>
      </c>
      <c r="H3720">
        <f>'Floor Hours Engine'!$E$5</f>
        <v/>
      </c>
      <c r="I3720" t="inlineStr">
        <is>
          <t>W2</t>
        </is>
      </c>
      <c r="J3720" t="inlineStr">
        <is>
          <t>2031_Marzec_W2</t>
        </is>
      </c>
    </row>
    <row r="3721">
      <c r="A3721" s="177" t="n">
        <v>47916</v>
      </c>
      <c r="B3721" s="177" t="n">
        <v>47911</v>
      </c>
      <c r="C3721" s="177" t="n">
        <v>47917</v>
      </c>
      <c r="D3721" t="inlineStr">
        <is>
          <t>BW20310304</t>
        </is>
      </c>
      <c r="E3721" t="n">
        <v>2031</v>
      </c>
      <c r="F3721" t="inlineStr">
        <is>
          <t>Marzec</t>
        </is>
      </c>
      <c r="G3721" t="inlineStr">
        <is>
          <t>Nd</t>
        </is>
      </c>
      <c r="H3721">
        <f>'Floor Hours Engine'!$E$6</f>
        <v/>
      </c>
      <c r="I3721" t="inlineStr">
        <is>
          <t>W2</t>
        </is>
      </c>
      <c r="J3721" t="inlineStr">
        <is>
          <t>2031_Marzec_W2</t>
        </is>
      </c>
    </row>
    <row r="3722">
      <c r="A3722" s="177" t="n">
        <v>47917</v>
      </c>
      <c r="B3722" s="177" t="n">
        <v>47911</v>
      </c>
      <c r="C3722" s="177" t="n">
        <v>47917</v>
      </c>
      <c r="D3722" t="inlineStr">
        <is>
          <t>BW20310304</t>
        </is>
      </c>
      <c r="E3722" t="n">
        <v>2031</v>
      </c>
      <c r="F3722" t="inlineStr">
        <is>
          <t>Marzec</t>
        </is>
      </c>
      <c r="G3722" t="inlineStr">
        <is>
          <t>Pn</t>
        </is>
      </c>
      <c r="H3722">
        <f>'Floor Hours Engine'!$E$4</f>
        <v/>
      </c>
      <c r="I3722" t="inlineStr">
        <is>
          <t>W2</t>
        </is>
      </c>
      <c r="J3722" t="inlineStr">
        <is>
          <t>2031_Marzec_W2</t>
        </is>
      </c>
    </row>
    <row r="3723">
      <c r="A3723" s="177" t="n">
        <v>47918</v>
      </c>
      <c r="B3723" s="177" t="n">
        <v>47918</v>
      </c>
      <c r="C3723" s="177" t="n">
        <v>47924</v>
      </c>
      <c r="D3723" t="inlineStr">
        <is>
          <t>BW20310311</t>
        </is>
      </c>
      <c r="E3723" t="n">
        <v>2031</v>
      </c>
      <c r="F3723" t="inlineStr">
        <is>
          <t>Marzec</t>
        </is>
      </c>
      <c r="G3723" t="inlineStr">
        <is>
          <t>Wt</t>
        </is>
      </c>
      <c r="H3723">
        <f>'Floor Hours Engine'!$E$4</f>
        <v/>
      </c>
      <c r="I3723" t="inlineStr">
        <is>
          <t>W3</t>
        </is>
      </c>
      <c r="J3723" t="inlineStr">
        <is>
          <t>2031_Marzec_W3</t>
        </is>
      </c>
    </row>
    <row r="3724">
      <c r="A3724" s="177" t="n">
        <v>47919</v>
      </c>
      <c r="B3724" s="177" t="n">
        <v>47918</v>
      </c>
      <c r="C3724" s="177" t="n">
        <v>47924</v>
      </c>
      <c r="D3724" t="inlineStr">
        <is>
          <t>BW20310311</t>
        </is>
      </c>
      <c r="E3724" t="n">
        <v>2031</v>
      </c>
      <c r="F3724" t="inlineStr">
        <is>
          <t>Marzec</t>
        </is>
      </c>
      <c r="G3724" t="inlineStr">
        <is>
          <t>Śr</t>
        </is>
      </c>
      <c r="H3724">
        <f>'Floor Hours Engine'!$E$4</f>
        <v/>
      </c>
      <c r="I3724" t="inlineStr">
        <is>
          <t>W3</t>
        </is>
      </c>
      <c r="J3724" t="inlineStr">
        <is>
          <t>2031_Marzec_W3</t>
        </is>
      </c>
    </row>
    <row r="3725">
      <c r="A3725" s="177" t="n">
        <v>47920</v>
      </c>
      <c r="B3725" s="177" t="n">
        <v>47918</v>
      </c>
      <c r="C3725" s="177" t="n">
        <v>47924</v>
      </c>
      <c r="D3725" t="inlineStr">
        <is>
          <t>BW20310311</t>
        </is>
      </c>
      <c r="E3725" t="n">
        <v>2031</v>
      </c>
      <c r="F3725" t="inlineStr">
        <is>
          <t>Marzec</t>
        </is>
      </c>
      <c r="G3725" t="inlineStr">
        <is>
          <t>Czw</t>
        </is>
      </c>
      <c r="H3725">
        <f>'Floor Hours Engine'!$E$4</f>
        <v/>
      </c>
      <c r="I3725" t="inlineStr">
        <is>
          <t>W3</t>
        </is>
      </c>
      <c r="J3725" t="inlineStr">
        <is>
          <t>2031_Marzec_W3</t>
        </is>
      </c>
    </row>
    <row r="3726">
      <c r="A3726" s="177" t="n">
        <v>47921</v>
      </c>
      <c r="B3726" s="177" t="n">
        <v>47918</v>
      </c>
      <c r="C3726" s="177" t="n">
        <v>47924</v>
      </c>
      <c r="D3726" t="inlineStr">
        <is>
          <t>BW20310311</t>
        </is>
      </c>
      <c r="E3726" t="n">
        <v>2031</v>
      </c>
      <c r="F3726" t="inlineStr">
        <is>
          <t>Marzec</t>
        </is>
      </c>
      <c r="G3726" t="inlineStr">
        <is>
          <t>Pt</t>
        </is>
      </c>
      <c r="H3726">
        <f>'Floor Hours Engine'!$E$5</f>
        <v/>
      </c>
      <c r="I3726" t="inlineStr">
        <is>
          <t>W3</t>
        </is>
      </c>
      <c r="J3726" t="inlineStr">
        <is>
          <t>2031_Marzec_W3</t>
        </is>
      </c>
    </row>
    <row r="3727">
      <c r="A3727" s="177" t="n">
        <v>47922</v>
      </c>
      <c r="B3727" s="177" t="n">
        <v>47918</v>
      </c>
      <c r="C3727" s="177" t="n">
        <v>47924</v>
      </c>
      <c r="D3727" t="inlineStr">
        <is>
          <t>BW20310311</t>
        </is>
      </c>
      <c r="E3727" t="n">
        <v>2031</v>
      </c>
      <c r="F3727" t="inlineStr">
        <is>
          <t>Marzec</t>
        </is>
      </c>
      <c r="G3727" t="inlineStr">
        <is>
          <t>Sob</t>
        </is>
      </c>
      <c r="H3727">
        <f>'Floor Hours Engine'!$E$5</f>
        <v/>
      </c>
      <c r="I3727" t="inlineStr">
        <is>
          <t>W3</t>
        </is>
      </c>
      <c r="J3727" t="inlineStr">
        <is>
          <t>2031_Marzec_W3</t>
        </is>
      </c>
    </row>
    <row r="3728">
      <c r="A3728" s="177" t="n">
        <v>47923</v>
      </c>
      <c r="B3728" s="177" t="n">
        <v>47918</v>
      </c>
      <c r="C3728" s="177" t="n">
        <v>47924</v>
      </c>
      <c r="D3728" t="inlineStr">
        <is>
          <t>BW20310311</t>
        </is>
      </c>
      <c r="E3728" t="n">
        <v>2031</v>
      </c>
      <c r="F3728" t="inlineStr">
        <is>
          <t>Marzec</t>
        </is>
      </c>
      <c r="G3728" t="inlineStr">
        <is>
          <t>Nd</t>
        </is>
      </c>
      <c r="H3728">
        <f>'Floor Hours Engine'!$E$6</f>
        <v/>
      </c>
      <c r="I3728" t="inlineStr">
        <is>
          <t>W3</t>
        </is>
      </c>
      <c r="J3728" t="inlineStr">
        <is>
          <t>2031_Marzec_W3</t>
        </is>
      </c>
    </row>
    <row r="3729">
      <c r="A3729" s="177" t="n">
        <v>47924</v>
      </c>
      <c r="B3729" s="177" t="n">
        <v>47918</v>
      </c>
      <c r="C3729" s="177" t="n">
        <v>47924</v>
      </c>
      <c r="D3729" t="inlineStr">
        <is>
          <t>BW20310311</t>
        </is>
      </c>
      <c r="E3729" t="n">
        <v>2031</v>
      </c>
      <c r="F3729" t="inlineStr">
        <is>
          <t>Marzec</t>
        </is>
      </c>
      <c r="G3729" t="inlineStr">
        <is>
          <t>Pn</t>
        </is>
      </c>
      <c r="H3729">
        <f>'Floor Hours Engine'!$E$4</f>
        <v/>
      </c>
      <c r="I3729" t="inlineStr">
        <is>
          <t>W3</t>
        </is>
      </c>
      <c r="J3729" t="inlineStr">
        <is>
          <t>2031_Marzec_W3</t>
        </is>
      </c>
    </row>
    <row r="3730">
      <c r="A3730" s="177" t="n">
        <v>47925</v>
      </c>
      <c r="B3730" s="177" t="n">
        <v>47925</v>
      </c>
      <c r="C3730" s="177" t="n">
        <v>47931</v>
      </c>
      <c r="D3730" t="inlineStr">
        <is>
          <t>BW20310318</t>
        </is>
      </c>
      <c r="E3730" t="n">
        <v>2031</v>
      </c>
      <c r="F3730" t="inlineStr">
        <is>
          <t>Marzec</t>
        </is>
      </c>
      <c r="G3730" t="inlineStr">
        <is>
          <t>Wt</t>
        </is>
      </c>
      <c r="H3730">
        <f>'Floor Hours Engine'!$E$4</f>
        <v/>
      </c>
      <c r="I3730" t="inlineStr">
        <is>
          <t>W4</t>
        </is>
      </c>
      <c r="J3730" t="inlineStr">
        <is>
          <t>2031_Marzec_W4</t>
        </is>
      </c>
    </row>
    <row r="3731">
      <c r="A3731" s="177" t="n">
        <v>47926</v>
      </c>
      <c r="B3731" s="177" t="n">
        <v>47925</v>
      </c>
      <c r="C3731" s="177" t="n">
        <v>47931</v>
      </c>
      <c r="D3731" t="inlineStr">
        <is>
          <t>BW20310318</t>
        </is>
      </c>
      <c r="E3731" t="n">
        <v>2031</v>
      </c>
      <c r="F3731" t="inlineStr">
        <is>
          <t>Marzec</t>
        </is>
      </c>
      <c r="G3731" t="inlineStr">
        <is>
          <t>Śr</t>
        </is>
      </c>
      <c r="H3731">
        <f>'Floor Hours Engine'!$E$4</f>
        <v/>
      </c>
      <c r="I3731" t="inlineStr">
        <is>
          <t>W4</t>
        </is>
      </c>
      <c r="J3731" t="inlineStr">
        <is>
          <t>2031_Marzec_W4</t>
        </is>
      </c>
    </row>
    <row r="3732">
      <c r="A3732" s="177" t="n">
        <v>47927</v>
      </c>
      <c r="B3732" s="177" t="n">
        <v>47925</v>
      </c>
      <c r="C3732" s="177" t="n">
        <v>47931</v>
      </c>
      <c r="D3732" t="inlineStr">
        <is>
          <t>BW20310318</t>
        </is>
      </c>
      <c r="E3732" t="n">
        <v>2031</v>
      </c>
      <c r="F3732" t="inlineStr">
        <is>
          <t>Marzec</t>
        </is>
      </c>
      <c r="G3732" t="inlineStr">
        <is>
          <t>Czw</t>
        </is>
      </c>
      <c r="H3732">
        <f>'Floor Hours Engine'!$E$4</f>
        <v/>
      </c>
      <c r="I3732" t="inlineStr">
        <is>
          <t>W4</t>
        </is>
      </c>
      <c r="J3732" t="inlineStr">
        <is>
          <t>2031_Marzec_W4</t>
        </is>
      </c>
    </row>
    <row r="3733">
      <c r="A3733" s="177" t="n">
        <v>47928</v>
      </c>
      <c r="B3733" s="177" t="n">
        <v>47925</v>
      </c>
      <c r="C3733" s="177" t="n">
        <v>47931</v>
      </c>
      <c r="D3733" t="inlineStr">
        <is>
          <t>BW20310318</t>
        </is>
      </c>
      <c r="E3733" t="n">
        <v>2031</v>
      </c>
      <c r="F3733" t="inlineStr">
        <is>
          <t>Marzec</t>
        </is>
      </c>
      <c r="G3733" t="inlineStr">
        <is>
          <t>Pt</t>
        </is>
      </c>
      <c r="H3733">
        <f>'Floor Hours Engine'!$E$5</f>
        <v/>
      </c>
      <c r="I3733" t="inlineStr">
        <is>
          <t>W4</t>
        </is>
      </c>
      <c r="J3733" t="inlineStr">
        <is>
          <t>2031_Marzec_W4</t>
        </is>
      </c>
    </row>
    <row r="3734">
      <c r="A3734" s="177" t="n">
        <v>47929</v>
      </c>
      <c r="B3734" s="177" t="n">
        <v>47925</v>
      </c>
      <c r="C3734" s="177" t="n">
        <v>47931</v>
      </c>
      <c r="D3734" t="inlineStr">
        <is>
          <t>BW20310318</t>
        </is>
      </c>
      <c r="E3734" t="n">
        <v>2031</v>
      </c>
      <c r="F3734" t="inlineStr">
        <is>
          <t>Marzec</t>
        </is>
      </c>
      <c r="G3734" t="inlineStr">
        <is>
          <t>Sob</t>
        </is>
      </c>
      <c r="H3734">
        <f>'Floor Hours Engine'!$E$5</f>
        <v/>
      </c>
      <c r="I3734" t="inlineStr">
        <is>
          <t>W4</t>
        </is>
      </c>
      <c r="J3734" t="inlineStr">
        <is>
          <t>2031_Marzec_W4</t>
        </is>
      </c>
    </row>
    <row r="3735">
      <c r="A3735" s="177" t="n">
        <v>47930</v>
      </c>
      <c r="B3735" s="177" t="n">
        <v>47925</v>
      </c>
      <c r="C3735" s="177" t="n">
        <v>47931</v>
      </c>
      <c r="D3735" t="inlineStr">
        <is>
          <t>BW20310318</t>
        </is>
      </c>
      <c r="E3735" t="n">
        <v>2031</v>
      </c>
      <c r="F3735" t="inlineStr">
        <is>
          <t>Marzec</t>
        </is>
      </c>
      <c r="G3735" t="inlineStr">
        <is>
          <t>Nd</t>
        </is>
      </c>
      <c r="H3735">
        <f>'Floor Hours Engine'!$E$6</f>
        <v/>
      </c>
      <c r="I3735" t="inlineStr">
        <is>
          <t>W4</t>
        </is>
      </c>
      <c r="J3735" t="inlineStr">
        <is>
          <t>2031_Marzec_W4</t>
        </is>
      </c>
    </row>
    <row r="3736">
      <c r="A3736" s="177" t="n">
        <v>47931</v>
      </c>
      <c r="B3736" s="177" t="n">
        <v>47925</v>
      </c>
      <c r="C3736" s="177" t="n">
        <v>47931</v>
      </c>
      <c r="D3736" t="inlineStr">
        <is>
          <t>BW20310318</t>
        </is>
      </c>
      <c r="E3736" t="n">
        <v>2031</v>
      </c>
      <c r="F3736" t="inlineStr">
        <is>
          <t>Marzec</t>
        </is>
      </c>
      <c r="G3736" t="inlineStr">
        <is>
          <t>Pn</t>
        </is>
      </c>
      <c r="H3736">
        <f>'Floor Hours Engine'!$E$4</f>
        <v/>
      </c>
      <c r="I3736" t="inlineStr">
        <is>
          <t>W4</t>
        </is>
      </c>
      <c r="J3736" t="inlineStr">
        <is>
          <t>2031_Marzec_W4</t>
        </is>
      </c>
    </row>
    <row r="3737">
      <c r="A3737" s="177" t="n">
        <v>47932</v>
      </c>
      <c r="B3737" s="177" t="n">
        <v>47932</v>
      </c>
      <c r="C3737" s="177" t="n">
        <v>47938</v>
      </c>
      <c r="D3737" t="inlineStr">
        <is>
          <t>BW20310325</t>
        </is>
      </c>
      <c r="E3737" t="n">
        <v>2031</v>
      </c>
      <c r="F3737" t="inlineStr">
        <is>
          <t>Marzec</t>
        </is>
      </c>
      <c r="G3737" t="inlineStr">
        <is>
          <t>Wt</t>
        </is>
      </c>
      <c r="H3737">
        <f>'Floor Hours Engine'!$E$4</f>
        <v/>
      </c>
      <c r="I3737" t="inlineStr">
        <is>
          <t>W5</t>
        </is>
      </c>
      <c r="J3737" t="inlineStr">
        <is>
          <t>2031_Marzec_W5</t>
        </is>
      </c>
    </row>
    <row r="3738">
      <c r="A3738" s="177" t="n">
        <v>47933</v>
      </c>
      <c r="B3738" s="177" t="n">
        <v>47932</v>
      </c>
      <c r="C3738" s="177" t="n">
        <v>47938</v>
      </c>
      <c r="D3738" t="inlineStr">
        <is>
          <t>BW20310325</t>
        </is>
      </c>
      <c r="E3738" t="n">
        <v>2031</v>
      </c>
      <c r="F3738" t="inlineStr">
        <is>
          <t>Marzec</t>
        </is>
      </c>
      <c r="G3738" t="inlineStr">
        <is>
          <t>Śr</t>
        </is>
      </c>
      <c r="H3738">
        <f>'Floor Hours Engine'!$E$4</f>
        <v/>
      </c>
      <c r="I3738" t="inlineStr">
        <is>
          <t>W5</t>
        </is>
      </c>
      <c r="J3738" t="inlineStr">
        <is>
          <t>2031_Marzec_W5</t>
        </is>
      </c>
    </row>
    <row r="3739">
      <c r="A3739" s="177" t="n">
        <v>47934</v>
      </c>
      <c r="B3739" s="177" t="n">
        <v>47932</v>
      </c>
      <c r="C3739" s="177" t="n">
        <v>47938</v>
      </c>
      <c r="D3739" t="inlineStr">
        <is>
          <t>BW20310325</t>
        </is>
      </c>
      <c r="E3739" t="n">
        <v>2031</v>
      </c>
      <c r="F3739" t="inlineStr">
        <is>
          <t>Marzec</t>
        </is>
      </c>
      <c r="G3739" t="inlineStr">
        <is>
          <t>Czw</t>
        </is>
      </c>
      <c r="H3739">
        <f>'Floor Hours Engine'!$E$4</f>
        <v/>
      </c>
      <c r="I3739" t="inlineStr">
        <is>
          <t>W5</t>
        </is>
      </c>
      <c r="J3739" t="inlineStr">
        <is>
          <t>2031_Marzec_W5</t>
        </is>
      </c>
    </row>
    <row r="3740">
      <c r="A3740" s="177" t="n">
        <v>47935</v>
      </c>
      <c r="B3740" s="177" t="n">
        <v>47932</v>
      </c>
      <c r="C3740" s="177" t="n">
        <v>47938</v>
      </c>
      <c r="D3740" t="inlineStr">
        <is>
          <t>BW20310325</t>
        </is>
      </c>
      <c r="E3740" t="n">
        <v>2031</v>
      </c>
      <c r="F3740" t="inlineStr">
        <is>
          <t>Marzec</t>
        </is>
      </c>
      <c r="G3740" t="inlineStr">
        <is>
          <t>Pt</t>
        </is>
      </c>
      <c r="H3740">
        <f>'Floor Hours Engine'!$E$5</f>
        <v/>
      </c>
      <c r="I3740" t="inlineStr">
        <is>
          <t>W5</t>
        </is>
      </c>
      <c r="J3740" t="inlineStr">
        <is>
          <t>2031_Marzec_W5</t>
        </is>
      </c>
    </row>
    <row r="3741">
      <c r="A3741" s="177" t="n">
        <v>47936</v>
      </c>
      <c r="B3741" s="177" t="n">
        <v>47932</v>
      </c>
      <c r="C3741" s="177" t="n">
        <v>47938</v>
      </c>
      <c r="D3741" t="inlineStr">
        <is>
          <t>BW20310325</t>
        </is>
      </c>
      <c r="E3741" t="n">
        <v>2031</v>
      </c>
      <c r="F3741" t="inlineStr">
        <is>
          <t>Marzec</t>
        </is>
      </c>
      <c r="G3741" t="inlineStr">
        <is>
          <t>Sob</t>
        </is>
      </c>
      <c r="H3741">
        <f>'Floor Hours Engine'!$E$5</f>
        <v/>
      </c>
      <c r="I3741" t="inlineStr">
        <is>
          <t>W5</t>
        </is>
      </c>
      <c r="J3741" t="inlineStr">
        <is>
          <t>2031_Marzec_W5</t>
        </is>
      </c>
    </row>
    <row r="3742">
      <c r="A3742" s="177" t="n">
        <v>47937</v>
      </c>
      <c r="B3742" s="177" t="n">
        <v>47932</v>
      </c>
      <c r="C3742" s="177" t="n">
        <v>47938</v>
      </c>
      <c r="D3742" t="inlineStr">
        <is>
          <t>BW20310325</t>
        </is>
      </c>
      <c r="E3742" t="n">
        <v>2031</v>
      </c>
      <c r="F3742" t="inlineStr">
        <is>
          <t>Marzec</t>
        </is>
      </c>
      <c r="G3742" t="inlineStr">
        <is>
          <t>Nd</t>
        </is>
      </c>
      <c r="H3742">
        <f>'Floor Hours Engine'!$E$6</f>
        <v/>
      </c>
      <c r="I3742" t="inlineStr">
        <is>
          <t>W5</t>
        </is>
      </c>
      <c r="J3742" t="inlineStr">
        <is>
          <t>2031_Marzec_W5</t>
        </is>
      </c>
    </row>
    <row r="3743">
      <c r="A3743" s="177" t="n">
        <v>47938</v>
      </c>
      <c r="B3743" s="177" t="n">
        <v>47932</v>
      </c>
      <c r="C3743" s="177" t="n">
        <v>47938</v>
      </c>
      <c r="D3743" t="inlineStr">
        <is>
          <t>BW20310325</t>
        </is>
      </c>
      <c r="E3743" t="n">
        <v>2031</v>
      </c>
      <c r="F3743" t="inlineStr">
        <is>
          <t>Marzec</t>
        </is>
      </c>
      <c r="G3743" t="inlineStr">
        <is>
          <t>Pn</t>
        </is>
      </c>
      <c r="H3743">
        <f>'Floor Hours Engine'!$E$4</f>
        <v/>
      </c>
      <c r="I3743" t="inlineStr">
        <is>
          <t>W5</t>
        </is>
      </c>
      <c r="J3743" t="inlineStr">
        <is>
          <t>2031_Marzec_W5</t>
        </is>
      </c>
    </row>
    <row r="3744">
      <c r="A3744" s="177" t="n">
        <v>47939</v>
      </c>
      <c r="B3744" s="177" t="n">
        <v>47939</v>
      </c>
      <c r="C3744" s="177" t="n">
        <v>47945</v>
      </c>
      <c r="D3744" t="inlineStr">
        <is>
          <t>BW20310401</t>
        </is>
      </c>
      <c r="E3744" t="n">
        <v>2031</v>
      </c>
      <c r="F3744" t="inlineStr">
        <is>
          <t>Kwiecień</t>
        </is>
      </c>
      <c r="G3744" t="inlineStr">
        <is>
          <t>Wt</t>
        </is>
      </c>
      <c r="H3744">
        <f>'Floor Hours Engine'!$E$4</f>
        <v/>
      </c>
      <c r="I3744" t="inlineStr">
        <is>
          <t>W1</t>
        </is>
      </c>
      <c r="J3744" t="inlineStr">
        <is>
          <t>2031_Kwiecień_W1</t>
        </is>
      </c>
    </row>
    <row r="3745">
      <c r="A3745" s="177" t="n">
        <v>47940</v>
      </c>
      <c r="B3745" s="177" t="n">
        <v>47939</v>
      </c>
      <c r="C3745" s="177" t="n">
        <v>47945</v>
      </c>
      <c r="D3745" t="inlineStr">
        <is>
          <t>BW20310401</t>
        </is>
      </c>
      <c r="E3745" t="n">
        <v>2031</v>
      </c>
      <c r="F3745" t="inlineStr">
        <is>
          <t>Kwiecień</t>
        </is>
      </c>
      <c r="G3745" t="inlineStr">
        <is>
          <t>Śr</t>
        </is>
      </c>
      <c r="H3745">
        <f>'Floor Hours Engine'!$E$4</f>
        <v/>
      </c>
      <c r="I3745" t="inlineStr">
        <is>
          <t>W1</t>
        </is>
      </c>
      <c r="J3745" t="inlineStr">
        <is>
          <t>2031_Kwiecień_W1</t>
        </is>
      </c>
    </row>
    <row r="3746">
      <c r="A3746" s="177" t="n">
        <v>47941</v>
      </c>
      <c r="B3746" s="177" t="n">
        <v>47939</v>
      </c>
      <c r="C3746" s="177" t="n">
        <v>47945</v>
      </c>
      <c r="D3746" t="inlineStr">
        <is>
          <t>BW20310401</t>
        </is>
      </c>
      <c r="E3746" t="n">
        <v>2031</v>
      </c>
      <c r="F3746" t="inlineStr">
        <is>
          <t>Kwiecień</t>
        </is>
      </c>
      <c r="G3746" t="inlineStr">
        <is>
          <t>Czw</t>
        </is>
      </c>
      <c r="H3746">
        <f>'Floor Hours Engine'!$E$4</f>
        <v/>
      </c>
      <c r="I3746" t="inlineStr">
        <is>
          <t>W1</t>
        </is>
      </c>
      <c r="J3746" t="inlineStr">
        <is>
          <t>2031_Kwiecień_W1</t>
        </is>
      </c>
    </row>
    <row r="3747">
      <c r="A3747" s="177" t="n">
        <v>47942</v>
      </c>
      <c r="B3747" s="177" t="n">
        <v>47939</v>
      </c>
      <c r="C3747" s="177" t="n">
        <v>47945</v>
      </c>
      <c r="D3747" t="inlineStr">
        <is>
          <t>BW20310401</t>
        </is>
      </c>
      <c r="E3747" t="n">
        <v>2031</v>
      </c>
      <c r="F3747" t="inlineStr">
        <is>
          <t>Kwiecień</t>
        </is>
      </c>
      <c r="G3747" t="inlineStr">
        <is>
          <t>Pt</t>
        </is>
      </c>
      <c r="H3747">
        <f>'Floor Hours Engine'!$E$5</f>
        <v/>
      </c>
      <c r="I3747" t="inlineStr">
        <is>
          <t>W1</t>
        </is>
      </c>
      <c r="J3747" t="inlineStr">
        <is>
          <t>2031_Kwiecień_W1</t>
        </is>
      </c>
    </row>
    <row r="3748">
      <c r="A3748" s="177" t="n">
        <v>47943</v>
      </c>
      <c r="B3748" s="177" t="n">
        <v>47939</v>
      </c>
      <c r="C3748" s="177" t="n">
        <v>47945</v>
      </c>
      <c r="D3748" t="inlineStr">
        <is>
          <t>BW20310401</t>
        </is>
      </c>
      <c r="E3748" t="n">
        <v>2031</v>
      </c>
      <c r="F3748" t="inlineStr">
        <is>
          <t>Kwiecień</t>
        </is>
      </c>
      <c r="G3748" t="inlineStr">
        <is>
          <t>Sob</t>
        </is>
      </c>
      <c r="H3748">
        <f>'Floor Hours Engine'!$E$5</f>
        <v/>
      </c>
      <c r="I3748" t="inlineStr">
        <is>
          <t>W1</t>
        </is>
      </c>
      <c r="J3748" t="inlineStr">
        <is>
          <t>2031_Kwiecień_W1</t>
        </is>
      </c>
    </row>
    <row r="3749">
      <c r="A3749" s="177" t="n">
        <v>47944</v>
      </c>
      <c r="B3749" s="177" t="n">
        <v>47939</v>
      </c>
      <c r="C3749" s="177" t="n">
        <v>47945</v>
      </c>
      <c r="D3749" t="inlineStr">
        <is>
          <t>BW20310401</t>
        </is>
      </c>
      <c r="E3749" t="n">
        <v>2031</v>
      </c>
      <c r="F3749" t="inlineStr">
        <is>
          <t>Kwiecień</t>
        </is>
      </c>
      <c r="G3749" t="inlineStr">
        <is>
          <t>Nd</t>
        </is>
      </c>
      <c r="H3749">
        <f>'Floor Hours Engine'!$E$6</f>
        <v/>
      </c>
      <c r="I3749" t="inlineStr">
        <is>
          <t>W1</t>
        </is>
      </c>
      <c r="J3749" t="inlineStr">
        <is>
          <t>2031_Kwiecień_W1</t>
        </is>
      </c>
    </row>
    <row r="3750">
      <c r="A3750" s="177" t="n">
        <v>47945</v>
      </c>
      <c r="B3750" s="177" t="n">
        <v>47939</v>
      </c>
      <c r="C3750" s="177" t="n">
        <v>47945</v>
      </c>
      <c r="D3750" t="inlineStr">
        <is>
          <t>BW20310401</t>
        </is>
      </c>
      <c r="E3750" t="n">
        <v>2031</v>
      </c>
      <c r="F3750" t="inlineStr">
        <is>
          <t>Kwiecień</t>
        </is>
      </c>
      <c r="G3750" t="inlineStr">
        <is>
          <t>Pn</t>
        </is>
      </c>
      <c r="H3750">
        <f>'Floor Hours Engine'!$E$4</f>
        <v/>
      </c>
      <c r="I3750" t="inlineStr">
        <is>
          <t>W1</t>
        </is>
      </c>
      <c r="J3750" t="inlineStr">
        <is>
          <t>2031_Kwiecień_W1</t>
        </is>
      </c>
    </row>
    <row r="3751">
      <c r="A3751" s="177" t="n">
        <v>47946</v>
      </c>
      <c r="B3751" s="177" t="n">
        <v>47946</v>
      </c>
      <c r="C3751" s="177" t="n">
        <v>47952</v>
      </c>
      <c r="D3751" t="inlineStr">
        <is>
          <t>BW20310408</t>
        </is>
      </c>
      <c r="E3751" t="n">
        <v>2031</v>
      </c>
      <c r="F3751" t="inlineStr">
        <is>
          <t>Kwiecień</t>
        </is>
      </c>
      <c r="G3751" t="inlineStr">
        <is>
          <t>Wt</t>
        </is>
      </c>
      <c r="H3751">
        <f>'Floor Hours Engine'!$E$4</f>
        <v/>
      </c>
      <c r="I3751" t="inlineStr">
        <is>
          <t>W2</t>
        </is>
      </c>
      <c r="J3751" t="inlineStr">
        <is>
          <t>2031_Kwiecień_W2</t>
        </is>
      </c>
    </row>
    <row r="3752">
      <c r="A3752" s="177" t="n">
        <v>47947</v>
      </c>
      <c r="B3752" s="177" t="n">
        <v>47946</v>
      </c>
      <c r="C3752" s="177" t="n">
        <v>47952</v>
      </c>
      <c r="D3752" t="inlineStr">
        <is>
          <t>BW20310408</t>
        </is>
      </c>
      <c r="E3752" t="n">
        <v>2031</v>
      </c>
      <c r="F3752" t="inlineStr">
        <is>
          <t>Kwiecień</t>
        </is>
      </c>
      <c r="G3752" t="inlineStr">
        <is>
          <t>Śr</t>
        </is>
      </c>
      <c r="H3752">
        <f>'Floor Hours Engine'!$E$4</f>
        <v/>
      </c>
      <c r="I3752" t="inlineStr">
        <is>
          <t>W2</t>
        </is>
      </c>
      <c r="J3752" t="inlineStr">
        <is>
          <t>2031_Kwiecień_W2</t>
        </is>
      </c>
    </row>
    <row r="3753">
      <c r="A3753" s="177" t="n">
        <v>47948</v>
      </c>
      <c r="B3753" s="177" t="n">
        <v>47946</v>
      </c>
      <c r="C3753" s="177" t="n">
        <v>47952</v>
      </c>
      <c r="D3753" t="inlineStr">
        <is>
          <t>BW20310408</t>
        </is>
      </c>
      <c r="E3753" t="n">
        <v>2031</v>
      </c>
      <c r="F3753" t="inlineStr">
        <is>
          <t>Kwiecień</t>
        </is>
      </c>
      <c r="G3753" t="inlineStr">
        <is>
          <t>Czw</t>
        </is>
      </c>
      <c r="H3753">
        <f>'Floor Hours Engine'!$E$4</f>
        <v/>
      </c>
      <c r="I3753" t="inlineStr">
        <is>
          <t>W2</t>
        </is>
      </c>
      <c r="J3753" t="inlineStr">
        <is>
          <t>2031_Kwiecień_W2</t>
        </is>
      </c>
    </row>
    <row r="3754">
      <c r="A3754" s="177" t="n">
        <v>47949</v>
      </c>
      <c r="B3754" s="177" t="n">
        <v>47946</v>
      </c>
      <c r="C3754" s="177" t="n">
        <v>47952</v>
      </c>
      <c r="D3754" t="inlineStr">
        <is>
          <t>BW20310408</t>
        </is>
      </c>
      <c r="E3754" t="n">
        <v>2031</v>
      </c>
      <c r="F3754" t="inlineStr">
        <is>
          <t>Kwiecień</t>
        </is>
      </c>
      <c r="G3754" t="inlineStr">
        <is>
          <t>Pt</t>
        </is>
      </c>
      <c r="H3754">
        <f>'Floor Hours Engine'!$E$5</f>
        <v/>
      </c>
      <c r="I3754" t="inlineStr">
        <is>
          <t>W2</t>
        </is>
      </c>
      <c r="J3754" t="inlineStr">
        <is>
          <t>2031_Kwiecień_W2</t>
        </is>
      </c>
    </row>
    <row r="3755">
      <c r="A3755" s="177" t="n">
        <v>47950</v>
      </c>
      <c r="B3755" s="177" t="n">
        <v>47946</v>
      </c>
      <c r="C3755" s="177" t="n">
        <v>47952</v>
      </c>
      <c r="D3755" t="inlineStr">
        <is>
          <t>BW20310408</t>
        </is>
      </c>
      <c r="E3755" t="n">
        <v>2031</v>
      </c>
      <c r="F3755" t="inlineStr">
        <is>
          <t>Kwiecień</t>
        </is>
      </c>
      <c r="G3755" t="inlineStr">
        <is>
          <t>Sob</t>
        </is>
      </c>
      <c r="H3755">
        <f>'Floor Hours Engine'!$E$5</f>
        <v/>
      </c>
      <c r="I3755" t="inlineStr">
        <is>
          <t>W2</t>
        </is>
      </c>
      <c r="J3755" t="inlineStr">
        <is>
          <t>2031_Kwiecień_W2</t>
        </is>
      </c>
    </row>
    <row r="3756">
      <c r="A3756" s="177" t="n">
        <v>47951</v>
      </c>
      <c r="B3756" s="177" t="n">
        <v>47946</v>
      </c>
      <c r="C3756" s="177" t="n">
        <v>47952</v>
      </c>
      <c r="D3756" t="inlineStr">
        <is>
          <t>BW20310408</t>
        </is>
      </c>
      <c r="E3756" t="n">
        <v>2031</v>
      </c>
      <c r="F3756" t="inlineStr">
        <is>
          <t>Kwiecień</t>
        </is>
      </c>
      <c r="G3756" t="inlineStr">
        <is>
          <t>Nd</t>
        </is>
      </c>
      <c r="H3756">
        <f>'Floor Hours Engine'!$E$6</f>
        <v/>
      </c>
      <c r="I3756" t="inlineStr">
        <is>
          <t>W2</t>
        </is>
      </c>
      <c r="J3756" t="inlineStr">
        <is>
          <t>2031_Kwiecień_W2</t>
        </is>
      </c>
    </row>
    <row r="3757">
      <c r="A3757" s="177" t="n">
        <v>47952</v>
      </c>
      <c r="B3757" s="177" t="n">
        <v>47946</v>
      </c>
      <c r="C3757" s="177" t="n">
        <v>47952</v>
      </c>
      <c r="D3757" t="inlineStr">
        <is>
          <t>BW20310408</t>
        </is>
      </c>
      <c r="E3757" t="n">
        <v>2031</v>
      </c>
      <c r="F3757" t="inlineStr">
        <is>
          <t>Kwiecień</t>
        </is>
      </c>
      <c r="G3757" t="inlineStr">
        <is>
          <t>Pn</t>
        </is>
      </c>
      <c r="H3757">
        <f>'Floor Hours Engine'!$E$4</f>
        <v/>
      </c>
      <c r="I3757" t="inlineStr">
        <is>
          <t>W2</t>
        </is>
      </c>
      <c r="J3757" t="inlineStr">
        <is>
          <t>2031_Kwiecień_W2</t>
        </is>
      </c>
    </row>
    <row r="3758">
      <c r="A3758" s="177" t="n">
        <v>47953</v>
      </c>
      <c r="B3758" s="177" t="n">
        <v>47953</v>
      </c>
      <c r="C3758" s="177" t="n">
        <v>47959</v>
      </c>
      <c r="D3758" t="inlineStr">
        <is>
          <t>BW20310415</t>
        </is>
      </c>
      <c r="E3758" t="n">
        <v>2031</v>
      </c>
      <c r="F3758" t="inlineStr">
        <is>
          <t>Kwiecień</t>
        </is>
      </c>
      <c r="G3758" t="inlineStr">
        <is>
          <t>Wt</t>
        </is>
      </c>
      <c r="H3758">
        <f>'Floor Hours Engine'!$E$4</f>
        <v/>
      </c>
      <c r="I3758" t="inlineStr">
        <is>
          <t>W3</t>
        </is>
      </c>
      <c r="J3758" t="inlineStr">
        <is>
          <t>2031_Kwiecień_W3</t>
        </is>
      </c>
    </row>
    <row r="3759">
      <c r="A3759" s="177" t="n">
        <v>47954</v>
      </c>
      <c r="B3759" s="177" t="n">
        <v>47953</v>
      </c>
      <c r="C3759" s="177" t="n">
        <v>47959</v>
      </c>
      <c r="D3759" t="inlineStr">
        <is>
          <t>BW20310415</t>
        </is>
      </c>
      <c r="E3759" t="n">
        <v>2031</v>
      </c>
      <c r="F3759" t="inlineStr">
        <is>
          <t>Kwiecień</t>
        </is>
      </c>
      <c r="G3759" t="inlineStr">
        <is>
          <t>Śr</t>
        </is>
      </c>
      <c r="H3759">
        <f>'Floor Hours Engine'!$E$4</f>
        <v/>
      </c>
      <c r="I3759" t="inlineStr">
        <is>
          <t>W3</t>
        </is>
      </c>
      <c r="J3759" t="inlineStr">
        <is>
          <t>2031_Kwiecień_W3</t>
        </is>
      </c>
    </row>
    <row r="3760">
      <c r="A3760" s="177" t="n">
        <v>47955</v>
      </c>
      <c r="B3760" s="177" t="n">
        <v>47953</v>
      </c>
      <c r="C3760" s="177" t="n">
        <v>47959</v>
      </c>
      <c r="D3760" t="inlineStr">
        <is>
          <t>BW20310415</t>
        </is>
      </c>
      <c r="E3760" t="n">
        <v>2031</v>
      </c>
      <c r="F3760" t="inlineStr">
        <is>
          <t>Kwiecień</t>
        </is>
      </c>
      <c r="G3760" t="inlineStr">
        <is>
          <t>Czw</t>
        </is>
      </c>
      <c r="H3760">
        <f>'Floor Hours Engine'!$E$4</f>
        <v/>
      </c>
      <c r="I3760" t="inlineStr">
        <is>
          <t>W3</t>
        </is>
      </c>
      <c r="J3760" t="inlineStr">
        <is>
          <t>2031_Kwiecień_W3</t>
        </is>
      </c>
    </row>
    <row r="3761">
      <c r="A3761" s="177" t="n">
        <v>47956</v>
      </c>
      <c r="B3761" s="177" t="n">
        <v>47953</v>
      </c>
      <c r="C3761" s="177" t="n">
        <v>47959</v>
      </c>
      <c r="D3761" t="inlineStr">
        <is>
          <t>BW20310415</t>
        </is>
      </c>
      <c r="E3761" t="n">
        <v>2031</v>
      </c>
      <c r="F3761" t="inlineStr">
        <is>
          <t>Kwiecień</t>
        </is>
      </c>
      <c r="G3761" t="inlineStr">
        <is>
          <t>Pt</t>
        </is>
      </c>
      <c r="H3761">
        <f>'Floor Hours Engine'!$E$5</f>
        <v/>
      </c>
      <c r="I3761" t="inlineStr">
        <is>
          <t>W3</t>
        </is>
      </c>
      <c r="J3761" t="inlineStr">
        <is>
          <t>2031_Kwiecień_W3</t>
        </is>
      </c>
    </row>
    <row r="3762">
      <c r="A3762" s="177" t="n">
        <v>47957</v>
      </c>
      <c r="B3762" s="177" t="n">
        <v>47953</v>
      </c>
      <c r="C3762" s="177" t="n">
        <v>47959</v>
      </c>
      <c r="D3762" t="inlineStr">
        <is>
          <t>BW20310415</t>
        </is>
      </c>
      <c r="E3762" t="n">
        <v>2031</v>
      </c>
      <c r="F3762" t="inlineStr">
        <is>
          <t>Kwiecień</t>
        </is>
      </c>
      <c r="G3762" t="inlineStr">
        <is>
          <t>Sob</t>
        </is>
      </c>
      <c r="H3762">
        <f>'Floor Hours Engine'!$E$5</f>
        <v/>
      </c>
      <c r="I3762" t="inlineStr">
        <is>
          <t>W3</t>
        </is>
      </c>
      <c r="J3762" t="inlineStr">
        <is>
          <t>2031_Kwiecień_W3</t>
        </is>
      </c>
    </row>
    <row r="3763">
      <c r="A3763" s="177" t="n">
        <v>47958</v>
      </c>
      <c r="B3763" s="177" t="n">
        <v>47953</v>
      </c>
      <c r="C3763" s="177" t="n">
        <v>47959</v>
      </c>
      <c r="D3763" t="inlineStr">
        <is>
          <t>BW20310415</t>
        </is>
      </c>
      <c r="E3763" t="n">
        <v>2031</v>
      </c>
      <c r="F3763" t="inlineStr">
        <is>
          <t>Kwiecień</t>
        </is>
      </c>
      <c r="G3763" t="inlineStr">
        <is>
          <t>Nd</t>
        </is>
      </c>
      <c r="H3763">
        <f>'Floor Hours Engine'!$E$6</f>
        <v/>
      </c>
      <c r="I3763" t="inlineStr">
        <is>
          <t>W3</t>
        </is>
      </c>
      <c r="J3763" t="inlineStr">
        <is>
          <t>2031_Kwiecień_W3</t>
        </is>
      </c>
    </row>
    <row r="3764">
      <c r="A3764" s="177" t="n">
        <v>47959</v>
      </c>
      <c r="B3764" s="177" t="n">
        <v>47953</v>
      </c>
      <c r="C3764" s="177" t="n">
        <v>47959</v>
      </c>
      <c r="D3764" t="inlineStr">
        <is>
          <t>BW20310415</t>
        </is>
      </c>
      <c r="E3764" t="n">
        <v>2031</v>
      </c>
      <c r="F3764" t="inlineStr">
        <is>
          <t>Kwiecień</t>
        </is>
      </c>
      <c r="G3764" t="inlineStr">
        <is>
          <t>Pn</t>
        </is>
      </c>
      <c r="H3764">
        <f>'Floor Hours Engine'!$E$4</f>
        <v/>
      </c>
      <c r="I3764" t="inlineStr">
        <is>
          <t>W3</t>
        </is>
      </c>
      <c r="J3764" t="inlineStr">
        <is>
          <t>2031_Kwiecień_W3</t>
        </is>
      </c>
    </row>
    <row r="3765">
      <c r="A3765" s="177" t="n">
        <v>47960</v>
      </c>
      <c r="B3765" s="177" t="n">
        <v>47960</v>
      </c>
      <c r="C3765" s="177" t="n">
        <v>47966</v>
      </c>
      <c r="D3765" t="inlineStr">
        <is>
          <t>BW20310422</t>
        </is>
      </c>
      <c r="E3765" t="n">
        <v>2031</v>
      </c>
      <c r="F3765" t="inlineStr">
        <is>
          <t>Kwiecień</t>
        </is>
      </c>
      <c r="G3765" t="inlineStr">
        <is>
          <t>Wt</t>
        </is>
      </c>
      <c r="H3765">
        <f>'Floor Hours Engine'!$E$4</f>
        <v/>
      </c>
      <c r="I3765" t="inlineStr">
        <is>
          <t>W4</t>
        </is>
      </c>
      <c r="J3765" t="inlineStr">
        <is>
          <t>2031_Kwiecień_W4</t>
        </is>
      </c>
    </row>
    <row r="3766">
      <c r="A3766" s="177" t="n">
        <v>47961</v>
      </c>
      <c r="B3766" s="177" t="n">
        <v>47960</v>
      </c>
      <c r="C3766" s="177" t="n">
        <v>47966</v>
      </c>
      <c r="D3766" t="inlineStr">
        <is>
          <t>BW20310422</t>
        </is>
      </c>
      <c r="E3766" t="n">
        <v>2031</v>
      </c>
      <c r="F3766" t="inlineStr">
        <is>
          <t>Kwiecień</t>
        </is>
      </c>
      <c r="G3766" t="inlineStr">
        <is>
          <t>Śr</t>
        </is>
      </c>
      <c r="H3766">
        <f>'Floor Hours Engine'!$E$4</f>
        <v/>
      </c>
      <c r="I3766" t="inlineStr">
        <is>
          <t>W4</t>
        </is>
      </c>
      <c r="J3766" t="inlineStr">
        <is>
          <t>2031_Kwiecień_W4</t>
        </is>
      </c>
    </row>
    <row r="3767">
      <c r="A3767" s="177" t="n">
        <v>47962</v>
      </c>
      <c r="B3767" s="177" t="n">
        <v>47960</v>
      </c>
      <c r="C3767" s="177" t="n">
        <v>47966</v>
      </c>
      <c r="D3767" t="inlineStr">
        <is>
          <t>BW20310422</t>
        </is>
      </c>
      <c r="E3767" t="n">
        <v>2031</v>
      </c>
      <c r="F3767" t="inlineStr">
        <is>
          <t>Kwiecień</t>
        </is>
      </c>
      <c r="G3767" t="inlineStr">
        <is>
          <t>Czw</t>
        </is>
      </c>
      <c r="H3767">
        <f>'Floor Hours Engine'!$E$4</f>
        <v/>
      </c>
      <c r="I3767" t="inlineStr">
        <is>
          <t>W4</t>
        </is>
      </c>
      <c r="J3767" t="inlineStr">
        <is>
          <t>2031_Kwiecień_W4</t>
        </is>
      </c>
    </row>
    <row r="3768">
      <c r="A3768" s="177" t="n">
        <v>47963</v>
      </c>
      <c r="B3768" s="177" t="n">
        <v>47960</v>
      </c>
      <c r="C3768" s="177" t="n">
        <v>47966</v>
      </c>
      <c r="D3768" t="inlineStr">
        <is>
          <t>BW20310422</t>
        </is>
      </c>
      <c r="E3768" t="n">
        <v>2031</v>
      </c>
      <c r="F3768" t="inlineStr">
        <is>
          <t>Kwiecień</t>
        </is>
      </c>
      <c r="G3768" t="inlineStr">
        <is>
          <t>Pt</t>
        </is>
      </c>
      <c r="H3768">
        <f>'Floor Hours Engine'!$E$5</f>
        <v/>
      </c>
      <c r="I3768" t="inlineStr">
        <is>
          <t>W4</t>
        </is>
      </c>
      <c r="J3768" t="inlineStr">
        <is>
          <t>2031_Kwiecień_W4</t>
        </is>
      </c>
    </row>
    <row r="3769">
      <c r="A3769" s="177" t="n">
        <v>47964</v>
      </c>
      <c r="B3769" s="177" t="n">
        <v>47960</v>
      </c>
      <c r="C3769" s="177" t="n">
        <v>47966</v>
      </c>
      <c r="D3769" t="inlineStr">
        <is>
          <t>BW20310422</t>
        </is>
      </c>
      <c r="E3769" t="n">
        <v>2031</v>
      </c>
      <c r="F3769" t="inlineStr">
        <is>
          <t>Kwiecień</t>
        </is>
      </c>
      <c r="G3769" t="inlineStr">
        <is>
          <t>Sob</t>
        </is>
      </c>
      <c r="H3769">
        <f>'Floor Hours Engine'!$E$5</f>
        <v/>
      </c>
      <c r="I3769" t="inlineStr">
        <is>
          <t>W4</t>
        </is>
      </c>
      <c r="J3769" t="inlineStr">
        <is>
          <t>2031_Kwiecień_W4</t>
        </is>
      </c>
    </row>
    <row r="3770">
      <c r="A3770" s="177" t="n">
        <v>47965</v>
      </c>
      <c r="B3770" s="177" t="n">
        <v>47960</v>
      </c>
      <c r="C3770" s="177" t="n">
        <v>47966</v>
      </c>
      <c r="D3770" t="inlineStr">
        <is>
          <t>BW20310422</t>
        </is>
      </c>
      <c r="E3770" t="n">
        <v>2031</v>
      </c>
      <c r="F3770" t="inlineStr">
        <is>
          <t>Kwiecień</t>
        </is>
      </c>
      <c r="G3770" t="inlineStr">
        <is>
          <t>Nd</t>
        </is>
      </c>
      <c r="H3770">
        <f>'Floor Hours Engine'!$E$6</f>
        <v/>
      </c>
      <c r="I3770" t="inlineStr">
        <is>
          <t>W4</t>
        </is>
      </c>
      <c r="J3770" t="inlineStr">
        <is>
          <t>2031_Kwiecień_W4</t>
        </is>
      </c>
    </row>
    <row r="3771">
      <c r="A3771" s="177" t="n">
        <v>47966</v>
      </c>
      <c r="B3771" s="177" t="n">
        <v>47960</v>
      </c>
      <c r="C3771" s="177" t="n">
        <v>47966</v>
      </c>
      <c r="D3771" t="inlineStr">
        <is>
          <t>BW20310422</t>
        </is>
      </c>
      <c r="E3771" t="n">
        <v>2031</v>
      </c>
      <c r="F3771" t="inlineStr">
        <is>
          <t>Kwiecień</t>
        </is>
      </c>
      <c r="G3771" t="inlineStr">
        <is>
          <t>Pn</t>
        </is>
      </c>
      <c r="H3771">
        <f>'Floor Hours Engine'!$E$4</f>
        <v/>
      </c>
      <c r="I3771" t="inlineStr">
        <is>
          <t>W4</t>
        </is>
      </c>
      <c r="J3771" t="inlineStr">
        <is>
          <t>2031_Kwiecień_W4</t>
        </is>
      </c>
    </row>
    <row r="3772">
      <c r="A3772" s="177" t="n">
        <v>47967</v>
      </c>
      <c r="B3772" s="177" t="n">
        <v>47967</v>
      </c>
      <c r="C3772" s="177" t="n">
        <v>47973</v>
      </c>
      <c r="D3772" t="inlineStr">
        <is>
          <t>BW20310429</t>
        </is>
      </c>
      <c r="E3772" t="n">
        <v>2031</v>
      </c>
      <c r="F3772" t="inlineStr">
        <is>
          <t>Kwiecień</t>
        </is>
      </c>
      <c r="G3772" t="inlineStr">
        <is>
          <t>Wt</t>
        </is>
      </c>
      <c r="H3772">
        <f>'Floor Hours Engine'!$E$4</f>
        <v/>
      </c>
      <c r="I3772" t="inlineStr">
        <is>
          <t>W5</t>
        </is>
      </c>
      <c r="J3772" t="inlineStr">
        <is>
          <t>2031_Kwiecień_W5</t>
        </is>
      </c>
    </row>
    <row r="3773">
      <c r="A3773" s="177" t="n">
        <v>47968</v>
      </c>
      <c r="B3773" s="177" t="n">
        <v>47967</v>
      </c>
      <c r="C3773" s="177" t="n">
        <v>47973</v>
      </c>
      <c r="D3773" t="inlineStr">
        <is>
          <t>BW20310429</t>
        </is>
      </c>
      <c r="E3773" t="n">
        <v>2031</v>
      </c>
      <c r="F3773" t="inlineStr">
        <is>
          <t>Kwiecień</t>
        </is>
      </c>
      <c r="G3773" t="inlineStr">
        <is>
          <t>Śr</t>
        </is>
      </c>
      <c r="H3773">
        <f>'Floor Hours Engine'!$E$4</f>
        <v/>
      </c>
      <c r="I3773" t="inlineStr">
        <is>
          <t>W5</t>
        </is>
      </c>
      <c r="J3773" t="inlineStr">
        <is>
          <t>2031_Kwiecień_W5</t>
        </is>
      </c>
    </row>
    <row r="3774">
      <c r="A3774" s="177" t="n">
        <v>47969</v>
      </c>
      <c r="B3774" s="177" t="n">
        <v>47967</v>
      </c>
      <c r="C3774" s="177" t="n">
        <v>47973</v>
      </c>
      <c r="D3774" t="inlineStr">
        <is>
          <t>BW20310429</t>
        </is>
      </c>
      <c r="E3774" t="n">
        <v>2031</v>
      </c>
      <c r="F3774" t="inlineStr">
        <is>
          <t>Maj</t>
        </is>
      </c>
      <c r="G3774" t="inlineStr">
        <is>
          <t>Czw</t>
        </is>
      </c>
      <c r="H3774">
        <f>'Floor Hours Engine'!$E$4</f>
        <v/>
      </c>
      <c r="I3774" t="inlineStr">
        <is>
          <t>W1</t>
        </is>
      </c>
      <c r="J3774" t="inlineStr">
        <is>
          <t>2031_Maj_W1</t>
        </is>
      </c>
    </row>
    <row r="3775">
      <c r="A3775" s="177" t="n">
        <v>47970</v>
      </c>
      <c r="B3775" s="177" t="n">
        <v>47967</v>
      </c>
      <c r="C3775" s="177" t="n">
        <v>47973</v>
      </c>
      <c r="D3775" t="inlineStr">
        <is>
          <t>BW20310429</t>
        </is>
      </c>
      <c r="E3775" t="n">
        <v>2031</v>
      </c>
      <c r="F3775" t="inlineStr">
        <is>
          <t>Maj</t>
        </is>
      </c>
      <c r="G3775" t="inlineStr">
        <is>
          <t>Pt</t>
        </is>
      </c>
      <c r="H3775">
        <f>'Floor Hours Engine'!$E$5</f>
        <v/>
      </c>
      <c r="I3775" t="inlineStr">
        <is>
          <t>W1</t>
        </is>
      </c>
      <c r="J3775" t="inlineStr">
        <is>
          <t>2031_Maj_W1</t>
        </is>
      </c>
    </row>
    <row r="3776">
      <c r="A3776" s="177" t="n">
        <v>47971</v>
      </c>
      <c r="B3776" s="177" t="n">
        <v>47967</v>
      </c>
      <c r="C3776" s="177" t="n">
        <v>47973</v>
      </c>
      <c r="D3776" t="inlineStr">
        <is>
          <t>BW20310429</t>
        </is>
      </c>
      <c r="E3776" t="n">
        <v>2031</v>
      </c>
      <c r="F3776" t="inlineStr">
        <is>
          <t>Maj</t>
        </is>
      </c>
      <c r="G3776" t="inlineStr">
        <is>
          <t>Sob</t>
        </is>
      </c>
      <c r="H3776">
        <f>'Floor Hours Engine'!$E$5</f>
        <v/>
      </c>
      <c r="I3776" t="inlineStr">
        <is>
          <t>W1</t>
        </is>
      </c>
      <c r="J3776" t="inlineStr">
        <is>
          <t>2031_Maj_W1</t>
        </is>
      </c>
    </row>
    <row r="3777">
      <c r="A3777" s="177" t="n">
        <v>47972</v>
      </c>
      <c r="B3777" s="177" t="n">
        <v>47967</v>
      </c>
      <c r="C3777" s="177" t="n">
        <v>47973</v>
      </c>
      <c r="D3777" t="inlineStr">
        <is>
          <t>BW20310429</t>
        </is>
      </c>
      <c r="E3777" t="n">
        <v>2031</v>
      </c>
      <c r="F3777" t="inlineStr">
        <is>
          <t>Maj</t>
        </is>
      </c>
      <c r="G3777" t="inlineStr">
        <is>
          <t>Nd</t>
        </is>
      </c>
      <c r="H3777">
        <f>'Floor Hours Engine'!$E$6</f>
        <v/>
      </c>
      <c r="I3777" t="inlineStr">
        <is>
          <t>W1</t>
        </is>
      </c>
      <c r="J3777" t="inlineStr">
        <is>
          <t>2031_Maj_W1</t>
        </is>
      </c>
    </row>
    <row r="3778">
      <c r="A3778" s="177" t="n">
        <v>47973</v>
      </c>
      <c r="B3778" s="177" t="n">
        <v>47967</v>
      </c>
      <c r="C3778" s="177" t="n">
        <v>47973</v>
      </c>
      <c r="D3778" t="inlineStr">
        <is>
          <t>BW20310429</t>
        </is>
      </c>
      <c r="E3778" t="n">
        <v>2031</v>
      </c>
      <c r="F3778" t="inlineStr">
        <is>
          <t>Maj</t>
        </is>
      </c>
      <c r="G3778" t="inlineStr">
        <is>
          <t>Pn</t>
        </is>
      </c>
      <c r="H3778">
        <f>'Floor Hours Engine'!$E$4</f>
        <v/>
      </c>
      <c r="I3778" t="inlineStr">
        <is>
          <t>W1</t>
        </is>
      </c>
      <c r="J3778" t="inlineStr">
        <is>
          <t>2031_Maj_W1</t>
        </is>
      </c>
    </row>
    <row r="3779">
      <c r="A3779" s="177" t="n">
        <v>47974</v>
      </c>
      <c r="B3779" s="177" t="n">
        <v>47974</v>
      </c>
      <c r="C3779" s="177" t="n">
        <v>47980</v>
      </c>
      <c r="D3779" t="inlineStr">
        <is>
          <t>BW20310506</t>
        </is>
      </c>
      <c r="E3779" t="n">
        <v>2031</v>
      </c>
      <c r="F3779" t="inlineStr">
        <is>
          <t>Maj</t>
        </is>
      </c>
      <c r="G3779" t="inlineStr">
        <is>
          <t>Wt</t>
        </is>
      </c>
      <c r="H3779">
        <f>'Floor Hours Engine'!$E$4</f>
        <v/>
      </c>
      <c r="I3779" t="inlineStr">
        <is>
          <t>W2</t>
        </is>
      </c>
      <c r="J3779" t="inlineStr">
        <is>
          <t>2031_Maj_W2</t>
        </is>
      </c>
    </row>
    <row r="3780">
      <c r="A3780" s="177" t="n">
        <v>47975</v>
      </c>
      <c r="B3780" s="177" t="n">
        <v>47974</v>
      </c>
      <c r="C3780" s="177" t="n">
        <v>47980</v>
      </c>
      <c r="D3780" t="inlineStr">
        <is>
          <t>BW20310506</t>
        </is>
      </c>
      <c r="E3780" t="n">
        <v>2031</v>
      </c>
      <c r="F3780" t="inlineStr">
        <is>
          <t>Maj</t>
        </is>
      </c>
      <c r="G3780" t="inlineStr">
        <is>
          <t>Śr</t>
        </is>
      </c>
      <c r="H3780">
        <f>'Floor Hours Engine'!$E$4</f>
        <v/>
      </c>
      <c r="I3780" t="inlineStr">
        <is>
          <t>W2</t>
        </is>
      </c>
      <c r="J3780" t="inlineStr">
        <is>
          <t>2031_Maj_W2</t>
        </is>
      </c>
    </row>
    <row r="3781">
      <c r="A3781" s="177" t="n">
        <v>47976</v>
      </c>
      <c r="B3781" s="177" t="n">
        <v>47974</v>
      </c>
      <c r="C3781" s="177" t="n">
        <v>47980</v>
      </c>
      <c r="D3781" t="inlineStr">
        <is>
          <t>BW20310506</t>
        </is>
      </c>
      <c r="E3781" t="n">
        <v>2031</v>
      </c>
      <c r="F3781" t="inlineStr">
        <is>
          <t>Maj</t>
        </is>
      </c>
      <c r="G3781" t="inlineStr">
        <is>
          <t>Czw</t>
        </is>
      </c>
      <c r="H3781">
        <f>'Floor Hours Engine'!$E$4</f>
        <v/>
      </c>
      <c r="I3781" t="inlineStr">
        <is>
          <t>W2</t>
        </is>
      </c>
      <c r="J3781" t="inlineStr">
        <is>
          <t>2031_Maj_W2</t>
        </is>
      </c>
    </row>
    <row r="3782">
      <c r="A3782" s="177" t="n">
        <v>47977</v>
      </c>
      <c r="B3782" s="177" t="n">
        <v>47974</v>
      </c>
      <c r="C3782" s="177" t="n">
        <v>47980</v>
      </c>
      <c r="D3782" t="inlineStr">
        <is>
          <t>BW20310506</t>
        </is>
      </c>
      <c r="E3782" t="n">
        <v>2031</v>
      </c>
      <c r="F3782" t="inlineStr">
        <is>
          <t>Maj</t>
        </is>
      </c>
      <c r="G3782" t="inlineStr">
        <is>
          <t>Pt</t>
        </is>
      </c>
      <c r="H3782">
        <f>'Floor Hours Engine'!$E$5</f>
        <v/>
      </c>
      <c r="I3782" t="inlineStr">
        <is>
          <t>W2</t>
        </is>
      </c>
      <c r="J3782" t="inlineStr">
        <is>
          <t>2031_Maj_W2</t>
        </is>
      </c>
    </row>
    <row r="3783">
      <c r="A3783" s="177" t="n">
        <v>47978</v>
      </c>
      <c r="B3783" s="177" t="n">
        <v>47974</v>
      </c>
      <c r="C3783" s="177" t="n">
        <v>47980</v>
      </c>
      <c r="D3783" t="inlineStr">
        <is>
          <t>BW20310506</t>
        </is>
      </c>
      <c r="E3783" t="n">
        <v>2031</v>
      </c>
      <c r="F3783" t="inlineStr">
        <is>
          <t>Maj</t>
        </is>
      </c>
      <c r="G3783" t="inlineStr">
        <is>
          <t>Sob</t>
        </is>
      </c>
      <c r="H3783">
        <f>'Floor Hours Engine'!$E$5</f>
        <v/>
      </c>
      <c r="I3783" t="inlineStr">
        <is>
          <t>W2</t>
        </is>
      </c>
      <c r="J3783" t="inlineStr">
        <is>
          <t>2031_Maj_W2</t>
        </is>
      </c>
    </row>
    <row r="3784">
      <c r="A3784" s="177" t="n">
        <v>47979</v>
      </c>
      <c r="B3784" s="177" t="n">
        <v>47974</v>
      </c>
      <c r="C3784" s="177" t="n">
        <v>47980</v>
      </c>
      <c r="D3784" t="inlineStr">
        <is>
          <t>BW20310506</t>
        </is>
      </c>
      <c r="E3784" t="n">
        <v>2031</v>
      </c>
      <c r="F3784" t="inlineStr">
        <is>
          <t>Maj</t>
        </is>
      </c>
      <c r="G3784" t="inlineStr">
        <is>
          <t>Nd</t>
        </is>
      </c>
      <c r="H3784">
        <f>'Floor Hours Engine'!$E$6</f>
        <v/>
      </c>
      <c r="I3784" t="inlineStr">
        <is>
          <t>W2</t>
        </is>
      </c>
      <c r="J3784" t="inlineStr">
        <is>
          <t>2031_Maj_W2</t>
        </is>
      </c>
    </row>
    <row r="3785">
      <c r="A3785" s="177" t="n">
        <v>47980</v>
      </c>
      <c r="B3785" s="177" t="n">
        <v>47974</v>
      </c>
      <c r="C3785" s="177" t="n">
        <v>47980</v>
      </c>
      <c r="D3785" t="inlineStr">
        <is>
          <t>BW20310506</t>
        </is>
      </c>
      <c r="E3785" t="n">
        <v>2031</v>
      </c>
      <c r="F3785" t="inlineStr">
        <is>
          <t>Maj</t>
        </is>
      </c>
      <c r="G3785" t="inlineStr">
        <is>
          <t>Pn</t>
        </is>
      </c>
      <c r="H3785">
        <f>'Floor Hours Engine'!$E$4</f>
        <v/>
      </c>
      <c r="I3785" t="inlineStr">
        <is>
          <t>W2</t>
        </is>
      </c>
      <c r="J3785" t="inlineStr">
        <is>
          <t>2031_Maj_W2</t>
        </is>
      </c>
    </row>
    <row r="3786">
      <c r="A3786" s="177" t="n">
        <v>47981</v>
      </c>
      <c r="B3786" s="177" t="n">
        <v>47981</v>
      </c>
      <c r="C3786" s="177" t="n">
        <v>47987</v>
      </c>
      <c r="D3786" t="inlineStr">
        <is>
          <t>BW20310513</t>
        </is>
      </c>
      <c r="E3786" t="n">
        <v>2031</v>
      </c>
      <c r="F3786" t="inlineStr">
        <is>
          <t>Maj</t>
        </is>
      </c>
      <c r="G3786" t="inlineStr">
        <is>
          <t>Wt</t>
        </is>
      </c>
      <c r="H3786">
        <f>'Floor Hours Engine'!$E$4</f>
        <v/>
      </c>
      <c r="I3786" t="inlineStr">
        <is>
          <t>W3</t>
        </is>
      </c>
      <c r="J3786" t="inlineStr">
        <is>
          <t>2031_Maj_W3</t>
        </is>
      </c>
    </row>
    <row r="3787">
      <c r="A3787" s="177" t="n">
        <v>47982</v>
      </c>
      <c r="B3787" s="177" t="n">
        <v>47981</v>
      </c>
      <c r="C3787" s="177" t="n">
        <v>47987</v>
      </c>
      <c r="D3787" t="inlineStr">
        <is>
          <t>BW20310513</t>
        </is>
      </c>
      <c r="E3787" t="n">
        <v>2031</v>
      </c>
      <c r="F3787" t="inlineStr">
        <is>
          <t>Maj</t>
        </is>
      </c>
      <c r="G3787" t="inlineStr">
        <is>
          <t>Śr</t>
        </is>
      </c>
      <c r="H3787">
        <f>'Floor Hours Engine'!$E$4</f>
        <v/>
      </c>
      <c r="I3787" t="inlineStr">
        <is>
          <t>W3</t>
        </is>
      </c>
      <c r="J3787" t="inlineStr">
        <is>
          <t>2031_Maj_W3</t>
        </is>
      </c>
    </row>
    <row r="3788">
      <c r="A3788" s="177" t="n">
        <v>47983</v>
      </c>
      <c r="B3788" s="177" t="n">
        <v>47981</v>
      </c>
      <c r="C3788" s="177" t="n">
        <v>47987</v>
      </c>
      <c r="D3788" t="inlineStr">
        <is>
          <t>BW20310513</t>
        </is>
      </c>
      <c r="E3788" t="n">
        <v>2031</v>
      </c>
      <c r="F3788" t="inlineStr">
        <is>
          <t>Maj</t>
        </is>
      </c>
      <c r="G3788" t="inlineStr">
        <is>
          <t>Czw</t>
        </is>
      </c>
      <c r="H3788">
        <f>'Floor Hours Engine'!$E$4</f>
        <v/>
      </c>
      <c r="I3788" t="inlineStr">
        <is>
          <t>W3</t>
        </is>
      </c>
      <c r="J3788" t="inlineStr">
        <is>
          <t>2031_Maj_W3</t>
        </is>
      </c>
    </row>
    <row r="3789">
      <c r="A3789" s="177" t="n">
        <v>47984</v>
      </c>
      <c r="B3789" s="177" t="n">
        <v>47981</v>
      </c>
      <c r="C3789" s="177" t="n">
        <v>47987</v>
      </c>
      <c r="D3789" t="inlineStr">
        <is>
          <t>BW20310513</t>
        </is>
      </c>
      <c r="E3789" t="n">
        <v>2031</v>
      </c>
      <c r="F3789" t="inlineStr">
        <is>
          <t>Maj</t>
        </is>
      </c>
      <c r="G3789" t="inlineStr">
        <is>
          <t>Pt</t>
        </is>
      </c>
      <c r="H3789">
        <f>'Floor Hours Engine'!$E$5</f>
        <v/>
      </c>
      <c r="I3789" t="inlineStr">
        <is>
          <t>W3</t>
        </is>
      </c>
      <c r="J3789" t="inlineStr">
        <is>
          <t>2031_Maj_W3</t>
        </is>
      </c>
    </row>
    <row r="3790">
      <c r="A3790" s="177" t="n">
        <v>47985</v>
      </c>
      <c r="B3790" s="177" t="n">
        <v>47981</v>
      </c>
      <c r="C3790" s="177" t="n">
        <v>47987</v>
      </c>
      <c r="D3790" t="inlineStr">
        <is>
          <t>BW20310513</t>
        </is>
      </c>
      <c r="E3790" t="n">
        <v>2031</v>
      </c>
      <c r="F3790" t="inlineStr">
        <is>
          <t>Maj</t>
        </is>
      </c>
      <c r="G3790" t="inlineStr">
        <is>
          <t>Sob</t>
        </is>
      </c>
      <c r="H3790">
        <f>'Floor Hours Engine'!$E$5</f>
        <v/>
      </c>
      <c r="I3790" t="inlineStr">
        <is>
          <t>W3</t>
        </is>
      </c>
      <c r="J3790" t="inlineStr">
        <is>
          <t>2031_Maj_W3</t>
        </is>
      </c>
    </row>
    <row r="3791">
      <c r="A3791" s="177" t="n">
        <v>47986</v>
      </c>
      <c r="B3791" s="177" t="n">
        <v>47981</v>
      </c>
      <c r="C3791" s="177" t="n">
        <v>47987</v>
      </c>
      <c r="D3791" t="inlineStr">
        <is>
          <t>BW20310513</t>
        </is>
      </c>
      <c r="E3791" t="n">
        <v>2031</v>
      </c>
      <c r="F3791" t="inlineStr">
        <is>
          <t>Maj</t>
        </is>
      </c>
      <c r="G3791" t="inlineStr">
        <is>
          <t>Nd</t>
        </is>
      </c>
      <c r="H3791">
        <f>'Floor Hours Engine'!$E$6</f>
        <v/>
      </c>
      <c r="I3791" t="inlineStr">
        <is>
          <t>W3</t>
        </is>
      </c>
      <c r="J3791" t="inlineStr">
        <is>
          <t>2031_Maj_W3</t>
        </is>
      </c>
    </row>
    <row r="3792">
      <c r="A3792" s="177" t="n">
        <v>47987</v>
      </c>
      <c r="B3792" s="177" t="n">
        <v>47981</v>
      </c>
      <c r="C3792" s="177" t="n">
        <v>47987</v>
      </c>
      <c r="D3792" t="inlineStr">
        <is>
          <t>BW20310513</t>
        </is>
      </c>
      <c r="E3792" t="n">
        <v>2031</v>
      </c>
      <c r="F3792" t="inlineStr">
        <is>
          <t>Maj</t>
        </is>
      </c>
      <c r="G3792" t="inlineStr">
        <is>
          <t>Pn</t>
        </is>
      </c>
      <c r="H3792">
        <f>'Floor Hours Engine'!$E$4</f>
        <v/>
      </c>
      <c r="I3792" t="inlineStr">
        <is>
          <t>W3</t>
        </is>
      </c>
      <c r="J3792" t="inlineStr">
        <is>
          <t>2031_Maj_W3</t>
        </is>
      </c>
    </row>
    <row r="3793">
      <c r="A3793" s="177" t="n">
        <v>47988</v>
      </c>
      <c r="B3793" s="177" t="n">
        <v>47988</v>
      </c>
      <c r="C3793" s="177" t="n">
        <v>47994</v>
      </c>
      <c r="D3793" t="inlineStr">
        <is>
          <t>BW20310520</t>
        </is>
      </c>
      <c r="E3793" t="n">
        <v>2031</v>
      </c>
      <c r="F3793" t="inlineStr">
        <is>
          <t>Maj</t>
        </is>
      </c>
      <c r="G3793" t="inlineStr">
        <is>
          <t>Wt</t>
        </is>
      </c>
      <c r="H3793">
        <f>'Floor Hours Engine'!$E$4</f>
        <v/>
      </c>
      <c r="I3793" t="inlineStr">
        <is>
          <t>W4</t>
        </is>
      </c>
      <c r="J3793" t="inlineStr">
        <is>
          <t>2031_Maj_W4</t>
        </is>
      </c>
    </row>
    <row r="3794">
      <c r="A3794" s="177" t="n">
        <v>47989</v>
      </c>
      <c r="B3794" s="177" t="n">
        <v>47988</v>
      </c>
      <c r="C3794" s="177" t="n">
        <v>47994</v>
      </c>
      <c r="D3794" t="inlineStr">
        <is>
          <t>BW20310520</t>
        </is>
      </c>
      <c r="E3794" t="n">
        <v>2031</v>
      </c>
      <c r="F3794" t="inlineStr">
        <is>
          <t>Maj</t>
        </is>
      </c>
      <c r="G3794" t="inlineStr">
        <is>
          <t>Śr</t>
        </is>
      </c>
      <c r="H3794">
        <f>'Floor Hours Engine'!$E$4</f>
        <v/>
      </c>
      <c r="I3794" t="inlineStr">
        <is>
          <t>W4</t>
        </is>
      </c>
      <c r="J3794" t="inlineStr">
        <is>
          <t>2031_Maj_W4</t>
        </is>
      </c>
    </row>
    <row r="3795">
      <c r="A3795" s="177" t="n">
        <v>47990</v>
      </c>
      <c r="B3795" s="177" t="n">
        <v>47988</v>
      </c>
      <c r="C3795" s="177" t="n">
        <v>47994</v>
      </c>
      <c r="D3795" t="inlineStr">
        <is>
          <t>BW20310520</t>
        </is>
      </c>
      <c r="E3795" t="n">
        <v>2031</v>
      </c>
      <c r="F3795" t="inlineStr">
        <is>
          <t>Maj</t>
        </is>
      </c>
      <c r="G3795" t="inlineStr">
        <is>
          <t>Czw</t>
        </is>
      </c>
      <c r="H3795">
        <f>'Floor Hours Engine'!$E$4</f>
        <v/>
      </c>
      <c r="I3795" t="inlineStr">
        <is>
          <t>W4</t>
        </is>
      </c>
      <c r="J3795" t="inlineStr">
        <is>
          <t>2031_Maj_W4</t>
        </is>
      </c>
    </row>
    <row r="3796">
      <c r="A3796" s="177" t="n">
        <v>47991</v>
      </c>
      <c r="B3796" s="177" t="n">
        <v>47988</v>
      </c>
      <c r="C3796" s="177" t="n">
        <v>47994</v>
      </c>
      <c r="D3796" t="inlineStr">
        <is>
          <t>BW20310520</t>
        </is>
      </c>
      <c r="E3796" t="n">
        <v>2031</v>
      </c>
      <c r="F3796" t="inlineStr">
        <is>
          <t>Maj</t>
        </is>
      </c>
      <c r="G3796" t="inlineStr">
        <is>
          <t>Pt</t>
        </is>
      </c>
      <c r="H3796">
        <f>'Floor Hours Engine'!$E$5</f>
        <v/>
      </c>
      <c r="I3796" t="inlineStr">
        <is>
          <t>W4</t>
        </is>
      </c>
      <c r="J3796" t="inlineStr">
        <is>
          <t>2031_Maj_W4</t>
        </is>
      </c>
    </row>
    <row r="3797">
      <c r="A3797" s="177" t="n">
        <v>47992</v>
      </c>
      <c r="B3797" s="177" t="n">
        <v>47988</v>
      </c>
      <c r="C3797" s="177" t="n">
        <v>47994</v>
      </c>
      <c r="D3797" t="inlineStr">
        <is>
          <t>BW20310520</t>
        </is>
      </c>
      <c r="E3797" t="n">
        <v>2031</v>
      </c>
      <c r="F3797" t="inlineStr">
        <is>
          <t>Maj</t>
        </is>
      </c>
      <c r="G3797" t="inlineStr">
        <is>
          <t>Sob</t>
        </is>
      </c>
      <c r="H3797">
        <f>'Floor Hours Engine'!$E$5</f>
        <v/>
      </c>
      <c r="I3797" t="inlineStr">
        <is>
          <t>W4</t>
        </is>
      </c>
      <c r="J3797" t="inlineStr">
        <is>
          <t>2031_Maj_W4</t>
        </is>
      </c>
    </row>
    <row r="3798">
      <c r="A3798" s="177" t="n">
        <v>47993</v>
      </c>
      <c r="B3798" s="177" t="n">
        <v>47988</v>
      </c>
      <c r="C3798" s="177" t="n">
        <v>47994</v>
      </c>
      <c r="D3798" t="inlineStr">
        <is>
          <t>BW20310520</t>
        </is>
      </c>
      <c r="E3798" t="n">
        <v>2031</v>
      </c>
      <c r="F3798" t="inlineStr">
        <is>
          <t>Maj</t>
        </is>
      </c>
      <c r="G3798" t="inlineStr">
        <is>
          <t>Nd</t>
        </is>
      </c>
      <c r="H3798">
        <f>'Floor Hours Engine'!$E$6</f>
        <v/>
      </c>
      <c r="I3798" t="inlineStr">
        <is>
          <t>W4</t>
        </is>
      </c>
      <c r="J3798" t="inlineStr">
        <is>
          <t>2031_Maj_W4</t>
        </is>
      </c>
    </row>
    <row r="3799">
      <c r="A3799" s="177" t="n">
        <v>47994</v>
      </c>
      <c r="B3799" s="177" t="n">
        <v>47988</v>
      </c>
      <c r="C3799" s="177" t="n">
        <v>47994</v>
      </c>
      <c r="D3799" t="inlineStr">
        <is>
          <t>BW20310520</t>
        </is>
      </c>
      <c r="E3799" t="n">
        <v>2031</v>
      </c>
      <c r="F3799" t="inlineStr">
        <is>
          <t>Maj</t>
        </is>
      </c>
      <c r="G3799" t="inlineStr">
        <is>
          <t>Pn</t>
        </is>
      </c>
      <c r="H3799">
        <f>'Floor Hours Engine'!$E$4</f>
        <v/>
      </c>
      <c r="I3799" t="inlineStr">
        <is>
          <t>W4</t>
        </is>
      </c>
      <c r="J3799" t="inlineStr">
        <is>
          <t>2031_Maj_W4</t>
        </is>
      </c>
    </row>
    <row r="3800">
      <c r="A3800" s="177" t="n">
        <v>47995</v>
      </c>
      <c r="B3800" s="177" t="n">
        <v>47995</v>
      </c>
      <c r="C3800" s="177" t="n">
        <v>48001</v>
      </c>
      <c r="D3800" t="inlineStr">
        <is>
          <t>BW20310527</t>
        </is>
      </c>
      <c r="E3800" t="n">
        <v>2031</v>
      </c>
      <c r="F3800" t="inlineStr">
        <is>
          <t>Maj</t>
        </is>
      </c>
      <c r="G3800" t="inlineStr">
        <is>
          <t>Wt</t>
        </is>
      </c>
      <c r="H3800">
        <f>'Floor Hours Engine'!$E$4</f>
        <v/>
      </c>
      <c r="I3800" t="inlineStr">
        <is>
          <t>W5</t>
        </is>
      </c>
      <c r="J3800" t="inlineStr">
        <is>
          <t>2031_Maj_W5</t>
        </is>
      </c>
    </row>
    <row r="3801">
      <c r="A3801" s="177" t="n">
        <v>47996</v>
      </c>
      <c r="B3801" s="177" t="n">
        <v>47995</v>
      </c>
      <c r="C3801" s="177" t="n">
        <v>48001</v>
      </c>
      <c r="D3801" t="inlineStr">
        <is>
          <t>BW20310527</t>
        </is>
      </c>
      <c r="E3801" t="n">
        <v>2031</v>
      </c>
      <c r="F3801" t="inlineStr">
        <is>
          <t>Maj</t>
        </is>
      </c>
      <c r="G3801" t="inlineStr">
        <is>
          <t>Śr</t>
        </is>
      </c>
      <c r="H3801">
        <f>'Floor Hours Engine'!$E$4</f>
        <v/>
      </c>
      <c r="I3801" t="inlineStr">
        <is>
          <t>W5</t>
        </is>
      </c>
      <c r="J3801" t="inlineStr">
        <is>
          <t>2031_Maj_W5</t>
        </is>
      </c>
    </row>
    <row r="3802">
      <c r="A3802" s="177" t="n">
        <v>47997</v>
      </c>
      <c r="B3802" s="177" t="n">
        <v>47995</v>
      </c>
      <c r="C3802" s="177" t="n">
        <v>48001</v>
      </c>
      <c r="D3802" t="inlineStr">
        <is>
          <t>BW20310527</t>
        </is>
      </c>
      <c r="E3802" t="n">
        <v>2031</v>
      </c>
      <c r="F3802" t="inlineStr">
        <is>
          <t>Maj</t>
        </is>
      </c>
      <c r="G3802" t="inlineStr">
        <is>
          <t>Czw</t>
        </is>
      </c>
      <c r="H3802">
        <f>'Floor Hours Engine'!$E$4</f>
        <v/>
      </c>
      <c r="I3802" t="inlineStr">
        <is>
          <t>W5</t>
        </is>
      </c>
      <c r="J3802" t="inlineStr">
        <is>
          <t>2031_Maj_W5</t>
        </is>
      </c>
    </row>
    <row r="3803">
      <c r="A3803" s="177" t="n">
        <v>47998</v>
      </c>
      <c r="B3803" s="177" t="n">
        <v>47995</v>
      </c>
      <c r="C3803" s="177" t="n">
        <v>48001</v>
      </c>
      <c r="D3803" t="inlineStr">
        <is>
          <t>BW20310527</t>
        </is>
      </c>
      <c r="E3803" t="n">
        <v>2031</v>
      </c>
      <c r="F3803" t="inlineStr">
        <is>
          <t>Maj</t>
        </is>
      </c>
      <c r="G3803" t="inlineStr">
        <is>
          <t>Pt</t>
        </is>
      </c>
      <c r="H3803">
        <f>'Floor Hours Engine'!$E$5</f>
        <v/>
      </c>
      <c r="I3803" t="inlineStr">
        <is>
          <t>W5</t>
        </is>
      </c>
      <c r="J3803" t="inlineStr">
        <is>
          <t>2031_Maj_W5</t>
        </is>
      </c>
    </row>
    <row r="3804">
      <c r="A3804" s="177" t="n">
        <v>47999</v>
      </c>
      <c r="B3804" s="177" t="n">
        <v>47995</v>
      </c>
      <c r="C3804" s="177" t="n">
        <v>48001</v>
      </c>
      <c r="D3804" t="inlineStr">
        <is>
          <t>BW20310527</t>
        </is>
      </c>
      <c r="E3804" t="n">
        <v>2031</v>
      </c>
      <c r="F3804" t="inlineStr">
        <is>
          <t>Maj</t>
        </is>
      </c>
      <c r="G3804" t="inlineStr">
        <is>
          <t>Sob</t>
        </is>
      </c>
      <c r="H3804">
        <f>'Floor Hours Engine'!$E$5</f>
        <v/>
      </c>
      <c r="I3804" t="inlineStr">
        <is>
          <t>W5</t>
        </is>
      </c>
      <c r="J3804" t="inlineStr">
        <is>
          <t>2031_Maj_W5</t>
        </is>
      </c>
    </row>
    <row r="3805">
      <c r="A3805" s="177" t="n">
        <v>48000</v>
      </c>
      <c r="B3805" s="177" t="n">
        <v>47995</v>
      </c>
      <c r="C3805" s="177" t="n">
        <v>48001</v>
      </c>
      <c r="D3805" t="inlineStr">
        <is>
          <t>BW20310527</t>
        </is>
      </c>
      <c r="E3805" t="n">
        <v>2031</v>
      </c>
      <c r="F3805" t="inlineStr">
        <is>
          <t>Czerwiec</t>
        </is>
      </c>
      <c r="G3805" t="inlineStr">
        <is>
          <t>Nd</t>
        </is>
      </c>
      <c r="H3805">
        <f>'Floor Hours Engine'!$E$6</f>
        <v/>
      </c>
      <c r="I3805" t="inlineStr">
        <is>
          <t>W1</t>
        </is>
      </c>
      <c r="J3805" t="inlineStr">
        <is>
          <t>2031_Czerwiec_W1</t>
        </is>
      </c>
    </row>
    <row r="3806">
      <c r="A3806" s="177" t="n">
        <v>48001</v>
      </c>
      <c r="B3806" s="177" t="n">
        <v>47995</v>
      </c>
      <c r="C3806" s="177" t="n">
        <v>48001</v>
      </c>
      <c r="D3806" t="inlineStr">
        <is>
          <t>BW20310527</t>
        </is>
      </c>
      <c r="E3806" t="n">
        <v>2031</v>
      </c>
      <c r="F3806" t="inlineStr">
        <is>
          <t>Czerwiec</t>
        </is>
      </c>
      <c r="G3806" t="inlineStr">
        <is>
          <t>Pn</t>
        </is>
      </c>
      <c r="H3806">
        <f>'Floor Hours Engine'!$E$4</f>
        <v/>
      </c>
      <c r="I3806" t="inlineStr">
        <is>
          <t>W1</t>
        </is>
      </c>
      <c r="J3806" t="inlineStr">
        <is>
          <t>2031_Czerwiec_W1</t>
        </is>
      </c>
    </row>
    <row r="3807">
      <c r="A3807" s="177" t="n">
        <v>48002</v>
      </c>
      <c r="B3807" s="177" t="n">
        <v>48002</v>
      </c>
      <c r="C3807" s="177" t="n">
        <v>48008</v>
      </c>
      <c r="D3807" t="inlineStr">
        <is>
          <t>BW20310603</t>
        </is>
      </c>
      <c r="E3807" t="n">
        <v>2031</v>
      </c>
      <c r="F3807" t="inlineStr">
        <is>
          <t>Czerwiec</t>
        </is>
      </c>
      <c r="G3807" t="inlineStr">
        <is>
          <t>Wt</t>
        </is>
      </c>
      <c r="H3807">
        <f>'Floor Hours Engine'!$E$4</f>
        <v/>
      </c>
      <c r="I3807" t="inlineStr">
        <is>
          <t>W2</t>
        </is>
      </c>
      <c r="J3807" t="inlineStr">
        <is>
          <t>2031_Czerwiec_W2</t>
        </is>
      </c>
    </row>
    <row r="3808">
      <c r="A3808" s="177" t="n">
        <v>48003</v>
      </c>
      <c r="B3808" s="177" t="n">
        <v>48002</v>
      </c>
      <c r="C3808" s="177" t="n">
        <v>48008</v>
      </c>
      <c r="D3808" t="inlineStr">
        <is>
          <t>BW20310603</t>
        </is>
      </c>
      <c r="E3808" t="n">
        <v>2031</v>
      </c>
      <c r="F3808" t="inlineStr">
        <is>
          <t>Czerwiec</t>
        </is>
      </c>
      <c r="G3808" t="inlineStr">
        <is>
          <t>Śr</t>
        </is>
      </c>
      <c r="H3808">
        <f>'Floor Hours Engine'!$E$4</f>
        <v/>
      </c>
      <c r="I3808" t="inlineStr">
        <is>
          <t>W2</t>
        </is>
      </c>
      <c r="J3808" t="inlineStr">
        <is>
          <t>2031_Czerwiec_W2</t>
        </is>
      </c>
    </row>
    <row r="3809">
      <c r="A3809" s="177" t="n">
        <v>48004</v>
      </c>
      <c r="B3809" s="177" t="n">
        <v>48002</v>
      </c>
      <c r="C3809" s="177" t="n">
        <v>48008</v>
      </c>
      <c r="D3809" t="inlineStr">
        <is>
          <t>BW20310603</t>
        </is>
      </c>
      <c r="E3809" t="n">
        <v>2031</v>
      </c>
      <c r="F3809" t="inlineStr">
        <is>
          <t>Czerwiec</t>
        </is>
      </c>
      <c r="G3809" t="inlineStr">
        <is>
          <t>Czw</t>
        </is>
      </c>
      <c r="H3809">
        <f>'Floor Hours Engine'!$E$4</f>
        <v/>
      </c>
      <c r="I3809" t="inlineStr">
        <is>
          <t>W2</t>
        </is>
      </c>
      <c r="J3809" t="inlineStr">
        <is>
          <t>2031_Czerwiec_W2</t>
        </is>
      </c>
    </row>
    <row r="3810">
      <c r="A3810" s="177" t="n">
        <v>48005</v>
      </c>
      <c r="B3810" s="177" t="n">
        <v>48002</v>
      </c>
      <c r="C3810" s="177" t="n">
        <v>48008</v>
      </c>
      <c r="D3810" t="inlineStr">
        <is>
          <t>BW20310603</t>
        </is>
      </c>
      <c r="E3810" t="n">
        <v>2031</v>
      </c>
      <c r="F3810" t="inlineStr">
        <is>
          <t>Czerwiec</t>
        </is>
      </c>
      <c r="G3810" t="inlineStr">
        <is>
          <t>Pt</t>
        </is>
      </c>
      <c r="H3810">
        <f>'Floor Hours Engine'!$E$5</f>
        <v/>
      </c>
      <c r="I3810" t="inlineStr">
        <is>
          <t>W2</t>
        </is>
      </c>
      <c r="J3810" t="inlineStr">
        <is>
          <t>2031_Czerwiec_W2</t>
        </is>
      </c>
    </row>
    <row r="3811">
      <c r="A3811" s="177" t="n">
        <v>48006</v>
      </c>
      <c r="B3811" s="177" t="n">
        <v>48002</v>
      </c>
      <c r="C3811" s="177" t="n">
        <v>48008</v>
      </c>
      <c r="D3811" t="inlineStr">
        <is>
          <t>BW20310603</t>
        </is>
      </c>
      <c r="E3811" t="n">
        <v>2031</v>
      </c>
      <c r="F3811" t="inlineStr">
        <is>
          <t>Czerwiec</t>
        </is>
      </c>
      <c r="G3811" t="inlineStr">
        <is>
          <t>Sob</t>
        </is>
      </c>
      <c r="H3811">
        <f>'Floor Hours Engine'!$E$5</f>
        <v/>
      </c>
      <c r="I3811" t="inlineStr">
        <is>
          <t>W2</t>
        </is>
      </c>
      <c r="J3811" t="inlineStr">
        <is>
          <t>2031_Czerwiec_W2</t>
        </is>
      </c>
    </row>
    <row r="3812">
      <c r="A3812" s="177" t="n">
        <v>48007</v>
      </c>
      <c r="B3812" s="177" t="n">
        <v>48002</v>
      </c>
      <c r="C3812" s="177" t="n">
        <v>48008</v>
      </c>
      <c r="D3812" t="inlineStr">
        <is>
          <t>BW20310603</t>
        </is>
      </c>
      <c r="E3812" t="n">
        <v>2031</v>
      </c>
      <c r="F3812" t="inlineStr">
        <is>
          <t>Czerwiec</t>
        </is>
      </c>
      <c r="G3812" t="inlineStr">
        <is>
          <t>Nd</t>
        </is>
      </c>
      <c r="H3812">
        <f>'Floor Hours Engine'!$E$6</f>
        <v/>
      </c>
      <c r="I3812" t="inlineStr">
        <is>
          <t>W2</t>
        </is>
      </c>
      <c r="J3812" t="inlineStr">
        <is>
          <t>2031_Czerwiec_W2</t>
        </is>
      </c>
    </row>
    <row r="3813">
      <c r="A3813" s="177" t="n">
        <v>48008</v>
      </c>
      <c r="B3813" s="177" t="n">
        <v>48002</v>
      </c>
      <c r="C3813" s="177" t="n">
        <v>48008</v>
      </c>
      <c r="D3813" t="inlineStr">
        <is>
          <t>BW20310603</t>
        </is>
      </c>
      <c r="E3813" t="n">
        <v>2031</v>
      </c>
      <c r="F3813" t="inlineStr">
        <is>
          <t>Czerwiec</t>
        </is>
      </c>
      <c r="G3813" t="inlineStr">
        <is>
          <t>Pn</t>
        </is>
      </c>
      <c r="H3813">
        <f>'Floor Hours Engine'!$E$4</f>
        <v/>
      </c>
      <c r="I3813" t="inlineStr">
        <is>
          <t>W2</t>
        </is>
      </c>
      <c r="J3813" t="inlineStr">
        <is>
          <t>2031_Czerwiec_W2</t>
        </is>
      </c>
    </row>
    <row r="3814">
      <c r="A3814" s="177" t="n">
        <v>48009</v>
      </c>
      <c r="B3814" s="177" t="n">
        <v>48009</v>
      </c>
      <c r="C3814" s="177" t="n">
        <v>48015</v>
      </c>
      <c r="D3814" t="inlineStr">
        <is>
          <t>BW20310610</t>
        </is>
      </c>
      <c r="E3814" t="n">
        <v>2031</v>
      </c>
      <c r="F3814" t="inlineStr">
        <is>
          <t>Czerwiec</t>
        </is>
      </c>
      <c r="G3814" t="inlineStr">
        <is>
          <t>Wt</t>
        </is>
      </c>
      <c r="H3814">
        <f>'Floor Hours Engine'!$E$4</f>
        <v/>
      </c>
      <c r="I3814" t="inlineStr">
        <is>
          <t>W3</t>
        </is>
      </c>
      <c r="J3814" t="inlineStr">
        <is>
          <t>2031_Czerwiec_W3</t>
        </is>
      </c>
    </row>
    <row r="3815">
      <c r="A3815" s="177" t="n">
        <v>48010</v>
      </c>
      <c r="B3815" s="177" t="n">
        <v>48009</v>
      </c>
      <c r="C3815" s="177" t="n">
        <v>48015</v>
      </c>
      <c r="D3815" t="inlineStr">
        <is>
          <t>BW20310610</t>
        </is>
      </c>
      <c r="E3815" t="n">
        <v>2031</v>
      </c>
      <c r="F3815" t="inlineStr">
        <is>
          <t>Czerwiec</t>
        </is>
      </c>
      <c r="G3815" t="inlineStr">
        <is>
          <t>Śr</t>
        </is>
      </c>
      <c r="H3815">
        <f>'Floor Hours Engine'!$E$4</f>
        <v/>
      </c>
      <c r="I3815" t="inlineStr">
        <is>
          <t>W3</t>
        </is>
      </c>
      <c r="J3815" t="inlineStr">
        <is>
          <t>2031_Czerwiec_W3</t>
        </is>
      </c>
    </row>
    <row r="3816">
      <c r="A3816" s="177" t="n">
        <v>48011</v>
      </c>
      <c r="B3816" s="177" t="n">
        <v>48009</v>
      </c>
      <c r="C3816" s="177" t="n">
        <v>48015</v>
      </c>
      <c r="D3816" t="inlineStr">
        <is>
          <t>BW20310610</t>
        </is>
      </c>
      <c r="E3816" t="n">
        <v>2031</v>
      </c>
      <c r="F3816" t="inlineStr">
        <is>
          <t>Czerwiec</t>
        </is>
      </c>
      <c r="G3816" t="inlineStr">
        <is>
          <t>Czw</t>
        </is>
      </c>
      <c r="H3816">
        <f>'Floor Hours Engine'!$E$4</f>
        <v/>
      </c>
      <c r="I3816" t="inlineStr">
        <is>
          <t>W3</t>
        </is>
      </c>
      <c r="J3816" t="inlineStr">
        <is>
          <t>2031_Czerwiec_W3</t>
        </is>
      </c>
    </row>
    <row r="3817">
      <c r="A3817" s="177" t="n">
        <v>48012</v>
      </c>
      <c r="B3817" s="177" t="n">
        <v>48009</v>
      </c>
      <c r="C3817" s="177" t="n">
        <v>48015</v>
      </c>
      <c r="D3817" t="inlineStr">
        <is>
          <t>BW20310610</t>
        </is>
      </c>
      <c r="E3817" t="n">
        <v>2031</v>
      </c>
      <c r="F3817" t="inlineStr">
        <is>
          <t>Czerwiec</t>
        </is>
      </c>
      <c r="G3817" t="inlineStr">
        <is>
          <t>Pt</t>
        </is>
      </c>
      <c r="H3817">
        <f>'Floor Hours Engine'!$E$5</f>
        <v/>
      </c>
      <c r="I3817" t="inlineStr">
        <is>
          <t>W3</t>
        </is>
      </c>
      <c r="J3817" t="inlineStr">
        <is>
          <t>2031_Czerwiec_W3</t>
        </is>
      </c>
    </row>
    <row r="3818">
      <c r="A3818" s="177" t="n">
        <v>48013</v>
      </c>
      <c r="B3818" s="177" t="n">
        <v>48009</v>
      </c>
      <c r="C3818" s="177" t="n">
        <v>48015</v>
      </c>
      <c r="D3818" t="inlineStr">
        <is>
          <t>BW20310610</t>
        </is>
      </c>
      <c r="E3818" t="n">
        <v>2031</v>
      </c>
      <c r="F3818" t="inlineStr">
        <is>
          <t>Czerwiec</t>
        </is>
      </c>
      <c r="G3818" t="inlineStr">
        <is>
          <t>Sob</t>
        </is>
      </c>
      <c r="H3818">
        <f>'Floor Hours Engine'!$E$5</f>
        <v/>
      </c>
      <c r="I3818" t="inlineStr">
        <is>
          <t>W3</t>
        </is>
      </c>
      <c r="J3818" t="inlineStr">
        <is>
          <t>2031_Czerwiec_W3</t>
        </is>
      </c>
    </row>
    <row r="3819">
      <c r="A3819" s="177" t="n">
        <v>48014</v>
      </c>
      <c r="B3819" s="177" t="n">
        <v>48009</v>
      </c>
      <c r="C3819" s="177" t="n">
        <v>48015</v>
      </c>
      <c r="D3819" t="inlineStr">
        <is>
          <t>BW20310610</t>
        </is>
      </c>
      <c r="E3819" t="n">
        <v>2031</v>
      </c>
      <c r="F3819" t="inlineStr">
        <is>
          <t>Czerwiec</t>
        </is>
      </c>
      <c r="G3819" t="inlineStr">
        <is>
          <t>Nd</t>
        </is>
      </c>
      <c r="H3819">
        <f>'Floor Hours Engine'!$E$6</f>
        <v/>
      </c>
      <c r="I3819" t="inlineStr">
        <is>
          <t>W3</t>
        </is>
      </c>
      <c r="J3819" t="inlineStr">
        <is>
          <t>2031_Czerwiec_W3</t>
        </is>
      </c>
    </row>
    <row r="3820">
      <c r="A3820" s="177" t="n">
        <v>48015</v>
      </c>
      <c r="B3820" s="177" t="n">
        <v>48009</v>
      </c>
      <c r="C3820" s="177" t="n">
        <v>48015</v>
      </c>
      <c r="D3820" t="inlineStr">
        <is>
          <t>BW20310610</t>
        </is>
      </c>
      <c r="E3820" t="n">
        <v>2031</v>
      </c>
      <c r="F3820" t="inlineStr">
        <is>
          <t>Czerwiec</t>
        </is>
      </c>
      <c r="G3820" t="inlineStr">
        <is>
          <t>Pn</t>
        </is>
      </c>
      <c r="H3820">
        <f>'Floor Hours Engine'!$E$4</f>
        <v/>
      </c>
      <c r="I3820" t="inlineStr">
        <is>
          <t>W3</t>
        </is>
      </c>
      <c r="J3820" t="inlineStr">
        <is>
          <t>2031_Czerwiec_W3</t>
        </is>
      </c>
    </row>
    <row r="3821">
      <c r="A3821" s="177" t="n">
        <v>48016</v>
      </c>
      <c r="B3821" s="177" t="n">
        <v>48016</v>
      </c>
      <c r="C3821" s="177" t="n">
        <v>48022</v>
      </c>
      <c r="D3821" t="inlineStr">
        <is>
          <t>BW20310617</t>
        </is>
      </c>
      <c r="E3821" t="n">
        <v>2031</v>
      </c>
      <c r="F3821" t="inlineStr">
        <is>
          <t>Czerwiec</t>
        </is>
      </c>
      <c r="G3821" t="inlineStr">
        <is>
          <t>Wt</t>
        </is>
      </c>
      <c r="H3821">
        <f>'Floor Hours Engine'!$E$4</f>
        <v/>
      </c>
      <c r="I3821" t="inlineStr">
        <is>
          <t>W4</t>
        </is>
      </c>
      <c r="J3821" t="inlineStr">
        <is>
          <t>2031_Czerwiec_W4</t>
        </is>
      </c>
    </row>
    <row r="3822">
      <c r="A3822" s="177" t="n">
        <v>48017</v>
      </c>
      <c r="B3822" s="177" t="n">
        <v>48016</v>
      </c>
      <c r="C3822" s="177" t="n">
        <v>48022</v>
      </c>
      <c r="D3822" t="inlineStr">
        <is>
          <t>BW20310617</t>
        </is>
      </c>
      <c r="E3822" t="n">
        <v>2031</v>
      </c>
      <c r="F3822" t="inlineStr">
        <is>
          <t>Czerwiec</t>
        </is>
      </c>
      <c r="G3822" t="inlineStr">
        <is>
          <t>Śr</t>
        </is>
      </c>
      <c r="H3822">
        <f>'Floor Hours Engine'!$E$4</f>
        <v/>
      </c>
      <c r="I3822" t="inlineStr">
        <is>
          <t>W4</t>
        </is>
      </c>
      <c r="J3822" t="inlineStr">
        <is>
          <t>2031_Czerwiec_W4</t>
        </is>
      </c>
    </row>
    <row r="3823">
      <c r="A3823" s="177" t="n">
        <v>48018</v>
      </c>
      <c r="B3823" s="177" t="n">
        <v>48016</v>
      </c>
      <c r="C3823" s="177" t="n">
        <v>48022</v>
      </c>
      <c r="D3823" t="inlineStr">
        <is>
          <t>BW20310617</t>
        </is>
      </c>
      <c r="E3823" t="n">
        <v>2031</v>
      </c>
      <c r="F3823" t="inlineStr">
        <is>
          <t>Czerwiec</t>
        </is>
      </c>
      <c r="G3823" t="inlineStr">
        <is>
          <t>Czw</t>
        </is>
      </c>
      <c r="H3823">
        <f>'Floor Hours Engine'!$E$4</f>
        <v/>
      </c>
      <c r="I3823" t="inlineStr">
        <is>
          <t>W4</t>
        </is>
      </c>
      <c r="J3823" t="inlineStr">
        <is>
          <t>2031_Czerwiec_W4</t>
        </is>
      </c>
    </row>
    <row r="3824">
      <c r="A3824" s="177" t="n">
        <v>48019</v>
      </c>
      <c r="B3824" s="177" t="n">
        <v>48016</v>
      </c>
      <c r="C3824" s="177" t="n">
        <v>48022</v>
      </c>
      <c r="D3824" t="inlineStr">
        <is>
          <t>BW20310617</t>
        </is>
      </c>
      <c r="E3824" t="n">
        <v>2031</v>
      </c>
      <c r="F3824" t="inlineStr">
        <is>
          <t>Czerwiec</t>
        </is>
      </c>
      <c r="G3824" t="inlineStr">
        <is>
          <t>Pt</t>
        </is>
      </c>
      <c r="H3824">
        <f>'Floor Hours Engine'!$E$5</f>
        <v/>
      </c>
      <c r="I3824" t="inlineStr">
        <is>
          <t>W4</t>
        </is>
      </c>
      <c r="J3824" t="inlineStr">
        <is>
          <t>2031_Czerwiec_W4</t>
        </is>
      </c>
    </row>
    <row r="3825">
      <c r="A3825" s="177" t="n">
        <v>48020</v>
      </c>
      <c r="B3825" s="177" t="n">
        <v>48016</v>
      </c>
      <c r="C3825" s="177" t="n">
        <v>48022</v>
      </c>
      <c r="D3825" t="inlineStr">
        <is>
          <t>BW20310617</t>
        </is>
      </c>
      <c r="E3825" t="n">
        <v>2031</v>
      </c>
      <c r="F3825" t="inlineStr">
        <is>
          <t>Czerwiec</t>
        </is>
      </c>
      <c r="G3825" t="inlineStr">
        <is>
          <t>Sob</t>
        </is>
      </c>
      <c r="H3825">
        <f>'Floor Hours Engine'!$E$5</f>
        <v/>
      </c>
      <c r="I3825" t="inlineStr">
        <is>
          <t>W4</t>
        </is>
      </c>
      <c r="J3825" t="inlineStr">
        <is>
          <t>2031_Czerwiec_W4</t>
        </is>
      </c>
    </row>
    <row r="3826">
      <c r="A3826" s="177" t="n">
        <v>48021</v>
      </c>
      <c r="B3826" s="177" t="n">
        <v>48016</v>
      </c>
      <c r="C3826" s="177" t="n">
        <v>48022</v>
      </c>
      <c r="D3826" t="inlineStr">
        <is>
          <t>BW20310617</t>
        </is>
      </c>
      <c r="E3826" t="n">
        <v>2031</v>
      </c>
      <c r="F3826" t="inlineStr">
        <is>
          <t>Czerwiec</t>
        </is>
      </c>
      <c r="G3826" t="inlineStr">
        <is>
          <t>Nd</t>
        </is>
      </c>
      <c r="H3826">
        <f>'Floor Hours Engine'!$E$6</f>
        <v/>
      </c>
      <c r="I3826" t="inlineStr">
        <is>
          <t>W4</t>
        </is>
      </c>
      <c r="J3826" t="inlineStr">
        <is>
          <t>2031_Czerwiec_W4</t>
        </is>
      </c>
    </row>
    <row r="3827">
      <c r="A3827" s="177" t="n">
        <v>48022</v>
      </c>
      <c r="B3827" s="177" t="n">
        <v>48016</v>
      </c>
      <c r="C3827" s="177" t="n">
        <v>48022</v>
      </c>
      <c r="D3827" t="inlineStr">
        <is>
          <t>BW20310617</t>
        </is>
      </c>
      <c r="E3827" t="n">
        <v>2031</v>
      </c>
      <c r="F3827" t="inlineStr">
        <is>
          <t>Czerwiec</t>
        </is>
      </c>
      <c r="G3827" t="inlineStr">
        <is>
          <t>Pn</t>
        </is>
      </c>
      <c r="H3827">
        <f>'Floor Hours Engine'!$E$4</f>
        <v/>
      </c>
      <c r="I3827" t="inlineStr">
        <is>
          <t>W4</t>
        </is>
      </c>
      <c r="J3827" t="inlineStr">
        <is>
          <t>2031_Czerwiec_W4</t>
        </is>
      </c>
    </row>
    <row r="3828">
      <c r="A3828" s="177" t="n">
        <v>48023</v>
      </c>
      <c r="B3828" s="177" t="n">
        <v>48023</v>
      </c>
      <c r="C3828" s="177" t="n">
        <v>48029</v>
      </c>
      <c r="D3828" t="inlineStr">
        <is>
          <t>BW20310624</t>
        </is>
      </c>
      <c r="E3828" t="n">
        <v>2031</v>
      </c>
      <c r="F3828" t="inlineStr">
        <is>
          <t>Czerwiec</t>
        </is>
      </c>
      <c r="G3828" t="inlineStr">
        <is>
          <t>Wt</t>
        </is>
      </c>
      <c r="H3828">
        <f>'Floor Hours Engine'!$E$4</f>
        <v/>
      </c>
      <c r="I3828" t="inlineStr">
        <is>
          <t>W5</t>
        </is>
      </c>
      <c r="J3828" t="inlineStr">
        <is>
          <t>2031_Czerwiec_W5</t>
        </is>
      </c>
    </row>
    <row r="3829">
      <c r="A3829" s="177" t="n">
        <v>48024</v>
      </c>
      <c r="B3829" s="177" t="n">
        <v>48023</v>
      </c>
      <c r="C3829" s="177" t="n">
        <v>48029</v>
      </c>
      <c r="D3829" t="inlineStr">
        <is>
          <t>BW20310624</t>
        </is>
      </c>
      <c r="E3829" t="n">
        <v>2031</v>
      </c>
      <c r="F3829" t="inlineStr">
        <is>
          <t>Czerwiec</t>
        </is>
      </c>
      <c r="G3829" t="inlineStr">
        <is>
          <t>Śr</t>
        </is>
      </c>
      <c r="H3829">
        <f>'Floor Hours Engine'!$E$4</f>
        <v/>
      </c>
      <c r="I3829" t="inlineStr">
        <is>
          <t>W5</t>
        </is>
      </c>
      <c r="J3829" t="inlineStr">
        <is>
          <t>2031_Czerwiec_W5</t>
        </is>
      </c>
    </row>
    <row r="3830">
      <c r="A3830" s="177" t="n">
        <v>48025</v>
      </c>
      <c r="B3830" s="177" t="n">
        <v>48023</v>
      </c>
      <c r="C3830" s="177" t="n">
        <v>48029</v>
      </c>
      <c r="D3830" t="inlineStr">
        <is>
          <t>BW20310624</t>
        </is>
      </c>
      <c r="E3830" t="n">
        <v>2031</v>
      </c>
      <c r="F3830" t="inlineStr">
        <is>
          <t>Czerwiec</t>
        </is>
      </c>
      <c r="G3830" t="inlineStr">
        <is>
          <t>Czw</t>
        </is>
      </c>
      <c r="H3830">
        <f>'Floor Hours Engine'!$E$4</f>
        <v/>
      </c>
      <c r="I3830" t="inlineStr">
        <is>
          <t>W5</t>
        </is>
      </c>
      <c r="J3830" t="inlineStr">
        <is>
          <t>2031_Czerwiec_W5</t>
        </is>
      </c>
    </row>
    <row r="3831">
      <c r="A3831" s="177" t="n">
        <v>48026</v>
      </c>
      <c r="B3831" s="177" t="n">
        <v>48023</v>
      </c>
      <c r="C3831" s="177" t="n">
        <v>48029</v>
      </c>
      <c r="D3831" t="inlineStr">
        <is>
          <t>BW20310624</t>
        </is>
      </c>
      <c r="E3831" t="n">
        <v>2031</v>
      </c>
      <c r="F3831" t="inlineStr">
        <is>
          <t>Czerwiec</t>
        </is>
      </c>
      <c r="G3831" t="inlineStr">
        <is>
          <t>Pt</t>
        </is>
      </c>
      <c r="H3831">
        <f>'Floor Hours Engine'!$E$5</f>
        <v/>
      </c>
      <c r="I3831" t="inlineStr">
        <is>
          <t>W5</t>
        </is>
      </c>
      <c r="J3831" t="inlineStr">
        <is>
          <t>2031_Czerwiec_W5</t>
        </is>
      </c>
    </row>
    <row r="3832">
      <c r="A3832" s="177" t="n">
        <v>48027</v>
      </c>
      <c r="B3832" s="177" t="n">
        <v>48023</v>
      </c>
      <c r="C3832" s="177" t="n">
        <v>48029</v>
      </c>
      <c r="D3832" t="inlineStr">
        <is>
          <t>BW20310624</t>
        </is>
      </c>
      <c r="E3832" t="n">
        <v>2031</v>
      </c>
      <c r="F3832" t="inlineStr">
        <is>
          <t>Czerwiec</t>
        </is>
      </c>
      <c r="G3832" t="inlineStr">
        <is>
          <t>Sob</t>
        </is>
      </c>
      <c r="H3832">
        <f>'Floor Hours Engine'!$E$5</f>
        <v/>
      </c>
      <c r="I3832" t="inlineStr">
        <is>
          <t>W5</t>
        </is>
      </c>
      <c r="J3832" t="inlineStr">
        <is>
          <t>2031_Czerwiec_W5</t>
        </is>
      </c>
    </row>
    <row r="3833">
      <c r="A3833" s="177" t="n">
        <v>48028</v>
      </c>
      <c r="B3833" s="177" t="n">
        <v>48023</v>
      </c>
      <c r="C3833" s="177" t="n">
        <v>48029</v>
      </c>
      <c r="D3833" t="inlineStr">
        <is>
          <t>BW20310624</t>
        </is>
      </c>
      <c r="E3833" t="n">
        <v>2031</v>
      </c>
      <c r="F3833" t="inlineStr">
        <is>
          <t>Czerwiec</t>
        </is>
      </c>
      <c r="G3833" t="inlineStr">
        <is>
          <t>Nd</t>
        </is>
      </c>
      <c r="H3833">
        <f>'Floor Hours Engine'!$E$6</f>
        <v/>
      </c>
      <c r="I3833" t="inlineStr">
        <is>
          <t>W5</t>
        </is>
      </c>
      <c r="J3833" t="inlineStr">
        <is>
          <t>2031_Czerwiec_W5</t>
        </is>
      </c>
    </row>
    <row r="3834">
      <c r="A3834" s="177" t="n">
        <v>48029</v>
      </c>
      <c r="B3834" s="177" t="n">
        <v>48023</v>
      </c>
      <c r="C3834" s="177" t="n">
        <v>48029</v>
      </c>
      <c r="D3834" t="inlineStr">
        <is>
          <t>BW20310624</t>
        </is>
      </c>
      <c r="E3834" t="n">
        <v>2031</v>
      </c>
      <c r="F3834" t="inlineStr">
        <is>
          <t>Czerwiec</t>
        </is>
      </c>
      <c r="G3834" t="inlineStr">
        <is>
          <t>Pn</t>
        </is>
      </c>
      <c r="H3834">
        <f>'Floor Hours Engine'!$E$4</f>
        <v/>
      </c>
      <c r="I3834" t="inlineStr">
        <is>
          <t>W5</t>
        </is>
      </c>
      <c r="J3834" t="inlineStr">
        <is>
          <t>2031_Czerwiec_W5</t>
        </is>
      </c>
    </row>
    <row r="3835">
      <c r="A3835" s="177" t="n">
        <v>48030</v>
      </c>
      <c r="B3835" s="177" t="n">
        <v>48030</v>
      </c>
      <c r="C3835" s="177" t="n">
        <v>48036</v>
      </c>
      <c r="D3835" t="inlineStr">
        <is>
          <t>BW20310701</t>
        </is>
      </c>
      <c r="E3835" t="n">
        <v>2031</v>
      </c>
      <c r="F3835" t="inlineStr">
        <is>
          <t>Lipiec</t>
        </is>
      </c>
      <c r="G3835" t="inlineStr">
        <is>
          <t>Wt</t>
        </is>
      </c>
      <c r="H3835">
        <f>'Floor Hours Engine'!$E$4</f>
        <v/>
      </c>
      <c r="I3835" t="inlineStr">
        <is>
          <t>W1</t>
        </is>
      </c>
      <c r="J3835" t="inlineStr">
        <is>
          <t>2031_Lipiec_W1</t>
        </is>
      </c>
    </row>
    <row r="3836">
      <c r="A3836" s="177" t="n">
        <v>48031</v>
      </c>
      <c r="B3836" s="177" t="n">
        <v>48030</v>
      </c>
      <c r="C3836" s="177" t="n">
        <v>48036</v>
      </c>
      <c r="D3836" t="inlineStr">
        <is>
          <t>BW20310701</t>
        </is>
      </c>
      <c r="E3836" t="n">
        <v>2031</v>
      </c>
      <c r="F3836" t="inlineStr">
        <is>
          <t>Lipiec</t>
        </is>
      </c>
      <c r="G3836" t="inlineStr">
        <is>
          <t>Śr</t>
        </is>
      </c>
      <c r="H3836">
        <f>'Floor Hours Engine'!$E$4</f>
        <v/>
      </c>
      <c r="I3836" t="inlineStr">
        <is>
          <t>W1</t>
        </is>
      </c>
      <c r="J3836" t="inlineStr">
        <is>
          <t>2031_Lipiec_W1</t>
        </is>
      </c>
    </row>
    <row r="3837">
      <c r="A3837" s="177" t="n">
        <v>48032</v>
      </c>
      <c r="B3837" s="177" t="n">
        <v>48030</v>
      </c>
      <c r="C3837" s="177" t="n">
        <v>48036</v>
      </c>
      <c r="D3837" t="inlineStr">
        <is>
          <t>BW20310701</t>
        </is>
      </c>
      <c r="E3837" t="n">
        <v>2031</v>
      </c>
      <c r="F3837" t="inlineStr">
        <is>
          <t>Lipiec</t>
        </is>
      </c>
      <c r="G3837" t="inlineStr">
        <is>
          <t>Czw</t>
        </is>
      </c>
      <c r="H3837">
        <f>'Floor Hours Engine'!$E$4</f>
        <v/>
      </c>
      <c r="I3837" t="inlineStr">
        <is>
          <t>W1</t>
        </is>
      </c>
      <c r="J3837" t="inlineStr">
        <is>
          <t>2031_Lipiec_W1</t>
        </is>
      </c>
    </row>
    <row r="3838">
      <c r="A3838" s="177" t="n">
        <v>48033</v>
      </c>
      <c r="B3838" s="177" t="n">
        <v>48030</v>
      </c>
      <c r="C3838" s="177" t="n">
        <v>48036</v>
      </c>
      <c r="D3838" t="inlineStr">
        <is>
          <t>BW20310701</t>
        </is>
      </c>
      <c r="E3838" t="n">
        <v>2031</v>
      </c>
      <c r="F3838" t="inlineStr">
        <is>
          <t>Lipiec</t>
        </is>
      </c>
      <c r="G3838" t="inlineStr">
        <is>
          <t>Pt</t>
        </is>
      </c>
      <c r="H3838">
        <f>'Floor Hours Engine'!$E$5</f>
        <v/>
      </c>
      <c r="I3838" t="inlineStr">
        <is>
          <t>W1</t>
        </is>
      </c>
      <c r="J3838" t="inlineStr">
        <is>
          <t>2031_Lipiec_W1</t>
        </is>
      </c>
    </row>
    <row r="3839">
      <c r="A3839" s="177" t="n">
        <v>48034</v>
      </c>
      <c r="B3839" s="177" t="n">
        <v>48030</v>
      </c>
      <c r="C3839" s="177" t="n">
        <v>48036</v>
      </c>
      <c r="D3839" t="inlineStr">
        <is>
          <t>BW20310701</t>
        </is>
      </c>
      <c r="E3839" t="n">
        <v>2031</v>
      </c>
      <c r="F3839" t="inlineStr">
        <is>
          <t>Lipiec</t>
        </is>
      </c>
      <c r="G3839" t="inlineStr">
        <is>
          <t>Sob</t>
        </is>
      </c>
      <c r="H3839">
        <f>'Floor Hours Engine'!$E$5</f>
        <v/>
      </c>
      <c r="I3839" t="inlineStr">
        <is>
          <t>W1</t>
        </is>
      </c>
      <c r="J3839" t="inlineStr">
        <is>
          <t>2031_Lipiec_W1</t>
        </is>
      </c>
    </row>
    <row r="3840">
      <c r="A3840" s="177" t="n">
        <v>48035</v>
      </c>
      <c r="B3840" s="177" t="n">
        <v>48030</v>
      </c>
      <c r="C3840" s="177" t="n">
        <v>48036</v>
      </c>
      <c r="D3840" t="inlineStr">
        <is>
          <t>BW20310701</t>
        </is>
      </c>
      <c r="E3840" t="n">
        <v>2031</v>
      </c>
      <c r="F3840" t="inlineStr">
        <is>
          <t>Lipiec</t>
        </is>
      </c>
      <c r="G3840" t="inlineStr">
        <is>
          <t>Nd</t>
        </is>
      </c>
      <c r="H3840">
        <f>'Floor Hours Engine'!$E$6</f>
        <v/>
      </c>
      <c r="I3840" t="inlineStr">
        <is>
          <t>W1</t>
        </is>
      </c>
      <c r="J3840" t="inlineStr">
        <is>
          <t>2031_Lipiec_W1</t>
        </is>
      </c>
    </row>
    <row r="3841">
      <c r="A3841" s="177" t="n">
        <v>48036</v>
      </c>
      <c r="B3841" s="177" t="n">
        <v>48030</v>
      </c>
      <c r="C3841" s="177" t="n">
        <v>48036</v>
      </c>
      <c r="D3841" t="inlineStr">
        <is>
          <t>BW20310701</t>
        </is>
      </c>
      <c r="E3841" t="n">
        <v>2031</v>
      </c>
      <c r="F3841" t="inlineStr">
        <is>
          <t>Lipiec</t>
        </is>
      </c>
      <c r="G3841" t="inlineStr">
        <is>
          <t>Pn</t>
        </is>
      </c>
      <c r="H3841">
        <f>'Floor Hours Engine'!$E$4</f>
        <v/>
      </c>
      <c r="I3841" t="inlineStr">
        <is>
          <t>W1</t>
        </is>
      </c>
      <c r="J3841" t="inlineStr">
        <is>
          <t>2031_Lipiec_W1</t>
        </is>
      </c>
    </row>
    <row r="3842">
      <c r="A3842" s="177" t="n">
        <v>48037</v>
      </c>
      <c r="B3842" s="177" t="n">
        <v>48037</v>
      </c>
      <c r="C3842" s="177" t="n">
        <v>48043</v>
      </c>
      <c r="D3842" t="inlineStr">
        <is>
          <t>BW20310708</t>
        </is>
      </c>
      <c r="E3842" t="n">
        <v>2031</v>
      </c>
      <c r="F3842" t="inlineStr">
        <is>
          <t>Lipiec</t>
        </is>
      </c>
      <c r="G3842" t="inlineStr">
        <is>
          <t>Wt</t>
        </is>
      </c>
      <c r="H3842">
        <f>'Floor Hours Engine'!$E$4</f>
        <v/>
      </c>
      <c r="I3842" t="inlineStr">
        <is>
          <t>W2</t>
        </is>
      </c>
      <c r="J3842" t="inlineStr">
        <is>
          <t>2031_Lipiec_W2</t>
        </is>
      </c>
    </row>
    <row r="3843">
      <c r="A3843" s="177" t="n">
        <v>48038</v>
      </c>
      <c r="B3843" s="177" t="n">
        <v>48037</v>
      </c>
      <c r="C3843" s="177" t="n">
        <v>48043</v>
      </c>
      <c r="D3843" t="inlineStr">
        <is>
          <t>BW20310708</t>
        </is>
      </c>
      <c r="E3843" t="n">
        <v>2031</v>
      </c>
      <c r="F3843" t="inlineStr">
        <is>
          <t>Lipiec</t>
        </is>
      </c>
      <c r="G3843" t="inlineStr">
        <is>
          <t>Śr</t>
        </is>
      </c>
      <c r="H3843">
        <f>'Floor Hours Engine'!$E$4</f>
        <v/>
      </c>
      <c r="I3843" t="inlineStr">
        <is>
          <t>W2</t>
        </is>
      </c>
      <c r="J3843" t="inlineStr">
        <is>
          <t>2031_Lipiec_W2</t>
        </is>
      </c>
    </row>
    <row r="3844">
      <c r="A3844" s="177" t="n">
        <v>48039</v>
      </c>
      <c r="B3844" s="177" t="n">
        <v>48037</v>
      </c>
      <c r="C3844" s="177" t="n">
        <v>48043</v>
      </c>
      <c r="D3844" t="inlineStr">
        <is>
          <t>BW20310708</t>
        </is>
      </c>
      <c r="E3844" t="n">
        <v>2031</v>
      </c>
      <c r="F3844" t="inlineStr">
        <is>
          <t>Lipiec</t>
        </is>
      </c>
      <c r="G3844" t="inlineStr">
        <is>
          <t>Czw</t>
        </is>
      </c>
      <c r="H3844">
        <f>'Floor Hours Engine'!$E$4</f>
        <v/>
      </c>
      <c r="I3844" t="inlineStr">
        <is>
          <t>W2</t>
        </is>
      </c>
      <c r="J3844" t="inlineStr">
        <is>
          <t>2031_Lipiec_W2</t>
        </is>
      </c>
    </row>
    <row r="3845">
      <c r="A3845" s="177" t="n">
        <v>48040</v>
      </c>
      <c r="B3845" s="177" t="n">
        <v>48037</v>
      </c>
      <c r="C3845" s="177" t="n">
        <v>48043</v>
      </c>
      <c r="D3845" t="inlineStr">
        <is>
          <t>BW20310708</t>
        </is>
      </c>
      <c r="E3845" t="n">
        <v>2031</v>
      </c>
      <c r="F3845" t="inlineStr">
        <is>
          <t>Lipiec</t>
        </is>
      </c>
      <c r="G3845" t="inlineStr">
        <is>
          <t>Pt</t>
        </is>
      </c>
      <c r="H3845">
        <f>'Floor Hours Engine'!$E$5</f>
        <v/>
      </c>
      <c r="I3845" t="inlineStr">
        <is>
          <t>W2</t>
        </is>
      </c>
      <c r="J3845" t="inlineStr">
        <is>
          <t>2031_Lipiec_W2</t>
        </is>
      </c>
    </row>
    <row r="3846">
      <c r="A3846" s="177" t="n">
        <v>48041</v>
      </c>
      <c r="B3846" s="177" t="n">
        <v>48037</v>
      </c>
      <c r="C3846" s="177" t="n">
        <v>48043</v>
      </c>
      <c r="D3846" t="inlineStr">
        <is>
          <t>BW20310708</t>
        </is>
      </c>
      <c r="E3846" t="n">
        <v>2031</v>
      </c>
      <c r="F3846" t="inlineStr">
        <is>
          <t>Lipiec</t>
        </is>
      </c>
      <c r="G3846" t="inlineStr">
        <is>
          <t>Sob</t>
        </is>
      </c>
      <c r="H3846">
        <f>'Floor Hours Engine'!$E$5</f>
        <v/>
      </c>
      <c r="I3846" t="inlineStr">
        <is>
          <t>W2</t>
        </is>
      </c>
      <c r="J3846" t="inlineStr">
        <is>
          <t>2031_Lipiec_W2</t>
        </is>
      </c>
    </row>
    <row r="3847">
      <c r="A3847" s="177" t="n">
        <v>48042</v>
      </c>
      <c r="B3847" s="177" t="n">
        <v>48037</v>
      </c>
      <c r="C3847" s="177" t="n">
        <v>48043</v>
      </c>
      <c r="D3847" t="inlineStr">
        <is>
          <t>BW20310708</t>
        </is>
      </c>
      <c r="E3847" t="n">
        <v>2031</v>
      </c>
      <c r="F3847" t="inlineStr">
        <is>
          <t>Lipiec</t>
        </is>
      </c>
      <c r="G3847" t="inlineStr">
        <is>
          <t>Nd</t>
        </is>
      </c>
      <c r="H3847">
        <f>'Floor Hours Engine'!$E$6</f>
        <v/>
      </c>
      <c r="I3847" t="inlineStr">
        <is>
          <t>W2</t>
        </is>
      </c>
      <c r="J3847" t="inlineStr">
        <is>
          <t>2031_Lipiec_W2</t>
        </is>
      </c>
    </row>
    <row r="3848">
      <c r="A3848" s="177" t="n">
        <v>48043</v>
      </c>
      <c r="B3848" s="177" t="n">
        <v>48037</v>
      </c>
      <c r="C3848" s="177" t="n">
        <v>48043</v>
      </c>
      <c r="D3848" t="inlineStr">
        <is>
          <t>BW20310708</t>
        </is>
      </c>
      <c r="E3848" t="n">
        <v>2031</v>
      </c>
      <c r="F3848" t="inlineStr">
        <is>
          <t>Lipiec</t>
        </is>
      </c>
      <c r="G3848" t="inlineStr">
        <is>
          <t>Pn</t>
        </is>
      </c>
      <c r="H3848">
        <f>'Floor Hours Engine'!$E$4</f>
        <v/>
      </c>
      <c r="I3848" t="inlineStr">
        <is>
          <t>W2</t>
        </is>
      </c>
      <c r="J3848" t="inlineStr">
        <is>
          <t>2031_Lipiec_W2</t>
        </is>
      </c>
    </row>
    <row r="3849">
      <c r="A3849" s="177" t="n">
        <v>48044</v>
      </c>
      <c r="B3849" s="177" t="n">
        <v>48044</v>
      </c>
      <c r="C3849" s="177" t="n">
        <v>48050</v>
      </c>
      <c r="D3849" t="inlineStr">
        <is>
          <t>BW20310715</t>
        </is>
      </c>
      <c r="E3849" t="n">
        <v>2031</v>
      </c>
      <c r="F3849" t="inlineStr">
        <is>
          <t>Lipiec</t>
        </is>
      </c>
      <c r="G3849" t="inlineStr">
        <is>
          <t>Wt</t>
        </is>
      </c>
      <c r="H3849">
        <f>'Floor Hours Engine'!$E$4</f>
        <v/>
      </c>
      <c r="I3849" t="inlineStr">
        <is>
          <t>W3</t>
        </is>
      </c>
      <c r="J3849" t="inlineStr">
        <is>
          <t>2031_Lipiec_W3</t>
        </is>
      </c>
    </row>
    <row r="3850">
      <c r="A3850" s="177" t="n">
        <v>48045</v>
      </c>
      <c r="B3850" s="177" t="n">
        <v>48044</v>
      </c>
      <c r="C3850" s="177" t="n">
        <v>48050</v>
      </c>
      <c r="D3850" t="inlineStr">
        <is>
          <t>BW20310715</t>
        </is>
      </c>
      <c r="E3850" t="n">
        <v>2031</v>
      </c>
      <c r="F3850" t="inlineStr">
        <is>
          <t>Lipiec</t>
        </is>
      </c>
      <c r="G3850" t="inlineStr">
        <is>
          <t>Śr</t>
        </is>
      </c>
      <c r="H3850">
        <f>'Floor Hours Engine'!$E$4</f>
        <v/>
      </c>
      <c r="I3850" t="inlineStr">
        <is>
          <t>W3</t>
        </is>
      </c>
      <c r="J3850" t="inlineStr">
        <is>
          <t>2031_Lipiec_W3</t>
        </is>
      </c>
    </row>
    <row r="3851">
      <c r="A3851" s="177" t="n">
        <v>48046</v>
      </c>
      <c r="B3851" s="177" t="n">
        <v>48044</v>
      </c>
      <c r="C3851" s="177" t="n">
        <v>48050</v>
      </c>
      <c r="D3851" t="inlineStr">
        <is>
          <t>BW20310715</t>
        </is>
      </c>
      <c r="E3851" t="n">
        <v>2031</v>
      </c>
      <c r="F3851" t="inlineStr">
        <is>
          <t>Lipiec</t>
        </is>
      </c>
      <c r="G3851" t="inlineStr">
        <is>
          <t>Czw</t>
        </is>
      </c>
      <c r="H3851">
        <f>'Floor Hours Engine'!$E$4</f>
        <v/>
      </c>
      <c r="I3851" t="inlineStr">
        <is>
          <t>W3</t>
        </is>
      </c>
      <c r="J3851" t="inlineStr">
        <is>
          <t>2031_Lipiec_W3</t>
        </is>
      </c>
    </row>
    <row r="3852">
      <c r="A3852" s="177" t="n">
        <v>48047</v>
      </c>
      <c r="B3852" s="177" t="n">
        <v>48044</v>
      </c>
      <c r="C3852" s="177" t="n">
        <v>48050</v>
      </c>
      <c r="D3852" t="inlineStr">
        <is>
          <t>BW20310715</t>
        </is>
      </c>
      <c r="E3852" t="n">
        <v>2031</v>
      </c>
      <c r="F3852" t="inlineStr">
        <is>
          <t>Lipiec</t>
        </is>
      </c>
      <c r="G3852" t="inlineStr">
        <is>
          <t>Pt</t>
        </is>
      </c>
      <c r="H3852">
        <f>'Floor Hours Engine'!$E$5</f>
        <v/>
      </c>
      <c r="I3852" t="inlineStr">
        <is>
          <t>W3</t>
        </is>
      </c>
      <c r="J3852" t="inlineStr">
        <is>
          <t>2031_Lipiec_W3</t>
        </is>
      </c>
    </row>
    <row r="3853">
      <c r="A3853" s="177" t="n">
        <v>48048</v>
      </c>
      <c r="B3853" s="177" t="n">
        <v>48044</v>
      </c>
      <c r="C3853" s="177" t="n">
        <v>48050</v>
      </c>
      <c r="D3853" t="inlineStr">
        <is>
          <t>BW20310715</t>
        </is>
      </c>
      <c r="E3853" t="n">
        <v>2031</v>
      </c>
      <c r="F3853" t="inlineStr">
        <is>
          <t>Lipiec</t>
        </is>
      </c>
      <c r="G3853" t="inlineStr">
        <is>
          <t>Sob</t>
        </is>
      </c>
      <c r="H3853">
        <f>'Floor Hours Engine'!$E$5</f>
        <v/>
      </c>
      <c r="I3853" t="inlineStr">
        <is>
          <t>W3</t>
        </is>
      </c>
      <c r="J3853" t="inlineStr">
        <is>
          <t>2031_Lipiec_W3</t>
        </is>
      </c>
    </row>
    <row r="3854">
      <c r="A3854" s="177" t="n">
        <v>48049</v>
      </c>
      <c r="B3854" s="177" t="n">
        <v>48044</v>
      </c>
      <c r="C3854" s="177" t="n">
        <v>48050</v>
      </c>
      <c r="D3854" t="inlineStr">
        <is>
          <t>BW20310715</t>
        </is>
      </c>
      <c r="E3854" t="n">
        <v>2031</v>
      </c>
      <c r="F3854" t="inlineStr">
        <is>
          <t>Lipiec</t>
        </is>
      </c>
      <c r="G3854" t="inlineStr">
        <is>
          <t>Nd</t>
        </is>
      </c>
      <c r="H3854">
        <f>'Floor Hours Engine'!$E$6</f>
        <v/>
      </c>
      <c r="I3854" t="inlineStr">
        <is>
          <t>W3</t>
        </is>
      </c>
      <c r="J3854" t="inlineStr">
        <is>
          <t>2031_Lipiec_W3</t>
        </is>
      </c>
    </row>
    <row r="3855">
      <c r="A3855" s="177" t="n">
        <v>48050</v>
      </c>
      <c r="B3855" s="177" t="n">
        <v>48044</v>
      </c>
      <c r="C3855" s="177" t="n">
        <v>48050</v>
      </c>
      <c r="D3855" t="inlineStr">
        <is>
          <t>BW20310715</t>
        </is>
      </c>
      <c r="E3855" t="n">
        <v>2031</v>
      </c>
      <c r="F3855" t="inlineStr">
        <is>
          <t>Lipiec</t>
        </is>
      </c>
      <c r="G3855" t="inlineStr">
        <is>
          <t>Pn</t>
        </is>
      </c>
      <c r="H3855">
        <f>'Floor Hours Engine'!$E$4</f>
        <v/>
      </c>
      <c r="I3855" t="inlineStr">
        <is>
          <t>W3</t>
        </is>
      </c>
      <c r="J3855" t="inlineStr">
        <is>
          <t>2031_Lipiec_W3</t>
        </is>
      </c>
    </row>
    <row r="3856">
      <c r="A3856" s="177" t="n">
        <v>48051</v>
      </c>
      <c r="B3856" s="177" t="n">
        <v>48051</v>
      </c>
      <c r="C3856" s="177" t="n">
        <v>48057</v>
      </c>
      <c r="D3856" t="inlineStr">
        <is>
          <t>BW20310722</t>
        </is>
      </c>
      <c r="E3856" t="n">
        <v>2031</v>
      </c>
      <c r="F3856" t="inlineStr">
        <is>
          <t>Lipiec</t>
        </is>
      </c>
      <c r="G3856" t="inlineStr">
        <is>
          <t>Wt</t>
        </is>
      </c>
      <c r="H3856">
        <f>'Floor Hours Engine'!$E$4</f>
        <v/>
      </c>
      <c r="I3856" t="inlineStr">
        <is>
          <t>W4</t>
        </is>
      </c>
      <c r="J3856" t="inlineStr">
        <is>
          <t>2031_Lipiec_W4</t>
        </is>
      </c>
    </row>
    <row r="3857">
      <c r="A3857" s="177" t="n">
        <v>48052</v>
      </c>
      <c r="B3857" s="177" t="n">
        <v>48051</v>
      </c>
      <c r="C3857" s="177" t="n">
        <v>48057</v>
      </c>
      <c r="D3857" t="inlineStr">
        <is>
          <t>BW20310722</t>
        </is>
      </c>
      <c r="E3857" t="n">
        <v>2031</v>
      </c>
      <c r="F3857" t="inlineStr">
        <is>
          <t>Lipiec</t>
        </is>
      </c>
      <c r="G3857" t="inlineStr">
        <is>
          <t>Śr</t>
        </is>
      </c>
      <c r="H3857">
        <f>'Floor Hours Engine'!$E$4</f>
        <v/>
      </c>
      <c r="I3857" t="inlineStr">
        <is>
          <t>W4</t>
        </is>
      </c>
      <c r="J3857" t="inlineStr">
        <is>
          <t>2031_Lipiec_W4</t>
        </is>
      </c>
    </row>
    <row r="3858">
      <c r="A3858" s="177" t="n">
        <v>48053</v>
      </c>
      <c r="B3858" s="177" t="n">
        <v>48051</v>
      </c>
      <c r="C3858" s="177" t="n">
        <v>48057</v>
      </c>
      <c r="D3858" t="inlineStr">
        <is>
          <t>BW20310722</t>
        </is>
      </c>
      <c r="E3858" t="n">
        <v>2031</v>
      </c>
      <c r="F3858" t="inlineStr">
        <is>
          <t>Lipiec</t>
        </is>
      </c>
      <c r="G3858" t="inlineStr">
        <is>
          <t>Czw</t>
        </is>
      </c>
      <c r="H3858">
        <f>'Floor Hours Engine'!$E$4</f>
        <v/>
      </c>
      <c r="I3858" t="inlineStr">
        <is>
          <t>W4</t>
        </is>
      </c>
      <c r="J3858" t="inlineStr">
        <is>
          <t>2031_Lipiec_W4</t>
        </is>
      </c>
    </row>
    <row r="3859">
      <c r="A3859" s="177" t="n">
        <v>48054</v>
      </c>
      <c r="B3859" s="177" t="n">
        <v>48051</v>
      </c>
      <c r="C3859" s="177" t="n">
        <v>48057</v>
      </c>
      <c r="D3859" t="inlineStr">
        <is>
          <t>BW20310722</t>
        </is>
      </c>
      <c r="E3859" t="n">
        <v>2031</v>
      </c>
      <c r="F3859" t="inlineStr">
        <is>
          <t>Lipiec</t>
        </is>
      </c>
      <c r="G3859" t="inlineStr">
        <is>
          <t>Pt</t>
        </is>
      </c>
      <c r="H3859">
        <f>'Floor Hours Engine'!$E$5</f>
        <v/>
      </c>
      <c r="I3859" t="inlineStr">
        <is>
          <t>W4</t>
        </is>
      </c>
      <c r="J3859" t="inlineStr">
        <is>
          <t>2031_Lipiec_W4</t>
        </is>
      </c>
    </row>
    <row r="3860">
      <c r="A3860" s="177" t="n">
        <v>48055</v>
      </c>
      <c r="B3860" s="177" t="n">
        <v>48051</v>
      </c>
      <c r="C3860" s="177" t="n">
        <v>48057</v>
      </c>
      <c r="D3860" t="inlineStr">
        <is>
          <t>BW20310722</t>
        </is>
      </c>
      <c r="E3860" t="n">
        <v>2031</v>
      </c>
      <c r="F3860" t="inlineStr">
        <is>
          <t>Lipiec</t>
        </is>
      </c>
      <c r="G3860" t="inlineStr">
        <is>
          <t>Sob</t>
        </is>
      </c>
      <c r="H3860">
        <f>'Floor Hours Engine'!$E$5</f>
        <v/>
      </c>
      <c r="I3860" t="inlineStr">
        <is>
          <t>W4</t>
        </is>
      </c>
      <c r="J3860" t="inlineStr">
        <is>
          <t>2031_Lipiec_W4</t>
        </is>
      </c>
    </row>
    <row r="3861">
      <c r="A3861" s="177" t="n">
        <v>48056</v>
      </c>
      <c r="B3861" s="177" t="n">
        <v>48051</v>
      </c>
      <c r="C3861" s="177" t="n">
        <v>48057</v>
      </c>
      <c r="D3861" t="inlineStr">
        <is>
          <t>BW20310722</t>
        </is>
      </c>
      <c r="E3861" t="n">
        <v>2031</v>
      </c>
      <c r="F3861" t="inlineStr">
        <is>
          <t>Lipiec</t>
        </is>
      </c>
      <c r="G3861" t="inlineStr">
        <is>
          <t>Nd</t>
        </is>
      </c>
      <c r="H3861">
        <f>'Floor Hours Engine'!$E$6</f>
        <v/>
      </c>
      <c r="I3861" t="inlineStr">
        <is>
          <t>W4</t>
        </is>
      </c>
      <c r="J3861" t="inlineStr">
        <is>
          <t>2031_Lipiec_W4</t>
        </is>
      </c>
    </row>
    <row r="3862">
      <c r="A3862" s="177" t="n">
        <v>48057</v>
      </c>
      <c r="B3862" s="177" t="n">
        <v>48051</v>
      </c>
      <c r="C3862" s="177" t="n">
        <v>48057</v>
      </c>
      <c r="D3862" t="inlineStr">
        <is>
          <t>BW20310722</t>
        </is>
      </c>
      <c r="E3862" t="n">
        <v>2031</v>
      </c>
      <c r="F3862" t="inlineStr">
        <is>
          <t>Lipiec</t>
        </is>
      </c>
      <c r="G3862" t="inlineStr">
        <is>
          <t>Pn</t>
        </is>
      </c>
      <c r="H3862">
        <f>'Floor Hours Engine'!$E$4</f>
        <v/>
      </c>
      <c r="I3862" t="inlineStr">
        <is>
          <t>W4</t>
        </is>
      </c>
      <c r="J3862" t="inlineStr">
        <is>
          <t>2031_Lipiec_W4</t>
        </is>
      </c>
    </row>
    <row r="3863">
      <c r="A3863" s="177" t="n">
        <v>48058</v>
      </c>
      <c r="B3863" s="177" t="n">
        <v>48058</v>
      </c>
      <c r="C3863" s="177" t="n">
        <v>48064</v>
      </c>
      <c r="D3863" t="inlineStr">
        <is>
          <t>BW20310729</t>
        </is>
      </c>
      <c r="E3863" t="n">
        <v>2031</v>
      </c>
      <c r="F3863" t="inlineStr">
        <is>
          <t>Lipiec</t>
        </is>
      </c>
      <c r="G3863" t="inlineStr">
        <is>
          <t>Wt</t>
        </is>
      </c>
      <c r="H3863">
        <f>'Floor Hours Engine'!$E$4</f>
        <v/>
      </c>
      <c r="I3863" t="inlineStr">
        <is>
          <t>W5</t>
        </is>
      </c>
      <c r="J3863" t="inlineStr">
        <is>
          <t>2031_Lipiec_W5</t>
        </is>
      </c>
    </row>
    <row r="3864">
      <c r="A3864" s="177" t="n">
        <v>48059</v>
      </c>
      <c r="B3864" s="177" t="n">
        <v>48058</v>
      </c>
      <c r="C3864" s="177" t="n">
        <v>48064</v>
      </c>
      <c r="D3864" t="inlineStr">
        <is>
          <t>BW20310729</t>
        </is>
      </c>
      <c r="E3864" t="n">
        <v>2031</v>
      </c>
      <c r="F3864" t="inlineStr">
        <is>
          <t>Lipiec</t>
        </is>
      </c>
      <c r="G3864" t="inlineStr">
        <is>
          <t>Śr</t>
        </is>
      </c>
      <c r="H3864">
        <f>'Floor Hours Engine'!$E$4</f>
        <v/>
      </c>
      <c r="I3864" t="inlineStr">
        <is>
          <t>W5</t>
        </is>
      </c>
      <c r="J3864" t="inlineStr">
        <is>
          <t>2031_Lipiec_W5</t>
        </is>
      </c>
    </row>
    <row r="3865">
      <c r="A3865" s="177" t="n">
        <v>48060</v>
      </c>
      <c r="B3865" s="177" t="n">
        <v>48058</v>
      </c>
      <c r="C3865" s="177" t="n">
        <v>48064</v>
      </c>
      <c r="D3865" t="inlineStr">
        <is>
          <t>BW20310729</t>
        </is>
      </c>
      <c r="E3865" t="n">
        <v>2031</v>
      </c>
      <c r="F3865" t="inlineStr">
        <is>
          <t>Lipiec</t>
        </is>
      </c>
      <c r="G3865" t="inlineStr">
        <is>
          <t>Czw</t>
        </is>
      </c>
      <c r="H3865">
        <f>'Floor Hours Engine'!$E$4</f>
        <v/>
      </c>
      <c r="I3865" t="inlineStr">
        <is>
          <t>W5</t>
        </is>
      </c>
      <c r="J3865" t="inlineStr">
        <is>
          <t>2031_Lipiec_W5</t>
        </is>
      </c>
    </row>
    <row r="3866">
      <c r="A3866" s="177" t="n">
        <v>48061</v>
      </c>
      <c r="B3866" s="177" t="n">
        <v>48058</v>
      </c>
      <c r="C3866" s="177" t="n">
        <v>48064</v>
      </c>
      <c r="D3866" t="inlineStr">
        <is>
          <t>BW20310729</t>
        </is>
      </c>
      <c r="E3866" t="n">
        <v>2031</v>
      </c>
      <c r="F3866" t="inlineStr">
        <is>
          <t>Sierpień</t>
        </is>
      </c>
      <c r="G3866" t="inlineStr">
        <is>
          <t>Pt</t>
        </is>
      </c>
      <c r="H3866">
        <f>'Floor Hours Engine'!$E$5</f>
        <v/>
      </c>
      <c r="I3866" t="inlineStr">
        <is>
          <t>W1</t>
        </is>
      </c>
      <c r="J3866" t="inlineStr">
        <is>
          <t>2031_Sierpień_W1</t>
        </is>
      </c>
    </row>
    <row r="3867">
      <c r="A3867" s="177" t="n">
        <v>48062</v>
      </c>
      <c r="B3867" s="177" t="n">
        <v>48058</v>
      </c>
      <c r="C3867" s="177" t="n">
        <v>48064</v>
      </c>
      <c r="D3867" t="inlineStr">
        <is>
          <t>BW20310729</t>
        </is>
      </c>
      <c r="E3867" t="n">
        <v>2031</v>
      </c>
      <c r="F3867" t="inlineStr">
        <is>
          <t>Sierpień</t>
        </is>
      </c>
      <c r="G3867" t="inlineStr">
        <is>
          <t>Sob</t>
        </is>
      </c>
      <c r="H3867">
        <f>'Floor Hours Engine'!$E$5</f>
        <v/>
      </c>
      <c r="I3867" t="inlineStr">
        <is>
          <t>W1</t>
        </is>
      </c>
      <c r="J3867" t="inlineStr">
        <is>
          <t>2031_Sierpień_W1</t>
        </is>
      </c>
    </row>
    <row r="3868">
      <c r="A3868" s="177" t="n">
        <v>48063</v>
      </c>
      <c r="B3868" s="177" t="n">
        <v>48058</v>
      </c>
      <c r="C3868" s="177" t="n">
        <v>48064</v>
      </c>
      <c r="D3868" t="inlineStr">
        <is>
          <t>BW20310729</t>
        </is>
      </c>
      <c r="E3868" t="n">
        <v>2031</v>
      </c>
      <c r="F3868" t="inlineStr">
        <is>
          <t>Sierpień</t>
        </is>
      </c>
      <c r="G3868" t="inlineStr">
        <is>
          <t>Nd</t>
        </is>
      </c>
      <c r="H3868">
        <f>'Floor Hours Engine'!$E$6</f>
        <v/>
      </c>
      <c r="I3868" t="inlineStr">
        <is>
          <t>W1</t>
        </is>
      </c>
      <c r="J3868" t="inlineStr">
        <is>
          <t>2031_Sierpień_W1</t>
        </is>
      </c>
    </row>
    <row r="3869">
      <c r="A3869" s="177" t="n">
        <v>48064</v>
      </c>
      <c r="B3869" s="177" t="n">
        <v>48058</v>
      </c>
      <c r="C3869" s="177" t="n">
        <v>48064</v>
      </c>
      <c r="D3869" t="inlineStr">
        <is>
          <t>BW20310729</t>
        </is>
      </c>
      <c r="E3869" t="n">
        <v>2031</v>
      </c>
      <c r="F3869" t="inlineStr">
        <is>
          <t>Sierpień</t>
        </is>
      </c>
      <c r="G3869" t="inlineStr">
        <is>
          <t>Pn</t>
        </is>
      </c>
      <c r="H3869">
        <f>'Floor Hours Engine'!$E$4</f>
        <v/>
      </c>
      <c r="I3869" t="inlineStr">
        <is>
          <t>W1</t>
        </is>
      </c>
      <c r="J3869" t="inlineStr">
        <is>
          <t>2031_Sierpień_W1</t>
        </is>
      </c>
    </row>
    <row r="3870">
      <c r="A3870" s="177" t="n">
        <v>48065</v>
      </c>
      <c r="B3870" s="177" t="n">
        <v>48065</v>
      </c>
      <c r="C3870" s="177" t="n">
        <v>48071</v>
      </c>
      <c r="D3870" t="inlineStr">
        <is>
          <t>BW20310805</t>
        </is>
      </c>
      <c r="E3870" t="n">
        <v>2031</v>
      </c>
      <c r="F3870" t="inlineStr">
        <is>
          <t>Sierpień</t>
        </is>
      </c>
      <c r="G3870" t="inlineStr">
        <is>
          <t>Wt</t>
        </is>
      </c>
      <c r="H3870">
        <f>'Floor Hours Engine'!$E$4</f>
        <v/>
      </c>
      <c r="I3870" t="inlineStr">
        <is>
          <t>W2</t>
        </is>
      </c>
      <c r="J3870" t="inlineStr">
        <is>
          <t>2031_Sierpień_W2</t>
        </is>
      </c>
    </row>
    <row r="3871">
      <c r="A3871" s="177" t="n">
        <v>48066</v>
      </c>
      <c r="B3871" s="177" t="n">
        <v>48065</v>
      </c>
      <c r="C3871" s="177" t="n">
        <v>48071</v>
      </c>
      <c r="D3871" t="inlineStr">
        <is>
          <t>BW20310805</t>
        </is>
      </c>
      <c r="E3871" t="n">
        <v>2031</v>
      </c>
      <c r="F3871" t="inlineStr">
        <is>
          <t>Sierpień</t>
        </is>
      </c>
      <c r="G3871" t="inlineStr">
        <is>
          <t>Śr</t>
        </is>
      </c>
      <c r="H3871">
        <f>'Floor Hours Engine'!$E$4</f>
        <v/>
      </c>
      <c r="I3871" t="inlineStr">
        <is>
          <t>W2</t>
        </is>
      </c>
      <c r="J3871" t="inlineStr">
        <is>
          <t>2031_Sierpień_W2</t>
        </is>
      </c>
    </row>
    <row r="3872">
      <c r="A3872" s="177" t="n">
        <v>48067</v>
      </c>
      <c r="B3872" s="177" t="n">
        <v>48065</v>
      </c>
      <c r="C3872" s="177" t="n">
        <v>48071</v>
      </c>
      <c r="D3872" t="inlineStr">
        <is>
          <t>BW20310805</t>
        </is>
      </c>
      <c r="E3872" t="n">
        <v>2031</v>
      </c>
      <c r="F3872" t="inlineStr">
        <is>
          <t>Sierpień</t>
        </is>
      </c>
      <c r="G3872" t="inlineStr">
        <is>
          <t>Czw</t>
        </is>
      </c>
      <c r="H3872">
        <f>'Floor Hours Engine'!$E$4</f>
        <v/>
      </c>
      <c r="I3872" t="inlineStr">
        <is>
          <t>W2</t>
        </is>
      </c>
      <c r="J3872" t="inlineStr">
        <is>
          <t>2031_Sierpień_W2</t>
        </is>
      </c>
    </row>
    <row r="3873">
      <c r="A3873" s="177" t="n">
        <v>48068</v>
      </c>
      <c r="B3873" s="177" t="n">
        <v>48065</v>
      </c>
      <c r="C3873" s="177" t="n">
        <v>48071</v>
      </c>
      <c r="D3873" t="inlineStr">
        <is>
          <t>BW20310805</t>
        </is>
      </c>
      <c r="E3873" t="n">
        <v>2031</v>
      </c>
      <c r="F3873" t="inlineStr">
        <is>
          <t>Sierpień</t>
        </is>
      </c>
      <c r="G3873" t="inlineStr">
        <is>
          <t>Pt</t>
        </is>
      </c>
      <c r="H3873">
        <f>'Floor Hours Engine'!$E$5</f>
        <v/>
      </c>
      <c r="I3873" t="inlineStr">
        <is>
          <t>W2</t>
        </is>
      </c>
      <c r="J3873" t="inlineStr">
        <is>
          <t>2031_Sierpień_W2</t>
        </is>
      </c>
    </row>
    <row r="3874">
      <c r="A3874" s="177" t="n">
        <v>48069</v>
      </c>
      <c r="B3874" s="177" t="n">
        <v>48065</v>
      </c>
      <c r="C3874" s="177" t="n">
        <v>48071</v>
      </c>
      <c r="D3874" t="inlineStr">
        <is>
          <t>BW20310805</t>
        </is>
      </c>
      <c r="E3874" t="n">
        <v>2031</v>
      </c>
      <c r="F3874" t="inlineStr">
        <is>
          <t>Sierpień</t>
        </is>
      </c>
      <c r="G3874" t="inlineStr">
        <is>
          <t>Sob</t>
        </is>
      </c>
      <c r="H3874">
        <f>'Floor Hours Engine'!$E$5</f>
        <v/>
      </c>
      <c r="I3874" t="inlineStr">
        <is>
          <t>W2</t>
        </is>
      </c>
      <c r="J3874" t="inlineStr">
        <is>
          <t>2031_Sierpień_W2</t>
        </is>
      </c>
    </row>
    <row r="3875">
      <c r="A3875" s="177" t="n">
        <v>48070</v>
      </c>
      <c r="B3875" s="177" t="n">
        <v>48065</v>
      </c>
      <c r="C3875" s="177" t="n">
        <v>48071</v>
      </c>
      <c r="D3875" t="inlineStr">
        <is>
          <t>BW20310805</t>
        </is>
      </c>
      <c r="E3875" t="n">
        <v>2031</v>
      </c>
      <c r="F3875" t="inlineStr">
        <is>
          <t>Sierpień</t>
        </is>
      </c>
      <c r="G3875" t="inlineStr">
        <is>
          <t>Nd</t>
        </is>
      </c>
      <c r="H3875">
        <f>'Floor Hours Engine'!$E$6</f>
        <v/>
      </c>
      <c r="I3875" t="inlineStr">
        <is>
          <t>W2</t>
        </is>
      </c>
      <c r="J3875" t="inlineStr">
        <is>
          <t>2031_Sierpień_W2</t>
        </is>
      </c>
    </row>
    <row r="3876">
      <c r="A3876" s="177" t="n">
        <v>48071</v>
      </c>
      <c r="B3876" s="177" t="n">
        <v>48065</v>
      </c>
      <c r="C3876" s="177" t="n">
        <v>48071</v>
      </c>
      <c r="D3876" t="inlineStr">
        <is>
          <t>BW20310805</t>
        </is>
      </c>
      <c r="E3876" t="n">
        <v>2031</v>
      </c>
      <c r="F3876" t="inlineStr">
        <is>
          <t>Sierpień</t>
        </is>
      </c>
      <c r="G3876" t="inlineStr">
        <is>
          <t>Pn</t>
        </is>
      </c>
      <c r="H3876">
        <f>'Floor Hours Engine'!$E$4</f>
        <v/>
      </c>
      <c r="I3876" t="inlineStr">
        <is>
          <t>W2</t>
        </is>
      </c>
      <c r="J3876" t="inlineStr">
        <is>
          <t>2031_Sierpień_W2</t>
        </is>
      </c>
    </row>
    <row r="3877">
      <c r="A3877" s="177" t="n">
        <v>48072</v>
      </c>
      <c r="B3877" s="177" t="n">
        <v>48072</v>
      </c>
      <c r="C3877" s="177" t="n">
        <v>48078</v>
      </c>
      <c r="D3877" t="inlineStr">
        <is>
          <t>BW20310812</t>
        </is>
      </c>
      <c r="E3877" t="n">
        <v>2031</v>
      </c>
      <c r="F3877" t="inlineStr">
        <is>
          <t>Sierpień</t>
        </is>
      </c>
      <c r="G3877" t="inlineStr">
        <is>
          <t>Wt</t>
        </is>
      </c>
      <c r="H3877">
        <f>'Floor Hours Engine'!$E$4</f>
        <v/>
      </c>
      <c r="I3877" t="inlineStr">
        <is>
          <t>W3</t>
        </is>
      </c>
      <c r="J3877" t="inlineStr">
        <is>
          <t>2031_Sierpień_W3</t>
        </is>
      </c>
    </row>
    <row r="3878">
      <c r="A3878" s="177" t="n">
        <v>48073</v>
      </c>
      <c r="B3878" s="177" t="n">
        <v>48072</v>
      </c>
      <c r="C3878" s="177" t="n">
        <v>48078</v>
      </c>
      <c r="D3878" t="inlineStr">
        <is>
          <t>BW20310812</t>
        </is>
      </c>
      <c r="E3878" t="n">
        <v>2031</v>
      </c>
      <c r="F3878" t="inlineStr">
        <is>
          <t>Sierpień</t>
        </is>
      </c>
      <c r="G3878" t="inlineStr">
        <is>
          <t>Śr</t>
        </is>
      </c>
      <c r="H3878">
        <f>'Floor Hours Engine'!$E$4</f>
        <v/>
      </c>
      <c r="I3878" t="inlineStr">
        <is>
          <t>W3</t>
        </is>
      </c>
      <c r="J3878" t="inlineStr">
        <is>
          <t>2031_Sierpień_W3</t>
        </is>
      </c>
    </row>
    <row r="3879">
      <c r="A3879" s="177" t="n">
        <v>48074</v>
      </c>
      <c r="B3879" s="177" t="n">
        <v>48072</v>
      </c>
      <c r="C3879" s="177" t="n">
        <v>48078</v>
      </c>
      <c r="D3879" t="inlineStr">
        <is>
          <t>BW20310812</t>
        </is>
      </c>
      <c r="E3879" t="n">
        <v>2031</v>
      </c>
      <c r="F3879" t="inlineStr">
        <is>
          <t>Sierpień</t>
        </is>
      </c>
      <c r="G3879" t="inlineStr">
        <is>
          <t>Czw</t>
        </is>
      </c>
      <c r="H3879">
        <f>'Floor Hours Engine'!$E$4</f>
        <v/>
      </c>
      <c r="I3879" t="inlineStr">
        <is>
          <t>W3</t>
        </is>
      </c>
      <c r="J3879" t="inlineStr">
        <is>
          <t>2031_Sierpień_W3</t>
        </is>
      </c>
    </row>
    <row r="3880">
      <c r="A3880" s="177" t="n">
        <v>48075</v>
      </c>
      <c r="B3880" s="177" t="n">
        <v>48072</v>
      </c>
      <c r="C3880" s="177" t="n">
        <v>48078</v>
      </c>
      <c r="D3880" t="inlineStr">
        <is>
          <t>BW20310812</t>
        </is>
      </c>
      <c r="E3880" t="n">
        <v>2031</v>
      </c>
      <c r="F3880" t="inlineStr">
        <is>
          <t>Sierpień</t>
        </is>
      </c>
      <c r="G3880" t="inlineStr">
        <is>
          <t>Pt</t>
        </is>
      </c>
      <c r="H3880">
        <f>'Floor Hours Engine'!$E$5</f>
        <v/>
      </c>
      <c r="I3880" t="inlineStr">
        <is>
          <t>W3</t>
        </is>
      </c>
      <c r="J3880" t="inlineStr">
        <is>
          <t>2031_Sierpień_W3</t>
        </is>
      </c>
    </row>
    <row r="3881">
      <c r="A3881" s="177" t="n">
        <v>48076</v>
      </c>
      <c r="B3881" s="177" t="n">
        <v>48072</v>
      </c>
      <c r="C3881" s="177" t="n">
        <v>48078</v>
      </c>
      <c r="D3881" t="inlineStr">
        <is>
          <t>BW20310812</t>
        </is>
      </c>
      <c r="E3881" t="n">
        <v>2031</v>
      </c>
      <c r="F3881" t="inlineStr">
        <is>
          <t>Sierpień</t>
        </is>
      </c>
      <c r="G3881" t="inlineStr">
        <is>
          <t>Sob</t>
        </is>
      </c>
      <c r="H3881">
        <f>'Floor Hours Engine'!$E$5</f>
        <v/>
      </c>
      <c r="I3881" t="inlineStr">
        <is>
          <t>W3</t>
        </is>
      </c>
      <c r="J3881" t="inlineStr">
        <is>
          <t>2031_Sierpień_W3</t>
        </is>
      </c>
    </row>
    <row r="3882">
      <c r="A3882" s="177" t="n">
        <v>48077</v>
      </c>
      <c r="B3882" s="177" t="n">
        <v>48072</v>
      </c>
      <c r="C3882" s="177" t="n">
        <v>48078</v>
      </c>
      <c r="D3882" t="inlineStr">
        <is>
          <t>BW20310812</t>
        </is>
      </c>
      <c r="E3882" t="n">
        <v>2031</v>
      </c>
      <c r="F3882" t="inlineStr">
        <is>
          <t>Sierpień</t>
        </is>
      </c>
      <c r="G3882" t="inlineStr">
        <is>
          <t>Nd</t>
        </is>
      </c>
      <c r="H3882">
        <f>'Floor Hours Engine'!$E$6</f>
        <v/>
      </c>
      <c r="I3882" t="inlineStr">
        <is>
          <t>W3</t>
        </is>
      </c>
      <c r="J3882" t="inlineStr">
        <is>
          <t>2031_Sierpień_W3</t>
        </is>
      </c>
    </row>
    <row r="3883">
      <c r="A3883" s="177" t="n">
        <v>48078</v>
      </c>
      <c r="B3883" s="177" t="n">
        <v>48072</v>
      </c>
      <c r="C3883" s="177" t="n">
        <v>48078</v>
      </c>
      <c r="D3883" t="inlineStr">
        <is>
          <t>BW20310812</t>
        </is>
      </c>
      <c r="E3883" t="n">
        <v>2031</v>
      </c>
      <c r="F3883" t="inlineStr">
        <is>
          <t>Sierpień</t>
        </is>
      </c>
      <c r="G3883" t="inlineStr">
        <is>
          <t>Pn</t>
        </is>
      </c>
      <c r="H3883">
        <f>'Floor Hours Engine'!$E$4</f>
        <v/>
      </c>
      <c r="I3883" t="inlineStr">
        <is>
          <t>W3</t>
        </is>
      </c>
      <c r="J3883" t="inlineStr">
        <is>
          <t>2031_Sierpień_W3</t>
        </is>
      </c>
    </row>
    <row r="3884">
      <c r="A3884" s="177" t="n">
        <v>48079</v>
      </c>
      <c r="B3884" s="177" t="n">
        <v>48079</v>
      </c>
      <c r="C3884" s="177" t="n">
        <v>48085</v>
      </c>
      <c r="D3884" t="inlineStr">
        <is>
          <t>BW20310819</t>
        </is>
      </c>
      <c r="E3884" t="n">
        <v>2031</v>
      </c>
      <c r="F3884" t="inlineStr">
        <is>
          <t>Sierpień</t>
        </is>
      </c>
      <c r="G3884" t="inlineStr">
        <is>
          <t>Wt</t>
        </is>
      </c>
      <c r="H3884">
        <f>'Floor Hours Engine'!$E$4</f>
        <v/>
      </c>
      <c r="I3884" t="inlineStr">
        <is>
          <t>W4</t>
        </is>
      </c>
      <c r="J3884" t="inlineStr">
        <is>
          <t>2031_Sierpień_W4</t>
        </is>
      </c>
    </row>
    <row r="3885">
      <c r="A3885" s="177" t="n">
        <v>48080</v>
      </c>
      <c r="B3885" s="177" t="n">
        <v>48079</v>
      </c>
      <c r="C3885" s="177" t="n">
        <v>48085</v>
      </c>
      <c r="D3885" t="inlineStr">
        <is>
          <t>BW20310819</t>
        </is>
      </c>
      <c r="E3885" t="n">
        <v>2031</v>
      </c>
      <c r="F3885" t="inlineStr">
        <is>
          <t>Sierpień</t>
        </is>
      </c>
      <c r="G3885" t="inlineStr">
        <is>
          <t>Śr</t>
        </is>
      </c>
      <c r="H3885">
        <f>'Floor Hours Engine'!$E$4</f>
        <v/>
      </c>
      <c r="I3885" t="inlineStr">
        <is>
          <t>W4</t>
        </is>
      </c>
      <c r="J3885" t="inlineStr">
        <is>
          <t>2031_Sierpień_W4</t>
        </is>
      </c>
    </row>
    <row r="3886">
      <c r="A3886" s="177" t="n">
        <v>48081</v>
      </c>
      <c r="B3886" s="177" t="n">
        <v>48079</v>
      </c>
      <c r="C3886" s="177" t="n">
        <v>48085</v>
      </c>
      <c r="D3886" t="inlineStr">
        <is>
          <t>BW20310819</t>
        </is>
      </c>
      <c r="E3886" t="n">
        <v>2031</v>
      </c>
      <c r="F3886" t="inlineStr">
        <is>
          <t>Sierpień</t>
        </is>
      </c>
      <c r="G3886" t="inlineStr">
        <is>
          <t>Czw</t>
        </is>
      </c>
      <c r="H3886">
        <f>'Floor Hours Engine'!$E$4</f>
        <v/>
      </c>
      <c r="I3886" t="inlineStr">
        <is>
          <t>W4</t>
        </is>
      </c>
      <c r="J3886" t="inlineStr">
        <is>
          <t>2031_Sierpień_W4</t>
        </is>
      </c>
    </row>
    <row r="3887">
      <c r="A3887" s="177" t="n">
        <v>48082</v>
      </c>
      <c r="B3887" s="177" t="n">
        <v>48079</v>
      </c>
      <c r="C3887" s="177" t="n">
        <v>48085</v>
      </c>
      <c r="D3887" t="inlineStr">
        <is>
          <t>BW20310819</t>
        </is>
      </c>
      <c r="E3887" t="n">
        <v>2031</v>
      </c>
      <c r="F3887" t="inlineStr">
        <is>
          <t>Sierpień</t>
        </is>
      </c>
      <c r="G3887" t="inlineStr">
        <is>
          <t>Pt</t>
        </is>
      </c>
      <c r="H3887">
        <f>'Floor Hours Engine'!$E$5</f>
        <v/>
      </c>
      <c r="I3887" t="inlineStr">
        <is>
          <t>W4</t>
        </is>
      </c>
      <c r="J3887" t="inlineStr">
        <is>
          <t>2031_Sierpień_W4</t>
        </is>
      </c>
    </row>
    <row r="3888">
      <c r="A3888" s="177" t="n">
        <v>48083</v>
      </c>
      <c r="B3888" s="177" t="n">
        <v>48079</v>
      </c>
      <c r="C3888" s="177" t="n">
        <v>48085</v>
      </c>
      <c r="D3888" t="inlineStr">
        <is>
          <t>BW20310819</t>
        </is>
      </c>
      <c r="E3888" t="n">
        <v>2031</v>
      </c>
      <c r="F3888" t="inlineStr">
        <is>
          <t>Sierpień</t>
        </is>
      </c>
      <c r="G3888" t="inlineStr">
        <is>
          <t>Sob</t>
        </is>
      </c>
      <c r="H3888">
        <f>'Floor Hours Engine'!$E$5</f>
        <v/>
      </c>
      <c r="I3888" t="inlineStr">
        <is>
          <t>W4</t>
        </is>
      </c>
      <c r="J3888" t="inlineStr">
        <is>
          <t>2031_Sierpień_W4</t>
        </is>
      </c>
    </row>
    <row r="3889">
      <c r="A3889" s="177" t="n">
        <v>48084</v>
      </c>
      <c r="B3889" s="177" t="n">
        <v>48079</v>
      </c>
      <c r="C3889" s="177" t="n">
        <v>48085</v>
      </c>
      <c r="D3889" t="inlineStr">
        <is>
          <t>BW20310819</t>
        </is>
      </c>
      <c r="E3889" t="n">
        <v>2031</v>
      </c>
      <c r="F3889" t="inlineStr">
        <is>
          <t>Sierpień</t>
        </is>
      </c>
      <c r="G3889" t="inlineStr">
        <is>
          <t>Nd</t>
        </is>
      </c>
      <c r="H3889">
        <f>'Floor Hours Engine'!$E$6</f>
        <v/>
      </c>
      <c r="I3889" t="inlineStr">
        <is>
          <t>W4</t>
        </is>
      </c>
      <c r="J3889" t="inlineStr">
        <is>
          <t>2031_Sierpień_W4</t>
        </is>
      </c>
    </row>
    <row r="3890">
      <c r="A3890" s="177" t="n">
        <v>48085</v>
      </c>
      <c r="B3890" s="177" t="n">
        <v>48079</v>
      </c>
      <c r="C3890" s="177" t="n">
        <v>48085</v>
      </c>
      <c r="D3890" t="inlineStr">
        <is>
          <t>BW20310819</t>
        </is>
      </c>
      <c r="E3890" t="n">
        <v>2031</v>
      </c>
      <c r="F3890" t="inlineStr">
        <is>
          <t>Sierpień</t>
        </is>
      </c>
      <c r="G3890" t="inlineStr">
        <is>
          <t>Pn</t>
        </is>
      </c>
      <c r="H3890">
        <f>'Floor Hours Engine'!$E$4</f>
        <v/>
      </c>
      <c r="I3890" t="inlineStr">
        <is>
          <t>W4</t>
        </is>
      </c>
      <c r="J3890" t="inlineStr">
        <is>
          <t>2031_Sierpień_W4</t>
        </is>
      </c>
    </row>
    <row r="3891">
      <c r="A3891" s="177" t="n">
        <v>48086</v>
      </c>
      <c r="B3891" s="177" t="n">
        <v>48086</v>
      </c>
      <c r="C3891" s="177" t="n">
        <v>48092</v>
      </c>
      <c r="D3891" t="inlineStr">
        <is>
          <t>BW20310826</t>
        </is>
      </c>
      <c r="E3891" t="n">
        <v>2031</v>
      </c>
      <c r="F3891" t="inlineStr">
        <is>
          <t>Sierpień</t>
        </is>
      </c>
      <c r="G3891" t="inlineStr">
        <is>
          <t>Wt</t>
        </is>
      </c>
      <c r="H3891">
        <f>'Floor Hours Engine'!$E$4</f>
        <v/>
      </c>
      <c r="I3891" t="inlineStr">
        <is>
          <t>W5</t>
        </is>
      </c>
      <c r="J3891" t="inlineStr">
        <is>
          <t>2031_Sierpień_W5</t>
        </is>
      </c>
    </row>
    <row r="3892">
      <c r="A3892" s="177" t="n">
        <v>48087</v>
      </c>
      <c r="B3892" s="177" t="n">
        <v>48086</v>
      </c>
      <c r="C3892" s="177" t="n">
        <v>48092</v>
      </c>
      <c r="D3892" t="inlineStr">
        <is>
          <t>BW20310826</t>
        </is>
      </c>
      <c r="E3892" t="n">
        <v>2031</v>
      </c>
      <c r="F3892" t="inlineStr">
        <is>
          <t>Sierpień</t>
        </is>
      </c>
      <c r="G3892" t="inlineStr">
        <is>
          <t>Śr</t>
        </is>
      </c>
      <c r="H3892">
        <f>'Floor Hours Engine'!$E$4</f>
        <v/>
      </c>
      <c r="I3892" t="inlineStr">
        <is>
          <t>W5</t>
        </is>
      </c>
      <c r="J3892" t="inlineStr">
        <is>
          <t>2031_Sierpień_W5</t>
        </is>
      </c>
    </row>
    <row r="3893">
      <c r="A3893" s="177" t="n">
        <v>48088</v>
      </c>
      <c r="B3893" s="177" t="n">
        <v>48086</v>
      </c>
      <c r="C3893" s="177" t="n">
        <v>48092</v>
      </c>
      <c r="D3893" t="inlineStr">
        <is>
          <t>BW20310826</t>
        </is>
      </c>
      <c r="E3893" t="n">
        <v>2031</v>
      </c>
      <c r="F3893" t="inlineStr">
        <is>
          <t>Sierpień</t>
        </is>
      </c>
      <c r="G3893" t="inlineStr">
        <is>
          <t>Czw</t>
        </is>
      </c>
      <c r="H3893">
        <f>'Floor Hours Engine'!$E$4</f>
        <v/>
      </c>
      <c r="I3893" t="inlineStr">
        <is>
          <t>W5</t>
        </is>
      </c>
      <c r="J3893" t="inlineStr">
        <is>
          <t>2031_Sierpień_W5</t>
        </is>
      </c>
    </row>
    <row r="3894">
      <c r="A3894" s="177" t="n">
        <v>48089</v>
      </c>
      <c r="B3894" s="177" t="n">
        <v>48086</v>
      </c>
      <c r="C3894" s="177" t="n">
        <v>48092</v>
      </c>
      <c r="D3894" t="inlineStr">
        <is>
          <t>BW20310826</t>
        </is>
      </c>
      <c r="E3894" t="n">
        <v>2031</v>
      </c>
      <c r="F3894" t="inlineStr">
        <is>
          <t>Sierpień</t>
        </is>
      </c>
      <c r="G3894" t="inlineStr">
        <is>
          <t>Pt</t>
        </is>
      </c>
      <c r="H3894">
        <f>'Floor Hours Engine'!$E$5</f>
        <v/>
      </c>
      <c r="I3894" t="inlineStr">
        <is>
          <t>W5</t>
        </is>
      </c>
      <c r="J3894" t="inlineStr">
        <is>
          <t>2031_Sierpień_W5</t>
        </is>
      </c>
    </row>
    <row r="3895">
      <c r="A3895" s="177" t="n">
        <v>48090</v>
      </c>
      <c r="B3895" s="177" t="n">
        <v>48086</v>
      </c>
      <c r="C3895" s="177" t="n">
        <v>48092</v>
      </c>
      <c r="D3895" t="inlineStr">
        <is>
          <t>BW20310826</t>
        </is>
      </c>
      <c r="E3895" t="n">
        <v>2031</v>
      </c>
      <c r="F3895" t="inlineStr">
        <is>
          <t>Sierpień</t>
        </is>
      </c>
      <c r="G3895" t="inlineStr">
        <is>
          <t>Sob</t>
        </is>
      </c>
      <c r="H3895">
        <f>'Floor Hours Engine'!$E$5</f>
        <v/>
      </c>
      <c r="I3895" t="inlineStr">
        <is>
          <t>W5</t>
        </is>
      </c>
      <c r="J3895" t="inlineStr">
        <is>
          <t>2031_Sierpień_W5</t>
        </is>
      </c>
    </row>
    <row r="3896">
      <c r="A3896" s="177" t="n">
        <v>48091</v>
      </c>
      <c r="B3896" s="177" t="n">
        <v>48086</v>
      </c>
      <c r="C3896" s="177" t="n">
        <v>48092</v>
      </c>
      <c r="D3896" t="inlineStr">
        <is>
          <t>BW20310826</t>
        </is>
      </c>
      <c r="E3896" t="n">
        <v>2031</v>
      </c>
      <c r="F3896" t="inlineStr">
        <is>
          <t>Sierpień</t>
        </is>
      </c>
      <c r="G3896" t="inlineStr">
        <is>
          <t>Nd</t>
        </is>
      </c>
      <c r="H3896">
        <f>'Floor Hours Engine'!$E$6</f>
        <v/>
      </c>
      <c r="I3896" t="inlineStr">
        <is>
          <t>W5</t>
        </is>
      </c>
      <c r="J3896" t="inlineStr">
        <is>
          <t>2031_Sierpień_W5</t>
        </is>
      </c>
    </row>
    <row r="3897">
      <c r="A3897" s="177" t="n">
        <v>48092</v>
      </c>
      <c r="B3897" s="177" t="n">
        <v>48086</v>
      </c>
      <c r="C3897" s="177" t="n">
        <v>48092</v>
      </c>
      <c r="D3897" t="inlineStr">
        <is>
          <t>BW20310826</t>
        </is>
      </c>
      <c r="E3897" t="n">
        <v>2031</v>
      </c>
      <c r="F3897" t="inlineStr">
        <is>
          <t>Wrzesień</t>
        </is>
      </c>
      <c r="G3897" t="inlineStr">
        <is>
          <t>Pn</t>
        </is>
      </c>
      <c r="H3897">
        <f>'Floor Hours Engine'!$E$4</f>
        <v/>
      </c>
      <c r="I3897" t="inlineStr">
        <is>
          <t>W1</t>
        </is>
      </c>
      <c r="J3897" t="inlineStr">
        <is>
          <t>2031_Wrzesień_W1</t>
        </is>
      </c>
    </row>
    <row r="3898">
      <c r="A3898" s="177" t="n">
        <v>48093</v>
      </c>
      <c r="B3898" s="177" t="n">
        <v>48093</v>
      </c>
      <c r="C3898" s="177" t="n">
        <v>48099</v>
      </c>
      <c r="D3898" t="inlineStr">
        <is>
          <t>BW20310902</t>
        </is>
      </c>
      <c r="E3898" t="n">
        <v>2031</v>
      </c>
      <c r="F3898" t="inlineStr">
        <is>
          <t>Wrzesień</t>
        </is>
      </c>
      <c r="G3898" t="inlineStr">
        <is>
          <t>Wt</t>
        </is>
      </c>
      <c r="H3898">
        <f>'Floor Hours Engine'!$E$4</f>
        <v/>
      </c>
      <c r="I3898" t="inlineStr">
        <is>
          <t>W2</t>
        </is>
      </c>
      <c r="J3898" t="inlineStr">
        <is>
          <t>2031_Wrzesień_W2</t>
        </is>
      </c>
    </row>
    <row r="3899">
      <c r="A3899" s="177" t="n">
        <v>48094</v>
      </c>
      <c r="B3899" s="177" t="n">
        <v>48093</v>
      </c>
      <c r="C3899" s="177" t="n">
        <v>48099</v>
      </c>
      <c r="D3899" t="inlineStr">
        <is>
          <t>BW20310902</t>
        </is>
      </c>
      <c r="E3899" t="n">
        <v>2031</v>
      </c>
      <c r="F3899" t="inlineStr">
        <is>
          <t>Wrzesień</t>
        </is>
      </c>
      <c r="G3899" t="inlineStr">
        <is>
          <t>Śr</t>
        </is>
      </c>
      <c r="H3899">
        <f>'Floor Hours Engine'!$E$4</f>
        <v/>
      </c>
      <c r="I3899" t="inlineStr">
        <is>
          <t>W2</t>
        </is>
      </c>
      <c r="J3899" t="inlineStr">
        <is>
          <t>2031_Wrzesień_W2</t>
        </is>
      </c>
    </row>
    <row r="3900">
      <c r="A3900" s="177" t="n">
        <v>48095</v>
      </c>
      <c r="B3900" s="177" t="n">
        <v>48093</v>
      </c>
      <c r="C3900" s="177" t="n">
        <v>48099</v>
      </c>
      <c r="D3900" t="inlineStr">
        <is>
          <t>BW20310902</t>
        </is>
      </c>
      <c r="E3900" t="n">
        <v>2031</v>
      </c>
      <c r="F3900" t="inlineStr">
        <is>
          <t>Wrzesień</t>
        </is>
      </c>
      <c r="G3900" t="inlineStr">
        <is>
          <t>Czw</t>
        </is>
      </c>
      <c r="H3900">
        <f>'Floor Hours Engine'!$E$4</f>
        <v/>
      </c>
      <c r="I3900" t="inlineStr">
        <is>
          <t>W2</t>
        </is>
      </c>
      <c r="J3900" t="inlineStr">
        <is>
          <t>2031_Wrzesień_W2</t>
        </is>
      </c>
    </row>
    <row r="3901">
      <c r="A3901" s="177" t="n">
        <v>48096</v>
      </c>
      <c r="B3901" s="177" t="n">
        <v>48093</v>
      </c>
      <c r="C3901" s="177" t="n">
        <v>48099</v>
      </c>
      <c r="D3901" t="inlineStr">
        <is>
          <t>BW20310902</t>
        </is>
      </c>
      <c r="E3901" t="n">
        <v>2031</v>
      </c>
      <c r="F3901" t="inlineStr">
        <is>
          <t>Wrzesień</t>
        </is>
      </c>
      <c r="G3901" t="inlineStr">
        <is>
          <t>Pt</t>
        </is>
      </c>
      <c r="H3901">
        <f>'Floor Hours Engine'!$E$5</f>
        <v/>
      </c>
      <c r="I3901" t="inlineStr">
        <is>
          <t>W2</t>
        </is>
      </c>
      <c r="J3901" t="inlineStr">
        <is>
          <t>2031_Wrzesień_W2</t>
        </is>
      </c>
    </row>
    <row r="3902">
      <c r="A3902" s="177" t="n">
        <v>48097</v>
      </c>
      <c r="B3902" s="177" t="n">
        <v>48093</v>
      </c>
      <c r="C3902" s="177" t="n">
        <v>48099</v>
      </c>
      <c r="D3902" t="inlineStr">
        <is>
          <t>BW20310902</t>
        </is>
      </c>
      <c r="E3902" t="n">
        <v>2031</v>
      </c>
      <c r="F3902" t="inlineStr">
        <is>
          <t>Wrzesień</t>
        </is>
      </c>
      <c r="G3902" t="inlineStr">
        <is>
          <t>Sob</t>
        </is>
      </c>
      <c r="H3902">
        <f>'Floor Hours Engine'!$E$5</f>
        <v/>
      </c>
      <c r="I3902" t="inlineStr">
        <is>
          <t>W2</t>
        </is>
      </c>
      <c r="J3902" t="inlineStr">
        <is>
          <t>2031_Wrzesień_W2</t>
        </is>
      </c>
    </row>
    <row r="3903">
      <c r="A3903" s="177" t="n">
        <v>48098</v>
      </c>
      <c r="B3903" s="177" t="n">
        <v>48093</v>
      </c>
      <c r="C3903" s="177" t="n">
        <v>48099</v>
      </c>
      <c r="D3903" t="inlineStr">
        <is>
          <t>BW20310902</t>
        </is>
      </c>
      <c r="E3903" t="n">
        <v>2031</v>
      </c>
      <c r="F3903" t="inlineStr">
        <is>
          <t>Wrzesień</t>
        </is>
      </c>
      <c r="G3903" t="inlineStr">
        <is>
          <t>Nd</t>
        </is>
      </c>
      <c r="H3903">
        <f>'Floor Hours Engine'!$E$6</f>
        <v/>
      </c>
      <c r="I3903" t="inlineStr">
        <is>
          <t>W2</t>
        </is>
      </c>
      <c r="J3903" t="inlineStr">
        <is>
          <t>2031_Wrzesień_W2</t>
        </is>
      </c>
    </row>
    <row r="3904">
      <c r="A3904" s="177" t="n">
        <v>48099</v>
      </c>
      <c r="B3904" s="177" t="n">
        <v>48093</v>
      </c>
      <c r="C3904" s="177" t="n">
        <v>48099</v>
      </c>
      <c r="D3904" t="inlineStr">
        <is>
          <t>BW20310902</t>
        </is>
      </c>
      <c r="E3904" t="n">
        <v>2031</v>
      </c>
      <c r="F3904" t="inlineStr">
        <is>
          <t>Wrzesień</t>
        </is>
      </c>
      <c r="G3904" t="inlineStr">
        <is>
          <t>Pn</t>
        </is>
      </c>
      <c r="H3904">
        <f>'Floor Hours Engine'!$E$4</f>
        <v/>
      </c>
      <c r="I3904" t="inlineStr">
        <is>
          <t>W2</t>
        </is>
      </c>
      <c r="J3904" t="inlineStr">
        <is>
          <t>2031_Wrzesień_W2</t>
        </is>
      </c>
    </row>
    <row r="3905">
      <c r="A3905" s="177" t="n">
        <v>48100</v>
      </c>
      <c r="B3905" s="177" t="n">
        <v>48100</v>
      </c>
      <c r="C3905" s="177" t="n">
        <v>48106</v>
      </c>
      <c r="D3905" t="inlineStr">
        <is>
          <t>BW20310909</t>
        </is>
      </c>
      <c r="E3905" t="n">
        <v>2031</v>
      </c>
      <c r="F3905" t="inlineStr">
        <is>
          <t>Wrzesień</t>
        </is>
      </c>
      <c r="G3905" t="inlineStr">
        <is>
          <t>Wt</t>
        </is>
      </c>
      <c r="H3905">
        <f>'Floor Hours Engine'!$E$4</f>
        <v/>
      </c>
      <c r="I3905" t="inlineStr">
        <is>
          <t>W3</t>
        </is>
      </c>
      <c r="J3905" t="inlineStr">
        <is>
          <t>2031_Wrzesień_W3</t>
        </is>
      </c>
    </row>
    <row r="3906">
      <c r="A3906" s="177" t="n">
        <v>48101</v>
      </c>
      <c r="B3906" s="177" t="n">
        <v>48100</v>
      </c>
      <c r="C3906" s="177" t="n">
        <v>48106</v>
      </c>
      <c r="D3906" t="inlineStr">
        <is>
          <t>BW20310909</t>
        </is>
      </c>
      <c r="E3906" t="n">
        <v>2031</v>
      </c>
      <c r="F3906" t="inlineStr">
        <is>
          <t>Wrzesień</t>
        </is>
      </c>
      <c r="G3906" t="inlineStr">
        <is>
          <t>Śr</t>
        </is>
      </c>
      <c r="H3906">
        <f>'Floor Hours Engine'!$E$4</f>
        <v/>
      </c>
      <c r="I3906" t="inlineStr">
        <is>
          <t>W3</t>
        </is>
      </c>
      <c r="J3906" t="inlineStr">
        <is>
          <t>2031_Wrzesień_W3</t>
        </is>
      </c>
    </row>
    <row r="3907">
      <c r="A3907" s="177" t="n">
        <v>48102</v>
      </c>
      <c r="B3907" s="177" t="n">
        <v>48100</v>
      </c>
      <c r="C3907" s="177" t="n">
        <v>48106</v>
      </c>
      <c r="D3907" t="inlineStr">
        <is>
          <t>BW20310909</t>
        </is>
      </c>
      <c r="E3907" t="n">
        <v>2031</v>
      </c>
      <c r="F3907" t="inlineStr">
        <is>
          <t>Wrzesień</t>
        </is>
      </c>
      <c r="G3907" t="inlineStr">
        <is>
          <t>Czw</t>
        </is>
      </c>
      <c r="H3907">
        <f>'Floor Hours Engine'!$E$4</f>
        <v/>
      </c>
      <c r="I3907" t="inlineStr">
        <is>
          <t>W3</t>
        </is>
      </c>
      <c r="J3907" t="inlineStr">
        <is>
          <t>2031_Wrzesień_W3</t>
        </is>
      </c>
    </row>
    <row r="3908">
      <c r="A3908" s="177" t="n">
        <v>48103</v>
      </c>
      <c r="B3908" s="177" t="n">
        <v>48100</v>
      </c>
      <c r="C3908" s="177" t="n">
        <v>48106</v>
      </c>
      <c r="D3908" t="inlineStr">
        <is>
          <t>BW20310909</t>
        </is>
      </c>
      <c r="E3908" t="n">
        <v>2031</v>
      </c>
      <c r="F3908" t="inlineStr">
        <is>
          <t>Wrzesień</t>
        </is>
      </c>
      <c r="G3908" t="inlineStr">
        <is>
          <t>Pt</t>
        </is>
      </c>
      <c r="H3908">
        <f>'Floor Hours Engine'!$E$5</f>
        <v/>
      </c>
      <c r="I3908" t="inlineStr">
        <is>
          <t>W3</t>
        </is>
      </c>
      <c r="J3908" t="inlineStr">
        <is>
          <t>2031_Wrzesień_W3</t>
        </is>
      </c>
    </row>
    <row r="3909">
      <c r="A3909" s="177" t="n">
        <v>48104</v>
      </c>
      <c r="B3909" s="177" t="n">
        <v>48100</v>
      </c>
      <c r="C3909" s="177" t="n">
        <v>48106</v>
      </c>
      <c r="D3909" t="inlineStr">
        <is>
          <t>BW20310909</t>
        </is>
      </c>
      <c r="E3909" t="n">
        <v>2031</v>
      </c>
      <c r="F3909" t="inlineStr">
        <is>
          <t>Wrzesień</t>
        </is>
      </c>
      <c r="G3909" t="inlineStr">
        <is>
          <t>Sob</t>
        </is>
      </c>
      <c r="H3909">
        <f>'Floor Hours Engine'!$E$5</f>
        <v/>
      </c>
      <c r="I3909" t="inlineStr">
        <is>
          <t>W3</t>
        </is>
      </c>
      <c r="J3909" t="inlineStr">
        <is>
          <t>2031_Wrzesień_W3</t>
        </is>
      </c>
    </row>
    <row r="3910">
      <c r="A3910" s="177" t="n">
        <v>48105</v>
      </c>
      <c r="B3910" s="177" t="n">
        <v>48100</v>
      </c>
      <c r="C3910" s="177" t="n">
        <v>48106</v>
      </c>
      <c r="D3910" t="inlineStr">
        <is>
          <t>BW20310909</t>
        </is>
      </c>
      <c r="E3910" t="n">
        <v>2031</v>
      </c>
      <c r="F3910" t="inlineStr">
        <is>
          <t>Wrzesień</t>
        </is>
      </c>
      <c r="G3910" t="inlineStr">
        <is>
          <t>Nd</t>
        </is>
      </c>
      <c r="H3910">
        <f>'Floor Hours Engine'!$E$6</f>
        <v/>
      </c>
      <c r="I3910" t="inlineStr">
        <is>
          <t>W3</t>
        </is>
      </c>
      <c r="J3910" t="inlineStr">
        <is>
          <t>2031_Wrzesień_W3</t>
        </is>
      </c>
    </row>
    <row r="3911">
      <c r="A3911" s="177" t="n">
        <v>48106</v>
      </c>
      <c r="B3911" s="177" t="n">
        <v>48100</v>
      </c>
      <c r="C3911" s="177" t="n">
        <v>48106</v>
      </c>
      <c r="D3911" t="inlineStr">
        <is>
          <t>BW20310909</t>
        </is>
      </c>
      <c r="E3911" t="n">
        <v>2031</v>
      </c>
      <c r="F3911" t="inlineStr">
        <is>
          <t>Wrzesień</t>
        </is>
      </c>
      <c r="G3911" t="inlineStr">
        <is>
          <t>Pn</t>
        </is>
      </c>
      <c r="H3911">
        <f>'Floor Hours Engine'!$E$4</f>
        <v/>
      </c>
      <c r="I3911" t="inlineStr">
        <is>
          <t>W3</t>
        </is>
      </c>
      <c r="J3911" t="inlineStr">
        <is>
          <t>2031_Wrzesień_W3</t>
        </is>
      </c>
    </row>
    <row r="3912">
      <c r="A3912" s="177" t="n">
        <v>48107</v>
      </c>
      <c r="B3912" s="177" t="n">
        <v>48107</v>
      </c>
      <c r="C3912" s="177" t="n">
        <v>48113</v>
      </c>
      <c r="D3912" t="inlineStr">
        <is>
          <t>BW20310916</t>
        </is>
      </c>
      <c r="E3912" t="n">
        <v>2031</v>
      </c>
      <c r="F3912" t="inlineStr">
        <is>
          <t>Wrzesień</t>
        </is>
      </c>
      <c r="G3912" t="inlineStr">
        <is>
          <t>Wt</t>
        </is>
      </c>
      <c r="H3912">
        <f>'Floor Hours Engine'!$E$4</f>
        <v/>
      </c>
      <c r="I3912" t="inlineStr">
        <is>
          <t>W4</t>
        </is>
      </c>
      <c r="J3912" t="inlineStr">
        <is>
          <t>2031_Wrzesień_W4</t>
        </is>
      </c>
    </row>
    <row r="3913">
      <c r="A3913" s="177" t="n">
        <v>48108</v>
      </c>
      <c r="B3913" s="177" t="n">
        <v>48107</v>
      </c>
      <c r="C3913" s="177" t="n">
        <v>48113</v>
      </c>
      <c r="D3913" t="inlineStr">
        <is>
          <t>BW20310916</t>
        </is>
      </c>
      <c r="E3913" t="n">
        <v>2031</v>
      </c>
      <c r="F3913" t="inlineStr">
        <is>
          <t>Wrzesień</t>
        </is>
      </c>
      <c r="G3913" t="inlineStr">
        <is>
          <t>Śr</t>
        </is>
      </c>
      <c r="H3913">
        <f>'Floor Hours Engine'!$E$4</f>
        <v/>
      </c>
      <c r="I3913" t="inlineStr">
        <is>
          <t>W4</t>
        </is>
      </c>
      <c r="J3913" t="inlineStr">
        <is>
          <t>2031_Wrzesień_W4</t>
        </is>
      </c>
    </row>
    <row r="3914">
      <c r="A3914" s="177" t="n">
        <v>48109</v>
      </c>
      <c r="B3914" s="177" t="n">
        <v>48107</v>
      </c>
      <c r="C3914" s="177" t="n">
        <v>48113</v>
      </c>
      <c r="D3914" t="inlineStr">
        <is>
          <t>BW20310916</t>
        </is>
      </c>
      <c r="E3914" t="n">
        <v>2031</v>
      </c>
      <c r="F3914" t="inlineStr">
        <is>
          <t>Wrzesień</t>
        </is>
      </c>
      <c r="G3914" t="inlineStr">
        <is>
          <t>Czw</t>
        </is>
      </c>
      <c r="H3914">
        <f>'Floor Hours Engine'!$E$4</f>
        <v/>
      </c>
      <c r="I3914" t="inlineStr">
        <is>
          <t>W4</t>
        </is>
      </c>
      <c r="J3914" t="inlineStr">
        <is>
          <t>2031_Wrzesień_W4</t>
        </is>
      </c>
    </row>
    <row r="3915">
      <c r="A3915" s="177" t="n">
        <v>48110</v>
      </c>
      <c r="B3915" s="177" t="n">
        <v>48107</v>
      </c>
      <c r="C3915" s="177" t="n">
        <v>48113</v>
      </c>
      <c r="D3915" t="inlineStr">
        <is>
          <t>BW20310916</t>
        </is>
      </c>
      <c r="E3915" t="n">
        <v>2031</v>
      </c>
      <c r="F3915" t="inlineStr">
        <is>
          <t>Wrzesień</t>
        </is>
      </c>
      <c r="G3915" t="inlineStr">
        <is>
          <t>Pt</t>
        </is>
      </c>
      <c r="H3915">
        <f>'Floor Hours Engine'!$E$5</f>
        <v/>
      </c>
      <c r="I3915" t="inlineStr">
        <is>
          <t>W4</t>
        </is>
      </c>
      <c r="J3915" t="inlineStr">
        <is>
          <t>2031_Wrzesień_W4</t>
        </is>
      </c>
    </row>
    <row r="3916">
      <c r="A3916" s="177" t="n">
        <v>48111</v>
      </c>
      <c r="B3916" s="177" t="n">
        <v>48107</v>
      </c>
      <c r="C3916" s="177" t="n">
        <v>48113</v>
      </c>
      <c r="D3916" t="inlineStr">
        <is>
          <t>BW20310916</t>
        </is>
      </c>
      <c r="E3916" t="n">
        <v>2031</v>
      </c>
      <c r="F3916" t="inlineStr">
        <is>
          <t>Wrzesień</t>
        </is>
      </c>
      <c r="G3916" t="inlineStr">
        <is>
          <t>Sob</t>
        </is>
      </c>
      <c r="H3916">
        <f>'Floor Hours Engine'!$E$5</f>
        <v/>
      </c>
      <c r="I3916" t="inlineStr">
        <is>
          <t>W4</t>
        </is>
      </c>
      <c r="J3916" t="inlineStr">
        <is>
          <t>2031_Wrzesień_W4</t>
        </is>
      </c>
    </row>
    <row r="3917">
      <c r="A3917" s="177" t="n">
        <v>48112</v>
      </c>
      <c r="B3917" s="177" t="n">
        <v>48107</v>
      </c>
      <c r="C3917" s="177" t="n">
        <v>48113</v>
      </c>
      <c r="D3917" t="inlineStr">
        <is>
          <t>BW20310916</t>
        </is>
      </c>
      <c r="E3917" t="n">
        <v>2031</v>
      </c>
      <c r="F3917" t="inlineStr">
        <is>
          <t>Wrzesień</t>
        </is>
      </c>
      <c r="G3917" t="inlineStr">
        <is>
          <t>Nd</t>
        </is>
      </c>
      <c r="H3917">
        <f>'Floor Hours Engine'!$E$6</f>
        <v/>
      </c>
      <c r="I3917" t="inlineStr">
        <is>
          <t>W4</t>
        </is>
      </c>
      <c r="J3917" t="inlineStr">
        <is>
          <t>2031_Wrzesień_W4</t>
        </is>
      </c>
    </row>
    <row r="3918">
      <c r="A3918" s="177" t="n">
        <v>48113</v>
      </c>
      <c r="B3918" s="177" t="n">
        <v>48107</v>
      </c>
      <c r="C3918" s="177" t="n">
        <v>48113</v>
      </c>
      <c r="D3918" t="inlineStr">
        <is>
          <t>BW20310916</t>
        </is>
      </c>
      <c r="E3918" t="n">
        <v>2031</v>
      </c>
      <c r="F3918" t="inlineStr">
        <is>
          <t>Wrzesień</t>
        </is>
      </c>
      <c r="G3918" t="inlineStr">
        <is>
          <t>Pn</t>
        </is>
      </c>
      <c r="H3918">
        <f>'Floor Hours Engine'!$E$4</f>
        <v/>
      </c>
      <c r="I3918" t="inlineStr">
        <is>
          <t>W4</t>
        </is>
      </c>
      <c r="J3918" t="inlineStr">
        <is>
          <t>2031_Wrzesień_W4</t>
        </is>
      </c>
    </row>
    <row r="3919">
      <c r="A3919" s="177" t="n">
        <v>48114</v>
      </c>
      <c r="B3919" s="177" t="n">
        <v>48114</v>
      </c>
      <c r="C3919" s="177" t="n">
        <v>48120</v>
      </c>
      <c r="D3919" t="inlineStr">
        <is>
          <t>BW20310923</t>
        </is>
      </c>
      <c r="E3919" t="n">
        <v>2031</v>
      </c>
      <c r="F3919" t="inlineStr">
        <is>
          <t>Wrzesień</t>
        </is>
      </c>
      <c r="G3919" t="inlineStr">
        <is>
          <t>Wt</t>
        </is>
      </c>
      <c r="H3919">
        <f>'Floor Hours Engine'!$E$4</f>
        <v/>
      </c>
      <c r="I3919" t="inlineStr">
        <is>
          <t>W5</t>
        </is>
      </c>
      <c r="J3919" t="inlineStr">
        <is>
          <t>2031_Wrzesień_W5</t>
        </is>
      </c>
    </row>
    <row r="3920">
      <c r="A3920" s="177" t="n">
        <v>48115</v>
      </c>
      <c r="B3920" s="177" t="n">
        <v>48114</v>
      </c>
      <c r="C3920" s="177" t="n">
        <v>48120</v>
      </c>
      <c r="D3920" t="inlineStr">
        <is>
          <t>BW20310923</t>
        </is>
      </c>
      <c r="E3920" t="n">
        <v>2031</v>
      </c>
      <c r="F3920" t="inlineStr">
        <is>
          <t>Wrzesień</t>
        </is>
      </c>
      <c r="G3920" t="inlineStr">
        <is>
          <t>Śr</t>
        </is>
      </c>
      <c r="H3920">
        <f>'Floor Hours Engine'!$E$4</f>
        <v/>
      </c>
      <c r="I3920" t="inlineStr">
        <is>
          <t>W5</t>
        </is>
      </c>
      <c r="J3920" t="inlineStr">
        <is>
          <t>2031_Wrzesień_W5</t>
        </is>
      </c>
    </row>
    <row r="3921">
      <c r="A3921" s="177" t="n">
        <v>48116</v>
      </c>
      <c r="B3921" s="177" t="n">
        <v>48114</v>
      </c>
      <c r="C3921" s="177" t="n">
        <v>48120</v>
      </c>
      <c r="D3921" t="inlineStr">
        <is>
          <t>BW20310923</t>
        </is>
      </c>
      <c r="E3921" t="n">
        <v>2031</v>
      </c>
      <c r="F3921" t="inlineStr">
        <is>
          <t>Wrzesień</t>
        </is>
      </c>
      <c r="G3921" t="inlineStr">
        <is>
          <t>Czw</t>
        </is>
      </c>
      <c r="H3921">
        <f>'Floor Hours Engine'!$E$4</f>
        <v/>
      </c>
      <c r="I3921" t="inlineStr">
        <is>
          <t>W5</t>
        </is>
      </c>
      <c r="J3921" t="inlineStr">
        <is>
          <t>2031_Wrzesień_W5</t>
        </is>
      </c>
    </row>
    <row r="3922">
      <c r="A3922" s="177" t="n">
        <v>48117</v>
      </c>
      <c r="B3922" s="177" t="n">
        <v>48114</v>
      </c>
      <c r="C3922" s="177" t="n">
        <v>48120</v>
      </c>
      <c r="D3922" t="inlineStr">
        <is>
          <t>BW20310923</t>
        </is>
      </c>
      <c r="E3922" t="n">
        <v>2031</v>
      </c>
      <c r="F3922" t="inlineStr">
        <is>
          <t>Wrzesień</t>
        </is>
      </c>
      <c r="G3922" t="inlineStr">
        <is>
          <t>Pt</t>
        </is>
      </c>
      <c r="H3922">
        <f>'Floor Hours Engine'!$E$5</f>
        <v/>
      </c>
      <c r="I3922" t="inlineStr">
        <is>
          <t>W5</t>
        </is>
      </c>
      <c r="J3922" t="inlineStr">
        <is>
          <t>2031_Wrzesień_W5</t>
        </is>
      </c>
    </row>
    <row r="3923">
      <c r="A3923" s="177" t="n">
        <v>48118</v>
      </c>
      <c r="B3923" s="177" t="n">
        <v>48114</v>
      </c>
      <c r="C3923" s="177" t="n">
        <v>48120</v>
      </c>
      <c r="D3923" t="inlineStr">
        <is>
          <t>BW20310923</t>
        </is>
      </c>
      <c r="E3923" t="n">
        <v>2031</v>
      </c>
      <c r="F3923" t="inlineStr">
        <is>
          <t>Wrzesień</t>
        </is>
      </c>
      <c r="G3923" t="inlineStr">
        <is>
          <t>Sob</t>
        </is>
      </c>
      <c r="H3923">
        <f>'Floor Hours Engine'!$E$5</f>
        <v/>
      </c>
      <c r="I3923" t="inlineStr">
        <is>
          <t>W5</t>
        </is>
      </c>
      <c r="J3923" t="inlineStr">
        <is>
          <t>2031_Wrzesień_W5</t>
        </is>
      </c>
    </row>
    <row r="3924">
      <c r="A3924" s="177" t="n">
        <v>48119</v>
      </c>
      <c r="B3924" s="177" t="n">
        <v>48114</v>
      </c>
      <c r="C3924" s="177" t="n">
        <v>48120</v>
      </c>
      <c r="D3924" t="inlineStr">
        <is>
          <t>BW20310923</t>
        </is>
      </c>
      <c r="E3924" t="n">
        <v>2031</v>
      </c>
      <c r="F3924" t="inlineStr">
        <is>
          <t>Wrzesień</t>
        </is>
      </c>
      <c r="G3924" t="inlineStr">
        <is>
          <t>Nd</t>
        </is>
      </c>
      <c r="H3924">
        <f>'Floor Hours Engine'!$E$6</f>
        <v/>
      </c>
      <c r="I3924" t="inlineStr">
        <is>
          <t>W5</t>
        </is>
      </c>
      <c r="J3924" t="inlineStr">
        <is>
          <t>2031_Wrzesień_W5</t>
        </is>
      </c>
    </row>
    <row r="3925">
      <c r="A3925" s="177" t="n">
        <v>48120</v>
      </c>
      <c r="B3925" s="177" t="n">
        <v>48114</v>
      </c>
      <c r="C3925" s="177" t="n">
        <v>48120</v>
      </c>
      <c r="D3925" t="inlineStr">
        <is>
          <t>BW20310923</t>
        </is>
      </c>
      <c r="E3925" t="n">
        <v>2031</v>
      </c>
      <c r="F3925" t="inlineStr">
        <is>
          <t>Wrzesień</t>
        </is>
      </c>
      <c r="G3925" t="inlineStr">
        <is>
          <t>Pn</t>
        </is>
      </c>
      <c r="H3925">
        <f>'Floor Hours Engine'!$E$4</f>
        <v/>
      </c>
      <c r="I3925" t="inlineStr">
        <is>
          <t>W5</t>
        </is>
      </c>
      <c r="J3925" t="inlineStr">
        <is>
          <t>2031_Wrzesień_W5</t>
        </is>
      </c>
    </row>
    <row r="3926">
      <c r="A3926" s="177" t="n">
        <v>48121</v>
      </c>
      <c r="B3926" s="177" t="n">
        <v>48121</v>
      </c>
      <c r="C3926" s="177" t="n">
        <v>48127</v>
      </c>
      <c r="D3926" t="inlineStr">
        <is>
          <t>BW20310930</t>
        </is>
      </c>
      <c r="E3926" t="n">
        <v>2031</v>
      </c>
      <c r="F3926" t="inlineStr">
        <is>
          <t>Wrzesień</t>
        </is>
      </c>
      <c r="G3926" t="inlineStr">
        <is>
          <t>Wt</t>
        </is>
      </c>
      <c r="H3926">
        <f>'Floor Hours Engine'!$E$4</f>
        <v/>
      </c>
      <c r="I3926" t="inlineStr">
        <is>
          <t>W6</t>
        </is>
      </c>
      <c r="J3926" t="inlineStr">
        <is>
          <t>2031_Wrzesień_W6</t>
        </is>
      </c>
    </row>
    <row r="3927">
      <c r="A3927" s="177" t="n">
        <v>48122</v>
      </c>
      <c r="B3927" s="177" t="n">
        <v>48121</v>
      </c>
      <c r="C3927" s="177" t="n">
        <v>48127</v>
      </c>
      <c r="D3927" t="inlineStr">
        <is>
          <t>BW20310930</t>
        </is>
      </c>
      <c r="E3927" t="n">
        <v>2031</v>
      </c>
      <c r="F3927" t="inlineStr">
        <is>
          <t>Październik</t>
        </is>
      </c>
      <c r="G3927" t="inlineStr">
        <is>
          <t>Śr</t>
        </is>
      </c>
      <c r="H3927">
        <f>'Floor Hours Engine'!$E$4</f>
        <v/>
      </c>
      <c r="I3927" t="inlineStr">
        <is>
          <t>W1</t>
        </is>
      </c>
      <c r="J3927" t="inlineStr">
        <is>
          <t>2031_Październik_W1</t>
        </is>
      </c>
    </row>
    <row r="3928">
      <c r="A3928" s="177" t="n">
        <v>48123</v>
      </c>
      <c r="B3928" s="177" t="n">
        <v>48121</v>
      </c>
      <c r="C3928" s="177" t="n">
        <v>48127</v>
      </c>
      <c r="D3928" t="inlineStr">
        <is>
          <t>BW20310930</t>
        </is>
      </c>
      <c r="E3928" t="n">
        <v>2031</v>
      </c>
      <c r="F3928" t="inlineStr">
        <is>
          <t>Październik</t>
        </is>
      </c>
      <c r="G3928" t="inlineStr">
        <is>
          <t>Czw</t>
        </is>
      </c>
      <c r="H3928">
        <f>'Floor Hours Engine'!$E$4</f>
        <v/>
      </c>
      <c r="I3928" t="inlineStr">
        <is>
          <t>W1</t>
        </is>
      </c>
      <c r="J3928" t="inlineStr">
        <is>
          <t>2031_Październik_W1</t>
        </is>
      </c>
    </row>
    <row r="3929">
      <c r="A3929" s="177" t="n">
        <v>48124</v>
      </c>
      <c r="B3929" s="177" t="n">
        <v>48121</v>
      </c>
      <c r="C3929" s="177" t="n">
        <v>48127</v>
      </c>
      <c r="D3929" t="inlineStr">
        <is>
          <t>BW20310930</t>
        </is>
      </c>
      <c r="E3929" t="n">
        <v>2031</v>
      </c>
      <c r="F3929" t="inlineStr">
        <is>
          <t>Październik</t>
        </is>
      </c>
      <c r="G3929" t="inlineStr">
        <is>
          <t>Pt</t>
        </is>
      </c>
      <c r="H3929">
        <f>'Floor Hours Engine'!$E$5</f>
        <v/>
      </c>
      <c r="I3929" t="inlineStr">
        <is>
          <t>W1</t>
        </is>
      </c>
      <c r="J3929" t="inlineStr">
        <is>
          <t>2031_Październik_W1</t>
        </is>
      </c>
    </row>
    <row r="3930">
      <c r="A3930" s="177" t="n">
        <v>48125</v>
      </c>
      <c r="B3930" s="177" t="n">
        <v>48121</v>
      </c>
      <c r="C3930" s="177" t="n">
        <v>48127</v>
      </c>
      <c r="D3930" t="inlineStr">
        <is>
          <t>BW20310930</t>
        </is>
      </c>
      <c r="E3930" t="n">
        <v>2031</v>
      </c>
      <c r="F3930" t="inlineStr">
        <is>
          <t>Październik</t>
        </is>
      </c>
      <c r="G3930" t="inlineStr">
        <is>
          <t>Sob</t>
        </is>
      </c>
      <c r="H3930">
        <f>'Floor Hours Engine'!$E$5</f>
        <v/>
      </c>
      <c r="I3930" t="inlineStr">
        <is>
          <t>W1</t>
        </is>
      </c>
      <c r="J3930" t="inlineStr">
        <is>
          <t>2031_Październik_W1</t>
        </is>
      </c>
    </row>
    <row r="3931">
      <c r="A3931" s="177" t="n">
        <v>48126</v>
      </c>
      <c r="B3931" s="177" t="n">
        <v>48121</v>
      </c>
      <c r="C3931" s="177" t="n">
        <v>48127</v>
      </c>
      <c r="D3931" t="inlineStr">
        <is>
          <t>BW20310930</t>
        </is>
      </c>
      <c r="E3931" t="n">
        <v>2031</v>
      </c>
      <c r="F3931" t="inlineStr">
        <is>
          <t>Październik</t>
        </is>
      </c>
      <c r="G3931" t="inlineStr">
        <is>
          <t>Nd</t>
        </is>
      </c>
      <c r="H3931">
        <f>'Floor Hours Engine'!$E$6</f>
        <v/>
      </c>
      <c r="I3931" t="inlineStr">
        <is>
          <t>W1</t>
        </is>
      </c>
      <c r="J3931" t="inlineStr">
        <is>
          <t>2031_Październik_W1</t>
        </is>
      </c>
    </row>
    <row r="3932">
      <c r="A3932" s="177" t="n">
        <v>48127</v>
      </c>
      <c r="B3932" s="177" t="n">
        <v>48121</v>
      </c>
      <c r="C3932" s="177" t="n">
        <v>48127</v>
      </c>
      <c r="D3932" t="inlineStr">
        <is>
          <t>BW20310930</t>
        </is>
      </c>
      <c r="E3932" t="n">
        <v>2031</v>
      </c>
      <c r="F3932" t="inlineStr">
        <is>
          <t>Październik</t>
        </is>
      </c>
      <c r="G3932" t="inlineStr">
        <is>
          <t>Pn</t>
        </is>
      </c>
      <c r="H3932">
        <f>'Floor Hours Engine'!$E$4</f>
        <v/>
      </c>
      <c r="I3932" t="inlineStr">
        <is>
          <t>W1</t>
        </is>
      </c>
      <c r="J3932" t="inlineStr">
        <is>
          <t>2031_Październik_W1</t>
        </is>
      </c>
    </row>
    <row r="3933">
      <c r="A3933" s="177" t="n">
        <v>48128</v>
      </c>
      <c r="B3933" s="177" t="n">
        <v>48128</v>
      </c>
      <c r="C3933" s="177" t="n">
        <v>48134</v>
      </c>
      <c r="D3933" t="inlineStr">
        <is>
          <t>BW20311007</t>
        </is>
      </c>
      <c r="E3933" t="n">
        <v>2031</v>
      </c>
      <c r="F3933" t="inlineStr">
        <is>
          <t>Październik</t>
        </is>
      </c>
      <c r="G3933" t="inlineStr">
        <is>
          <t>Wt</t>
        </is>
      </c>
      <c r="H3933">
        <f>'Floor Hours Engine'!$E$4</f>
        <v/>
      </c>
      <c r="I3933" t="inlineStr">
        <is>
          <t>W2</t>
        </is>
      </c>
      <c r="J3933" t="inlineStr">
        <is>
          <t>2031_Październik_W2</t>
        </is>
      </c>
    </row>
    <row r="3934">
      <c r="A3934" s="177" t="n">
        <v>48129</v>
      </c>
      <c r="B3934" s="177" t="n">
        <v>48128</v>
      </c>
      <c r="C3934" s="177" t="n">
        <v>48134</v>
      </c>
      <c r="D3934" t="inlineStr">
        <is>
          <t>BW20311007</t>
        </is>
      </c>
      <c r="E3934" t="n">
        <v>2031</v>
      </c>
      <c r="F3934" t="inlineStr">
        <is>
          <t>Październik</t>
        </is>
      </c>
      <c r="G3934" t="inlineStr">
        <is>
          <t>Śr</t>
        </is>
      </c>
      <c r="H3934">
        <f>'Floor Hours Engine'!$E$4</f>
        <v/>
      </c>
      <c r="I3934" t="inlineStr">
        <is>
          <t>W2</t>
        </is>
      </c>
      <c r="J3934" t="inlineStr">
        <is>
          <t>2031_Październik_W2</t>
        </is>
      </c>
    </row>
    <row r="3935">
      <c r="A3935" s="177" t="n">
        <v>48130</v>
      </c>
      <c r="B3935" s="177" t="n">
        <v>48128</v>
      </c>
      <c r="C3935" s="177" t="n">
        <v>48134</v>
      </c>
      <c r="D3935" t="inlineStr">
        <is>
          <t>BW20311007</t>
        </is>
      </c>
      <c r="E3935" t="n">
        <v>2031</v>
      </c>
      <c r="F3935" t="inlineStr">
        <is>
          <t>Październik</t>
        </is>
      </c>
      <c r="G3935" t="inlineStr">
        <is>
          <t>Czw</t>
        </is>
      </c>
      <c r="H3935">
        <f>'Floor Hours Engine'!$E$4</f>
        <v/>
      </c>
      <c r="I3935" t="inlineStr">
        <is>
          <t>W2</t>
        </is>
      </c>
      <c r="J3935" t="inlineStr">
        <is>
          <t>2031_Październik_W2</t>
        </is>
      </c>
    </row>
    <row r="3936">
      <c r="A3936" s="177" t="n">
        <v>48131</v>
      </c>
      <c r="B3936" s="177" t="n">
        <v>48128</v>
      </c>
      <c r="C3936" s="177" t="n">
        <v>48134</v>
      </c>
      <c r="D3936" t="inlineStr">
        <is>
          <t>BW20311007</t>
        </is>
      </c>
      <c r="E3936" t="n">
        <v>2031</v>
      </c>
      <c r="F3936" t="inlineStr">
        <is>
          <t>Październik</t>
        </is>
      </c>
      <c r="G3936" t="inlineStr">
        <is>
          <t>Pt</t>
        </is>
      </c>
      <c r="H3936">
        <f>'Floor Hours Engine'!$E$5</f>
        <v/>
      </c>
      <c r="I3936" t="inlineStr">
        <is>
          <t>W2</t>
        </is>
      </c>
      <c r="J3936" t="inlineStr">
        <is>
          <t>2031_Październik_W2</t>
        </is>
      </c>
    </row>
    <row r="3937">
      <c r="A3937" s="177" t="n">
        <v>48132</v>
      </c>
      <c r="B3937" s="177" t="n">
        <v>48128</v>
      </c>
      <c r="C3937" s="177" t="n">
        <v>48134</v>
      </c>
      <c r="D3937" t="inlineStr">
        <is>
          <t>BW20311007</t>
        </is>
      </c>
      <c r="E3937" t="n">
        <v>2031</v>
      </c>
      <c r="F3937" t="inlineStr">
        <is>
          <t>Październik</t>
        </is>
      </c>
      <c r="G3937" t="inlineStr">
        <is>
          <t>Sob</t>
        </is>
      </c>
      <c r="H3937">
        <f>'Floor Hours Engine'!$E$5</f>
        <v/>
      </c>
      <c r="I3937" t="inlineStr">
        <is>
          <t>W2</t>
        </is>
      </c>
      <c r="J3937" t="inlineStr">
        <is>
          <t>2031_Październik_W2</t>
        </is>
      </c>
    </row>
    <row r="3938">
      <c r="A3938" s="177" t="n">
        <v>48133</v>
      </c>
      <c r="B3938" s="177" t="n">
        <v>48128</v>
      </c>
      <c r="C3938" s="177" t="n">
        <v>48134</v>
      </c>
      <c r="D3938" t="inlineStr">
        <is>
          <t>BW20311007</t>
        </is>
      </c>
      <c r="E3938" t="n">
        <v>2031</v>
      </c>
      <c r="F3938" t="inlineStr">
        <is>
          <t>Październik</t>
        </is>
      </c>
      <c r="G3938" t="inlineStr">
        <is>
          <t>Nd</t>
        </is>
      </c>
      <c r="H3938">
        <f>'Floor Hours Engine'!$E$6</f>
        <v/>
      </c>
      <c r="I3938" t="inlineStr">
        <is>
          <t>W2</t>
        </is>
      </c>
      <c r="J3938" t="inlineStr">
        <is>
          <t>2031_Październik_W2</t>
        </is>
      </c>
    </row>
    <row r="3939">
      <c r="A3939" s="177" t="n">
        <v>48134</v>
      </c>
      <c r="B3939" s="177" t="n">
        <v>48128</v>
      </c>
      <c r="C3939" s="177" t="n">
        <v>48134</v>
      </c>
      <c r="D3939" t="inlineStr">
        <is>
          <t>BW20311007</t>
        </is>
      </c>
      <c r="E3939" t="n">
        <v>2031</v>
      </c>
      <c r="F3939" t="inlineStr">
        <is>
          <t>Październik</t>
        </is>
      </c>
      <c r="G3939" t="inlineStr">
        <is>
          <t>Pn</t>
        </is>
      </c>
      <c r="H3939">
        <f>'Floor Hours Engine'!$E$4</f>
        <v/>
      </c>
      <c r="I3939" t="inlineStr">
        <is>
          <t>W2</t>
        </is>
      </c>
      <c r="J3939" t="inlineStr">
        <is>
          <t>2031_Październik_W2</t>
        </is>
      </c>
    </row>
    <row r="3940">
      <c r="A3940" s="177" t="n">
        <v>48135</v>
      </c>
      <c r="B3940" s="177" t="n">
        <v>48135</v>
      </c>
      <c r="C3940" s="177" t="n">
        <v>48141</v>
      </c>
      <c r="D3940" t="inlineStr">
        <is>
          <t>BW20311014</t>
        </is>
      </c>
      <c r="E3940" t="n">
        <v>2031</v>
      </c>
      <c r="F3940" t="inlineStr">
        <is>
          <t>Październik</t>
        </is>
      </c>
      <c r="G3940" t="inlineStr">
        <is>
          <t>Wt</t>
        </is>
      </c>
      <c r="H3940">
        <f>'Floor Hours Engine'!$E$4</f>
        <v/>
      </c>
      <c r="I3940" t="inlineStr">
        <is>
          <t>W3</t>
        </is>
      </c>
      <c r="J3940" t="inlineStr">
        <is>
          <t>2031_Październik_W3</t>
        </is>
      </c>
    </row>
    <row r="3941">
      <c r="A3941" s="177" t="n">
        <v>48136</v>
      </c>
      <c r="B3941" s="177" t="n">
        <v>48135</v>
      </c>
      <c r="C3941" s="177" t="n">
        <v>48141</v>
      </c>
      <c r="D3941" t="inlineStr">
        <is>
          <t>BW20311014</t>
        </is>
      </c>
      <c r="E3941" t="n">
        <v>2031</v>
      </c>
      <c r="F3941" t="inlineStr">
        <is>
          <t>Październik</t>
        </is>
      </c>
      <c r="G3941" t="inlineStr">
        <is>
          <t>Śr</t>
        </is>
      </c>
      <c r="H3941">
        <f>'Floor Hours Engine'!$E$4</f>
        <v/>
      </c>
      <c r="I3941" t="inlineStr">
        <is>
          <t>W3</t>
        </is>
      </c>
      <c r="J3941" t="inlineStr">
        <is>
          <t>2031_Październik_W3</t>
        </is>
      </c>
    </row>
    <row r="3942">
      <c r="A3942" s="177" t="n">
        <v>48137</v>
      </c>
      <c r="B3942" s="177" t="n">
        <v>48135</v>
      </c>
      <c r="C3942" s="177" t="n">
        <v>48141</v>
      </c>
      <c r="D3942" t="inlineStr">
        <is>
          <t>BW20311014</t>
        </is>
      </c>
      <c r="E3942" t="n">
        <v>2031</v>
      </c>
      <c r="F3942" t="inlineStr">
        <is>
          <t>Październik</t>
        </is>
      </c>
      <c r="G3942" t="inlineStr">
        <is>
          <t>Czw</t>
        </is>
      </c>
      <c r="H3942">
        <f>'Floor Hours Engine'!$E$4</f>
        <v/>
      </c>
      <c r="I3942" t="inlineStr">
        <is>
          <t>W3</t>
        </is>
      </c>
      <c r="J3942" t="inlineStr">
        <is>
          <t>2031_Październik_W3</t>
        </is>
      </c>
    </row>
    <row r="3943">
      <c r="A3943" s="177" t="n">
        <v>48138</v>
      </c>
      <c r="B3943" s="177" t="n">
        <v>48135</v>
      </c>
      <c r="C3943" s="177" t="n">
        <v>48141</v>
      </c>
      <c r="D3943" t="inlineStr">
        <is>
          <t>BW20311014</t>
        </is>
      </c>
      <c r="E3943" t="n">
        <v>2031</v>
      </c>
      <c r="F3943" t="inlineStr">
        <is>
          <t>Październik</t>
        </is>
      </c>
      <c r="G3943" t="inlineStr">
        <is>
          <t>Pt</t>
        </is>
      </c>
      <c r="H3943">
        <f>'Floor Hours Engine'!$E$5</f>
        <v/>
      </c>
      <c r="I3943" t="inlineStr">
        <is>
          <t>W3</t>
        </is>
      </c>
      <c r="J3943" t="inlineStr">
        <is>
          <t>2031_Październik_W3</t>
        </is>
      </c>
    </row>
    <row r="3944">
      <c r="A3944" s="177" t="n">
        <v>48139</v>
      </c>
      <c r="B3944" s="177" t="n">
        <v>48135</v>
      </c>
      <c r="C3944" s="177" t="n">
        <v>48141</v>
      </c>
      <c r="D3944" t="inlineStr">
        <is>
          <t>BW20311014</t>
        </is>
      </c>
      <c r="E3944" t="n">
        <v>2031</v>
      </c>
      <c r="F3944" t="inlineStr">
        <is>
          <t>Październik</t>
        </is>
      </c>
      <c r="G3944" t="inlineStr">
        <is>
          <t>Sob</t>
        </is>
      </c>
      <c r="H3944">
        <f>'Floor Hours Engine'!$E$5</f>
        <v/>
      </c>
      <c r="I3944" t="inlineStr">
        <is>
          <t>W3</t>
        </is>
      </c>
      <c r="J3944" t="inlineStr">
        <is>
          <t>2031_Październik_W3</t>
        </is>
      </c>
    </row>
    <row r="3945">
      <c r="A3945" s="177" t="n">
        <v>48140</v>
      </c>
      <c r="B3945" s="177" t="n">
        <v>48135</v>
      </c>
      <c r="C3945" s="177" t="n">
        <v>48141</v>
      </c>
      <c r="D3945" t="inlineStr">
        <is>
          <t>BW20311014</t>
        </is>
      </c>
      <c r="E3945" t="n">
        <v>2031</v>
      </c>
      <c r="F3945" t="inlineStr">
        <is>
          <t>Październik</t>
        </is>
      </c>
      <c r="G3945" t="inlineStr">
        <is>
          <t>Nd</t>
        </is>
      </c>
      <c r="H3945">
        <f>'Floor Hours Engine'!$E$6</f>
        <v/>
      </c>
      <c r="I3945" t="inlineStr">
        <is>
          <t>W3</t>
        </is>
      </c>
      <c r="J3945" t="inlineStr">
        <is>
          <t>2031_Październik_W3</t>
        </is>
      </c>
    </row>
    <row r="3946">
      <c r="A3946" s="177" t="n">
        <v>48141</v>
      </c>
      <c r="B3946" s="177" t="n">
        <v>48135</v>
      </c>
      <c r="C3946" s="177" t="n">
        <v>48141</v>
      </c>
      <c r="D3946" t="inlineStr">
        <is>
          <t>BW20311014</t>
        </is>
      </c>
      <c r="E3946" t="n">
        <v>2031</v>
      </c>
      <c r="F3946" t="inlineStr">
        <is>
          <t>Październik</t>
        </is>
      </c>
      <c r="G3946" t="inlineStr">
        <is>
          <t>Pn</t>
        </is>
      </c>
      <c r="H3946">
        <f>'Floor Hours Engine'!$E$4</f>
        <v/>
      </c>
      <c r="I3946" t="inlineStr">
        <is>
          <t>W3</t>
        </is>
      </c>
      <c r="J3946" t="inlineStr">
        <is>
          <t>2031_Październik_W3</t>
        </is>
      </c>
    </row>
    <row r="3947">
      <c r="A3947" s="177" t="n">
        <v>48142</v>
      </c>
      <c r="B3947" s="177" t="n">
        <v>48142</v>
      </c>
      <c r="C3947" s="177" t="n">
        <v>48148</v>
      </c>
      <c r="D3947" t="inlineStr">
        <is>
          <t>BW20311021</t>
        </is>
      </c>
      <c r="E3947" t="n">
        <v>2031</v>
      </c>
      <c r="F3947" t="inlineStr">
        <is>
          <t>Październik</t>
        </is>
      </c>
      <c r="G3947" t="inlineStr">
        <is>
          <t>Wt</t>
        </is>
      </c>
      <c r="H3947">
        <f>'Floor Hours Engine'!$E$4</f>
        <v/>
      </c>
      <c r="I3947" t="inlineStr">
        <is>
          <t>W4</t>
        </is>
      </c>
      <c r="J3947" t="inlineStr">
        <is>
          <t>2031_Październik_W4</t>
        </is>
      </c>
    </row>
    <row r="3948">
      <c r="A3948" s="177" t="n">
        <v>48143</v>
      </c>
      <c r="B3948" s="177" t="n">
        <v>48142</v>
      </c>
      <c r="C3948" s="177" t="n">
        <v>48148</v>
      </c>
      <c r="D3948" t="inlineStr">
        <is>
          <t>BW20311021</t>
        </is>
      </c>
      <c r="E3948" t="n">
        <v>2031</v>
      </c>
      <c r="F3948" t="inlineStr">
        <is>
          <t>Październik</t>
        </is>
      </c>
      <c r="G3948" t="inlineStr">
        <is>
          <t>Śr</t>
        </is>
      </c>
      <c r="H3948">
        <f>'Floor Hours Engine'!$E$4</f>
        <v/>
      </c>
      <c r="I3948" t="inlineStr">
        <is>
          <t>W4</t>
        </is>
      </c>
      <c r="J3948" t="inlineStr">
        <is>
          <t>2031_Październik_W4</t>
        </is>
      </c>
    </row>
    <row r="3949">
      <c r="A3949" s="177" t="n">
        <v>48144</v>
      </c>
      <c r="B3949" s="177" t="n">
        <v>48142</v>
      </c>
      <c r="C3949" s="177" t="n">
        <v>48148</v>
      </c>
      <c r="D3949" t="inlineStr">
        <is>
          <t>BW20311021</t>
        </is>
      </c>
      <c r="E3949" t="n">
        <v>2031</v>
      </c>
      <c r="F3949" t="inlineStr">
        <is>
          <t>Październik</t>
        </is>
      </c>
      <c r="G3949" t="inlineStr">
        <is>
          <t>Czw</t>
        </is>
      </c>
      <c r="H3949">
        <f>'Floor Hours Engine'!$E$4</f>
        <v/>
      </c>
      <c r="I3949" t="inlineStr">
        <is>
          <t>W4</t>
        </is>
      </c>
      <c r="J3949" t="inlineStr">
        <is>
          <t>2031_Październik_W4</t>
        </is>
      </c>
    </row>
    <row r="3950">
      <c r="A3950" s="177" t="n">
        <v>48145</v>
      </c>
      <c r="B3950" s="177" t="n">
        <v>48142</v>
      </c>
      <c r="C3950" s="177" t="n">
        <v>48148</v>
      </c>
      <c r="D3950" t="inlineStr">
        <is>
          <t>BW20311021</t>
        </is>
      </c>
      <c r="E3950" t="n">
        <v>2031</v>
      </c>
      <c r="F3950" t="inlineStr">
        <is>
          <t>Październik</t>
        </is>
      </c>
      <c r="G3950" t="inlineStr">
        <is>
          <t>Pt</t>
        </is>
      </c>
      <c r="H3950">
        <f>'Floor Hours Engine'!$E$5</f>
        <v/>
      </c>
      <c r="I3950" t="inlineStr">
        <is>
          <t>W4</t>
        </is>
      </c>
      <c r="J3950" t="inlineStr">
        <is>
          <t>2031_Październik_W4</t>
        </is>
      </c>
    </row>
    <row r="3951">
      <c r="A3951" s="177" t="n">
        <v>48146</v>
      </c>
      <c r="B3951" s="177" t="n">
        <v>48142</v>
      </c>
      <c r="C3951" s="177" t="n">
        <v>48148</v>
      </c>
      <c r="D3951" t="inlineStr">
        <is>
          <t>BW20311021</t>
        </is>
      </c>
      <c r="E3951" t="n">
        <v>2031</v>
      </c>
      <c r="F3951" t="inlineStr">
        <is>
          <t>Październik</t>
        </is>
      </c>
      <c r="G3951" t="inlineStr">
        <is>
          <t>Sob</t>
        </is>
      </c>
      <c r="H3951">
        <f>'Floor Hours Engine'!$E$5</f>
        <v/>
      </c>
      <c r="I3951" t="inlineStr">
        <is>
          <t>W4</t>
        </is>
      </c>
      <c r="J3951" t="inlineStr">
        <is>
          <t>2031_Październik_W4</t>
        </is>
      </c>
    </row>
    <row r="3952">
      <c r="A3952" s="177" t="n">
        <v>48147</v>
      </c>
      <c r="B3952" s="177" t="n">
        <v>48142</v>
      </c>
      <c r="C3952" s="177" t="n">
        <v>48148</v>
      </c>
      <c r="D3952" t="inlineStr">
        <is>
          <t>BW20311021</t>
        </is>
      </c>
      <c r="E3952" t="n">
        <v>2031</v>
      </c>
      <c r="F3952" t="inlineStr">
        <is>
          <t>Październik</t>
        </is>
      </c>
      <c r="G3952" t="inlineStr">
        <is>
          <t>Nd</t>
        </is>
      </c>
      <c r="H3952">
        <f>'Floor Hours Engine'!$E$6</f>
        <v/>
      </c>
      <c r="I3952" t="inlineStr">
        <is>
          <t>W4</t>
        </is>
      </c>
      <c r="J3952" t="inlineStr">
        <is>
          <t>2031_Październik_W4</t>
        </is>
      </c>
    </row>
    <row r="3953">
      <c r="A3953" s="177" t="n">
        <v>48148</v>
      </c>
      <c r="B3953" s="177" t="n">
        <v>48142</v>
      </c>
      <c r="C3953" s="177" t="n">
        <v>48148</v>
      </c>
      <c r="D3953" t="inlineStr">
        <is>
          <t>BW20311021</t>
        </is>
      </c>
      <c r="E3953" t="n">
        <v>2031</v>
      </c>
      <c r="F3953" t="inlineStr">
        <is>
          <t>Październik</t>
        </is>
      </c>
      <c r="G3953" t="inlineStr">
        <is>
          <t>Pn</t>
        </is>
      </c>
      <c r="H3953">
        <f>'Floor Hours Engine'!$E$4</f>
        <v/>
      </c>
      <c r="I3953" t="inlineStr">
        <is>
          <t>W4</t>
        </is>
      </c>
      <c r="J3953" t="inlineStr">
        <is>
          <t>2031_Październik_W4</t>
        </is>
      </c>
    </row>
    <row r="3954">
      <c r="A3954" s="177" t="n">
        <v>48149</v>
      </c>
      <c r="B3954" s="177" t="n">
        <v>48149</v>
      </c>
      <c r="C3954" s="177" t="n">
        <v>48155</v>
      </c>
      <c r="D3954" t="inlineStr">
        <is>
          <t>BW20311028</t>
        </is>
      </c>
      <c r="E3954" t="n">
        <v>2031</v>
      </c>
      <c r="F3954" t="inlineStr">
        <is>
          <t>Październik</t>
        </is>
      </c>
      <c r="G3954" t="inlineStr">
        <is>
          <t>Wt</t>
        </is>
      </c>
      <c r="H3954">
        <f>'Floor Hours Engine'!$E$4</f>
        <v/>
      </c>
      <c r="I3954" t="inlineStr">
        <is>
          <t>W5</t>
        </is>
      </c>
      <c r="J3954" t="inlineStr">
        <is>
          <t>2031_Październik_W5</t>
        </is>
      </c>
    </row>
    <row r="3955">
      <c r="A3955" s="177" t="n">
        <v>48150</v>
      </c>
      <c r="B3955" s="177" t="n">
        <v>48149</v>
      </c>
      <c r="C3955" s="177" t="n">
        <v>48155</v>
      </c>
      <c r="D3955" t="inlineStr">
        <is>
          <t>BW20311028</t>
        </is>
      </c>
      <c r="E3955" t="n">
        <v>2031</v>
      </c>
      <c r="F3955" t="inlineStr">
        <is>
          <t>Październik</t>
        </is>
      </c>
      <c r="G3955" t="inlineStr">
        <is>
          <t>Śr</t>
        </is>
      </c>
      <c r="H3955">
        <f>'Floor Hours Engine'!$E$4</f>
        <v/>
      </c>
      <c r="I3955" t="inlineStr">
        <is>
          <t>W5</t>
        </is>
      </c>
      <c r="J3955" t="inlineStr">
        <is>
          <t>2031_Październik_W5</t>
        </is>
      </c>
    </row>
    <row r="3956">
      <c r="A3956" s="177" t="n">
        <v>48151</v>
      </c>
      <c r="B3956" s="177" t="n">
        <v>48149</v>
      </c>
      <c r="C3956" s="177" t="n">
        <v>48155</v>
      </c>
      <c r="D3956" t="inlineStr">
        <is>
          <t>BW20311028</t>
        </is>
      </c>
      <c r="E3956" t="n">
        <v>2031</v>
      </c>
      <c r="F3956" t="inlineStr">
        <is>
          <t>Październik</t>
        </is>
      </c>
      <c r="G3956" t="inlineStr">
        <is>
          <t>Czw</t>
        </is>
      </c>
      <c r="H3956">
        <f>'Floor Hours Engine'!$E$4</f>
        <v/>
      </c>
      <c r="I3956" t="inlineStr">
        <is>
          <t>W5</t>
        </is>
      </c>
      <c r="J3956" t="inlineStr">
        <is>
          <t>2031_Październik_W5</t>
        </is>
      </c>
    </row>
    <row r="3957">
      <c r="A3957" s="177" t="n">
        <v>48152</v>
      </c>
      <c r="B3957" s="177" t="n">
        <v>48149</v>
      </c>
      <c r="C3957" s="177" t="n">
        <v>48155</v>
      </c>
      <c r="D3957" t="inlineStr">
        <is>
          <t>BW20311028</t>
        </is>
      </c>
      <c r="E3957" t="n">
        <v>2031</v>
      </c>
      <c r="F3957" t="inlineStr">
        <is>
          <t>Październik</t>
        </is>
      </c>
      <c r="G3957" t="inlineStr">
        <is>
          <t>Pt</t>
        </is>
      </c>
      <c r="H3957">
        <f>'Floor Hours Engine'!$E$5</f>
        <v/>
      </c>
      <c r="I3957" t="inlineStr">
        <is>
          <t>W5</t>
        </is>
      </c>
      <c r="J3957" t="inlineStr">
        <is>
          <t>2031_Październik_W5</t>
        </is>
      </c>
    </row>
    <row r="3958">
      <c r="A3958" s="177" t="n">
        <v>48153</v>
      </c>
      <c r="B3958" s="177" t="n">
        <v>48149</v>
      </c>
      <c r="C3958" s="177" t="n">
        <v>48155</v>
      </c>
      <c r="D3958" t="inlineStr">
        <is>
          <t>BW20311028</t>
        </is>
      </c>
      <c r="E3958" t="n">
        <v>2031</v>
      </c>
      <c r="F3958" t="inlineStr">
        <is>
          <t>Listopad</t>
        </is>
      </c>
      <c r="G3958" t="inlineStr">
        <is>
          <t>Sob</t>
        </is>
      </c>
      <c r="H3958">
        <f>'Floor Hours Engine'!$E$5</f>
        <v/>
      </c>
      <c r="I3958" t="inlineStr">
        <is>
          <t>W1</t>
        </is>
      </c>
      <c r="J3958" t="inlineStr">
        <is>
          <t>2031_Listopad_W1</t>
        </is>
      </c>
    </row>
    <row r="3959">
      <c r="A3959" s="177" t="n">
        <v>48154</v>
      </c>
      <c r="B3959" s="177" t="n">
        <v>48149</v>
      </c>
      <c r="C3959" s="177" t="n">
        <v>48155</v>
      </c>
      <c r="D3959" t="inlineStr">
        <is>
          <t>BW20311028</t>
        </is>
      </c>
      <c r="E3959" t="n">
        <v>2031</v>
      </c>
      <c r="F3959" t="inlineStr">
        <is>
          <t>Listopad</t>
        </is>
      </c>
      <c r="G3959" t="inlineStr">
        <is>
          <t>Nd</t>
        </is>
      </c>
      <c r="H3959">
        <f>'Floor Hours Engine'!$E$6</f>
        <v/>
      </c>
      <c r="I3959" t="inlineStr">
        <is>
          <t>W1</t>
        </is>
      </c>
      <c r="J3959" t="inlineStr">
        <is>
          <t>2031_Listopad_W1</t>
        </is>
      </c>
    </row>
    <row r="3960">
      <c r="A3960" s="177" t="n">
        <v>48155</v>
      </c>
      <c r="B3960" s="177" t="n">
        <v>48149</v>
      </c>
      <c r="C3960" s="177" t="n">
        <v>48155</v>
      </c>
      <c r="D3960" t="inlineStr">
        <is>
          <t>BW20311028</t>
        </is>
      </c>
      <c r="E3960" t="n">
        <v>2031</v>
      </c>
      <c r="F3960" t="inlineStr">
        <is>
          <t>Listopad</t>
        </is>
      </c>
      <c r="G3960" t="inlineStr">
        <is>
          <t>Pn</t>
        </is>
      </c>
      <c r="H3960">
        <f>'Floor Hours Engine'!$E$4</f>
        <v/>
      </c>
      <c r="I3960" t="inlineStr">
        <is>
          <t>W1</t>
        </is>
      </c>
      <c r="J3960" t="inlineStr">
        <is>
          <t>2031_Listopad_W1</t>
        </is>
      </c>
    </row>
    <row r="3961">
      <c r="A3961" s="177" t="n">
        <v>48156</v>
      </c>
      <c r="B3961" s="177" t="n">
        <v>48156</v>
      </c>
      <c r="C3961" s="177" t="n">
        <v>48162</v>
      </c>
      <c r="D3961" t="inlineStr">
        <is>
          <t>BW20311104</t>
        </is>
      </c>
      <c r="E3961" t="n">
        <v>2031</v>
      </c>
      <c r="F3961" t="inlineStr">
        <is>
          <t>Listopad</t>
        </is>
      </c>
      <c r="G3961" t="inlineStr">
        <is>
          <t>Wt</t>
        </is>
      </c>
      <c r="H3961">
        <f>'Floor Hours Engine'!$E$4</f>
        <v/>
      </c>
      <c r="I3961" t="inlineStr">
        <is>
          <t>W2</t>
        </is>
      </c>
      <c r="J3961" t="inlineStr">
        <is>
          <t>2031_Listopad_W2</t>
        </is>
      </c>
    </row>
    <row r="3962">
      <c r="A3962" s="177" t="n">
        <v>48157</v>
      </c>
      <c r="B3962" s="177" t="n">
        <v>48156</v>
      </c>
      <c r="C3962" s="177" t="n">
        <v>48162</v>
      </c>
      <c r="D3962" t="inlineStr">
        <is>
          <t>BW20311104</t>
        </is>
      </c>
      <c r="E3962" t="n">
        <v>2031</v>
      </c>
      <c r="F3962" t="inlineStr">
        <is>
          <t>Listopad</t>
        </is>
      </c>
      <c r="G3962" t="inlineStr">
        <is>
          <t>Śr</t>
        </is>
      </c>
      <c r="H3962">
        <f>'Floor Hours Engine'!$E$4</f>
        <v/>
      </c>
      <c r="I3962" t="inlineStr">
        <is>
          <t>W2</t>
        </is>
      </c>
      <c r="J3962" t="inlineStr">
        <is>
          <t>2031_Listopad_W2</t>
        </is>
      </c>
    </row>
    <row r="3963">
      <c r="A3963" s="177" t="n">
        <v>48158</v>
      </c>
      <c r="B3963" s="177" t="n">
        <v>48156</v>
      </c>
      <c r="C3963" s="177" t="n">
        <v>48162</v>
      </c>
      <c r="D3963" t="inlineStr">
        <is>
          <t>BW20311104</t>
        </is>
      </c>
      <c r="E3963" t="n">
        <v>2031</v>
      </c>
      <c r="F3963" t="inlineStr">
        <is>
          <t>Listopad</t>
        </is>
      </c>
      <c r="G3963" t="inlineStr">
        <is>
          <t>Czw</t>
        </is>
      </c>
      <c r="H3963">
        <f>'Floor Hours Engine'!$E$4</f>
        <v/>
      </c>
      <c r="I3963" t="inlineStr">
        <is>
          <t>W2</t>
        </is>
      </c>
      <c r="J3963" t="inlineStr">
        <is>
          <t>2031_Listopad_W2</t>
        </is>
      </c>
    </row>
    <row r="3964">
      <c r="A3964" s="177" t="n">
        <v>48159</v>
      </c>
      <c r="B3964" s="177" t="n">
        <v>48156</v>
      </c>
      <c r="C3964" s="177" t="n">
        <v>48162</v>
      </c>
      <c r="D3964" t="inlineStr">
        <is>
          <t>BW20311104</t>
        </is>
      </c>
      <c r="E3964" t="n">
        <v>2031</v>
      </c>
      <c r="F3964" t="inlineStr">
        <is>
          <t>Listopad</t>
        </is>
      </c>
      <c r="G3964" t="inlineStr">
        <is>
          <t>Pt</t>
        </is>
      </c>
      <c r="H3964">
        <f>'Floor Hours Engine'!$E$5</f>
        <v/>
      </c>
      <c r="I3964" t="inlineStr">
        <is>
          <t>W2</t>
        </is>
      </c>
      <c r="J3964" t="inlineStr">
        <is>
          <t>2031_Listopad_W2</t>
        </is>
      </c>
    </row>
    <row r="3965">
      <c r="A3965" s="177" t="n">
        <v>48160</v>
      </c>
      <c r="B3965" s="177" t="n">
        <v>48156</v>
      </c>
      <c r="C3965" s="177" t="n">
        <v>48162</v>
      </c>
      <c r="D3965" t="inlineStr">
        <is>
          <t>BW20311104</t>
        </is>
      </c>
      <c r="E3965" t="n">
        <v>2031</v>
      </c>
      <c r="F3965" t="inlineStr">
        <is>
          <t>Listopad</t>
        </is>
      </c>
      <c r="G3965" t="inlineStr">
        <is>
          <t>Sob</t>
        </is>
      </c>
      <c r="H3965">
        <f>'Floor Hours Engine'!$E$5</f>
        <v/>
      </c>
      <c r="I3965" t="inlineStr">
        <is>
          <t>W2</t>
        </is>
      </c>
      <c r="J3965" t="inlineStr">
        <is>
          <t>2031_Listopad_W2</t>
        </is>
      </c>
    </row>
    <row r="3966">
      <c r="A3966" s="177" t="n">
        <v>48161</v>
      </c>
      <c r="B3966" s="177" t="n">
        <v>48156</v>
      </c>
      <c r="C3966" s="177" t="n">
        <v>48162</v>
      </c>
      <c r="D3966" t="inlineStr">
        <is>
          <t>BW20311104</t>
        </is>
      </c>
      <c r="E3966" t="n">
        <v>2031</v>
      </c>
      <c r="F3966" t="inlineStr">
        <is>
          <t>Listopad</t>
        </is>
      </c>
      <c r="G3966" t="inlineStr">
        <is>
          <t>Nd</t>
        </is>
      </c>
      <c r="H3966">
        <f>'Floor Hours Engine'!$E$6</f>
        <v/>
      </c>
      <c r="I3966" t="inlineStr">
        <is>
          <t>W2</t>
        </is>
      </c>
      <c r="J3966" t="inlineStr">
        <is>
          <t>2031_Listopad_W2</t>
        </is>
      </c>
    </row>
    <row r="3967">
      <c r="A3967" s="177" t="n">
        <v>48162</v>
      </c>
      <c r="B3967" s="177" t="n">
        <v>48156</v>
      </c>
      <c r="C3967" s="177" t="n">
        <v>48162</v>
      </c>
      <c r="D3967" t="inlineStr">
        <is>
          <t>BW20311104</t>
        </is>
      </c>
      <c r="E3967" t="n">
        <v>2031</v>
      </c>
      <c r="F3967" t="inlineStr">
        <is>
          <t>Listopad</t>
        </is>
      </c>
      <c r="G3967" t="inlineStr">
        <is>
          <t>Pn</t>
        </is>
      </c>
      <c r="H3967">
        <f>'Floor Hours Engine'!$E$4</f>
        <v/>
      </c>
      <c r="I3967" t="inlineStr">
        <is>
          <t>W2</t>
        </is>
      </c>
      <c r="J3967" t="inlineStr">
        <is>
          <t>2031_Listopad_W2</t>
        </is>
      </c>
    </row>
    <row r="3968">
      <c r="A3968" s="177" t="n">
        <v>48163</v>
      </c>
      <c r="B3968" s="177" t="n">
        <v>48163</v>
      </c>
      <c r="C3968" s="177" t="n">
        <v>48169</v>
      </c>
      <c r="D3968" t="inlineStr">
        <is>
          <t>BW20311111</t>
        </is>
      </c>
      <c r="E3968" t="n">
        <v>2031</v>
      </c>
      <c r="F3968" t="inlineStr">
        <is>
          <t>Listopad</t>
        </is>
      </c>
      <c r="G3968" t="inlineStr">
        <is>
          <t>Wt</t>
        </is>
      </c>
      <c r="H3968">
        <f>'Floor Hours Engine'!$E$4</f>
        <v/>
      </c>
      <c r="I3968" t="inlineStr">
        <is>
          <t>W3</t>
        </is>
      </c>
      <c r="J3968" t="inlineStr">
        <is>
          <t>2031_Listopad_W3</t>
        </is>
      </c>
    </row>
    <row r="3969">
      <c r="A3969" s="177" t="n">
        <v>48164</v>
      </c>
      <c r="B3969" s="177" t="n">
        <v>48163</v>
      </c>
      <c r="C3969" s="177" t="n">
        <v>48169</v>
      </c>
      <c r="D3969" t="inlineStr">
        <is>
          <t>BW20311111</t>
        </is>
      </c>
      <c r="E3969" t="n">
        <v>2031</v>
      </c>
      <c r="F3969" t="inlineStr">
        <is>
          <t>Listopad</t>
        </is>
      </c>
      <c r="G3969" t="inlineStr">
        <is>
          <t>Śr</t>
        </is>
      </c>
      <c r="H3969">
        <f>'Floor Hours Engine'!$E$4</f>
        <v/>
      </c>
      <c r="I3969" t="inlineStr">
        <is>
          <t>W3</t>
        </is>
      </c>
      <c r="J3969" t="inlineStr">
        <is>
          <t>2031_Listopad_W3</t>
        </is>
      </c>
    </row>
    <row r="3970">
      <c r="A3970" s="177" t="n">
        <v>48165</v>
      </c>
      <c r="B3970" s="177" t="n">
        <v>48163</v>
      </c>
      <c r="C3970" s="177" t="n">
        <v>48169</v>
      </c>
      <c r="D3970" t="inlineStr">
        <is>
          <t>BW20311111</t>
        </is>
      </c>
      <c r="E3970" t="n">
        <v>2031</v>
      </c>
      <c r="F3970" t="inlineStr">
        <is>
          <t>Listopad</t>
        </is>
      </c>
      <c r="G3970" t="inlineStr">
        <is>
          <t>Czw</t>
        </is>
      </c>
      <c r="H3970">
        <f>'Floor Hours Engine'!$E$4</f>
        <v/>
      </c>
      <c r="I3970" t="inlineStr">
        <is>
          <t>W3</t>
        </is>
      </c>
      <c r="J3970" t="inlineStr">
        <is>
          <t>2031_Listopad_W3</t>
        </is>
      </c>
    </row>
    <row r="3971">
      <c r="A3971" s="177" t="n">
        <v>48166</v>
      </c>
      <c r="B3971" s="177" t="n">
        <v>48163</v>
      </c>
      <c r="C3971" s="177" t="n">
        <v>48169</v>
      </c>
      <c r="D3971" t="inlineStr">
        <is>
          <t>BW20311111</t>
        </is>
      </c>
      <c r="E3971" t="n">
        <v>2031</v>
      </c>
      <c r="F3971" t="inlineStr">
        <is>
          <t>Listopad</t>
        </is>
      </c>
      <c r="G3971" t="inlineStr">
        <is>
          <t>Pt</t>
        </is>
      </c>
      <c r="H3971">
        <f>'Floor Hours Engine'!$E$5</f>
        <v/>
      </c>
      <c r="I3971" t="inlineStr">
        <is>
          <t>W3</t>
        </is>
      </c>
      <c r="J3971" t="inlineStr">
        <is>
          <t>2031_Listopad_W3</t>
        </is>
      </c>
    </row>
    <row r="3972">
      <c r="A3972" s="177" t="n">
        <v>48167</v>
      </c>
      <c r="B3972" s="177" t="n">
        <v>48163</v>
      </c>
      <c r="C3972" s="177" t="n">
        <v>48169</v>
      </c>
      <c r="D3972" t="inlineStr">
        <is>
          <t>BW20311111</t>
        </is>
      </c>
      <c r="E3972" t="n">
        <v>2031</v>
      </c>
      <c r="F3972" t="inlineStr">
        <is>
          <t>Listopad</t>
        </is>
      </c>
      <c r="G3972" t="inlineStr">
        <is>
          <t>Sob</t>
        </is>
      </c>
      <c r="H3972">
        <f>'Floor Hours Engine'!$E$5</f>
        <v/>
      </c>
      <c r="I3972" t="inlineStr">
        <is>
          <t>W3</t>
        </is>
      </c>
      <c r="J3972" t="inlineStr">
        <is>
          <t>2031_Listopad_W3</t>
        </is>
      </c>
    </row>
    <row r="3973">
      <c r="A3973" s="177" t="n">
        <v>48168</v>
      </c>
      <c r="B3973" s="177" t="n">
        <v>48163</v>
      </c>
      <c r="C3973" s="177" t="n">
        <v>48169</v>
      </c>
      <c r="D3973" t="inlineStr">
        <is>
          <t>BW20311111</t>
        </is>
      </c>
      <c r="E3973" t="n">
        <v>2031</v>
      </c>
      <c r="F3973" t="inlineStr">
        <is>
          <t>Listopad</t>
        </is>
      </c>
      <c r="G3973" t="inlineStr">
        <is>
          <t>Nd</t>
        </is>
      </c>
      <c r="H3973">
        <f>'Floor Hours Engine'!$E$6</f>
        <v/>
      </c>
      <c r="I3973" t="inlineStr">
        <is>
          <t>W3</t>
        </is>
      </c>
      <c r="J3973" t="inlineStr">
        <is>
          <t>2031_Listopad_W3</t>
        </is>
      </c>
    </row>
    <row r="3974">
      <c r="A3974" s="177" t="n">
        <v>48169</v>
      </c>
      <c r="B3974" s="177" t="n">
        <v>48163</v>
      </c>
      <c r="C3974" s="177" t="n">
        <v>48169</v>
      </c>
      <c r="D3974" t="inlineStr">
        <is>
          <t>BW20311111</t>
        </is>
      </c>
      <c r="E3974" t="n">
        <v>2031</v>
      </c>
      <c r="F3974" t="inlineStr">
        <is>
          <t>Listopad</t>
        </is>
      </c>
      <c r="G3974" t="inlineStr">
        <is>
          <t>Pn</t>
        </is>
      </c>
      <c r="H3974">
        <f>'Floor Hours Engine'!$E$4</f>
        <v/>
      </c>
      <c r="I3974" t="inlineStr">
        <is>
          <t>W3</t>
        </is>
      </c>
      <c r="J3974" t="inlineStr">
        <is>
          <t>2031_Listopad_W3</t>
        </is>
      </c>
    </row>
    <row r="3975">
      <c r="A3975" s="177" t="n">
        <v>48170</v>
      </c>
      <c r="B3975" s="177" t="n">
        <v>48170</v>
      </c>
      <c r="C3975" s="177" t="n">
        <v>48176</v>
      </c>
      <c r="D3975" t="inlineStr">
        <is>
          <t>BW20311118</t>
        </is>
      </c>
      <c r="E3975" t="n">
        <v>2031</v>
      </c>
      <c r="F3975" t="inlineStr">
        <is>
          <t>Listopad</t>
        </is>
      </c>
      <c r="G3975" t="inlineStr">
        <is>
          <t>Wt</t>
        </is>
      </c>
      <c r="H3975">
        <f>'Floor Hours Engine'!$E$4</f>
        <v/>
      </c>
      <c r="I3975" t="inlineStr">
        <is>
          <t>W4</t>
        </is>
      </c>
      <c r="J3975" t="inlineStr">
        <is>
          <t>2031_Listopad_W4</t>
        </is>
      </c>
    </row>
    <row r="3976">
      <c r="A3976" s="177" t="n">
        <v>48171</v>
      </c>
      <c r="B3976" s="177" t="n">
        <v>48170</v>
      </c>
      <c r="C3976" s="177" t="n">
        <v>48176</v>
      </c>
      <c r="D3976" t="inlineStr">
        <is>
          <t>BW20311118</t>
        </is>
      </c>
      <c r="E3976" t="n">
        <v>2031</v>
      </c>
      <c r="F3976" t="inlineStr">
        <is>
          <t>Listopad</t>
        </is>
      </c>
      <c r="G3976" t="inlineStr">
        <is>
          <t>Śr</t>
        </is>
      </c>
      <c r="H3976">
        <f>'Floor Hours Engine'!$E$4</f>
        <v/>
      </c>
      <c r="I3976" t="inlineStr">
        <is>
          <t>W4</t>
        </is>
      </c>
      <c r="J3976" t="inlineStr">
        <is>
          <t>2031_Listopad_W4</t>
        </is>
      </c>
    </row>
    <row r="3977">
      <c r="A3977" s="177" t="n">
        <v>48172</v>
      </c>
      <c r="B3977" s="177" t="n">
        <v>48170</v>
      </c>
      <c r="C3977" s="177" t="n">
        <v>48176</v>
      </c>
      <c r="D3977" t="inlineStr">
        <is>
          <t>BW20311118</t>
        </is>
      </c>
      <c r="E3977" t="n">
        <v>2031</v>
      </c>
      <c r="F3977" t="inlineStr">
        <is>
          <t>Listopad</t>
        </is>
      </c>
      <c r="G3977" t="inlineStr">
        <is>
          <t>Czw</t>
        </is>
      </c>
      <c r="H3977">
        <f>'Floor Hours Engine'!$E$4</f>
        <v/>
      </c>
      <c r="I3977" t="inlineStr">
        <is>
          <t>W4</t>
        </is>
      </c>
      <c r="J3977" t="inlineStr">
        <is>
          <t>2031_Listopad_W4</t>
        </is>
      </c>
    </row>
    <row r="3978">
      <c r="A3978" s="177" t="n">
        <v>48173</v>
      </c>
      <c r="B3978" s="177" t="n">
        <v>48170</v>
      </c>
      <c r="C3978" s="177" t="n">
        <v>48176</v>
      </c>
      <c r="D3978" t="inlineStr">
        <is>
          <t>BW20311118</t>
        </is>
      </c>
      <c r="E3978" t="n">
        <v>2031</v>
      </c>
      <c r="F3978" t="inlineStr">
        <is>
          <t>Listopad</t>
        </is>
      </c>
      <c r="G3978" t="inlineStr">
        <is>
          <t>Pt</t>
        </is>
      </c>
      <c r="H3978">
        <f>'Floor Hours Engine'!$E$5</f>
        <v/>
      </c>
      <c r="I3978" t="inlineStr">
        <is>
          <t>W4</t>
        </is>
      </c>
      <c r="J3978" t="inlineStr">
        <is>
          <t>2031_Listopad_W4</t>
        </is>
      </c>
    </row>
    <row r="3979">
      <c r="A3979" s="177" t="n">
        <v>48174</v>
      </c>
      <c r="B3979" s="177" t="n">
        <v>48170</v>
      </c>
      <c r="C3979" s="177" t="n">
        <v>48176</v>
      </c>
      <c r="D3979" t="inlineStr">
        <is>
          <t>BW20311118</t>
        </is>
      </c>
      <c r="E3979" t="n">
        <v>2031</v>
      </c>
      <c r="F3979" t="inlineStr">
        <is>
          <t>Listopad</t>
        </is>
      </c>
      <c r="G3979" t="inlineStr">
        <is>
          <t>Sob</t>
        </is>
      </c>
      <c r="H3979">
        <f>'Floor Hours Engine'!$E$5</f>
        <v/>
      </c>
      <c r="I3979" t="inlineStr">
        <is>
          <t>W4</t>
        </is>
      </c>
      <c r="J3979" t="inlineStr">
        <is>
          <t>2031_Listopad_W4</t>
        </is>
      </c>
    </row>
    <row r="3980">
      <c r="A3980" s="177" t="n">
        <v>48175</v>
      </c>
      <c r="B3980" s="177" t="n">
        <v>48170</v>
      </c>
      <c r="C3980" s="177" t="n">
        <v>48176</v>
      </c>
      <c r="D3980" t="inlineStr">
        <is>
          <t>BW20311118</t>
        </is>
      </c>
      <c r="E3980" t="n">
        <v>2031</v>
      </c>
      <c r="F3980" t="inlineStr">
        <is>
          <t>Listopad</t>
        </is>
      </c>
      <c r="G3980" t="inlineStr">
        <is>
          <t>Nd</t>
        </is>
      </c>
      <c r="H3980">
        <f>'Floor Hours Engine'!$E$6</f>
        <v/>
      </c>
      <c r="I3980" t="inlineStr">
        <is>
          <t>W4</t>
        </is>
      </c>
      <c r="J3980" t="inlineStr">
        <is>
          <t>2031_Listopad_W4</t>
        </is>
      </c>
    </row>
    <row r="3981">
      <c r="A3981" s="177" t="n">
        <v>48176</v>
      </c>
      <c r="B3981" s="177" t="n">
        <v>48170</v>
      </c>
      <c r="C3981" s="177" t="n">
        <v>48176</v>
      </c>
      <c r="D3981" t="inlineStr">
        <is>
          <t>BW20311118</t>
        </is>
      </c>
      <c r="E3981" t="n">
        <v>2031</v>
      </c>
      <c r="F3981" t="inlineStr">
        <is>
          <t>Listopad</t>
        </is>
      </c>
      <c r="G3981" t="inlineStr">
        <is>
          <t>Pn</t>
        </is>
      </c>
      <c r="H3981">
        <f>'Floor Hours Engine'!$E$4</f>
        <v/>
      </c>
      <c r="I3981" t="inlineStr">
        <is>
          <t>W4</t>
        </is>
      </c>
      <c r="J3981" t="inlineStr">
        <is>
          <t>2031_Listopad_W4</t>
        </is>
      </c>
    </row>
    <row r="3982">
      <c r="A3982" s="177" t="n">
        <v>48177</v>
      </c>
      <c r="B3982" s="177" t="n">
        <v>48177</v>
      </c>
      <c r="C3982" s="177" t="n">
        <v>48183</v>
      </c>
      <c r="D3982" t="inlineStr">
        <is>
          <t>BW20311125</t>
        </is>
      </c>
      <c r="E3982" t="n">
        <v>2031</v>
      </c>
      <c r="F3982" t="inlineStr">
        <is>
          <t>Listopad</t>
        </is>
      </c>
      <c r="G3982" t="inlineStr">
        <is>
          <t>Wt</t>
        </is>
      </c>
      <c r="H3982">
        <f>'Floor Hours Engine'!$E$4</f>
        <v/>
      </c>
      <c r="I3982" t="inlineStr">
        <is>
          <t>W5</t>
        </is>
      </c>
      <c r="J3982" t="inlineStr">
        <is>
          <t>2031_Listopad_W5</t>
        </is>
      </c>
    </row>
    <row r="3983">
      <c r="A3983" s="177" t="n">
        <v>48178</v>
      </c>
      <c r="B3983" s="177" t="n">
        <v>48177</v>
      </c>
      <c r="C3983" s="177" t="n">
        <v>48183</v>
      </c>
      <c r="D3983" t="inlineStr">
        <is>
          <t>BW20311125</t>
        </is>
      </c>
      <c r="E3983" t="n">
        <v>2031</v>
      </c>
      <c r="F3983" t="inlineStr">
        <is>
          <t>Listopad</t>
        </is>
      </c>
      <c r="G3983" t="inlineStr">
        <is>
          <t>Śr</t>
        </is>
      </c>
      <c r="H3983">
        <f>'Floor Hours Engine'!$E$4</f>
        <v/>
      </c>
      <c r="I3983" t="inlineStr">
        <is>
          <t>W5</t>
        </is>
      </c>
      <c r="J3983" t="inlineStr">
        <is>
          <t>2031_Listopad_W5</t>
        </is>
      </c>
    </row>
    <row r="3984">
      <c r="A3984" s="177" t="n">
        <v>48179</v>
      </c>
      <c r="B3984" s="177" t="n">
        <v>48177</v>
      </c>
      <c r="C3984" s="177" t="n">
        <v>48183</v>
      </c>
      <c r="D3984" t="inlineStr">
        <is>
          <t>BW20311125</t>
        </is>
      </c>
      <c r="E3984" t="n">
        <v>2031</v>
      </c>
      <c r="F3984" t="inlineStr">
        <is>
          <t>Listopad</t>
        </is>
      </c>
      <c r="G3984" t="inlineStr">
        <is>
          <t>Czw</t>
        </is>
      </c>
      <c r="H3984">
        <f>'Floor Hours Engine'!$E$4</f>
        <v/>
      </c>
      <c r="I3984" t="inlineStr">
        <is>
          <t>W5</t>
        </is>
      </c>
      <c r="J3984" t="inlineStr">
        <is>
          <t>2031_Listopad_W5</t>
        </is>
      </c>
    </row>
    <row r="3985">
      <c r="A3985" s="177" t="n">
        <v>48180</v>
      </c>
      <c r="B3985" s="177" t="n">
        <v>48177</v>
      </c>
      <c r="C3985" s="177" t="n">
        <v>48183</v>
      </c>
      <c r="D3985" t="inlineStr">
        <is>
          <t>BW20311125</t>
        </is>
      </c>
      <c r="E3985" t="n">
        <v>2031</v>
      </c>
      <c r="F3985" t="inlineStr">
        <is>
          <t>Listopad</t>
        </is>
      </c>
      <c r="G3985" t="inlineStr">
        <is>
          <t>Pt</t>
        </is>
      </c>
      <c r="H3985">
        <f>'Floor Hours Engine'!$E$5</f>
        <v/>
      </c>
      <c r="I3985" t="inlineStr">
        <is>
          <t>W5</t>
        </is>
      </c>
      <c r="J3985" t="inlineStr">
        <is>
          <t>2031_Listopad_W5</t>
        </is>
      </c>
    </row>
    <row r="3986">
      <c r="A3986" s="177" t="n">
        <v>48181</v>
      </c>
      <c r="B3986" s="177" t="n">
        <v>48177</v>
      </c>
      <c r="C3986" s="177" t="n">
        <v>48183</v>
      </c>
      <c r="D3986" t="inlineStr">
        <is>
          <t>BW20311125</t>
        </is>
      </c>
      <c r="E3986" t="n">
        <v>2031</v>
      </c>
      <c r="F3986" t="inlineStr">
        <is>
          <t>Listopad</t>
        </is>
      </c>
      <c r="G3986" t="inlineStr">
        <is>
          <t>Sob</t>
        </is>
      </c>
      <c r="H3986">
        <f>'Floor Hours Engine'!$E$5</f>
        <v/>
      </c>
      <c r="I3986" t="inlineStr">
        <is>
          <t>W5</t>
        </is>
      </c>
      <c r="J3986" t="inlineStr">
        <is>
          <t>2031_Listopad_W5</t>
        </is>
      </c>
    </row>
    <row r="3987">
      <c r="A3987" s="177" t="n">
        <v>48182</v>
      </c>
      <c r="B3987" s="177" t="n">
        <v>48177</v>
      </c>
      <c r="C3987" s="177" t="n">
        <v>48183</v>
      </c>
      <c r="D3987" t="inlineStr">
        <is>
          <t>BW20311125</t>
        </is>
      </c>
      <c r="E3987" t="n">
        <v>2031</v>
      </c>
      <c r="F3987" t="inlineStr">
        <is>
          <t>Listopad</t>
        </is>
      </c>
      <c r="G3987" t="inlineStr">
        <is>
          <t>Nd</t>
        </is>
      </c>
      <c r="H3987">
        <f>'Floor Hours Engine'!$E$6</f>
        <v/>
      </c>
      <c r="I3987" t="inlineStr">
        <is>
          <t>W5</t>
        </is>
      </c>
      <c r="J3987" t="inlineStr">
        <is>
          <t>2031_Listopad_W5</t>
        </is>
      </c>
    </row>
    <row r="3988">
      <c r="A3988" s="177" t="n">
        <v>48183</v>
      </c>
      <c r="B3988" s="177" t="n">
        <v>48177</v>
      </c>
      <c r="C3988" s="177" t="n">
        <v>48183</v>
      </c>
      <c r="D3988" t="inlineStr">
        <is>
          <t>BW20311125</t>
        </is>
      </c>
      <c r="E3988" t="n">
        <v>2031</v>
      </c>
      <c r="F3988" t="inlineStr">
        <is>
          <t>Grudzień</t>
        </is>
      </c>
      <c r="G3988" t="inlineStr">
        <is>
          <t>Pn</t>
        </is>
      </c>
      <c r="H3988">
        <f>'Floor Hours Engine'!$E$4</f>
        <v/>
      </c>
      <c r="I3988" t="inlineStr">
        <is>
          <t>W1</t>
        </is>
      </c>
      <c r="J3988" t="inlineStr">
        <is>
          <t>2031_Grudzień_W1</t>
        </is>
      </c>
    </row>
    <row r="3989">
      <c r="A3989" s="177" t="n">
        <v>48184</v>
      </c>
      <c r="B3989" s="177" t="n">
        <v>48184</v>
      </c>
      <c r="C3989" s="177" t="n">
        <v>48190</v>
      </c>
      <c r="D3989" t="inlineStr">
        <is>
          <t>BW20311202</t>
        </is>
      </c>
      <c r="E3989" t="n">
        <v>2031</v>
      </c>
      <c r="F3989" t="inlineStr">
        <is>
          <t>Grudzień</t>
        </is>
      </c>
      <c r="G3989" t="inlineStr">
        <is>
          <t>Wt</t>
        </is>
      </c>
      <c r="H3989">
        <f>'Floor Hours Engine'!$E$4</f>
        <v/>
      </c>
      <c r="I3989" t="inlineStr">
        <is>
          <t>W2</t>
        </is>
      </c>
      <c r="J3989" t="inlineStr">
        <is>
          <t>2031_Grudzień_W2</t>
        </is>
      </c>
    </row>
    <row r="3990">
      <c r="A3990" s="177" t="n">
        <v>48185</v>
      </c>
      <c r="B3990" s="177" t="n">
        <v>48184</v>
      </c>
      <c r="C3990" s="177" t="n">
        <v>48190</v>
      </c>
      <c r="D3990" t="inlineStr">
        <is>
          <t>BW20311202</t>
        </is>
      </c>
      <c r="E3990" t="n">
        <v>2031</v>
      </c>
      <c r="F3990" t="inlineStr">
        <is>
          <t>Grudzień</t>
        </is>
      </c>
      <c r="G3990" t="inlineStr">
        <is>
          <t>Śr</t>
        </is>
      </c>
      <c r="H3990">
        <f>'Floor Hours Engine'!$E$4</f>
        <v/>
      </c>
      <c r="I3990" t="inlineStr">
        <is>
          <t>W2</t>
        </is>
      </c>
      <c r="J3990" t="inlineStr">
        <is>
          <t>2031_Grudzień_W2</t>
        </is>
      </c>
    </row>
    <row r="3991">
      <c r="A3991" s="177" t="n">
        <v>48186</v>
      </c>
      <c r="B3991" s="177" t="n">
        <v>48184</v>
      </c>
      <c r="C3991" s="177" t="n">
        <v>48190</v>
      </c>
      <c r="D3991" t="inlineStr">
        <is>
          <t>BW20311202</t>
        </is>
      </c>
      <c r="E3991" t="n">
        <v>2031</v>
      </c>
      <c r="F3991" t="inlineStr">
        <is>
          <t>Grudzień</t>
        </is>
      </c>
      <c r="G3991" t="inlineStr">
        <is>
          <t>Czw</t>
        </is>
      </c>
      <c r="H3991">
        <f>'Floor Hours Engine'!$E$4</f>
        <v/>
      </c>
      <c r="I3991" t="inlineStr">
        <is>
          <t>W2</t>
        </is>
      </c>
      <c r="J3991" t="inlineStr">
        <is>
          <t>2031_Grudzień_W2</t>
        </is>
      </c>
    </row>
    <row r="3992">
      <c r="A3992" s="177" t="n">
        <v>48187</v>
      </c>
      <c r="B3992" s="177" t="n">
        <v>48184</v>
      </c>
      <c r="C3992" s="177" t="n">
        <v>48190</v>
      </c>
      <c r="D3992" t="inlineStr">
        <is>
          <t>BW20311202</t>
        </is>
      </c>
      <c r="E3992" t="n">
        <v>2031</v>
      </c>
      <c r="F3992" t="inlineStr">
        <is>
          <t>Grudzień</t>
        </is>
      </c>
      <c r="G3992" t="inlineStr">
        <is>
          <t>Pt</t>
        </is>
      </c>
      <c r="H3992">
        <f>'Floor Hours Engine'!$E$5</f>
        <v/>
      </c>
      <c r="I3992" t="inlineStr">
        <is>
          <t>W2</t>
        </is>
      </c>
      <c r="J3992" t="inlineStr">
        <is>
          <t>2031_Grudzień_W2</t>
        </is>
      </c>
    </row>
    <row r="3993">
      <c r="A3993" s="177" t="n">
        <v>48188</v>
      </c>
      <c r="B3993" s="177" t="n">
        <v>48184</v>
      </c>
      <c r="C3993" s="177" t="n">
        <v>48190</v>
      </c>
      <c r="D3993" t="inlineStr">
        <is>
          <t>BW20311202</t>
        </is>
      </c>
      <c r="E3993" t="n">
        <v>2031</v>
      </c>
      <c r="F3993" t="inlineStr">
        <is>
          <t>Grudzień</t>
        </is>
      </c>
      <c r="G3993" t="inlineStr">
        <is>
          <t>Sob</t>
        </is>
      </c>
      <c r="H3993">
        <f>'Floor Hours Engine'!$E$5</f>
        <v/>
      </c>
      <c r="I3993" t="inlineStr">
        <is>
          <t>W2</t>
        </is>
      </c>
      <c r="J3993" t="inlineStr">
        <is>
          <t>2031_Grudzień_W2</t>
        </is>
      </c>
    </row>
    <row r="3994">
      <c r="A3994" s="177" t="n">
        <v>48189</v>
      </c>
      <c r="B3994" s="177" t="n">
        <v>48184</v>
      </c>
      <c r="C3994" s="177" t="n">
        <v>48190</v>
      </c>
      <c r="D3994" t="inlineStr">
        <is>
          <t>BW20311202</t>
        </is>
      </c>
      <c r="E3994" t="n">
        <v>2031</v>
      </c>
      <c r="F3994" t="inlineStr">
        <is>
          <t>Grudzień</t>
        </is>
      </c>
      <c r="G3994" t="inlineStr">
        <is>
          <t>Nd</t>
        </is>
      </c>
      <c r="H3994">
        <f>'Floor Hours Engine'!$E$6</f>
        <v/>
      </c>
      <c r="I3994" t="inlineStr">
        <is>
          <t>W2</t>
        </is>
      </c>
      <c r="J3994" t="inlineStr">
        <is>
          <t>2031_Grudzień_W2</t>
        </is>
      </c>
    </row>
    <row r="3995">
      <c r="A3995" s="177" t="n">
        <v>48190</v>
      </c>
      <c r="B3995" s="177" t="n">
        <v>48184</v>
      </c>
      <c r="C3995" s="177" t="n">
        <v>48190</v>
      </c>
      <c r="D3995" t="inlineStr">
        <is>
          <t>BW20311202</t>
        </is>
      </c>
      <c r="E3995" t="n">
        <v>2031</v>
      </c>
      <c r="F3995" t="inlineStr">
        <is>
          <t>Grudzień</t>
        </is>
      </c>
      <c r="G3995" t="inlineStr">
        <is>
          <t>Pn</t>
        </is>
      </c>
      <c r="H3995">
        <f>'Floor Hours Engine'!$E$4</f>
        <v/>
      </c>
      <c r="I3995" t="inlineStr">
        <is>
          <t>W2</t>
        </is>
      </c>
      <c r="J3995" t="inlineStr">
        <is>
          <t>2031_Grudzień_W2</t>
        </is>
      </c>
    </row>
    <row r="3996">
      <c r="A3996" s="177" t="n">
        <v>48191</v>
      </c>
      <c r="B3996" s="177" t="n">
        <v>48191</v>
      </c>
      <c r="C3996" s="177" t="n">
        <v>48197</v>
      </c>
      <c r="D3996" t="inlineStr">
        <is>
          <t>BW20311209</t>
        </is>
      </c>
      <c r="E3996" t="n">
        <v>2031</v>
      </c>
      <c r="F3996" t="inlineStr">
        <is>
          <t>Grudzień</t>
        </is>
      </c>
      <c r="G3996" t="inlineStr">
        <is>
          <t>Wt</t>
        </is>
      </c>
      <c r="H3996">
        <f>'Floor Hours Engine'!$E$4</f>
        <v/>
      </c>
      <c r="I3996" t="inlineStr">
        <is>
          <t>W3</t>
        </is>
      </c>
      <c r="J3996" t="inlineStr">
        <is>
          <t>2031_Grudzień_W3</t>
        </is>
      </c>
    </row>
    <row r="3997">
      <c r="A3997" s="177" t="n">
        <v>48192</v>
      </c>
      <c r="B3997" s="177" t="n">
        <v>48191</v>
      </c>
      <c r="C3997" s="177" t="n">
        <v>48197</v>
      </c>
      <c r="D3997" t="inlineStr">
        <is>
          <t>BW20311209</t>
        </is>
      </c>
      <c r="E3997" t="n">
        <v>2031</v>
      </c>
      <c r="F3997" t="inlineStr">
        <is>
          <t>Grudzień</t>
        </is>
      </c>
      <c r="G3997" t="inlineStr">
        <is>
          <t>Śr</t>
        </is>
      </c>
      <c r="H3997">
        <f>'Floor Hours Engine'!$E$4</f>
        <v/>
      </c>
      <c r="I3997" t="inlineStr">
        <is>
          <t>W3</t>
        </is>
      </c>
      <c r="J3997" t="inlineStr">
        <is>
          <t>2031_Grudzień_W3</t>
        </is>
      </c>
    </row>
    <row r="3998">
      <c r="A3998" s="177" t="n">
        <v>48193</v>
      </c>
      <c r="B3998" s="177" t="n">
        <v>48191</v>
      </c>
      <c r="C3998" s="177" t="n">
        <v>48197</v>
      </c>
      <c r="D3998" t="inlineStr">
        <is>
          <t>BW20311209</t>
        </is>
      </c>
      <c r="E3998" t="n">
        <v>2031</v>
      </c>
      <c r="F3998" t="inlineStr">
        <is>
          <t>Grudzień</t>
        </is>
      </c>
      <c r="G3998" t="inlineStr">
        <is>
          <t>Czw</t>
        </is>
      </c>
      <c r="H3998">
        <f>'Floor Hours Engine'!$E$4</f>
        <v/>
      </c>
      <c r="I3998" t="inlineStr">
        <is>
          <t>W3</t>
        </is>
      </c>
      <c r="J3998" t="inlineStr">
        <is>
          <t>2031_Grudzień_W3</t>
        </is>
      </c>
    </row>
    <row r="3999">
      <c r="A3999" s="177" t="n">
        <v>48194</v>
      </c>
      <c r="B3999" s="177" t="n">
        <v>48191</v>
      </c>
      <c r="C3999" s="177" t="n">
        <v>48197</v>
      </c>
      <c r="D3999" t="inlineStr">
        <is>
          <t>BW20311209</t>
        </is>
      </c>
      <c r="E3999" t="n">
        <v>2031</v>
      </c>
      <c r="F3999" t="inlineStr">
        <is>
          <t>Grudzień</t>
        </is>
      </c>
      <c r="G3999" t="inlineStr">
        <is>
          <t>Pt</t>
        </is>
      </c>
      <c r="H3999">
        <f>'Floor Hours Engine'!$E$5</f>
        <v/>
      </c>
      <c r="I3999" t="inlineStr">
        <is>
          <t>W3</t>
        </is>
      </c>
      <c r="J3999" t="inlineStr">
        <is>
          <t>2031_Grudzień_W3</t>
        </is>
      </c>
    </row>
    <row r="4000">
      <c r="A4000" s="177" t="n">
        <v>48195</v>
      </c>
      <c r="B4000" s="177" t="n">
        <v>48191</v>
      </c>
      <c r="C4000" s="177" t="n">
        <v>48197</v>
      </c>
      <c r="D4000" t="inlineStr">
        <is>
          <t>BW20311209</t>
        </is>
      </c>
      <c r="E4000" t="n">
        <v>2031</v>
      </c>
      <c r="F4000" t="inlineStr">
        <is>
          <t>Grudzień</t>
        </is>
      </c>
      <c r="G4000" t="inlineStr">
        <is>
          <t>Sob</t>
        </is>
      </c>
      <c r="H4000">
        <f>'Floor Hours Engine'!$E$5</f>
        <v/>
      </c>
      <c r="I4000" t="inlineStr">
        <is>
          <t>W3</t>
        </is>
      </c>
      <c r="J4000" t="inlineStr">
        <is>
          <t>2031_Grudzień_W3</t>
        </is>
      </c>
    </row>
    <row r="4001">
      <c r="A4001" s="177" t="n">
        <v>48196</v>
      </c>
      <c r="B4001" s="177" t="n">
        <v>48191</v>
      </c>
      <c r="C4001" s="177" t="n">
        <v>48197</v>
      </c>
      <c r="D4001" t="inlineStr">
        <is>
          <t>BW20311209</t>
        </is>
      </c>
      <c r="E4001" t="n">
        <v>2031</v>
      </c>
      <c r="F4001" t="inlineStr">
        <is>
          <t>Grudzień</t>
        </is>
      </c>
      <c r="G4001" t="inlineStr">
        <is>
          <t>Nd</t>
        </is>
      </c>
      <c r="H4001">
        <f>'Floor Hours Engine'!$E$6</f>
        <v/>
      </c>
      <c r="I4001" t="inlineStr">
        <is>
          <t>W3</t>
        </is>
      </c>
      <c r="J4001" t="inlineStr">
        <is>
          <t>2031_Grudzień_W3</t>
        </is>
      </c>
    </row>
    <row r="4002">
      <c r="A4002" s="177" t="n">
        <v>48197</v>
      </c>
      <c r="B4002" s="177" t="n">
        <v>48191</v>
      </c>
      <c r="C4002" s="177" t="n">
        <v>48197</v>
      </c>
      <c r="D4002" t="inlineStr">
        <is>
          <t>BW20311209</t>
        </is>
      </c>
      <c r="E4002" t="n">
        <v>2031</v>
      </c>
      <c r="F4002" t="inlineStr">
        <is>
          <t>Grudzień</t>
        </is>
      </c>
      <c r="G4002" t="inlineStr">
        <is>
          <t>Pn</t>
        </is>
      </c>
      <c r="H4002">
        <f>'Floor Hours Engine'!$E$4</f>
        <v/>
      </c>
      <c r="I4002" t="inlineStr">
        <is>
          <t>W3</t>
        </is>
      </c>
      <c r="J4002" t="inlineStr">
        <is>
          <t>2031_Grudzień_W3</t>
        </is>
      </c>
    </row>
    <row r="4003">
      <c r="A4003" s="177" t="n">
        <v>48198</v>
      </c>
      <c r="B4003" s="177" t="n">
        <v>48198</v>
      </c>
      <c r="C4003" s="177" t="n">
        <v>48204</v>
      </c>
      <c r="D4003" t="inlineStr">
        <is>
          <t>BW20311216</t>
        </is>
      </c>
      <c r="E4003" t="n">
        <v>2031</v>
      </c>
      <c r="F4003" t="inlineStr">
        <is>
          <t>Grudzień</t>
        </is>
      </c>
      <c r="G4003" t="inlineStr">
        <is>
          <t>Wt</t>
        </is>
      </c>
      <c r="H4003">
        <f>'Floor Hours Engine'!$E$4</f>
        <v/>
      </c>
      <c r="I4003" t="inlineStr">
        <is>
          <t>W4</t>
        </is>
      </c>
      <c r="J4003" t="inlineStr">
        <is>
          <t>2031_Grudzień_W4</t>
        </is>
      </c>
    </row>
    <row r="4004">
      <c r="A4004" s="177" t="n">
        <v>48199</v>
      </c>
      <c r="B4004" s="177" t="n">
        <v>48198</v>
      </c>
      <c r="C4004" s="177" t="n">
        <v>48204</v>
      </c>
      <c r="D4004" t="inlineStr">
        <is>
          <t>BW20311216</t>
        </is>
      </c>
      <c r="E4004" t="n">
        <v>2031</v>
      </c>
      <c r="F4004" t="inlineStr">
        <is>
          <t>Grudzień</t>
        </is>
      </c>
      <c r="G4004" t="inlineStr">
        <is>
          <t>Śr</t>
        </is>
      </c>
      <c r="H4004">
        <f>'Floor Hours Engine'!$E$4</f>
        <v/>
      </c>
      <c r="I4004" t="inlineStr">
        <is>
          <t>W4</t>
        </is>
      </c>
      <c r="J4004" t="inlineStr">
        <is>
          <t>2031_Grudzień_W4</t>
        </is>
      </c>
    </row>
    <row r="4005">
      <c r="A4005" s="177" t="n">
        <v>48200</v>
      </c>
      <c r="B4005" s="177" t="n">
        <v>48198</v>
      </c>
      <c r="C4005" s="177" t="n">
        <v>48204</v>
      </c>
      <c r="D4005" t="inlineStr">
        <is>
          <t>BW20311216</t>
        </is>
      </c>
      <c r="E4005" t="n">
        <v>2031</v>
      </c>
      <c r="F4005" t="inlineStr">
        <is>
          <t>Grudzień</t>
        </is>
      </c>
      <c r="G4005" t="inlineStr">
        <is>
          <t>Czw</t>
        </is>
      </c>
      <c r="H4005">
        <f>'Floor Hours Engine'!$E$4</f>
        <v/>
      </c>
      <c r="I4005" t="inlineStr">
        <is>
          <t>W4</t>
        </is>
      </c>
      <c r="J4005" t="inlineStr">
        <is>
          <t>2031_Grudzień_W4</t>
        </is>
      </c>
    </row>
    <row r="4006">
      <c r="A4006" s="177" t="n">
        <v>48201</v>
      </c>
      <c r="B4006" s="177" t="n">
        <v>48198</v>
      </c>
      <c r="C4006" s="177" t="n">
        <v>48204</v>
      </c>
      <c r="D4006" t="inlineStr">
        <is>
          <t>BW20311216</t>
        </is>
      </c>
      <c r="E4006" t="n">
        <v>2031</v>
      </c>
      <c r="F4006" t="inlineStr">
        <is>
          <t>Grudzień</t>
        </is>
      </c>
      <c r="G4006" t="inlineStr">
        <is>
          <t>Pt</t>
        </is>
      </c>
      <c r="H4006">
        <f>'Floor Hours Engine'!$E$5</f>
        <v/>
      </c>
      <c r="I4006" t="inlineStr">
        <is>
          <t>W4</t>
        </is>
      </c>
      <c r="J4006" t="inlineStr">
        <is>
          <t>2031_Grudzień_W4</t>
        </is>
      </c>
    </row>
    <row r="4007">
      <c r="A4007" s="177" t="n">
        <v>48202</v>
      </c>
      <c r="B4007" s="177" t="n">
        <v>48198</v>
      </c>
      <c r="C4007" s="177" t="n">
        <v>48204</v>
      </c>
      <c r="D4007" t="inlineStr">
        <is>
          <t>BW20311216</t>
        </is>
      </c>
      <c r="E4007" t="n">
        <v>2031</v>
      </c>
      <c r="F4007" t="inlineStr">
        <is>
          <t>Grudzień</t>
        </is>
      </c>
      <c r="G4007" t="inlineStr">
        <is>
          <t>Sob</t>
        </is>
      </c>
      <c r="H4007">
        <f>'Floor Hours Engine'!$E$5</f>
        <v/>
      </c>
      <c r="I4007" t="inlineStr">
        <is>
          <t>W4</t>
        </is>
      </c>
      <c r="J4007" t="inlineStr">
        <is>
          <t>2031_Grudzień_W4</t>
        </is>
      </c>
    </row>
    <row r="4008">
      <c r="A4008" s="177" t="n">
        <v>48203</v>
      </c>
      <c r="B4008" s="177" t="n">
        <v>48198</v>
      </c>
      <c r="C4008" s="177" t="n">
        <v>48204</v>
      </c>
      <c r="D4008" t="inlineStr">
        <is>
          <t>BW20311216</t>
        </is>
      </c>
      <c r="E4008" t="n">
        <v>2031</v>
      </c>
      <c r="F4008" t="inlineStr">
        <is>
          <t>Grudzień</t>
        </is>
      </c>
      <c r="G4008" t="inlineStr">
        <is>
          <t>Nd</t>
        </is>
      </c>
      <c r="H4008">
        <f>'Floor Hours Engine'!$E$6</f>
        <v/>
      </c>
      <c r="I4008" t="inlineStr">
        <is>
          <t>W4</t>
        </is>
      </c>
      <c r="J4008" t="inlineStr">
        <is>
          <t>2031_Grudzień_W4</t>
        </is>
      </c>
    </row>
    <row r="4009">
      <c r="A4009" s="177" t="n">
        <v>48204</v>
      </c>
      <c r="B4009" s="177" t="n">
        <v>48198</v>
      </c>
      <c r="C4009" s="177" t="n">
        <v>48204</v>
      </c>
      <c r="D4009" t="inlineStr">
        <is>
          <t>BW20311216</t>
        </is>
      </c>
      <c r="E4009" t="n">
        <v>2031</v>
      </c>
      <c r="F4009" t="inlineStr">
        <is>
          <t>Grudzień</t>
        </is>
      </c>
      <c r="G4009" t="inlineStr">
        <is>
          <t>Pn</t>
        </is>
      </c>
      <c r="H4009">
        <f>'Floor Hours Engine'!$E$4</f>
        <v/>
      </c>
      <c r="I4009" t="inlineStr">
        <is>
          <t>W4</t>
        </is>
      </c>
      <c r="J4009" t="inlineStr">
        <is>
          <t>2031_Grudzień_W4</t>
        </is>
      </c>
    </row>
    <row r="4010">
      <c r="A4010" s="177" t="n">
        <v>48205</v>
      </c>
      <c r="B4010" s="177" t="n">
        <v>48205</v>
      </c>
      <c r="C4010" s="177" t="n">
        <v>48211</v>
      </c>
      <c r="D4010" t="inlineStr">
        <is>
          <t>BW20311223</t>
        </is>
      </c>
      <c r="E4010" t="n">
        <v>2031</v>
      </c>
      <c r="F4010" t="inlineStr">
        <is>
          <t>Grudzień</t>
        </is>
      </c>
      <c r="G4010" t="inlineStr">
        <is>
          <t>Wt</t>
        </is>
      </c>
      <c r="H4010">
        <f>'Floor Hours Engine'!$E$4</f>
        <v/>
      </c>
      <c r="I4010" t="inlineStr">
        <is>
          <t>W5</t>
        </is>
      </c>
      <c r="J4010" t="inlineStr">
        <is>
          <t>2031_Grudzień_W5</t>
        </is>
      </c>
    </row>
    <row r="4011">
      <c r="A4011" s="177" t="n">
        <v>48206</v>
      </c>
      <c r="B4011" s="177" t="n">
        <v>48205</v>
      </c>
      <c r="C4011" s="177" t="n">
        <v>48211</v>
      </c>
      <c r="D4011" t="inlineStr">
        <is>
          <t>BW20311223</t>
        </is>
      </c>
      <c r="E4011" t="n">
        <v>2031</v>
      </c>
      <c r="F4011" t="inlineStr">
        <is>
          <t>Grudzień</t>
        </is>
      </c>
      <c r="G4011" t="inlineStr">
        <is>
          <t>Śr</t>
        </is>
      </c>
      <c r="H4011">
        <f>'Floor Hours Engine'!$E$4</f>
        <v/>
      </c>
      <c r="I4011" t="inlineStr">
        <is>
          <t>W5</t>
        </is>
      </c>
      <c r="J4011" t="inlineStr">
        <is>
          <t>2031_Grudzień_W5</t>
        </is>
      </c>
    </row>
    <row r="4012">
      <c r="A4012" s="177" t="n">
        <v>48207</v>
      </c>
      <c r="B4012" s="177" t="n">
        <v>48205</v>
      </c>
      <c r="C4012" s="177" t="n">
        <v>48211</v>
      </c>
      <c r="D4012" t="inlineStr">
        <is>
          <t>BW20311223</t>
        </is>
      </c>
      <c r="E4012" t="n">
        <v>2031</v>
      </c>
      <c r="F4012" t="inlineStr">
        <is>
          <t>Grudzień</t>
        </is>
      </c>
      <c r="G4012" t="inlineStr">
        <is>
          <t>Czw</t>
        </is>
      </c>
      <c r="H4012">
        <f>'Floor Hours Engine'!$E$4</f>
        <v/>
      </c>
      <c r="I4012" t="inlineStr">
        <is>
          <t>W5</t>
        </is>
      </c>
      <c r="J4012" t="inlineStr">
        <is>
          <t>2031_Grudzień_W5</t>
        </is>
      </c>
    </row>
    <row r="4013">
      <c r="A4013" s="177" t="n">
        <v>48208</v>
      </c>
      <c r="B4013" s="177" t="n">
        <v>48205</v>
      </c>
      <c r="C4013" s="177" t="n">
        <v>48211</v>
      </c>
      <c r="D4013" t="inlineStr">
        <is>
          <t>BW20311223</t>
        </is>
      </c>
      <c r="E4013" t="n">
        <v>2031</v>
      </c>
      <c r="F4013" t="inlineStr">
        <is>
          <t>Grudzień</t>
        </is>
      </c>
      <c r="G4013" t="inlineStr">
        <is>
          <t>Pt</t>
        </is>
      </c>
      <c r="H4013">
        <f>'Floor Hours Engine'!$E$5</f>
        <v/>
      </c>
      <c r="I4013" t="inlineStr">
        <is>
          <t>W5</t>
        </is>
      </c>
      <c r="J4013" t="inlineStr">
        <is>
          <t>2031_Grudzień_W5</t>
        </is>
      </c>
    </row>
    <row r="4014">
      <c r="A4014" s="177" t="n">
        <v>48209</v>
      </c>
      <c r="B4014" s="177" t="n">
        <v>48205</v>
      </c>
      <c r="C4014" s="177" t="n">
        <v>48211</v>
      </c>
      <c r="D4014" t="inlineStr">
        <is>
          <t>BW20311223</t>
        </is>
      </c>
      <c r="E4014" t="n">
        <v>2031</v>
      </c>
      <c r="F4014" t="inlineStr">
        <is>
          <t>Grudzień</t>
        </is>
      </c>
      <c r="G4014" t="inlineStr">
        <is>
          <t>Sob</t>
        </is>
      </c>
      <c r="H4014">
        <f>'Floor Hours Engine'!$E$5</f>
        <v/>
      </c>
      <c r="I4014" t="inlineStr">
        <is>
          <t>W5</t>
        </is>
      </c>
      <c r="J4014" t="inlineStr">
        <is>
          <t>2031_Grudzień_W5</t>
        </is>
      </c>
    </row>
    <row r="4015">
      <c r="A4015" s="177" t="n">
        <v>48210</v>
      </c>
      <c r="B4015" s="177" t="n">
        <v>48205</v>
      </c>
      <c r="C4015" s="177" t="n">
        <v>48211</v>
      </c>
      <c r="D4015" t="inlineStr">
        <is>
          <t>BW20311223</t>
        </is>
      </c>
      <c r="E4015" t="n">
        <v>2031</v>
      </c>
      <c r="F4015" t="inlineStr">
        <is>
          <t>Grudzień</t>
        </is>
      </c>
      <c r="G4015" t="inlineStr">
        <is>
          <t>Nd</t>
        </is>
      </c>
      <c r="H4015">
        <f>'Floor Hours Engine'!$E$6</f>
        <v/>
      </c>
      <c r="I4015" t="inlineStr">
        <is>
          <t>W5</t>
        </is>
      </c>
      <c r="J4015" t="inlineStr">
        <is>
          <t>2031_Grudzień_W5</t>
        </is>
      </c>
    </row>
    <row r="4016">
      <c r="A4016" s="177" t="n">
        <v>48211</v>
      </c>
      <c r="B4016" s="177" t="n">
        <v>48205</v>
      </c>
      <c r="C4016" s="177" t="n">
        <v>48211</v>
      </c>
      <c r="D4016" t="inlineStr">
        <is>
          <t>BW20311223</t>
        </is>
      </c>
      <c r="E4016" t="n">
        <v>2031</v>
      </c>
      <c r="F4016" t="inlineStr">
        <is>
          <t>Grudzień</t>
        </is>
      </c>
      <c r="G4016" t="inlineStr">
        <is>
          <t>Pn</t>
        </is>
      </c>
      <c r="H4016">
        <f>'Floor Hours Engine'!$E$4</f>
        <v/>
      </c>
      <c r="I4016" t="inlineStr">
        <is>
          <t>W5</t>
        </is>
      </c>
      <c r="J4016" t="inlineStr">
        <is>
          <t>2031_Grudzień_W5</t>
        </is>
      </c>
    </row>
    <row r="4017">
      <c r="A4017" s="177" t="n">
        <v>48212</v>
      </c>
      <c r="B4017" s="177" t="n">
        <v>48212</v>
      </c>
      <c r="C4017" s="177" t="n">
        <v>48218</v>
      </c>
      <c r="D4017" t="inlineStr">
        <is>
          <t>BW20311230</t>
        </is>
      </c>
      <c r="E4017" t="n">
        <v>2031</v>
      </c>
      <c r="F4017" t="inlineStr">
        <is>
          <t>Grudzień</t>
        </is>
      </c>
      <c r="G4017" t="inlineStr">
        <is>
          <t>Wt</t>
        </is>
      </c>
      <c r="H4017">
        <f>'Floor Hours Engine'!$E$4</f>
        <v/>
      </c>
      <c r="I4017" t="inlineStr">
        <is>
          <t>W6</t>
        </is>
      </c>
      <c r="J4017" t="inlineStr">
        <is>
          <t>2031_Grudzień_W6</t>
        </is>
      </c>
    </row>
    <row r="4018">
      <c r="A4018" s="177" t="n">
        <v>48213</v>
      </c>
      <c r="B4018" s="177" t="n">
        <v>48212</v>
      </c>
      <c r="C4018" s="177" t="n">
        <v>48218</v>
      </c>
      <c r="D4018" t="inlineStr">
        <is>
          <t>BW20311230</t>
        </is>
      </c>
      <c r="E4018" t="n">
        <v>2031</v>
      </c>
      <c r="F4018" t="inlineStr">
        <is>
          <t>Grudzień</t>
        </is>
      </c>
      <c r="G4018" t="inlineStr">
        <is>
          <t>Śr</t>
        </is>
      </c>
      <c r="H4018">
        <f>'Floor Hours Engine'!$E$4</f>
        <v/>
      </c>
      <c r="I4018" t="inlineStr">
        <is>
          <t>W6</t>
        </is>
      </c>
      <c r="J4018" t="inlineStr">
        <is>
          <t>2031_Grudzień_W6</t>
        </is>
      </c>
    </row>
    <row r="4019">
      <c r="A4019" s="177" t="n">
        <v>48214</v>
      </c>
      <c r="B4019" s="177" t="n">
        <v>48212</v>
      </c>
      <c r="C4019" s="177" t="n">
        <v>48218</v>
      </c>
      <c r="D4019" t="inlineStr">
        <is>
          <t>BW20311230</t>
        </is>
      </c>
      <c r="E4019" t="n">
        <v>2032</v>
      </c>
      <c r="F4019" t="inlineStr">
        <is>
          <t>Styczeń</t>
        </is>
      </c>
      <c r="G4019" t="inlineStr">
        <is>
          <t>Czw</t>
        </is>
      </c>
      <c r="H4019">
        <f>'Floor Hours Engine'!$E$4</f>
        <v/>
      </c>
      <c r="I4019" t="inlineStr">
        <is>
          <t>W1</t>
        </is>
      </c>
      <c r="J4019" t="inlineStr">
        <is>
          <t>2032_Styczeń_W1</t>
        </is>
      </c>
    </row>
    <row r="4020">
      <c r="A4020" s="177" t="n">
        <v>48215</v>
      </c>
      <c r="B4020" s="177" t="n">
        <v>48212</v>
      </c>
      <c r="C4020" s="177" t="n">
        <v>48218</v>
      </c>
      <c r="D4020" t="inlineStr">
        <is>
          <t>BW20311230</t>
        </is>
      </c>
      <c r="E4020" t="n">
        <v>2032</v>
      </c>
      <c r="F4020" t="inlineStr">
        <is>
          <t>Styczeń</t>
        </is>
      </c>
      <c r="G4020" t="inlineStr">
        <is>
          <t>Pt</t>
        </is>
      </c>
      <c r="H4020">
        <f>'Floor Hours Engine'!$E$5</f>
        <v/>
      </c>
      <c r="I4020" t="inlineStr">
        <is>
          <t>W1</t>
        </is>
      </c>
      <c r="J4020" t="inlineStr">
        <is>
          <t>2032_Styczeń_W1</t>
        </is>
      </c>
    </row>
    <row r="4021">
      <c r="A4021" s="177" t="n">
        <v>48216</v>
      </c>
      <c r="B4021" s="177" t="n">
        <v>48212</v>
      </c>
      <c r="C4021" s="177" t="n">
        <v>48218</v>
      </c>
      <c r="D4021" t="inlineStr">
        <is>
          <t>BW20311230</t>
        </is>
      </c>
      <c r="E4021" t="n">
        <v>2032</v>
      </c>
      <c r="F4021" t="inlineStr">
        <is>
          <t>Styczeń</t>
        </is>
      </c>
      <c r="G4021" t="inlineStr">
        <is>
          <t>Sob</t>
        </is>
      </c>
      <c r="H4021">
        <f>'Floor Hours Engine'!$E$5</f>
        <v/>
      </c>
      <c r="I4021" t="inlineStr">
        <is>
          <t>W1</t>
        </is>
      </c>
      <c r="J4021" t="inlineStr">
        <is>
          <t>2032_Styczeń_W1</t>
        </is>
      </c>
    </row>
    <row r="4022">
      <c r="A4022" s="177" t="n">
        <v>48217</v>
      </c>
      <c r="B4022" s="177" t="n">
        <v>48212</v>
      </c>
      <c r="C4022" s="177" t="n">
        <v>48218</v>
      </c>
      <c r="D4022" t="inlineStr">
        <is>
          <t>BW20311230</t>
        </is>
      </c>
      <c r="E4022" t="n">
        <v>2032</v>
      </c>
      <c r="F4022" t="inlineStr">
        <is>
          <t>Styczeń</t>
        </is>
      </c>
      <c r="G4022" t="inlineStr">
        <is>
          <t>Nd</t>
        </is>
      </c>
      <c r="H4022">
        <f>'Floor Hours Engine'!$E$6</f>
        <v/>
      </c>
      <c r="I4022" t="inlineStr">
        <is>
          <t>W1</t>
        </is>
      </c>
      <c r="J4022" t="inlineStr">
        <is>
          <t>2032_Styczeń_W1</t>
        </is>
      </c>
    </row>
    <row r="4023">
      <c r="A4023" s="177" t="n">
        <v>48218</v>
      </c>
      <c r="B4023" s="177" t="n">
        <v>48212</v>
      </c>
      <c r="C4023" s="177" t="n">
        <v>48218</v>
      </c>
      <c r="D4023" t="inlineStr">
        <is>
          <t>BW20311230</t>
        </is>
      </c>
      <c r="E4023" t="n">
        <v>2032</v>
      </c>
      <c r="F4023" t="inlineStr">
        <is>
          <t>Styczeń</t>
        </is>
      </c>
      <c r="G4023" t="inlineStr">
        <is>
          <t>Pn</t>
        </is>
      </c>
      <c r="H4023">
        <f>'Floor Hours Engine'!$E$4</f>
        <v/>
      </c>
      <c r="I4023" t="inlineStr">
        <is>
          <t>W1</t>
        </is>
      </c>
      <c r="J4023" t="inlineStr">
        <is>
          <t>2032_Styczeń_W1</t>
        </is>
      </c>
    </row>
    <row r="4024">
      <c r="A4024" s="177" t="n">
        <v>48219</v>
      </c>
      <c r="B4024" s="177" t="n">
        <v>48219</v>
      </c>
      <c r="C4024" s="177" t="n">
        <v>48225</v>
      </c>
      <c r="D4024" t="inlineStr">
        <is>
          <t>BW20320106</t>
        </is>
      </c>
      <c r="E4024" t="n">
        <v>2032</v>
      </c>
      <c r="F4024" t="inlineStr">
        <is>
          <t>Styczeń</t>
        </is>
      </c>
      <c r="G4024" t="inlineStr">
        <is>
          <t>Wt</t>
        </is>
      </c>
      <c r="H4024">
        <f>'Floor Hours Engine'!$E$4</f>
        <v/>
      </c>
      <c r="I4024" t="inlineStr">
        <is>
          <t>W2</t>
        </is>
      </c>
      <c r="J4024" t="inlineStr">
        <is>
          <t>2032_Styczeń_W2</t>
        </is>
      </c>
    </row>
    <row r="4025">
      <c r="A4025" s="177" t="n">
        <v>48220</v>
      </c>
      <c r="B4025" s="177" t="n">
        <v>48219</v>
      </c>
      <c r="C4025" s="177" t="n">
        <v>48225</v>
      </c>
      <c r="D4025" t="inlineStr">
        <is>
          <t>BW20320106</t>
        </is>
      </c>
      <c r="E4025" t="n">
        <v>2032</v>
      </c>
      <c r="F4025" t="inlineStr">
        <is>
          <t>Styczeń</t>
        </is>
      </c>
      <c r="G4025" t="inlineStr">
        <is>
          <t>Śr</t>
        </is>
      </c>
      <c r="H4025">
        <f>'Floor Hours Engine'!$E$4</f>
        <v/>
      </c>
      <c r="I4025" t="inlineStr">
        <is>
          <t>W2</t>
        </is>
      </c>
      <c r="J4025" t="inlineStr">
        <is>
          <t>2032_Styczeń_W2</t>
        </is>
      </c>
    </row>
    <row r="4026">
      <c r="A4026" s="177" t="n">
        <v>48221</v>
      </c>
      <c r="B4026" s="177" t="n">
        <v>48219</v>
      </c>
      <c r="C4026" s="177" t="n">
        <v>48225</v>
      </c>
      <c r="D4026" t="inlineStr">
        <is>
          <t>BW20320106</t>
        </is>
      </c>
      <c r="E4026" t="n">
        <v>2032</v>
      </c>
      <c r="F4026" t="inlineStr">
        <is>
          <t>Styczeń</t>
        </is>
      </c>
      <c r="G4026" t="inlineStr">
        <is>
          <t>Czw</t>
        </is>
      </c>
      <c r="H4026">
        <f>'Floor Hours Engine'!$E$4</f>
        <v/>
      </c>
      <c r="I4026" t="inlineStr">
        <is>
          <t>W2</t>
        </is>
      </c>
      <c r="J4026" t="inlineStr">
        <is>
          <t>2032_Styczeń_W2</t>
        </is>
      </c>
    </row>
    <row r="4027">
      <c r="A4027" s="177" t="n">
        <v>48222</v>
      </c>
      <c r="B4027" s="177" t="n">
        <v>48219</v>
      </c>
      <c r="C4027" s="177" t="n">
        <v>48225</v>
      </c>
      <c r="D4027" t="inlineStr">
        <is>
          <t>BW20320106</t>
        </is>
      </c>
      <c r="E4027" t="n">
        <v>2032</v>
      </c>
      <c r="F4027" t="inlineStr">
        <is>
          <t>Styczeń</t>
        </is>
      </c>
      <c r="G4027" t="inlineStr">
        <is>
          <t>Pt</t>
        </is>
      </c>
      <c r="H4027">
        <f>'Floor Hours Engine'!$E$5</f>
        <v/>
      </c>
      <c r="I4027" t="inlineStr">
        <is>
          <t>W2</t>
        </is>
      </c>
      <c r="J4027" t="inlineStr">
        <is>
          <t>2032_Styczeń_W2</t>
        </is>
      </c>
    </row>
    <row r="4028">
      <c r="A4028" s="177" t="n">
        <v>48223</v>
      </c>
      <c r="B4028" s="177" t="n">
        <v>48219</v>
      </c>
      <c r="C4028" s="177" t="n">
        <v>48225</v>
      </c>
      <c r="D4028" t="inlineStr">
        <is>
          <t>BW20320106</t>
        </is>
      </c>
      <c r="E4028" t="n">
        <v>2032</v>
      </c>
      <c r="F4028" t="inlineStr">
        <is>
          <t>Styczeń</t>
        </is>
      </c>
      <c r="G4028" t="inlineStr">
        <is>
          <t>Sob</t>
        </is>
      </c>
      <c r="H4028">
        <f>'Floor Hours Engine'!$E$5</f>
        <v/>
      </c>
      <c r="I4028" t="inlineStr">
        <is>
          <t>W2</t>
        </is>
      </c>
      <c r="J4028" t="inlineStr">
        <is>
          <t>2032_Styczeń_W2</t>
        </is>
      </c>
    </row>
    <row r="4029">
      <c r="A4029" s="177" t="n">
        <v>48224</v>
      </c>
      <c r="B4029" s="177" t="n">
        <v>48219</v>
      </c>
      <c r="C4029" s="177" t="n">
        <v>48225</v>
      </c>
      <c r="D4029" t="inlineStr">
        <is>
          <t>BW20320106</t>
        </is>
      </c>
      <c r="E4029" t="n">
        <v>2032</v>
      </c>
      <c r="F4029" t="inlineStr">
        <is>
          <t>Styczeń</t>
        </is>
      </c>
      <c r="G4029" t="inlineStr">
        <is>
          <t>Nd</t>
        </is>
      </c>
      <c r="H4029">
        <f>'Floor Hours Engine'!$E$6</f>
        <v/>
      </c>
      <c r="I4029" t="inlineStr">
        <is>
          <t>W2</t>
        </is>
      </c>
      <c r="J4029" t="inlineStr">
        <is>
          <t>2032_Styczeń_W2</t>
        </is>
      </c>
    </row>
    <row r="4030">
      <c r="A4030" s="177" t="n">
        <v>48225</v>
      </c>
      <c r="B4030" s="177" t="n">
        <v>48219</v>
      </c>
      <c r="C4030" s="177" t="n">
        <v>48225</v>
      </c>
      <c r="D4030" t="inlineStr">
        <is>
          <t>BW20320106</t>
        </is>
      </c>
      <c r="E4030" t="n">
        <v>2032</v>
      </c>
      <c r="F4030" t="inlineStr">
        <is>
          <t>Styczeń</t>
        </is>
      </c>
      <c r="G4030" t="inlineStr">
        <is>
          <t>Pn</t>
        </is>
      </c>
      <c r="H4030">
        <f>'Floor Hours Engine'!$E$4</f>
        <v/>
      </c>
      <c r="I4030" t="inlineStr">
        <is>
          <t>W2</t>
        </is>
      </c>
      <c r="J4030" t="inlineStr">
        <is>
          <t>2032_Styczeń_W2</t>
        </is>
      </c>
    </row>
    <row r="4031">
      <c r="A4031" s="177" t="n">
        <v>48226</v>
      </c>
      <c r="B4031" s="177" t="n">
        <v>48226</v>
      </c>
      <c r="C4031" s="177" t="n">
        <v>48232</v>
      </c>
      <c r="D4031" t="inlineStr">
        <is>
          <t>BW20320113</t>
        </is>
      </c>
      <c r="E4031" t="n">
        <v>2032</v>
      </c>
      <c r="F4031" t="inlineStr">
        <is>
          <t>Styczeń</t>
        </is>
      </c>
      <c r="G4031" t="inlineStr">
        <is>
          <t>Wt</t>
        </is>
      </c>
      <c r="H4031">
        <f>'Floor Hours Engine'!$E$4</f>
        <v/>
      </c>
      <c r="I4031" t="inlineStr">
        <is>
          <t>W3</t>
        </is>
      </c>
      <c r="J4031" t="inlineStr">
        <is>
          <t>2032_Styczeń_W3</t>
        </is>
      </c>
    </row>
    <row r="4032">
      <c r="A4032" s="177" t="n">
        <v>48227</v>
      </c>
      <c r="B4032" s="177" t="n">
        <v>48226</v>
      </c>
      <c r="C4032" s="177" t="n">
        <v>48232</v>
      </c>
      <c r="D4032" t="inlineStr">
        <is>
          <t>BW20320113</t>
        </is>
      </c>
      <c r="E4032" t="n">
        <v>2032</v>
      </c>
      <c r="F4032" t="inlineStr">
        <is>
          <t>Styczeń</t>
        </is>
      </c>
      <c r="G4032" t="inlineStr">
        <is>
          <t>Śr</t>
        </is>
      </c>
      <c r="H4032">
        <f>'Floor Hours Engine'!$E$4</f>
        <v/>
      </c>
      <c r="I4032" t="inlineStr">
        <is>
          <t>W3</t>
        </is>
      </c>
      <c r="J4032" t="inlineStr">
        <is>
          <t>2032_Styczeń_W3</t>
        </is>
      </c>
    </row>
    <row r="4033">
      <c r="A4033" s="177" t="n">
        <v>48228</v>
      </c>
      <c r="B4033" s="177" t="n">
        <v>48226</v>
      </c>
      <c r="C4033" s="177" t="n">
        <v>48232</v>
      </c>
      <c r="D4033" t="inlineStr">
        <is>
          <t>BW20320113</t>
        </is>
      </c>
      <c r="E4033" t="n">
        <v>2032</v>
      </c>
      <c r="F4033" t="inlineStr">
        <is>
          <t>Styczeń</t>
        </is>
      </c>
      <c r="G4033" t="inlineStr">
        <is>
          <t>Czw</t>
        </is>
      </c>
      <c r="H4033">
        <f>'Floor Hours Engine'!$E$4</f>
        <v/>
      </c>
      <c r="I4033" t="inlineStr">
        <is>
          <t>W3</t>
        </is>
      </c>
      <c r="J4033" t="inlineStr">
        <is>
          <t>2032_Styczeń_W3</t>
        </is>
      </c>
    </row>
    <row r="4034">
      <c r="A4034" s="177" t="n">
        <v>48229</v>
      </c>
      <c r="B4034" s="177" t="n">
        <v>48226</v>
      </c>
      <c r="C4034" s="177" t="n">
        <v>48232</v>
      </c>
      <c r="D4034" t="inlineStr">
        <is>
          <t>BW20320113</t>
        </is>
      </c>
      <c r="E4034" t="n">
        <v>2032</v>
      </c>
      <c r="F4034" t="inlineStr">
        <is>
          <t>Styczeń</t>
        </is>
      </c>
      <c r="G4034" t="inlineStr">
        <is>
          <t>Pt</t>
        </is>
      </c>
      <c r="H4034">
        <f>'Floor Hours Engine'!$E$5</f>
        <v/>
      </c>
      <c r="I4034" t="inlineStr">
        <is>
          <t>W3</t>
        </is>
      </c>
      <c r="J4034" t="inlineStr">
        <is>
          <t>2032_Styczeń_W3</t>
        </is>
      </c>
    </row>
    <row r="4035">
      <c r="A4035" s="177" t="n">
        <v>48230</v>
      </c>
      <c r="B4035" s="177" t="n">
        <v>48226</v>
      </c>
      <c r="C4035" s="177" t="n">
        <v>48232</v>
      </c>
      <c r="D4035" t="inlineStr">
        <is>
          <t>BW20320113</t>
        </is>
      </c>
      <c r="E4035" t="n">
        <v>2032</v>
      </c>
      <c r="F4035" t="inlineStr">
        <is>
          <t>Styczeń</t>
        </is>
      </c>
      <c r="G4035" t="inlineStr">
        <is>
          <t>Sob</t>
        </is>
      </c>
      <c r="H4035">
        <f>'Floor Hours Engine'!$E$5</f>
        <v/>
      </c>
      <c r="I4035" t="inlineStr">
        <is>
          <t>W3</t>
        </is>
      </c>
      <c r="J4035" t="inlineStr">
        <is>
          <t>2032_Styczeń_W3</t>
        </is>
      </c>
    </row>
    <row r="4036">
      <c r="A4036" s="177" t="n">
        <v>48231</v>
      </c>
      <c r="B4036" s="177" t="n">
        <v>48226</v>
      </c>
      <c r="C4036" s="177" t="n">
        <v>48232</v>
      </c>
      <c r="D4036" t="inlineStr">
        <is>
          <t>BW20320113</t>
        </is>
      </c>
      <c r="E4036" t="n">
        <v>2032</v>
      </c>
      <c r="F4036" t="inlineStr">
        <is>
          <t>Styczeń</t>
        </is>
      </c>
      <c r="G4036" t="inlineStr">
        <is>
          <t>Nd</t>
        </is>
      </c>
      <c r="H4036">
        <f>'Floor Hours Engine'!$E$6</f>
        <v/>
      </c>
      <c r="I4036" t="inlineStr">
        <is>
          <t>W3</t>
        </is>
      </c>
      <c r="J4036" t="inlineStr">
        <is>
          <t>2032_Styczeń_W3</t>
        </is>
      </c>
    </row>
    <row r="4037">
      <c r="A4037" s="177" t="n">
        <v>48232</v>
      </c>
      <c r="B4037" s="177" t="n">
        <v>48226</v>
      </c>
      <c r="C4037" s="177" t="n">
        <v>48232</v>
      </c>
      <c r="D4037" t="inlineStr">
        <is>
          <t>BW20320113</t>
        </is>
      </c>
      <c r="E4037" t="n">
        <v>2032</v>
      </c>
      <c r="F4037" t="inlineStr">
        <is>
          <t>Styczeń</t>
        </is>
      </c>
      <c r="G4037" t="inlineStr">
        <is>
          <t>Pn</t>
        </is>
      </c>
      <c r="H4037">
        <f>'Floor Hours Engine'!$E$4</f>
        <v/>
      </c>
      <c r="I4037" t="inlineStr">
        <is>
          <t>W3</t>
        </is>
      </c>
      <c r="J4037" t="inlineStr">
        <is>
          <t>2032_Styczeń_W3</t>
        </is>
      </c>
    </row>
    <row r="4038">
      <c r="A4038" s="177" t="n">
        <v>48233</v>
      </c>
      <c r="B4038" s="177" t="n">
        <v>48233</v>
      </c>
      <c r="C4038" s="177" t="n">
        <v>48239</v>
      </c>
      <c r="D4038" t="inlineStr">
        <is>
          <t>BW20320120</t>
        </is>
      </c>
      <c r="E4038" t="n">
        <v>2032</v>
      </c>
      <c r="F4038" t="inlineStr">
        <is>
          <t>Styczeń</t>
        </is>
      </c>
      <c r="G4038" t="inlineStr">
        <is>
          <t>Wt</t>
        </is>
      </c>
      <c r="H4038">
        <f>'Floor Hours Engine'!$E$4</f>
        <v/>
      </c>
      <c r="I4038" t="inlineStr">
        <is>
          <t>W4</t>
        </is>
      </c>
      <c r="J4038" t="inlineStr">
        <is>
          <t>2032_Styczeń_W4</t>
        </is>
      </c>
    </row>
    <row r="4039">
      <c r="A4039" s="177" t="n">
        <v>48234</v>
      </c>
      <c r="B4039" s="177" t="n">
        <v>48233</v>
      </c>
      <c r="C4039" s="177" t="n">
        <v>48239</v>
      </c>
      <c r="D4039" t="inlineStr">
        <is>
          <t>BW20320120</t>
        </is>
      </c>
      <c r="E4039" t="n">
        <v>2032</v>
      </c>
      <c r="F4039" t="inlineStr">
        <is>
          <t>Styczeń</t>
        </is>
      </c>
      <c r="G4039" t="inlineStr">
        <is>
          <t>Śr</t>
        </is>
      </c>
      <c r="H4039">
        <f>'Floor Hours Engine'!$E$4</f>
        <v/>
      </c>
      <c r="I4039" t="inlineStr">
        <is>
          <t>W4</t>
        </is>
      </c>
      <c r="J4039" t="inlineStr">
        <is>
          <t>2032_Styczeń_W4</t>
        </is>
      </c>
    </row>
    <row r="4040">
      <c r="A4040" s="177" t="n">
        <v>48235</v>
      </c>
      <c r="B4040" s="177" t="n">
        <v>48233</v>
      </c>
      <c r="C4040" s="177" t="n">
        <v>48239</v>
      </c>
      <c r="D4040" t="inlineStr">
        <is>
          <t>BW20320120</t>
        </is>
      </c>
      <c r="E4040" t="n">
        <v>2032</v>
      </c>
      <c r="F4040" t="inlineStr">
        <is>
          <t>Styczeń</t>
        </is>
      </c>
      <c r="G4040" t="inlineStr">
        <is>
          <t>Czw</t>
        </is>
      </c>
      <c r="H4040">
        <f>'Floor Hours Engine'!$E$4</f>
        <v/>
      </c>
      <c r="I4040" t="inlineStr">
        <is>
          <t>W4</t>
        </is>
      </c>
      <c r="J4040" t="inlineStr">
        <is>
          <t>2032_Styczeń_W4</t>
        </is>
      </c>
    </row>
    <row r="4041">
      <c r="A4041" s="177" t="n">
        <v>48236</v>
      </c>
      <c r="B4041" s="177" t="n">
        <v>48233</v>
      </c>
      <c r="C4041" s="177" t="n">
        <v>48239</v>
      </c>
      <c r="D4041" t="inlineStr">
        <is>
          <t>BW20320120</t>
        </is>
      </c>
      <c r="E4041" t="n">
        <v>2032</v>
      </c>
      <c r="F4041" t="inlineStr">
        <is>
          <t>Styczeń</t>
        </is>
      </c>
      <c r="G4041" t="inlineStr">
        <is>
          <t>Pt</t>
        </is>
      </c>
      <c r="H4041">
        <f>'Floor Hours Engine'!$E$5</f>
        <v/>
      </c>
      <c r="I4041" t="inlineStr">
        <is>
          <t>W4</t>
        </is>
      </c>
      <c r="J4041" t="inlineStr">
        <is>
          <t>2032_Styczeń_W4</t>
        </is>
      </c>
    </row>
    <row r="4042">
      <c r="A4042" s="177" t="n">
        <v>48237</v>
      </c>
      <c r="B4042" s="177" t="n">
        <v>48233</v>
      </c>
      <c r="C4042" s="177" t="n">
        <v>48239</v>
      </c>
      <c r="D4042" t="inlineStr">
        <is>
          <t>BW20320120</t>
        </is>
      </c>
      <c r="E4042" t="n">
        <v>2032</v>
      </c>
      <c r="F4042" t="inlineStr">
        <is>
          <t>Styczeń</t>
        </is>
      </c>
      <c r="G4042" t="inlineStr">
        <is>
          <t>Sob</t>
        </is>
      </c>
      <c r="H4042">
        <f>'Floor Hours Engine'!$E$5</f>
        <v/>
      </c>
      <c r="I4042" t="inlineStr">
        <is>
          <t>W4</t>
        </is>
      </c>
      <c r="J4042" t="inlineStr">
        <is>
          <t>2032_Styczeń_W4</t>
        </is>
      </c>
    </row>
    <row r="4043">
      <c r="A4043" s="177" t="n">
        <v>48238</v>
      </c>
      <c r="B4043" s="177" t="n">
        <v>48233</v>
      </c>
      <c r="C4043" s="177" t="n">
        <v>48239</v>
      </c>
      <c r="D4043" t="inlineStr">
        <is>
          <t>BW20320120</t>
        </is>
      </c>
      <c r="E4043" t="n">
        <v>2032</v>
      </c>
      <c r="F4043" t="inlineStr">
        <is>
          <t>Styczeń</t>
        </is>
      </c>
      <c r="G4043" t="inlineStr">
        <is>
          <t>Nd</t>
        </is>
      </c>
      <c r="H4043">
        <f>'Floor Hours Engine'!$E$6</f>
        <v/>
      </c>
      <c r="I4043" t="inlineStr">
        <is>
          <t>W4</t>
        </is>
      </c>
      <c r="J4043" t="inlineStr">
        <is>
          <t>2032_Styczeń_W4</t>
        </is>
      </c>
    </row>
    <row r="4044">
      <c r="A4044" s="177" t="n">
        <v>48239</v>
      </c>
      <c r="B4044" s="177" t="n">
        <v>48233</v>
      </c>
      <c r="C4044" s="177" t="n">
        <v>48239</v>
      </c>
      <c r="D4044" t="inlineStr">
        <is>
          <t>BW20320120</t>
        </is>
      </c>
      <c r="E4044" t="n">
        <v>2032</v>
      </c>
      <c r="F4044" t="inlineStr">
        <is>
          <t>Styczeń</t>
        </is>
      </c>
      <c r="G4044" t="inlineStr">
        <is>
          <t>Pn</t>
        </is>
      </c>
      <c r="H4044">
        <f>'Floor Hours Engine'!$E$4</f>
        <v/>
      </c>
      <c r="I4044" t="inlineStr">
        <is>
          <t>W4</t>
        </is>
      </c>
      <c r="J4044" t="inlineStr">
        <is>
          <t>2032_Styczeń_W4</t>
        </is>
      </c>
    </row>
    <row r="4045">
      <c r="A4045" s="177" t="n">
        <v>48240</v>
      </c>
      <c r="B4045" s="177" t="n">
        <v>48240</v>
      </c>
      <c r="C4045" s="177" t="n">
        <v>48246</v>
      </c>
      <c r="D4045" t="inlineStr">
        <is>
          <t>BW20320127</t>
        </is>
      </c>
      <c r="E4045" t="n">
        <v>2032</v>
      </c>
      <c r="F4045" t="inlineStr">
        <is>
          <t>Styczeń</t>
        </is>
      </c>
      <c r="G4045" t="inlineStr">
        <is>
          <t>Wt</t>
        </is>
      </c>
      <c r="H4045">
        <f>'Floor Hours Engine'!$E$4</f>
        <v/>
      </c>
      <c r="I4045" t="inlineStr">
        <is>
          <t>W5</t>
        </is>
      </c>
      <c r="J4045" t="inlineStr">
        <is>
          <t>2032_Styczeń_W5</t>
        </is>
      </c>
    </row>
    <row r="4046">
      <c r="A4046" s="177" t="n">
        <v>48241</v>
      </c>
      <c r="B4046" s="177" t="n">
        <v>48240</v>
      </c>
      <c r="C4046" s="177" t="n">
        <v>48246</v>
      </c>
      <c r="D4046" t="inlineStr">
        <is>
          <t>BW20320127</t>
        </is>
      </c>
      <c r="E4046" t="n">
        <v>2032</v>
      </c>
      <c r="F4046" t="inlineStr">
        <is>
          <t>Styczeń</t>
        </is>
      </c>
      <c r="G4046" t="inlineStr">
        <is>
          <t>Śr</t>
        </is>
      </c>
      <c r="H4046">
        <f>'Floor Hours Engine'!$E$4</f>
        <v/>
      </c>
      <c r="I4046" t="inlineStr">
        <is>
          <t>W5</t>
        </is>
      </c>
      <c r="J4046" t="inlineStr">
        <is>
          <t>2032_Styczeń_W5</t>
        </is>
      </c>
    </row>
    <row r="4047">
      <c r="A4047" s="177" t="n">
        <v>48242</v>
      </c>
      <c r="B4047" s="177" t="n">
        <v>48240</v>
      </c>
      <c r="C4047" s="177" t="n">
        <v>48246</v>
      </c>
      <c r="D4047" t="inlineStr">
        <is>
          <t>BW20320127</t>
        </is>
      </c>
      <c r="E4047" t="n">
        <v>2032</v>
      </c>
      <c r="F4047" t="inlineStr">
        <is>
          <t>Styczeń</t>
        </is>
      </c>
      <c r="G4047" t="inlineStr">
        <is>
          <t>Czw</t>
        </is>
      </c>
      <c r="H4047">
        <f>'Floor Hours Engine'!$E$4</f>
        <v/>
      </c>
      <c r="I4047" t="inlineStr">
        <is>
          <t>W5</t>
        </is>
      </c>
      <c r="J4047" t="inlineStr">
        <is>
          <t>2032_Styczeń_W5</t>
        </is>
      </c>
    </row>
    <row r="4048">
      <c r="A4048" s="177" t="n">
        <v>48243</v>
      </c>
      <c r="B4048" s="177" t="n">
        <v>48240</v>
      </c>
      <c r="C4048" s="177" t="n">
        <v>48246</v>
      </c>
      <c r="D4048" t="inlineStr">
        <is>
          <t>BW20320127</t>
        </is>
      </c>
      <c r="E4048" t="n">
        <v>2032</v>
      </c>
      <c r="F4048" t="inlineStr">
        <is>
          <t>Styczeń</t>
        </is>
      </c>
      <c r="G4048" t="inlineStr">
        <is>
          <t>Pt</t>
        </is>
      </c>
      <c r="H4048">
        <f>'Floor Hours Engine'!$E$5</f>
        <v/>
      </c>
      <c r="I4048" t="inlineStr">
        <is>
          <t>W5</t>
        </is>
      </c>
      <c r="J4048" t="inlineStr">
        <is>
          <t>2032_Styczeń_W5</t>
        </is>
      </c>
    </row>
    <row r="4049">
      <c r="A4049" s="177" t="n">
        <v>48244</v>
      </c>
      <c r="B4049" s="177" t="n">
        <v>48240</v>
      </c>
      <c r="C4049" s="177" t="n">
        <v>48246</v>
      </c>
      <c r="D4049" t="inlineStr">
        <is>
          <t>BW20320127</t>
        </is>
      </c>
      <c r="E4049" t="n">
        <v>2032</v>
      </c>
      <c r="F4049" t="inlineStr">
        <is>
          <t>Styczeń</t>
        </is>
      </c>
      <c r="G4049" t="inlineStr">
        <is>
          <t>Sob</t>
        </is>
      </c>
      <c r="H4049">
        <f>'Floor Hours Engine'!$E$5</f>
        <v/>
      </c>
      <c r="I4049" t="inlineStr">
        <is>
          <t>W5</t>
        </is>
      </c>
      <c r="J4049" t="inlineStr">
        <is>
          <t>2032_Styczeń_W5</t>
        </is>
      </c>
    </row>
    <row r="4050">
      <c r="A4050" s="177" t="n">
        <v>48245</v>
      </c>
      <c r="B4050" s="177" t="n">
        <v>48240</v>
      </c>
      <c r="C4050" s="177" t="n">
        <v>48246</v>
      </c>
      <c r="D4050" t="inlineStr">
        <is>
          <t>BW20320127</t>
        </is>
      </c>
      <c r="E4050" t="n">
        <v>2032</v>
      </c>
      <c r="F4050" t="inlineStr">
        <is>
          <t>Luty</t>
        </is>
      </c>
      <c r="G4050" t="inlineStr">
        <is>
          <t>Nd</t>
        </is>
      </c>
      <c r="H4050">
        <f>'Floor Hours Engine'!$E$6</f>
        <v/>
      </c>
      <c r="I4050" t="inlineStr">
        <is>
          <t>W1</t>
        </is>
      </c>
      <c r="J4050" t="inlineStr">
        <is>
          <t>2032_Luty_W1</t>
        </is>
      </c>
    </row>
    <row r="4051">
      <c r="A4051" s="177" t="n">
        <v>48246</v>
      </c>
      <c r="B4051" s="177" t="n">
        <v>48240</v>
      </c>
      <c r="C4051" s="177" t="n">
        <v>48246</v>
      </c>
      <c r="D4051" t="inlineStr">
        <is>
          <t>BW20320127</t>
        </is>
      </c>
      <c r="E4051" t="n">
        <v>2032</v>
      </c>
      <c r="F4051" t="inlineStr">
        <is>
          <t>Luty</t>
        </is>
      </c>
      <c r="G4051" t="inlineStr">
        <is>
          <t>Pn</t>
        </is>
      </c>
      <c r="H4051">
        <f>'Floor Hours Engine'!$E$4</f>
        <v/>
      </c>
      <c r="I4051" t="inlineStr">
        <is>
          <t>W1</t>
        </is>
      </c>
      <c r="J4051" t="inlineStr">
        <is>
          <t>2032_Luty_W1</t>
        </is>
      </c>
    </row>
    <row r="4052">
      <c r="A4052" s="177" t="n">
        <v>48247</v>
      </c>
      <c r="B4052" s="177" t="n">
        <v>48247</v>
      </c>
      <c r="C4052" s="177" t="n">
        <v>48253</v>
      </c>
      <c r="D4052" t="inlineStr">
        <is>
          <t>BW20320203</t>
        </is>
      </c>
      <c r="E4052" t="n">
        <v>2032</v>
      </c>
      <c r="F4052" t="inlineStr">
        <is>
          <t>Luty</t>
        </is>
      </c>
      <c r="G4052" t="inlineStr">
        <is>
          <t>Wt</t>
        </is>
      </c>
      <c r="H4052">
        <f>'Floor Hours Engine'!$E$4</f>
        <v/>
      </c>
      <c r="I4052" t="inlineStr">
        <is>
          <t>W2</t>
        </is>
      </c>
      <c r="J4052" t="inlineStr">
        <is>
          <t>2032_Luty_W2</t>
        </is>
      </c>
    </row>
    <row r="4053">
      <c r="A4053" s="177" t="n">
        <v>48248</v>
      </c>
      <c r="B4053" s="177" t="n">
        <v>48247</v>
      </c>
      <c r="C4053" s="177" t="n">
        <v>48253</v>
      </c>
      <c r="D4053" t="inlineStr">
        <is>
          <t>BW20320203</t>
        </is>
      </c>
      <c r="E4053" t="n">
        <v>2032</v>
      </c>
      <c r="F4053" t="inlineStr">
        <is>
          <t>Luty</t>
        </is>
      </c>
      <c r="G4053" t="inlineStr">
        <is>
          <t>Śr</t>
        </is>
      </c>
      <c r="H4053">
        <f>'Floor Hours Engine'!$E$4</f>
        <v/>
      </c>
      <c r="I4053" t="inlineStr">
        <is>
          <t>W2</t>
        </is>
      </c>
      <c r="J4053" t="inlineStr">
        <is>
          <t>2032_Luty_W2</t>
        </is>
      </c>
    </row>
    <row r="4054">
      <c r="A4054" s="177" t="n">
        <v>48249</v>
      </c>
      <c r="B4054" s="177" t="n">
        <v>48247</v>
      </c>
      <c r="C4054" s="177" t="n">
        <v>48253</v>
      </c>
      <c r="D4054" t="inlineStr">
        <is>
          <t>BW20320203</t>
        </is>
      </c>
      <c r="E4054" t="n">
        <v>2032</v>
      </c>
      <c r="F4054" t="inlineStr">
        <is>
          <t>Luty</t>
        </is>
      </c>
      <c r="G4054" t="inlineStr">
        <is>
          <t>Czw</t>
        </is>
      </c>
      <c r="H4054">
        <f>'Floor Hours Engine'!$E$4</f>
        <v/>
      </c>
      <c r="I4054" t="inlineStr">
        <is>
          <t>W2</t>
        </is>
      </c>
      <c r="J4054" t="inlineStr">
        <is>
          <t>2032_Luty_W2</t>
        </is>
      </c>
    </row>
    <row r="4055">
      <c r="A4055" s="177" t="n">
        <v>48250</v>
      </c>
      <c r="B4055" s="177" t="n">
        <v>48247</v>
      </c>
      <c r="C4055" s="177" t="n">
        <v>48253</v>
      </c>
      <c r="D4055" t="inlineStr">
        <is>
          <t>BW20320203</t>
        </is>
      </c>
      <c r="E4055" t="n">
        <v>2032</v>
      </c>
      <c r="F4055" t="inlineStr">
        <is>
          <t>Luty</t>
        </is>
      </c>
      <c r="G4055" t="inlineStr">
        <is>
          <t>Pt</t>
        </is>
      </c>
      <c r="H4055">
        <f>'Floor Hours Engine'!$E$5</f>
        <v/>
      </c>
      <c r="I4055" t="inlineStr">
        <is>
          <t>W2</t>
        </is>
      </c>
      <c r="J4055" t="inlineStr">
        <is>
          <t>2032_Luty_W2</t>
        </is>
      </c>
    </row>
    <row r="4056">
      <c r="A4056" s="177" t="n">
        <v>48251</v>
      </c>
      <c r="B4056" s="177" t="n">
        <v>48247</v>
      </c>
      <c r="C4056" s="177" t="n">
        <v>48253</v>
      </c>
      <c r="D4056" t="inlineStr">
        <is>
          <t>BW20320203</t>
        </is>
      </c>
      <c r="E4056" t="n">
        <v>2032</v>
      </c>
      <c r="F4056" t="inlineStr">
        <is>
          <t>Luty</t>
        </is>
      </c>
      <c r="G4056" t="inlineStr">
        <is>
          <t>Sob</t>
        </is>
      </c>
      <c r="H4056">
        <f>'Floor Hours Engine'!$E$5</f>
        <v/>
      </c>
      <c r="I4056" t="inlineStr">
        <is>
          <t>W2</t>
        </is>
      </c>
      <c r="J4056" t="inlineStr">
        <is>
          <t>2032_Luty_W2</t>
        </is>
      </c>
    </row>
    <row r="4057">
      <c r="A4057" s="177" t="n">
        <v>48252</v>
      </c>
      <c r="B4057" s="177" t="n">
        <v>48247</v>
      </c>
      <c r="C4057" s="177" t="n">
        <v>48253</v>
      </c>
      <c r="D4057" t="inlineStr">
        <is>
          <t>BW20320203</t>
        </is>
      </c>
      <c r="E4057" t="n">
        <v>2032</v>
      </c>
      <c r="F4057" t="inlineStr">
        <is>
          <t>Luty</t>
        </is>
      </c>
      <c r="G4057" t="inlineStr">
        <is>
          <t>Nd</t>
        </is>
      </c>
      <c r="H4057">
        <f>'Floor Hours Engine'!$E$6</f>
        <v/>
      </c>
      <c r="I4057" t="inlineStr">
        <is>
          <t>W2</t>
        </is>
      </c>
      <c r="J4057" t="inlineStr">
        <is>
          <t>2032_Luty_W2</t>
        </is>
      </c>
    </row>
    <row r="4058">
      <c r="A4058" s="177" t="n">
        <v>48253</v>
      </c>
      <c r="B4058" s="177" t="n">
        <v>48247</v>
      </c>
      <c r="C4058" s="177" t="n">
        <v>48253</v>
      </c>
      <c r="D4058" t="inlineStr">
        <is>
          <t>BW20320203</t>
        </is>
      </c>
      <c r="E4058" t="n">
        <v>2032</v>
      </c>
      <c r="F4058" t="inlineStr">
        <is>
          <t>Luty</t>
        </is>
      </c>
      <c r="G4058" t="inlineStr">
        <is>
          <t>Pn</t>
        </is>
      </c>
      <c r="H4058">
        <f>'Floor Hours Engine'!$E$4</f>
        <v/>
      </c>
      <c r="I4058" t="inlineStr">
        <is>
          <t>W2</t>
        </is>
      </c>
      <c r="J4058" t="inlineStr">
        <is>
          <t>2032_Luty_W2</t>
        </is>
      </c>
    </row>
    <row r="4059">
      <c r="A4059" s="177" t="n">
        <v>48254</v>
      </c>
      <c r="B4059" s="177" t="n">
        <v>48254</v>
      </c>
      <c r="C4059" s="177" t="n">
        <v>48260</v>
      </c>
      <c r="D4059" t="inlineStr">
        <is>
          <t>BW20320210</t>
        </is>
      </c>
      <c r="E4059" t="n">
        <v>2032</v>
      </c>
      <c r="F4059" t="inlineStr">
        <is>
          <t>Luty</t>
        </is>
      </c>
      <c r="G4059" t="inlineStr">
        <is>
          <t>Wt</t>
        </is>
      </c>
      <c r="H4059">
        <f>'Floor Hours Engine'!$E$4</f>
        <v/>
      </c>
      <c r="I4059" t="inlineStr">
        <is>
          <t>W3</t>
        </is>
      </c>
      <c r="J4059" t="inlineStr">
        <is>
          <t>2032_Luty_W3</t>
        </is>
      </c>
    </row>
    <row r="4060">
      <c r="A4060" s="177" t="n">
        <v>48255</v>
      </c>
      <c r="B4060" s="177" t="n">
        <v>48254</v>
      </c>
      <c r="C4060" s="177" t="n">
        <v>48260</v>
      </c>
      <c r="D4060" t="inlineStr">
        <is>
          <t>BW20320210</t>
        </is>
      </c>
      <c r="E4060" t="n">
        <v>2032</v>
      </c>
      <c r="F4060" t="inlineStr">
        <is>
          <t>Luty</t>
        </is>
      </c>
      <c r="G4060" t="inlineStr">
        <is>
          <t>Śr</t>
        </is>
      </c>
      <c r="H4060">
        <f>'Floor Hours Engine'!$E$4</f>
        <v/>
      </c>
      <c r="I4060" t="inlineStr">
        <is>
          <t>W3</t>
        </is>
      </c>
      <c r="J4060" t="inlineStr">
        <is>
          <t>2032_Luty_W3</t>
        </is>
      </c>
    </row>
    <row r="4061">
      <c r="A4061" s="177" t="n">
        <v>48256</v>
      </c>
      <c r="B4061" s="177" t="n">
        <v>48254</v>
      </c>
      <c r="C4061" s="177" t="n">
        <v>48260</v>
      </c>
      <c r="D4061" t="inlineStr">
        <is>
          <t>BW20320210</t>
        </is>
      </c>
      <c r="E4061" t="n">
        <v>2032</v>
      </c>
      <c r="F4061" t="inlineStr">
        <is>
          <t>Luty</t>
        </is>
      </c>
      <c r="G4061" t="inlineStr">
        <is>
          <t>Czw</t>
        </is>
      </c>
      <c r="H4061">
        <f>'Floor Hours Engine'!$E$4</f>
        <v/>
      </c>
      <c r="I4061" t="inlineStr">
        <is>
          <t>W3</t>
        </is>
      </c>
      <c r="J4061" t="inlineStr">
        <is>
          <t>2032_Luty_W3</t>
        </is>
      </c>
    </row>
    <row r="4062">
      <c r="A4062" s="177" t="n">
        <v>48257</v>
      </c>
      <c r="B4062" s="177" t="n">
        <v>48254</v>
      </c>
      <c r="C4062" s="177" t="n">
        <v>48260</v>
      </c>
      <c r="D4062" t="inlineStr">
        <is>
          <t>BW20320210</t>
        </is>
      </c>
      <c r="E4062" t="n">
        <v>2032</v>
      </c>
      <c r="F4062" t="inlineStr">
        <is>
          <t>Luty</t>
        </is>
      </c>
      <c r="G4062" t="inlineStr">
        <is>
          <t>Pt</t>
        </is>
      </c>
      <c r="H4062">
        <f>'Floor Hours Engine'!$E$5</f>
        <v/>
      </c>
      <c r="I4062" t="inlineStr">
        <is>
          <t>W3</t>
        </is>
      </c>
      <c r="J4062" t="inlineStr">
        <is>
          <t>2032_Luty_W3</t>
        </is>
      </c>
    </row>
    <row r="4063">
      <c r="A4063" s="177" t="n">
        <v>48258</v>
      </c>
      <c r="B4063" s="177" t="n">
        <v>48254</v>
      </c>
      <c r="C4063" s="177" t="n">
        <v>48260</v>
      </c>
      <c r="D4063" t="inlineStr">
        <is>
          <t>BW20320210</t>
        </is>
      </c>
      <c r="E4063" t="n">
        <v>2032</v>
      </c>
      <c r="F4063" t="inlineStr">
        <is>
          <t>Luty</t>
        </is>
      </c>
      <c r="G4063" t="inlineStr">
        <is>
          <t>Sob</t>
        </is>
      </c>
      <c r="H4063">
        <f>'Floor Hours Engine'!$E$5</f>
        <v/>
      </c>
      <c r="I4063" t="inlineStr">
        <is>
          <t>W3</t>
        </is>
      </c>
      <c r="J4063" t="inlineStr">
        <is>
          <t>2032_Luty_W3</t>
        </is>
      </c>
    </row>
    <row r="4064">
      <c r="A4064" s="177" t="n">
        <v>48259</v>
      </c>
      <c r="B4064" s="177" t="n">
        <v>48254</v>
      </c>
      <c r="C4064" s="177" t="n">
        <v>48260</v>
      </c>
      <c r="D4064" t="inlineStr">
        <is>
          <t>BW20320210</t>
        </is>
      </c>
      <c r="E4064" t="n">
        <v>2032</v>
      </c>
      <c r="F4064" t="inlineStr">
        <is>
          <t>Luty</t>
        </is>
      </c>
      <c r="G4064" t="inlineStr">
        <is>
          <t>Nd</t>
        </is>
      </c>
      <c r="H4064">
        <f>'Floor Hours Engine'!$E$6</f>
        <v/>
      </c>
      <c r="I4064" t="inlineStr">
        <is>
          <t>W3</t>
        </is>
      </c>
      <c r="J4064" t="inlineStr">
        <is>
          <t>2032_Luty_W3</t>
        </is>
      </c>
    </row>
    <row r="4065">
      <c r="A4065" s="177" t="n">
        <v>48260</v>
      </c>
      <c r="B4065" s="177" t="n">
        <v>48254</v>
      </c>
      <c r="C4065" s="177" t="n">
        <v>48260</v>
      </c>
      <c r="D4065" t="inlineStr">
        <is>
          <t>BW20320210</t>
        </is>
      </c>
      <c r="E4065" t="n">
        <v>2032</v>
      </c>
      <c r="F4065" t="inlineStr">
        <is>
          <t>Luty</t>
        </is>
      </c>
      <c r="G4065" t="inlineStr">
        <is>
          <t>Pn</t>
        </is>
      </c>
      <c r="H4065">
        <f>'Floor Hours Engine'!$E$4</f>
        <v/>
      </c>
      <c r="I4065" t="inlineStr">
        <is>
          <t>W3</t>
        </is>
      </c>
      <c r="J4065" t="inlineStr">
        <is>
          <t>2032_Luty_W3</t>
        </is>
      </c>
    </row>
    <row r="4066">
      <c r="A4066" s="177" t="n">
        <v>48261</v>
      </c>
      <c r="B4066" s="177" t="n">
        <v>48261</v>
      </c>
      <c r="C4066" s="177" t="n">
        <v>48267</v>
      </c>
      <c r="D4066" t="inlineStr">
        <is>
          <t>BW20320217</t>
        </is>
      </c>
      <c r="E4066" t="n">
        <v>2032</v>
      </c>
      <c r="F4066" t="inlineStr">
        <is>
          <t>Luty</t>
        </is>
      </c>
      <c r="G4066" t="inlineStr">
        <is>
          <t>Wt</t>
        </is>
      </c>
      <c r="H4066">
        <f>'Floor Hours Engine'!$E$4</f>
        <v/>
      </c>
      <c r="I4066" t="inlineStr">
        <is>
          <t>W4</t>
        </is>
      </c>
      <c r="J4066" t="inlineStr">
        <is>
          <t>2032_Luty_W4</t>
        </is>
      </c>
    </row>
    <row r="4067">
      <c r="A4067" s="177" t="n">
        <v>48262</v>
      </c>
      <c r="B4067" s="177" t="n">
        <v>48261</v>
      </c>
      <c r="C4067" s="177" t="n">
        <v>48267</v>
      </c>
      <c r="D4067" t="inlineStr">
        <is>
          <t>BW20320217</t>
        </is>
      </c>
      <c r="E4067" t="n">
        <v>2032</v>
      </c>
      <c r="F4067" t="inlineStr">
        <is>
          <t>Luty</t>
        </is>
      </c>
      <c r="G4067" t="inlineStr">
        <is>
          <t>Śr</t>
        </is>
      </c>
      <c r="H4067">
        <f>'Floor Hours Engine'!$E$4</f>
        <v/>
      </c>
      <c r="I4067" t="inlineStr">
        <is>
          <t>W4</t>
        </is>
      </c>
      <c r="J4067" t="inlineStr">
        <is>
          <t>2032_Luty_W4</t>
        </is>
      </c>
    </row>
    <row r="4068">
      <c r="A4068" s="177" t="n">
        <v>48263</v>
      </c>
      <c r="B4068" s="177" t="n">
        <v>48261</v>
      </c>
      <c r="C4068" s="177" t="n">
        <v>48267</v>
      </c>
      <c r="D4068" t="inlineStr">
        <is>
          <t>BW20320217</t>
        </is>
      </c>
      <c r="E4068" t="n">
        <v>2032</v>
      </c>
      <c r="F4068" t="inlineStr">
        <is>
          <t>Luty</t>
        </is>
      </c>
      <c r="G4068" t="inlineStr">
        <is>
          <t>Czw</t>
        </is>
      </c>
      <c r="H4068">
        <f>'Floor Hours Engine'!$E$4</f>
        <v/>
      </c>
      <c r="I4068" t="inlineStr">
        <is>
          <t>W4</t>
        </is>
      </c>
      <c r="J4068" t="inlineStr">
        <is>
          <t>2032_Luty_W4</t>
        </is>
      </c>
    </row>
    <row r="4069">
      <c r="A4069" s="177" t="n">
        <v>48264</v>
      </c>
      <c r="B4069" s="177" t="n">
        <v>48261</v>
      </c>
      <c r="C4069" s="177" t="n">
        <v>48267</v>
      </c>
      <c r="D4069" t="inlineStr">
        <is>
          <t>BW20320217</t>
        </is>
      </c>
      <c r="E4069" t="n">
        <v>2032</v>
      </c>
      <c r="F4069" t="inlineStr">
        <is>
          <t>Luty</t>
        </is>
      </c>
      <c r="G4069" t="inlineStr">
        <is>
          <t>Pt</t>
        </is>
      </c>
      <c r="H4069">
        <f>'Floor Hours Engine'!$E$5</f>
        <v/>
      </c>
      <c r="I4069" t="inlineStr">
        <is>
          <t>W4</t>
        </is>
      </c>
      <c r="J4069" t="inlineStr">
        <is>
          <t>2032_Luty_W4</t>
        </is>
      </c>
    </row>
    <row r="4070">
      <c r="A4070" s="177" t="n">
        <v>48265</v>
      </c>
      <c r="B4070" s="177" t="n">
        <v>48261</v>
      </c>
      <c r="C4070" s="177" t="n">
        <v>48267</v>
      </c>
      <c r="D4070" t="inlineStr">
        <is>
          <t>BW20320217</t>
        </is>
      </c>
      <c r="E4070" t="n">
        <v>2032</v>
      </c>
      <c r="F4070" t="inlineStr">
        <is>
          <t>Luty</t>
        </is>
      </c>
      <c r="G4070" t="inlineStr">
        <is>
          <t>Sob</t>
        </is>
      </c>
      <c r="H4070">
        <f>'Floor Hours Engine'!$E$5</f>
        <v/>
      </c>
      <c r="I4070" t="inlineStr">
        <is>
          <t>W4</t>
        </is>
      </c>
      <c r="J4070" t="inlineStr">
        <is>
          <t>2032_Luty_W4</t>
        </is>
      </c>
    </row>
    <row r="4071">
      <c r="A4071" s="177" t="n">
        <v>48266</v>
      </c>
      <c r="B4071" s="177" t="n">
        <v>48261</v>
      </c>
      <c r="C4071" s="177" t="n">
        <v>48267</v>
      </c>
      <c r="D4071" t="inlineStr">
        <is>
          <t>BW20320217</t>
        </is>
      </c>
      <c r="E4071" t="n">
        <v>2032</v>
      </c>
      <c r="F4071" t="inlineStr">
        <is>
          <t>Luty</t>
        </is>
      </c>
      <c r="G4071" t="inlineStr">
        <is>
          <t>Nd</t>
        </is>
      </c>
      <c r="H4071">
        <f>'Floor Hours Engine'!$E$6</f>
        <v/>
      </c>
      <c r="I4071" t="inlineStr">
        <is>
          <t>W4</t>
        </is>
      </c>
      <c r="J4071" t="inlineStr">
        <is>
          <t>2032_Luty_W4</t>
        </is>
      </c>
    </row>
    <row r="4072">
      <c r="A4072" s="177" t="n">
        <v>48267</v>
      </c>
      <c r="B4072" s="177" t="n">
        <v>48261</v>
      </c>
      <c r="C4072" s="177" t="n">
        <v>48267</v>
      </c>
      <c r="D4072" t="inlineStr">
        <is>
          <t>BW20320217</t>
        </is>
      </c>
      <c r="E4072" t="n">
        <v>2032</v>
      </c>
      <c r="F4072" t="inlineStr">
        <is>
          <t>Luty</t>
        </is>
      </c>
      <c r="G4072" t="inlineStr">
        <is>
          <t>Pn</t>
        </is>
      </c>
      <c r="H4072">
        <f>'Floor Hours Engine'!$E$4</f>
        <v/>
      </c>
      <c r="I4072" t="inlineStr">
        <is>
          <t>W4</t>
        </is>
      </c>
      <c r="J4072" t="inlineStr">
        <is>
          <t>2032_Luty_W4</t>
        </is>
      </c>
    </row>
    <row r="4073">
      <c r="A4073" s="177" t="n">
        <v>48268</v>
      </c>
      <c r="B4073" s="177" t="n">
        <v>48268</v>
      </c>
      <c r="C4073" s="177" t="n">
        <v>48274</v>
      </c>
      <c r="D4073" t="inlineStr">
        <is>
          <t>BW20320224</t>
        </is>
      </c>
      <c r="E4073" t="n">
        <v>2032</v>
      </c>
      <c r="F4073" t="inlineStr">
        <is>
          <t>Luty</t>
        </is>
      </c>
      <c r="G4073" t="inlineStr">
        <is>
          <t>Wt</t>
        </is>
      </c>
      <c r="H4073">
        <f>'Floor Hours Engine'!$E$4</f>
        <v/>
      </c>
      <c r="I4073" t="inlineStr">
        <is>
          <t>W5</t>
        </is>
      </c>
      <c r="J4073" t="inlineStr">
        <is>
          <t>2032_Luty_W5</t>
        </is>
      </c>
    </row>
    <row r="4074">
      <c r="A4074" s="177" t="n">
        <v>48269</v>
      </c>
      <c r="B4074" s="177" t="n">
        <v>48268</v>
      </c>
      <c r="C4074" s="177" t="n">
        <v>48274</v>
      </c>
      <c r="D4074" t="inlineStr">
        <is>
          <t>BW20320224</t>
        </is>
      </c>
      <c r="E4074" t="n">
        <v>2032</v>
      </c>
      <c r="F4074" t="inlineStr">
        <is>
          <t>Luty</t>
        </is>
      </c>
      <c r="G4074" t="inlineStr">
        <is>
          <t>Śr</t>
        </is>
      </c>
      <c r="H4074">
        <f>'Floor Hours Engine'!$E$4</f>
        <v/>
      </c>
      <c r="I4074" t="inlineStr">
        <is>
          <t>W5</t>
        </is>
      </c>
      <c r="J4074" t="inlineStr">
        <is>
          <t>2032_Luty_W5</t>
        </is>
      </c>
    </row>
    <row r="4075">
      <c r="A4075" s="177" t="n">
        <v>48270</v>
      </c>
      <c r="B4075" s="177" t="n">
        <v>48268</v>
      </c>
      <c r="C4075" s="177" t="n">
        <v>48274</v>
      </c>
      <c r="D4075" t="inlineStr">
        <is>
          <t>BW20320224</t>
        </is>
      </c>
      <c r="E4075" t="n">
        <v>2032</v>
      </c>
      <c r="F4075" t="inlineStr">
        <is>
          <t>Luty</t>
        </is>
      </c>
      <c r="G4075" t="inlineStr">
        <is>
          <t>Czw</t>
        </is>
      </c>
      <c r="H4075">
        <f>'Floor Hours Engine'!$E$4</f>
        <v/>
      </c>
      <c r="I4075" t="inlineStr">
        <is>
          <t>W5</t>
        </is>
      </c>
      <c r="J4075" t="inlineStr">
        <is>
          <t>2032_Luty_W5</t>
        </is>
      </c>
    </row>
    <row r="4076">
      <c r="A4076" s="177" t="n">
        <v>48271</v>
      </c>
      <c r="B4076" s="177" t="n">
        <v>48268</v>
      </c>
      <c r="C4076" s="177" t="n">
        <v>48274</v>
      </c>
      <c r="D4076" t="inlineStr">
        <is>
          <t>BW20320224</t>
        </is>
      </c>
      <c r="E4076" t="n">
        <v>2032</v>
      </c>
      <c r="F4076" t="inlineStr">
        <is>
          <t>Luty</t>
        </is>
      </c>
      <c r="G4076" t="inlineStr">
        <is>
          <t>Pt</t>
        </is>
      </c>
      <c r="H4076">
        <f>'Floor Hours Engine'!$E$5</f>
        <v/>
      </c>
      <c r="I4076" t="inlineStr">
        <is>
          <t>W5</t>
        </is>
      </c>
      <c r="J4076" t="inlineStr">
        <is>
          <t>2032_Luty_W5</t>
        </is>
      </c>
    </row>
    <row r="4077">
      <c r="A4077" s="177" t="n">
        <v>48272</v>
      </c>
      <c r="B4077" s="177" t="n">
        <v>48268</v>
      </c>
      <c r="C4077" s="177" t="n">
        <v>48274</v>
      </c>
      <c r="D4077" t="inlineStr">
        <is>
          <t>BW20320224</t>
        </is>
      </c>
      <c r="E4077" t="n">
        <v>2032</v>
      </c>
      <c r="F4077" t="inlineStr">
        <is>
          <t>Luty</t>
        </is>
      </c>
      <c r="G4077" t="inlineStr">
        <is>
          <t>Sob</t>
        </is>
      </c>
      <c r="H4077">
        <f>'Floor Hours Engine'!$E$5</f>
        <v/>
      </c>
      <c r="I4077" t="inlineStr">
        <is>
          <t>W5</t>
        </is>
      </c>
      <c r="J4077" t="inlineStr">
        <is>
          <t>2032_Luty_W5</t>
        </is>
      </c>
    </row>
    <row r="4078">
      <c r="A4078" s="177" t="n">
        <v>48273</v>
      </c>
      <c r="B4078" s="177" t="n">
        <v>48268</v>
      </c>
      <c r="C4078" s="177" t="n">
        <v>48274</v>
      </c>
      <c r="D4078" t="inlineStr">
        <is>
          <t>BW20320224</t>
        </is>
      </c>
      <c r="E4078" t="n">
        <v>2032</v>
      </c>
      <c r="F4078" t="inlineStr">
        <is>
          <t>Luty</t>
        </is>
      </c>
      <c r="G4078" t="inlineStr">
        <is>
          <t>Nd</t>
        </is>
      </c>
      <c r="H4078">
        <f>'Floor Hours Engine'!$E$6</f>
        <v/>
      </c>
      <c r="I4078" t="inlineStr">
        <is>
          <t>W5</t>
        </is>
      </c>
      <c r="J4078" t="inlineStr">
        <is>
          <t>2032_Luty_W5</t>
        </is>
      </c>
    </row>
    <row r="4079">
      <c r="A4079" s="177" t="n">
        <v>48274</v>
      </c>
      <c r="B4079" s="177" t="n">
        <v>48268</v>
      </c>
      <c r="C4079" s="177" t="n">
        <v>48274</v>
      </c>
      <c r="D4079" t="inlineStr">
        <is>
          <t>BW20320224</t>
        </is>
      </c>
      <c r="E4079" t="n">
        <v>2032</v>
      </c>
      <c r="F4079" t="inlineStr">
        <is>
          <t>Marzec</t>
        </is>
      </c>
      <c r="G4079" t="inlineStr">
        <is>
          <t>Pn</t>
        </is>
      </c>
      <c r="H4079">
        <f>'Floor Hours Engine'!$E$4</f>
        <v/>
      </c>
      <c r="I4079" t="inlineStr">
        <is>
          <t>W1</t>
        </is>
      </c>
      <c r="J4079" t="inlineStr">
        <is>
          <t>2032_Marzec_W1</t>
        </is>
      </c>
    </row>
    <row r="4080">
      <c r="A4080" s="177" t="n">
        <v>48275</v>
      </c>
      <c r="B4080" s="177" t="n">
        <v>48275</v>
      </c>
      <c r="C4080" s="177" t="n">
        <v>48281</v>
      </c>
      <c r="D4080" t="inlineStr">
        <is>
          <t>BW20320302</t>
        </is>
      </c>
      <c r="E4080" t="n">
        <v>2032</v>
      </c>
      <c r="F4080" t="inlineStr">
        <is>
          <t>Marzec</t>
        </is>
      </c>
      <c r="G4080" t="inlineStr">
        <is>
          <t>Wt</t>
        </is>
      </c>
      <c r="H4080">
        <f>'Floor Hours Engine'!$E$4</f>
        <v/>
      </c>
      <c r="I4080" t="inlineStr">
        <is>
          <t>W2</t>
        </is>
      </c>
      <c r="J4080" t="inlineStr">
        <is>
          <t>2032_Marzec_W2</t>
        </is>
      </c>
    </row>
    <row r="4081">
      <c r="A4081" s="177" t="n">
        <v>48276</v>
      </c>
      <c r="B4081" s="177" t="n">
        <v>48275</v>
      </c>
      <c r="C4081" s="177" t="n">
        <v>48281</v>
      </c>
      <c r="D4081" t="inlineStr">
        <is>
          <t>BW20320302</t>
        </is>
      </c>
      <c r="E4081" t="n">
        <v>2032</v>
      </c>
      <c r="F4081" t="inlineStr">
        <is>
          <t>Marzec</t>
        </is>
      </c>
      <c r="G4081" t="inlineStr">
        <is>
          <t>Śr</t>
        </is>
      </c>
      <c r="H4081">
        <f>'Floor Hours Engine'!$E$4</f>
        <v/>
      </c>
      <c r="I4081" t="inlineStr">
        <is>
          <t>W2</t>
        </is>
      </c>
      <c r="J4081" t="inlineStr">
        <is>
          <t>2032_Marzec_W2</t>
        </is>
      </c>
    </row>
    <row r="4082">
      <c r="A4082" s="177" t="n">
        <v>48277</v>
      </c>
      <c r="B4082" s="177" t="n">
        <v>48275</v>
      </c>
      <c r="C4082" s="177" t="n">
        <v>48281</v>
      </c>
      <c r="D4082" t="inlineStr">
        <is>
          <t>BW20320302</t>
        </is>
      </c>
      <c r="E4082" t="n">
        <v>2032</v>
      </c>
      <c r="F4082" t="inlineStr">
        <is>
          <t>Marzec</t>
        </is>
      </c>
      <c r="G4082" t="inlineStr">
        <is>
          <t>Czw</t>
        </is>
      </c>
      <c r="H4082">
        <f>'Floor Hours Engine'!$E$4</f>
        <v/>
      </c>
      <c r="I4082" t="inlineStr">
        <is>
          <t>W2</t>
        </is>
      </c>
      <c r="J4082" t="inlineStr">
        <is>
          <t>2032_Marzec_W2</t>
        </is>
      </c>
    </row>
    <row r="4083">
      <c r="A4083" s="177" t="n">
        <v>48278</v>
      </c>
      <c r="B4083" s="177" t="n">
        <v>48275</v>
      </c>
      <c r="C4083" s="177" t="n">
        <v>48281</v>
      </c>
      <c r="D4083" t="inlineStr">
        <is>
          <t>BW20320302</t>
        </is>
      </c>
      <c r="E4083" t="n">
        <v>2032</v>
      </c>
      <c r="F4083" t="inlineStr">
        <is>
          <t>Marzec</t>
        </is>
      </c>
      <c r="G4083" t="inlineStr">
        <is>
          <t>Pt</t>
        </is>
      </c>
      <c r="H4083">
        <f>'Floor Hours Engine'!$E$5</f>
        <v/>
      </c>
      <c r="I4083" t="inlineStr">
        <is>
          <t>W2</t>
        </is>
      </c>
      <c r="J4083" t="inlineStr">
        <is>
          <t>2032_Marzec_W2</t>
        </is>
      </c>
    </row>
    <row r="4084">
      <c r="A4084" s="177" t="n">
        <v>48279</v>
      </c>
      <c r="B4084" s="177" t="n">
        <v>48275</v>
      </c>
      <c r="C4084" s="177" t="n">
        <v>48281</v>
      </c>
      <c r="D4084" t="inlineStr">
        <is>
          <t>BW20320302</t>
        </is>
      </c>
      <c r="E4084" t="n">
        <v>2032</v>
      </c>
      <c r="F4084" t="inlineStr">
        <is>
          <t>Marzec</t>
        </is>
      </c>
      <c r="G4084" t="inlineStr">
        <is>
          <t>Sob</t>
        </is>
      </c>
      <c r="H4084">
        <f>'Floor Hours Engine'!$E$5</f>
        <v/>
      </c>
      <c r="I4084" t="inlineStr">
        <is>
          <t>W2</t>
        </is>
      </c>
      <c r="J4084" t="inlineStr">
        <is>
          <t>2032_Marzec_W2</t>
        </is>
      </c>
    </row>
    <row r="4085">
      <c r="A4085" s="177" t="n">
        <v>48280</v>
      </c>
      <c r="B4085" s="177" t="n">
        <v>48275</v>
      </c>
      <c r="C4085" s="177" t="n">
        <v>48281</v>
      </c>
      <c r="D4085" t="inlineStr">
        <is>
          <t>BW20320302</t>
        </is>
      </c>
      <c r="E4085" t="n">
        <v>2032</v>
      </c>
      <c r="F4085" t="inlineStr">
        <is>
          <t>Marzec</t>
        </is>
      </c>
      <c r="G4085" t="inlineStr">
        <is>
          <t>Nd</t>
        </is>
      </c>
      <c r="H4085">
        <f>'Floor Hours Engine'!$E$6</f>
        <v/>
      </c>
      <c r="I4085" t="inlineStr">
        <is>
          <t>W2</t>
        </is>
      </c>
      <c r="J4085" t="inlineStr">
        <is>
          <t>2032_Marzec_W2</t>
        </is>
      </c>
    </row>
    <row r="4086">
      <c r="A4086" s="177" t="n">
        <v>48281</v>
      </c>
      <c r="B4086" s="177" t="n">
        <v>48275</v>
      </c>
      <c r="C4086" s="177" t="n">
        <v>48281</v>
      </c>
      <c r="D4086" t="inlineStr">
        <is>
          <t>BW20320302</t>
        </is>
      </c>
      <c r="E4086" t="n">
        <v>2032</v>
      </c>
      <c r="F4086" t="inlineStr">
        <is>
          <t>Marzec</t>
        </is>
      </c>
      <c r="G4086" t="inlineStr">
        <is>
          <t>Pn</t>
        </is>
      </c>
      <c r="H4086">
        <f>'Floor Hours Engine'!$E$4</f>
        <v/>
      </c>
      <c r="I4086" t="inlineStr">
        <is>
          <t>W2</t>
        </is>
      </c>
      <c r="J4086" t="inlineStr">
        <is>
          <t>2032_Marzec_W2</t>
        </is>
      </c>
    </row>
    <row r="4087">
      <c r="A4087" s="177" t="n">
        <v>48282</v>
      </c>
      <c r="B4087" s="177" t="n">
        <v>48282</v>
      </c>
      <c r="C4087" s="177" t="n">
        <v>48288</v>
      </c>
      <c r="D4087" t="inlineStr">
        <is>
          <t>BW20320309</t>
        </is>
      </c>
      <c r="E4087" t="n">
        <v>2032</v>
      </c>
      <c r="F4087" t="inlineStr">
        <is>
          <t>Marzec</t>
        </is>
      </c>
      <c r="G4087" t="inlineStr">
        <is>
          <t>Wt</t>
        </is>
      </c>
      <c r="H4087">
        <f>'Floor Hours Engine'!$E$4</f>
        <v/>
      </c>
      <c r="I4087" t="inlineStr">
        <is>
          <t>W3</t>
        </is>
      </c>
      <c r="J4087" t="inlineStr">
        <is>
          <t>2032_Marzec_W3</t>
        </is>
      </c>
    </row>
    <row r="4088">
      <c r="A4088" s="177" t="n">
        <v>48283</v>
      </c>
      <c r="B4088" s="177" t="n">
        <v>48282</v>
      </c>
      <c r="C4088" s="177" t="n">
        <v>48288</v>
      </c>
      <c r="D4088" t="inlineStr">
        <is>
          <t>BW20320309</t>
        </is>
      </c>
      <c r="E4088" t="n">
        <v>2032</v>
      </c>
      <c r="F4088" t="inlineStr">
        <is>
          <t>Marzec</t>
        </is>
      </c>
      <c r="G4088" t="inlineStr">
        <is>
          <t>Śr</t>
        </is>
      </c>
      <c r="H4088">
        <f>'Floor Hours Engine'!$E$4</f>
        <v/>
      </c>
      <c r="I4088" t="inlineStr">
        <is>
          <t>W3</t>
        </is>
      </c>
      <c r="J4088" t="inlineStr">
        <is>
          <t>2032_Marzec_W3</t>
        </is>
      </c>
    </row>
    <row r="4089">
      <c r="A4089" s="177" t="n">
        <v>48284</v>
      </c>
      <c r="B4089" s="177" t="n">
        <v>48282</v>
      </c>
      <c r="C4089" s="177" t="n">
        <v>48288</v>
      </c>
      <c r="D4089" t="inlineStr">
        <is>
          <t>BW20320309</t>
        </is>
      </c>
      <c r="E4089" t="n">
        <v>2032</v>
      </c>
      <c r="F4089" t="inlineStr">
        <is>
          <t>Marzec</t>
        </is>
      </c>
      <c r="G4089" t="inlineStr">
        <is>
          <t>Czw</t>
        </is>
      </c>
      <c r="H4089">
        <f>'Floor Hours Engine'!$E$4</f>
        <v/>
      </c>
      <c r="I4089" t="inlineStr">
        <is>
          <t>W3</t>
        </is>
      </c>
      <c r="J4089" t="inlineStr">
        <is>
          <t>2032_Marzec_W3</t>
        </is>
      </c>
    </row>
    <row r="4090">
      <c r="A4090" s="177" t="n">
        <v>48285</v>
      </c>
      <c r="B4090" s="177" t="n">
        <v>48282</v>
      </c>
      <c r="C4090" s="177" t="n">
        <v>48288</v>
      </c>
      <c r="D4090" t="inlineStr">
        <is>
          <t>BW20320309</t>
        </is>
      </c>
      <c r="E4090" t="n">
        <v>2032</v>
      </c>
      <c r="F4090" t="inlineStr">
        <is>
          <t>Marzec</t>
        </is>
      </c>
      <c r="G4090" t="inlineStr">
        <is>
          <t>Pt</t>
        </is>
      </c>
      <c r="H4090">
        <f>'Floor Hours Engine'!$E$5</f>
        <v/>
      </c>
      <c r="I4090" t="inlineStr">
        <is>
          <t>W3</t>
        </is>
      </c>
      <c r="J4090" t="inlineStr">
        <is>
          <t>2032_Marzec_W3</t>
        </is>
      </c>
    </row>
    <row r="4091">
      <c r="A4091" s="177" t="n">
        <v>48286</v>
      </c>
      <c r="B4091" s="177" t="n">
        <v>48282</v>
      </c>
      <c r="C4091" s="177" t="n">
        <v>48288</v>
      </c>
      <c r="D4091" t="inlineStr">
        <is>
          <t>BW20320309</t>
        </is>
      </c>
      <c r="E4091" t="n">
        <v>2032</v>
      </c>
      <c r="F4091" t="inlineStr">
        <is>
          <t>Marzec</t>
        </is>
      </c>
      <c r="G4091" t="inlineStr">
        <is>
          <t>Sob</t>
        </is>
      </c>
      <c r="H4091">
        <f>'Floor Hours Engine'!$E$5</f>
        <v/>
      </c>
      <c r="I4091" t="inlineStr">
        <is>
          <t>W3</t>
        </is>
      </c>
      <c r="J4091" t="inlineStr">
        <is>
          <t>2032_Marzec_W3</t>
        </is>
      </c>
    </row>
    <row r="4092">
      <c r="A4092" s="177" t="n">
        <v>48287</v>
      </c>
      <c r="B4092" s="177" t="n">
        <v>48282</v>
      </c>
      <c r="C4092" s="177" t="n">
        <v>48288</v>
      </c>
      <c r="D4092" t="inlineStr">
        <is>
          <t>BW20320309</t>
        </is>
      </c>
      <c r="E4092" t="n">
        <v>2032</v>
      </c>
      <c r="F4092" t="inlineStr">
        <is>
          <t>Marzec</t>
        </is>
      </c>
      <c r="G4092" t="inlineStr">
        <is>
          <t>Nd</t>
        </is>
      </c>
      <c r="H4092">
        <f>'Floor Hours Engine'!$E$6</f>
        <v/>
      </c>
      <c r="I4092" t="inlineStr">
        <is>
          <t>W3</t>
        </is>
      </c>
      <c r="J4092" t="inlineStr">
        <is>
          <t>2032_Marzec_W3</t>
        </is>
      </c>
    </row>
    <row r="4093">
      <c r="A4093" s="177" t="n">
        <v>48288</v>
      </c>
      <c r="B4093" s="177" t="n">
        <v>48282</v>
      </c>
      <c r="C4093" s="177" t="n">
        <v>48288</v>
      </c>
      <c r="D4093" t="inlineStr">
        <is>
          <t>BW20320309</t>
        </is>
      </c>
      <c r="E4093" t="n">
        <v>2032</v>
      </c>
      <c r="F4093" t="inlineStr">
        <is>
          <t>Marzec</t>
        </is>
      </c>
      <c r="G4093" t="inlineStr">
        <is>
          <t>Pn</t>
        </is>
      </c>
      <c r="H4093">
        <f>'Floor Hours Engine'!$E$4</f>
        <v/>
      </c>
      <c r="I4093" t="inlineStr">
        <is>
          <t>W3</t>
        </is>
      </c>
      <c r="J4093" t="inlineStr">
        <is>
          <t>2032_Marzec_W3</t>
        </is>
      </c>
    </row>
    <row r="4094">
      <c r="A4094" s="177" t="n">
        <v>48289</v>
      </c>
      <c r="B4094" s="177" t="n">
        <v>48289</v>
      </c>
      <c r="C4094" s="177" t="n">
        <v>48295</v>
      </c>
      <c r="D4094" t="inlineStr">
        <is>
          <t>BW20320316</t>
        </is>
      </c>
      <c r="E4094" t="n">
        <v>2032</v>
      </c>
      <c r="F4094" t="inlineStr">
        <is>
          <t>Marzec</t>
        </is>
      </c>
      <c r="G4094" t="inlineStr">
        <is>
          <t>Wt</t>
        </is>
      </c>
      <c r="H4094">
        <f>'Floor Hours Engine'!$E$4</f>
        <v/>
      </c>
      <c r="I4094" t="inlineStr">
        <is>
          <t>W4</t>
        </is>
      </c>
      <c r="J4094" t="inlineStr">
        <is>
          <t>2032_Marzec_W4</t>
        </is>
      </c>
    </row>
    <row r="4095">
      <c r="A4095" s="177" t="n">
        <v>48290</v>
      </c>
      <c r="B4095" s="177" t="n">
        <v>48289</v>
      </c>
      <c r="C4095" s="177" t="n">
        <v>48295</v>
      </c>
      <c r="D4095" t="inlineStr">
        <is>
          <t>BW20320316</t>
        </is>
      </c>
      <c r="E4095" t="n">
        <v>2032</v>
      </c>
      <c r="F4095" t="inlineStr">
        <is>
          <t>Marzec</t>
        </is>
      </c>
      <c r="G4095" t="inlineStr">
        <is>
          <t>Śr</t>
        </is>
      </c>
      <c r="H4095">
        <f>'Floor Hours Engine'!$E$4</f>
        <v/>
      </c>
      <c r="I4095" t="inlineStr">
        <is>
          <t>W4</t>
        </is>
      </c>
      <c r="J4095" t="inlineStr">
        <is>
          <t>2032_Marzec_W4</t>
        </is>
      </c>
    </row>
    <row r="4096">
      <c r="A4096" s="177" t="n">
        <v>48291</v>
      </c>
      <c r="B4096" s="177" t="n">
        <v>48289</v>
      </c>
      <c r="C4096" s="177" t="n">
        <v>48295</v>
      </c>
      <c r="D4096" t="inlineStr">
        <is>
          <t>BW20320316</t>
        </is>
      </c>
      <c r="E4096" t="n">
        <v>2032</v>
      </c>
      <c r="F4096" t="inlineStr">
        <is>
          <t>Marzec</t>
        </is>
      </c>
      <c r="G4096" t="inlineStr">
        <is>
          <t>Czw</t>
        </is>
      </c>
      <c r="H4096">
        <f>'Floor Hours Engine'!$E$4</f>
        <v/>
      </c>
      <c r="I4096" t="inlineStr">
        <is>
          <t>W4</t>
        </is>
      </c>
      <c r="J4096" t="inlineStr">
        <is>
          <t>2032_Marzec_W4</t>
        </is>
      </c>
    </row>
    <row r="4097">
      <c r="A4097" s="177" t="n">
        <v>48292</v>
      </c>
      <c r="B4097" s="177" t="n">
        <v>48289</v>
      </c>
      <c r="C4097" s="177" t="n">
        <v>48295</v>
      </c>
      <c r="D4097" t="inlineStr">
        <is>
          <t>BW20320316</t>
        </is>
      </c>
      <c r="E4097" t="n">
        <v>2032</v>
      </c>
      <c r="F4097" t="inlineStr">
        <is>
          <t>Marzec</t>
        </is>
      </c>
      <c r="G4097" t="inlineStr">
        <is>
          <t>Pt</t>
        </is>
      </c>
      <c r="H4097">
        <f>'Floor Hours Engine'!$E$5</f>
        <v/>
      </c>
      <c r="I4097" t="inlineStr">
        <is>
          <t>W4</t>
        </is>
      </c>
      <c r="J4097" t="inlineStr">
        <is>
          <t>2032_Marzec_W4</t>
        </is>
      </c>
    </row>
    <row r="4098">
      <c r="A4098" s="177" t="n">
        <v>48293</v>
      </c>
      <c r="B4098" s="177" t="n">
        <v>48289</v>
      </c>
      <c r="C4098" s="177" t="n">
        <v>48295</v>
      </c>
      <c r="D4098" t="inlineStr">
        <is>
          <t>BW20320316</t>
        </is>
      </c>
      <c r="E4098" t="n">
        <v>2032</v>
      </c>
      <c r="F4098" t="inlineStr">
        <is>
          <t>Marzec</t>
        </is>
      </c>
      <c r="G4098" t="inlineStr">
        <is>
          <t>Sob</t>
        </is>
      </c>
      <c r="H4098">
        <f>'Floor Hours Engine'!$E$5</f>
        <v/>
      </c>
      <c r="I4098" t="inlineStr">
        <is>
          <t>W4</t>
        </is>
      </c>
      <c r="J4098" t="inlineStr">
        <is>
          <t>2032_Marzec_W4</t>
        </is>
      </c>
    </row>
    <row r="4099">
      <c r="A4099" s="177" t="n">
        <v>48294</v>
      </c>
      <c r="B4099" s="177" t="n">
        <v>48289</v>
      </c>
      <c r="C4099" s="177" t="n">
        <v>48295</v>
      </c>
      <c r="D4099" t="inlineStr">
        <is>
          <t>BW20320316</t>
        </is>
      </c>
      <c r="E4099" t="n">
        <v>2032</v>
      </c>
      <c r="F4099" t="inlineStr">
        <is>
          <t>Marzec</t>
        </is>
      </c>
      <c r="G4099" t="inlineStr">
        <is>
          <t>Nd</t>
        </is>
      </c>
      <c r="H4099">
        <f>'Floor Hours Engine'!$E$6</f>
        <v/>
      </c>
      <c r="I4099" t="inlineStr">
        <is>
          <t>W4</t>
        </is>
      </c>
      <c r="J4099" t="inlineStr">
        <is>
          <t>2032_Marzec_W4</t>
        </is>
      </c>
    </row>
    <row r="4100">
      <c r="A4100" s="177" t="n">
        <v>48295</v>
      </c>
      <c r="B4100" s="177" t="n">
        <v>48289</v>
      </c>
      <c r="C4100" s="177" t="n">
        <v>48295</v>
      </c>
      <c r="D4100" t="inlineStr">
        <is>
          <t>BW20320316</t>
        </is>
      </c>
      <c r="E4100" t="n">
        <v>2032</v>
      </c>
      <c r="F4100" t="inlineStr">
        <is>
          <t>Marzec</t>
        </is>
      </c>
      <c r="G4100" t="inlineStr">
        <is>
          <t>Pn</t>
        </is>
      </c>
      <c r="H4100">
        <f>'Floor Hours Engine'!$E$4</f>
        <v/>
      </c>
      <c r="I4100" t="inlineStr">
        <is>
          <t>W4</t>
        </is>
      </c>
      <c r="J4100" t="inlineStr">
        <is>
          <t>2032_Marzec_W4</t>
        </is>
      </c>
    </row>
    <row r="4101">
      <c r="A4101" s="177" t="n">
        <v>48296</v>
      </c>
      <c r="B4101" s="177" t="n">
        <v>48296</v>
      </c>
      <c r="C4101" s="177" t="n">
        <v>48302</v>
      </c>
      <c r="D4101" t="inlineStr">
        <is>
          <t>BW20320323</t>
        </is>
      </c>
      <c r="E4101" t="n">
        <v>2032</v>
      </c>
      <c r="F4101" t="inlineStr">
        <is>
          <t>Marzec</t>
        </is>
      </c>
      <c r="G4101" t="inlineStr">
        <is>
          <t>Wt</t>
        </is>
      </c>
      <c r="H4101">
        <f>'Floor Hours Engine'!$E$4</f>
        <v/>
      </c>
      <c r="I4101" t="inlineStr">
        <is>
          <t>W5</t>
        </is>
      </c>
      <c r="J4101" t="inlineStr">
        <is>
          <t>2032_Marzec_W5</t>
        </is>
      </c>
    </row>
    <row r="4102">
      <c r="A4102" s="177" t="n">
        <v>48297</v>
      </c>
      <c r="B4102" s="177" t="n">
        <v>48296</v>
      </c>
      <c r="C4102" s="177" t="n">
        <v>48302</v>
      </c>
      <c r="D4102" t="inlineStr">
        <is>
          <t>BW20320323</t>
        </is>
      </c>
      <c r="E4102" t="n">
        <v>2032</v>
      </c>
      <c r="F4102" t="inlineStr">
        <is>
          <t>Marzec</t>
        </is>
      </c>
      <c r="G4102" t="inlineStr">
        <is>
          <t>Śr</t>
        </is>
      </c>
      <c r="H4102">
        <f>'Floor Hours Engine'!$E$4</f>
        <v/>
      </c>
      <c r="I4102" t="inlineStr">
        <is>
          <t>W5</t>
        </is>
      </c>
      <c r="J4102" t="inlineStr">
        <is>
          <t>2032_Marzec_W5</t>
        </is>
      </c>
    </row>
    <row r="4103">
      <c r="A4103" s="177" t="n">
        <v>48298</v>
      </c>
      <c r="B4103" s="177" t="n">
        <v>48296</v>
      </c>
      <c r="C4103" s="177" t="n">
        <v>48302</v>
      </c>
      <c r="D4103" t="inlineStr">
        <is>
          <t>BW20320323</t>
        </is>
      </c>
      <c r="E4103" t="n">
        <v>2032</v>
      </c>
      <c r="F4103" t="inlineStr">
        <is>
          <t>Marzec</t>
        </is>
      </c>
      <c r="G4103" t="inlineStr">
        <is>
          <t>Czw</t>
        </is>
      </c>
      <c r="H4103">
        <f>'Floor Hours Engine'!$E$4</f>
        <v/>
      </c>
      <c r="I4103" t="inlineStr">
        <is>
          <t>W5</t>
        </is>
      </c>
      <c r="J4103" t="inlineStr">
        <is>
          <t>2032_Marzec_W5</t>
        </is>
      </c>
    </row>
    <row r="4104">
      <c r="A4104" s="177" t="n">
        <v>48299</v>
      </c>
      <c r="B4104" s="177" t="n">
        <v>48296</v>
      </c>
      <c r="C4104" s="177" t="n">
        <v>48302</v>
      </c>
      <c r="D4104" t="inlineStr">
        <is>
          <t>BW20320323</t>
        </is>
      </c>
      <c r="E4104" t="n">
        <v>2032</v>
      </c>
      <c r="F4104" t="inlineStr">
        <is>
          <t>Marzec</t>
        </is>
      </c>
      <c r="G4104" t="inlineStr">
        <is>
          <t>Pt</t>
        </is>
      </c>
      <c r="H4104">
        <f>'Floor Hours Engine'!$E$5</f>
        <v/>
      </c>
      <c r="I4104" t="inlineStr">
        <is>
          <t>W5</t>
        </is>
      </c>
      <c r="J4104" t="inlineStr">
        <is>
          <t>2032_Marzec_W5</t>
        </is>
      </c>
    </row>
    <row r="4105">
      <c r="A4105" s="177" t="n">
        <v>48300</v>
      </c>
      <c r="B4105" s="177" t="n">
        <v>48296</v>
      </c>
      <c r="C4105" s="177" t="n">
        <v>48302</v>
      </c>
      <c r="D4105" t="inlineStr">
        <is>
          <t>BW20320323</t>
        </is>
      </c>
      <c r="E4105" t="n">
        <v>2032</v>
      </c>
      <c r="F4105" t="inlineStr">
        <is>
          <t>Marzec</t>
        </is>
      </c>
      <c r="G4105" t="inlineStr">
        <is>
          <t>Sob</t>
        </is>
      </c>
      <c r="H4105">
        <f>'Floor Hours Engine'!$E$5</f>
        <v/>
      </c>
      <c r="I4105" t="inlineStr">
        <is>
          <t>W5</t>
        </is>
      </c>
      <c r="J4105" t="inlineStr">
        <is>
          <t>2032_Marzec_W5</t>
        </is>
      </c>
    </row>
    <row r="4106">
      <c r="A4106" s="177" t="n">
        <v>48301</v>
      </c>
      <c r="B4106" s="177" t="n">
        <v>48296</v>
      </c>
      <c r="C4106" s="177" t="n">
        <v>48302</v>
      </c>
      <c r="D4106" t="inlineStr">
        <is>
          <t>BW20320323</t>
        </is>
      </c>
      <c r="E4106" t="n">
        <v>2032</v>
      </c>
      <c r="F4106" t="inlineStr">
        <is>
          <t>Marzec</t>
        </is>
      </c>
      <c r="G4106" t="inlineStr">
        <is>
          <t>Nd</t>
        </is>
      </c>
      <c r="H4106">
        <f>'Floor Hours Engine'!$E$6</f>
        <v/>
      </c>
      <c r="I4106" t="inlineStr">
        <is>
          <t>W5</t>
        </is>
      </c>
      <c r="J4106" t="inlineStr">
        <is>
          <t>2032_Marzec_W5</t>
        </is>
      </c>
    </row>
    <row r="4107">
      <c r="A4107" s="177" t="n">
        <v>48302</v>
      </c>
      <c r="B4107" s="177" t="n">
        <v>48296</v>
      </c>
      <c r="C4107" s="177" t="n">
        <v>48302</v>
      </c>
      <c r="D4107" t="inlineStr">
        <is>
          <t>BW20320323</t>
        </is>
      </c>
      <c r="E4107" t="n">
        <v>2032</v>
      </c>
      <c r="F4107" t="inlineStr">
        <is>
          <t>Marzec</t>
        </is>
      </c>
      <c r="G4107" t="inlineStr">
        <is>
          <t>Pn</t>
        </is>
      </c>
      <c r="H4107">
        <f>'Floor Hours Engine'!$E$4</f>
        <v/>
      </c>
      <c r="I4107" t="inlineStr">
        <is>
          <t>W5</t>
        </is>
      </c>
      <c r="J4107" t="inlineStr">
        <is>
          <t>2032_Marzec_W5</t>
        </is>
      </c>
    </row>
    <row r="4108">
      <c r="A4108" s="177" t="n">
        <v>48303</v>
      </c>
      <c r="B4108" s="177" t="n">
        <v>48303</v>
      </c>
      <c r="C4108" s="177" t="n">
        <v>48309</v>
      </c>
      <c r="D4108" t="inlineStr">
        <is>
          <t>BW20320330</t>
        </is>
      </c>
      <c r="E4108" t="n">
        <v>2032</v>
      </c>
      <c r="F4108" t="inlineStr">
        <is>
          <t>Marzec</t>
        </is>
      </c>
      <c r="G4108" t="inlineStr">
        <is>
          <t>Wt</t>
        </is>
      </c>
      <c r="H4108">
        <f>'Floor Hours Engine'!$E$4</f>
        <v/>
      </c>
      <c r="I4108" t="inlineStr">
        <is>
          <t>W6</t>
        </is>
      </c>
      <c r="J4108" t="inlineStr">
        <is>
          <t>2032_Marzec_W6</t>
        </is>
      </c>
    </row>
    <row r="4109">
      <c r="A4109" s="177" t="n">
        <v>48304</v>
      </c>
      <c r="B4109" s="177" t="n">
        <v>48303</v>
      </c>
      <c r="C4109" s="177" t="n">
        <v>48309</v>
      </c>
      <c r="D4109" t="inlineStr">
        <is>
          <t>BW20320330</t>
        </is>
      </c>
      <c r="E4109" t="n">
        <v>2032</v>
      </c>
      <c r="F4109" t="inlineStr">
        <is>
          <t>Marzec</t>
        </is>
      </c>
      <c r="G4109" t="inlineStr">
        <is>
          <t>Śr</t>
        </is>
      </c>
      <c r="H4109">
        <f>'Floor Hours Engine'!$E$4</f>
        <v/>
      </c>
      <c r="I4109" t="inlineStr">
        <is>
          <t>W6</t>
        </is>
      </c>
      <c r="J4109" t="inlineStr">
        <is>
          <t>2032_Marzec_W6</t>
        </is>
      </c>
    </row>
    <row r="4110">
      <c r="A4110" s="177" t="n">
        <v>48305</v>
      </c>
      <c r="B4110" s="177" t="n">
        <v>48303</v>
      </c>
      <c r="C4110" s="177" t="n">
        <v>48309</v>
      </c>
      <c r="D4110" t="inlineStr">
        <is>
          <t>BW20320330</t>
        </is>
      </c>
      <c r="E4110" t="n">
        <v>2032</v>
      </c>
      <c r="F4110" t="inlineStr">
        <is>
          <t>Kwiecień</t>
        </is>
      </c>
      <c r="G4110" t="inlineStr">
        <is>
          <t>Czw</t>
        </is>
      </c>
      <c r="H4110">
        <f>'Floor Hours Engine'!$E$4</f>
        <v/>
      </c>
      <c r="I4110" t="inlineStr">
        <is>
          <t>W1</t>
        </is>
      </c>
      <c r="J4110" t="inlineStr">
        <is>
          <t>2032_Kwiecień_W1</t>
        </is>
      </c>
    </row>
    <row r="4111">
      <c r="A4111" s="177" t="n">
        <v>48306</v>
      </c>
      <c r="B4111" s="177" t="n">
        <v>48303</v>
      </c>
      <c r="C4111" s="177" t="n">
        <v>48309</v>
      </c>
      <c r="D4111" t="inlineStr">
        <is>
          <t>BW20320330</t>
        </is>
      </c>
      <c r="E4111" t="n">
        <v>2032</v>
      </c>
      <c r="F4111" t="inlineStr">
        <is>
          <t>Kwiecień</t>
        </is>
      </c>
      <c r="G4111" t="inlineStr">
        <is>
          <t>Pt</t>
        </is>
      </c>
      <c r="H4111">
        <f>'Floor Hours Engine'!$E$5</f>
        <v/>
      </c>
      <c r="I4111" t="inlineStr">
        <is>
          <t>W1</t>
        </is>
      </c>
      <c r="J4111" t="inlineStr">
        <is>
          <t>2032_Kwiecień_W1</t>
        </is>
      </c>
    </row>
    <row r="4112">
      <c r="A4112" s="177" t="n">
        <v>48307</v>
      </c>
      <c r="B4112" s="177" t="n">
        <v>48303</v>
      </c>
      <c r="C4112" s="177" t="n">
        <v>48309</v>
      </c>
      <c r="D4112" t="inlineStr">
        <is>
          <t>BW20320330</t>
        </is>
      </c>
      <c r="E4112" t="n">
        <v>2032</v>
      </c>
      <c r="F4112" t="inlineStr">
        <is>
          <t>Kwiecień</t>
        </is>
      </c>
      <c r="G4112" t="inlineStr">
        <is>
          <t>Sob</t>
        </is>
      </c>
      <c r="H4112">
        <f>'Floor Hours Engine'!$E$5</f>
        <v/>
      </c>
      <c r="I4112" t="inlineStr">
        <is>
          <t>W1</t>
        </is>
      </c>
      <c r="J4112" t="inlineStr">
        <is>
          <t>2032_Kwiecień_W1</t>
        </is>
      </c>
    </row>
    <row r="4113">
      <c r="A4113" s="177" t="n">
        <v>48308</v>
      </c>
      <c r="B4113" s="177" t="n">
        <v>48303</v>
      </c>
      <c r="C4113" s="177" t="n">
        <v>48309</v>
      </c>
      <c r="D4113" t="inlineStr">
        <is>
          <t>BW20320330</t>
        </is>
      </c>
      <c r="E4113" t="n">
        <v>2032</v>
      </c>
      <c r="F4113" t="inlineStr">
        <is>
          <t>Kwiecień</t>
        </is>
      </c>
      <c r="G4113" t="inlineStr">
        <is>
          <t>Nd</t>
        </is>
      </c>
      <c r="H4113">
        <f>'Floor Hours Engine'!$E$6</f>
        <v/>
      </c>
      <c r="I4113" t="inlineStr">
        <is>
          <t>W1</t>
        </is>
      </c>
      <c r="J4113" t="inlineStr">
        <is>
          <t>2032_Kwiecień_W1</t>
        </is>
      </c>
    </row>
    <row r="4114">
      <c r="A4114" s="177" t="n">
        <v>48309</v>
      </c>
      <c r="B4114" s="177" t="n">
        <v>48303</v>
      </c>
      <c r="C4114" s="177" t="n">
        <v>48309</v>
      </c>
      <c r="D4114" t="inlineStr">
        <is>
          <t>BW20320330</t>
        </is>
      </c>
      <c r="E4114" t="n">
        <v>2032</v>
      </c>
      <c r="F4114" t="inlineStr">
        <is>
          <t>Kwiecień</t>
        </is>
      </c>
      <c r="G4114" t="inlineStr">
        <is>
          <t>Pn</t>
        </is>
      </c>
      <c r="H4114">
        <f>'Floor Hours Engine'!$E$4</f>
        <v/>
      </c>
      <c r="I4114" t="inlineStr">
        <is>
          <t>W1</t>
        </is>
      </c>
      <c r="J4114" t="inlineStr">
        <is>
          <t>2032_Kwiecień_W1</t>
        </is>
      </c>
    </row>
    <row r="4115">
      <c r="A4115" s="177" t="n">
        <v>48310</v>
      </c>
      <c r="B4115" s="177" t="n">
        <v>48310</v>
      </c>
      <c r="C4115" s="177" t="n">
        <v>48316</v>
      </c>
      <c r="D4115" t="inlineStr">
        <is>
          <t>BW20320406</t>
        </is>
      </c>
      <c r="E4115" t="n">
        <v>2032</v>
      </c>
      <c r="F4115" t="inlineStr">
        <is>
          <t>Kwiecień</t>
        </is>
      </c>
      <c r="G4115" t="inlineStr">
        <is>
          <t>Wt</t>
        </is>
      </c>
      <c r="H4115">
        <f>'Floor Hours Engine'!$E$4</f>
        <v/>
      </c>
      <c r="I4115" t="inlineStr">
        <is>
          <t>W2</t>
        </is>
      </c>
      <c r="J4115" t="inlineStr">
        <is>
          <t>2032_Kwiecień_W2</t>
        </is>
      </c>
    </row>
    <row r="4116">
      <c r="A4116" s="177" t="n">
        <v>48311</v>
      </c>
      <c r="B4116" s="177" t="n">
        <v>48310</v>
      </c>
      <c r="C4116" s="177" t="n">
        <v>48316</v>
      </c>
      <c r="D4116" t="inlineStr">
        <is>
          <t>BW20320406</t>
        </is>
      </c>
      <c r="E4116" t="n">
        <v>2032</v>
      </c>
      <c r="F4116" t="inlineStr">
        <is>
          <t>Kwiecień</t>
        </is>
      </c>
      <c r="G4116" t="inlineStr">
        <is>
          <t>Śr</t>
        </is>
      </c>
      <c r="H4116">
        <f>'Floor Hours Engine'!$E$4</f>
        <v/>
      </c>
      <c r="I4116" t="inlineStr">
        <is>
          <t>W2</t>
        </is>
      </c>
      <c r="J4116" t="inlineStr">
        <is>
          <t>2032_Kwiecień_W2</t>
        </is>
      </c>
    </row>
    <row r="4117">
      <c r="A4117" s="177" t="n">
        <v>48312</v>
      </c>
      <c r="B4117" s="177" t="n">
        <v>48310</v>
      </c>
      <c r="C4117" s="177" t="n">
        <v>48316</v>
      </c>
      <c r="D4117" t="inlineStr">
        <is>
          <t>BW20320406</t>
        </is>
      </c>
      <c r="E4117" t="n">
        <v>2032</v>
      </c>
      <c r="F4117" t="inlineStr">
        <is>
          <t>Kwiecień</t>
        </is>
      </c>
      <c r="G4117" t="inlineStr">
        <is>
          <t>Czw</t>
        </is>
      </c>
      <c r="H4117">
        <f>'Floor Hours Engine'!$E$4</f>
        <v/>
      </c>
      <c r="I4117" t="inlineStr">
        <is>
          <t>W2</t>
        </is>
      </c>
      <c r="J4117" t="inlineStr">
        <is>
          <t>2032_Kwiecień_W2</t>
        </is>
      </c>
    </row>
    <row r="4118">
      <c r="A4118" s="177" t="n">
        <v>48313</v>
      </c>
      <c r="B4118" s="177" t="n">
        <v>48310</v>
      </c>
      <c r="C4118" s="177" t="n">
        <v>48316</v>
      </c>
      <c r="D4118" t="inlineStr">
        <is>
          <t>BW20320406</t>
        </is>
      </c>
      <c r="E4118" t="n">
        <v>2032</v>
      </c>
      <c r="F4118" t="inlineStr">
        <is>
          <t>Kwiecień</t>
        </is>
      </c>
      <c r="G4118" t="inlineStr">
        <is>
          <t>Pt</t>
        </is>
      </c>
      <c r="H4118">
        <f>'Floor Hours Engine'!$E$5</f>
        <v/>
      </c>
      <c r="I4118" t="inlineStr">
        <is>
          <t>W2</t>
        </is>
      </c>
      <c r="J4118" t="inlineStr">
        <is>
          <t>2032_Kwiecień_W2</t>
        </is>
      </c>
    </row>
    <row r="4119">
      <c r="A4119" s="177" t="n">
        <v>48314</v>
      </c>
      <c r="B4119" s="177" t="n">
        <v>48310</v>
      </c>
      <c r="C4119" s="177" t="n">
        <v>48316</v>
      </c>
      <c r="D4119" t="inlineStr">
        <is>
          <t>BW20320406</t>
        </is>
      </c>
      <c r="E4119" t="n">
        <v>2032</v>
      </c>
      <c r="F4119" t="inlineStr">
        <is>
          <t>Kwiecień</t>
        </is>
      </c>
      <c r="G4119" t="inlineStr">
        <is>
          <t>Sob</t>
        </is>
      </c>
      <c r="H4119">
        <f>'Floor Hours Engine'!$E$5</f>
        <v/>
      </c>
      <c r="I4119" t="inlineStr">
        <is>
          <t>W2</t>
        </is>
      </c>
      <c r="J4119" t="inlineStr">
        <is>
          <t>2032_Kwiecień_W2</t>
        </is>
      </c>
    </row>
    <row r="4120">
      <c r="A4120" s="177" t="n">
        <v>48315</v>
      </c>
      <c r="B4120" s="177" t="n">
        <v>48310</v>
      </c>
      <c r="C4120" s="177" t="n">
        <v>48316</v>
      </c>
      <c r="D4120" t="inlineStr">
        <is>
          <t>BW20320406</t>
        </is>
      </c>
      <c r="E4120" t="n">
        <v>2032</v>
      </c>
      <c r="F4120" t="inlineStr">
        <is>
          <t>Kwiecień</t>
        </is>
      </c>
      <c r="G4120" t="inlineStr">
        <is>
          <t>Nd</t>
        </is>
      </c>
      <c r="H4120">
        <f>'Floor Hours Engine'!$E$6</f>
        <v/>
      </c>
      <c r="I4120" t="inlineStr">
        <is>
          <t>W2</t>
        </is>
      </c>
      <c r="J4120" t="inlineStr">
        <is>
          <t>2032_Kwiecień_W2</t>
        </is>
      </c>
    </row>
    <row r="4121">
      <c r="A4121" s="177" t="n">
        <v>48316</v>
      </c>
      <c r="B4121" s="177" t="n">
        <v>48310</v>
      </c>
      <c r="C4121" s="177" t="n">
        <v>48316</v>
      </c>
      <c r="D4121" t="inlineStr">
        <is>
          <t>BW20320406</t>
        </is>
      </c>
      <c r="E4121" t="n">
        <v>2032</v>
      </c>
      <c r="F4121" t="inlineStr">
        <is>
          <t>Kwiecień</t>
        </is>
      </c>
      <c r="G4121" t="inlineStr">
        <is>
          <t>Pn</t>
        </is>
      </c>
      <c r="H4121">
        <f>'Floor Hours Engine'!$E$4</f>
        <v/>
      </c>
      <c r="I4121" t="inlineStr">
        <is>
          <t>W2</t>
        </is>
      </c>
      <c r="J4121" t="inlineStr">
        <is>
          <t>2032_Kwiecień_W2</t>
        </is>
      </c>
    </row>
    <row r="4122">
      <c r="A4122" s="177" t="n">
        <v>48317</v>
      </c>
      <c r="B4122" s="177" t="n">
        <v>48317</v>
      </c>
      <c r="C4122" s="177" t="n">
        <v>48323</v>
      </c>
      <c r="D4122" t="inlineStr">
        <is>
          <t>BW20320413</t>
        </is>
      </c>
      <c r="E4122" t="n">
        <v>2032</v>
      </c>
      <c r="F4122" t="inlineStr">
        <is>
          <t>Kwiecień</t>
        </is>
      </c>
      <c r="G4122" t="inlineStr">
        <is>
          <t>Wt</t>
        </is>
      </c>
      <c r="H4122">
        <f>'Floor Hours Engine'!$E$4</f>
        <v/>
      </c>
      <c r="I4122" t="inlineStr">
        <is>
          <t>W3</t>
        </is>
      </c>
      <c r="J4122" t="inlineStr">
        <is>
          <t>2032_Kwiecień_W3</t>
        </is>
      </c>
    </row>
    <row r="4123">
      <c r="A4123" s="177" t="n">
        <v>48318</v>
      </c>
      <c r="B4123" s="177" t="n">
        <v>48317</v>
      </c>
      <c r="C4123" s="177" t="n">
        <v>48323</v>
      </c>
      <c r="D4123" t="inlineStr">
        <is>
          <t>BW20320413</t>
        </is>
      </c>
      <c r="E4123" t="n">
        <v>2032</v>
      </c>
      <c r="F4123" t="inlineStr">
        <is>
          <t>Kwiecień</t>
        </is>
      </c>
      <c r="G4123" t="inlineStr">
        <is>
          <t>Śr</t>
        </is>
      </c>
      <c r="H4123">
        <f>'Floor Hours Engine'!$E$4</f>
        <v/>
      </c>
      <c r="I4123" t="inlineStr">
        <is>
          <t>W3</t>
        </is>
      </c>
      <c r="J4123" t="inlineStr">
        <is>
          <t>2032_Kwiecień_W3</t>
        </is>
      </c>
    </row>
    <row r="4124">
      <c r="A4124" s="177" t="n">
        <v>48319</v>
      </c>
      <c r="B4124" s="177" t="n">
        <v>48317</v>
      </c>
      <c r="C4124" s="177" t="n">
        <v>48323</v>
      </c>
      <c r="D4124" t="inlineStr">
        <is>
          <t>BW20320413</t>
        </is>
      </c>
      <c r="E4124" t="n">
        <v>2032</v>
      </c>
      <c r="F4124" t="inlineStr">
        <is>
          <t>Kwiecień</t>
        </is>
      </c>
      <c r="G4124" t="inlineStr">
        <is>
          <t>Czw</t>
        </is>
      </c>
      <c r="H4124">
        <f>'Floor Hours Engine'!$E$4</f>
        <v/>
      </c>
      <c r="I4124" t="inlineStr">
        <is>
          <t>W3</t>
        </is>
      </c>
      <c r="J4124" t="inlineStr">
        <is>
          <t>2032_Kwiecień_W3</t>
        </is>
      </c>
    </row>
    <row r="4125">
      <c r="A4125" s="177" t="n">
        <v>48320</v>
      </c>
      <c r="B4125" s="177" t="n">
        <v>48317</v>
      </c>
      <c r="C4125" s="177" t="n">
        <v>48323</v>
      </c>
      <c r="D4125" t="inlineStr">
        <is>
          <t>BW20320413</t>
        </is>
      </c>
      <c r="E4125" t="n">
        <v>2032</v>
      </c>
      <c r="F4125" t="inlineStr">
        <is>
          <t>Kwiecień</t>
        </is>
      </c>
      <c r="G4125" t="inlineStr">
        <is>
          <t>Pt</t>
        </is>
      </c>
      <c r="H4125">
        <f>'Floor Hours Engine'!$E$5</f>
        <v/>
      </c>
      <c r="I4125" t="inlineStr">
        <is>
          <t>W3</t>
        </is>
      </c>
      <c r="J4125" t="inlineStr">
        <is>
          <t>2032_Kwiecień_W3</t>
        </is>
      </c>
    </row>
    <row r="4126">
      <c r="A4126" s="177" t="n">
        <v>48321</v>
      </c>
      <c r="B4126" s="177" t="n">
        <v>48317</v>
      </c>
      <c r="C4126" s="177" t="n">
        <v>48323</v>
      </c>
      <c r="D4126" t="inlineStr">
        <is>
          <t>BW20320413</t>
        </is>
      </c>
      <c r="E4126" t="n">
        <v>2032</v>
      </c>
      <c r="F4126" t="inlineStr">
        <is>
          <t>Kwiecień</t>
        </is>
      </c>
      <c r="G4126" t="inlineStr">
        <is>
          <t>Sob</t>
        </is>
      </c>
      <c r="H4126">
        <f>'Floor Hours Engine'!$E$5</f>
        <v/>
      </c>
      <c r="I4126" t="inlineStr">
        <is>
          <t>W3</t>
        </is>
      </c>
      <c r="J4126" t="inlineStr">
        <is>
          <t>2032_Kwiecień_W3</t>
        </is>
      </c>
    </row>
    <row r="4127">
      <c r="A4127" s="177" t="n">
        <v>48322</v>
      </c>
      <c r="B4127" s="177" t="n">
        <v>48317</v>
      </c>
      <c r="C4127" s="177" t="n">
        <v>48323</v>
      </c>
      <c r="D4127" t="inlineStr">
        <is>
          <t>BW20320413</t>
        </is>
      </c>
      <c r="E4127" t="n">
        <v>2032</v>
      </c>
      <c r="F4127" t="inlineStr">
        <is>
          <t>Kwiecień</t>
        </is>
      </c>
      <c r="G4127" t="inlineStr">
        <is>
          <t>Nd</t>
        </is>
      </c>
      <c r="H4127">
        <f>'Floor Hours Engine'!$E$6</f>
        <v/>
      </c>
      <c r="I4127" t="inlineStr">
        <is>
          <t>W3</t>
        </is>
      </c>
      <c r="J4127" t="inlineStr">
        <is>
          <t>2032_Kwiecień_W3</t>
        </is>
      </c>
    </row>
    <row r="4128">
      <c r="A4128" s="177" t="n">
        <v>48323</v>
      </c>
      <c r="B4128" s="177" t="n">
        <v>48317</v>
      </c>
      <c r="C4128" s="177" t="n">
        <v>48323</v>
      </c>
      <c r="D4128" t="inlineStr">
        <is>
          <t>BW20320413</t>
        </is>
      </c>
      <c r="E4128" t="n">
        <v>2032</v>
      </c>
      <c r="F4128" t="inlineStr">
        <is>
          <t>Kwiecień</t>
        </is>
      </c>
      <c r="G4128" t="inlineStr">
        <is>
          <t>Pn</t>
        </is>
      </c>
      <c r="H4128">
        <f>'Floor Hours Engine'!$E$4</f>
        <v/>
      </c>
      <c r="I4128" t="inlineStr">
        <is>
          <t>W3</t>
        </is>
      </c>
      <c r="J4128" t="inlineStr">
        <is>
          <t>2032_Kwiecień_W3</t>
        </is>
      </c>
    </row>
    <row r="4129">
      <c r="A4129" s="177" t="n">
        <v>48324</v>
      </c>
      <c r="B4129" s="177" t="n">
        <v>48324</v>
      </c>
      <c r="C4129" s="177" t="n">
        <v>48330</v>
      </c>
      <c r="D4129" t="inlineStr">
        <is>
          <t>BW20320420</t>
        </is>
      </c>
      <c r="E4129" t="n">
        <v>2032</v>
      </c>
      <c r="F4129" t="inlineStr">
        <is>
          <t>Kwiecień</t>
        </is>
      </c>
      <c r="G4129" t="inlineStr">
        <is>
          <t>Wt</t>
        </is>
      </c>
      <c r="H4129">
        <f>'Floor Hours Engine'!$E$4</f>
        <v/>
      </c>
      <c r="I4129" t="inlineStr">
        <is>
          <t>W4</t>
        </is>
      </c>
      <c r="J4129" t="inlineStr">
        <is>
          <t>2032_Kwiecień_W4</t>
        </is>
      </c>
    </row>
    <row r="4130">
      <c r="A4130" s="177" t="n">
        <v>48325</v>
      </c>
      <c r="B4130" s="177" t="n">
        <v>48324</v>
      </c>
      <c r="C4130" s="177" t="n">
        <v>48330</v>
      </c>
      <c r="D4130" t="inlineStr">
        <is>
          <t>BW20320420</t>
        </is>
      </c>
      <c r="E4130" t="n">
        <v>2032</v>
      </c>
      <c r="F4130" t="inlineStr">
        <is>
          <t>Kwiecień</t>
        </is>
      </c>
      <c r="G4130" t="inlineStr">
        <is>
          <t>Śr</t>
        </is>
      </c>
      <c r="H4130">
        <f>'Floor Hours Engine'!$E$4</f>
        <v/>
      </c>
      <c r="I4130" t="inlineStr">
        <is>
          <t>W4</t>
        </is>
      </c>
      <c r="J4130" t="inlineStr">
        <is>
          <t>2032_Kwiecień_W4</t>
        </is>
      </c>
    </row>
    <row r="4131">
      <c r="A4131" s="177" t="n">
        <v>48326</v>
      </c>
      <c r="B4131" s="177" t="n">
        <v>48324</v>
      </c>
      <c r="C4131" s="177" t="n">
        <v>48330</v>
      </c>
      <c r="D4131" t="inlineStr">
        <is>
          <t>BW20320420</t>
        </is>
      </c>
      <c r="E4131" t="n">
        <v>2032</v>
      </c>
      <c r="F4131" t="inlineStr">
        <is>
          <t>Kwiecień</t>
        </is>
      </c>
      <c r="G4131" t="inlineStr">
        <is>
          <t>Czw</t>
        </is>
      </c>
      <c r="H4131">
        <f>'Floor Hours Engine'!$E$4</f>
        <v/>
      </c>
      <c r="I4131" t="inlineStr">
        <is>
          <t>W4</t>
        </is>
      </c>
      <c r="J4131" t="inlineStr">
        <is>
          <t>2032_Kwiecień_W4</t>
        </is>
      </c>
    </row>
    <row r="4132">
      <c r="A4132" s="177" t="n">
        <v>48327</v>
      </c>
      <c r="B4132" s="177" t="n">
        <v>48324</v>
      </c>
      <c r="C4132" s="177" t="n">
        <v>48330</v>
      </c>
      <c r="D4132" t="inlineStr">
        <is>
          <t>BW20320420</t>
        </is>
      </c>
      <c r="E4132" t="n">
        <v>2032</v>
      </c>
      <c r="F4132" t="inlineStr">
        <is>
          <t>Kwiecień</t>
        </is>
      </c>
      <c r="G4132" t="inlineStr">
        <is>
          <t>Pt</t>
        </is>
      </c>
      <c r="H4132">
        <f>'Floor Hours Engine'!$E$5</f>
        <v/>
      </c>
      <c r="I4132" t="inlineStr">
        <is>
          <t>W4</t>
        </is>
      </c>
      <c r="J4132" t="inlineStr">
        <is>
          <t>2032_Kwiecień_W4</t>
        </is>
      </c>
    </row>
    <row r="4133">
      <c r="A4133" s="177" t="n">
        <v>48328</v>
      </c>
      <c r="B4133" s="177" t="n">
        <v>48324</v>
      </c>
      <c r="C4133" s="177" t="n">
        <v>48330</v>
      </c>
      <c r="D4133" t="inlineStr">
        <is>
          <t>BW20320420</t>
        </is>
      </c>
      <c r="E4133" t="n">
        <v>2032</v>
      </c>
      <c r="F4133" t="inlineStr">
        <is>
          <t>Kwiecień</t>
        </is>
      </c>
      <c r="G4133" t="inlineStr">
        <is>
          <t>Sob</t>
        </is>
      </c>
      <c r="H4133">
        <f>'Floor Hours Engine'!$E$5</f>
        <v/>
      </c>
      <c r="I4133" t="inlineStr">
        <is>
          <t>W4</t>
        </is>
      </c>
      <c r="J4133" t="inlineStr">
        <is>
          <t>2032_Kwiecień_W4</t>
        </is>
      </c>
    </row>
    <row r="4134">
      <c r="A4134" s="177" t="n">
        <v>48329</v>
      </c>
      <c r="B4134" s="177" t="n">
        <v>48324</v>
      </c>
      <c r="C4134" s="177" t="n">
        <v>48330</v>
      </c>
      <c r="D4134" t="inlineStr">
        <is>
          <t>BW20320420</t>
        </is>
      </c>
      <c r="E4134" t="n">
        <v>2032</v>
      </c>
      <c r="F4134" t="inlineStr">
        <is>
          <t>Kwiecień</t>
        </is>
      </c>
      <c r="G4134" t="inlineStr">
        <is>
          <t>Nd</t>
        </is>
      </c>
      <c r="H4134">
        <f>'Floor Hours Engine'!$E$6</f>
        <v/>
      </c>
      <c r="I4134" t="inlineStr">
        <is>
          <t>W4</t>
        </is>
      </c>
      <c r="J4134" t="inlineStr">
        <is>
          <t>2032_Kwiecień_W4</t>
        </is>
      </c>
    </row>
    <row r="4135">
      <c r="A4135" s="177" t="n">
        <v>48330</v>
      </c>
      <c r="B4135" s="177" t="n">
        <v>48324</v>
      </c>
      <c r="C4135" s="177" t="n">
        <v>48330</v>
      </c>
      <c r="D4135" t="inlineStr">
        <is>
          <t>BW20320420</t>
        </is>
      </c>
      <c r="E4135" t="n">
        <v>2032</v>
      </c>
      <c r="F4135" t="inlineStr">
        <is>
          <t>Kwiecień</t>
        </is>
      </c>
      <c r="G4135" t="inlineStr">
        <is>
          <t>Pn</t>
        </is>
      </c>
      <c r="H4135">
        <f>'Floor Hours Engine'!$E$4</f>
        <v/>
      </c>
      <c r="I4135" t="inlineStr">
        <is>
          <t>W4</t>
        </is>
      </c>
      <c r="J4135" t="inlineStr">
        <is>
          <t>2032_Kwiecień_W4</t>
        </is>
      </c>
    </row>
    <row r="4136">
      <c r="A4136" s="177" t="n">
        <v>48331</v>
      </c>
      <c r="B4136" s="177" t="n">
        <v>48331</v>
      </c>
      <c r="C4136" s="177" t="n">
        <v>48337</v>
      </c>
      <c r="D4136" t="inlineStr">
        <is>
          <t>BW20320427</t>
        </is>
      </c>
      <c r="E4136" t="n">
        <v>2032</v>
      </c>
      <c r="F4136" t="inlineStr">
        <is>
          <t>Kwiecień</t>
        </is>
      </c>
      <c r="G4136" t="inlineStr">
        <is>
          <t>Wt</t>
        </is>
      </c>
      <c r="H4136">
        <f>'Floor Hours Engine'!$E$4</f>
        <v/>
      </c>
      <c r="I4136" t="inlineStr">
        <is>
          <t>W5</t>
        </is>
      </c>
      <c r="J4136" t="inlineStr">
        <is>
          <t>2032_Kwiecień_W5</t>
        </is>
      </c>
    </row>
    <row r="4137">
      <c r="A4137" s="177" t="n">
        <v>48332</v>
      </c>
      <c r="B4137" s="177" t="n">
        <v>48331</v>
      </c>
      <c r="C4137" s="177" t="n">
        <v>48337</v>
      </c>
      <c r="D4137" t="inlineStr">
        <is>
          <t>BW20320427</t>
        </is>
      </c>
      <c r="E4137" t="n">
        <v>2032</v>
      </c>
      <c r="F4137" t="inlineStr">
        <is>
          <t>Kwiecień</t>
        </is>
      </c>
      <c r="G4137" t="inlineStr">
        <is>
          <t>Śr</t>
        </is>
      </c>
      <c r="H4137">
        <f>'Floor Hours Engine'!$E$4</f>
        <v/>
      </c>
      <c r="I4137" t="inlineStr">
        <is>
          <t>W5</t>
        </is>
      </c>
      <c r="J4137" t="inlineStr">
        <is>
          <t>2032_Kwiecień_W5</t>
        </is>
      </c>
    </row>
    <row r="4138">
      <c r="A4138" s="177" t="n">
        <v>48333</v>
      </c>
      <c r="B4138" s="177" t="n">
        <v>48331</v>
      </c>
      <c r="C4138" s="177" t="n">
        <v>48337</v>
      </c>
      <c r="D4138" t="inlineStr">
        <is>
          <t>BW20320427</t>
        </is>
      </c>
      <c r="E4138" t="n">
        <v>2032</v>
      </c>
      <c r="F4138" t="inlineStr">
        <is>
          <t>Kwiecień</t>
        </is>
      </c>
      <c r="G4138" t="inlineStr">
        <is>
          <t>Czw</t>
        </is>
      </c>
      <c r="H4138">
        <f>'Floor Hours Engine'!$E$4</f>
        <v/>
      </c>
      <c r="I4138" t="inlineStr">
        <is>
          <t>W5</t>
        </is>
      </c>
      <c r="J4138" t="inlineStr">
        <is>
          <t>2032_Kwiecień_W5</t>
        </is>
      </c>
    </row>
    <row r="4139">
      <c r="A4139" s="177" t="n">
        <v>48334</v>
      </c>
      <c r="B4139" s="177" t="n">
        <v>48331</v>
      </c>
      <c r="C4139" s="177" t="n">
        <v>48337</v>
      </c>
      <c r="D4139" t="inlineStr">
        <is>
          <t>BW20320427</t>
        </is>
      </c>
      <c r="E4139" t="n">
        <v>2032</v>
      </c>
      <c r="F4139" t="inlineStr">
        <is>
          <t>Kwiecień</t>
        </is>
      </c>
      <c r="G4139" t="inlineStr">
        <is>
          <t>Pt</t>
        </is>
      </c>
      <c r="H4139">
        <f>'Floor Hours Engine'!$E$5</f>
        <v/>
      </c>
      <c r="I4139" t="inlineStr">
        <is>
          <t>W5</t>
        </is>
      </c>
      <c r="J4139" t="inlineStr">
        <is>
          <t>2032_Kwiecień_W5</t>
        </is>
      </c>
    </row>
    <row r="4140">
      <c r="A4140" s="177" t="n">
        <v>48335</v>
      </c>
      <c r="B4140" s="177" t="n">
        <v>48331</v>
      </c>
      <c r="C4140" s="177" t="n">
        <v>48337</v>
      </c>
      <c r="D4140" t="inlineStr">
        <is>
          <t>BW20320427</t>
        </is>
      </c>
      <c r="E4140" t="n">
        <v>2032</v>
      </c>
      <c r="F4140" t="inlineStr">
        <is>
          <t>Maj</t>
        </is>
      </c>
      <c r="G4140" t="inlineStr">
        <is>
          <t>Sob</t>
        </is>
      </c>
      <c r="H4140">
        <f>'Floor Hours Engine'!$E$5</f>
        <v/>
      </c>
      <c r="I4140" t="inlineStr">
        <is>
          <t>W1</t>
        </is>
      </c>
      <c r="J4140" t="inlineStr">
        <is>
          <t>2032_Maj_W1</t>
        </is>
      </c>
    </row>
    <row r="4141">
      <c r="A4141" s="177" t="n">
        <v>48336</v>
      </c>
      <c r="B4141" s="177" t="n">
        <v>48331</v>
      </c>
      <c r="C4141" s="177" t="n">
        <v>48337</v>
      </c>
      <c r="D4141" t="inlineStr">
        <is>
          <t>BW20320427</t>
        </is>
      </c>
      <c r="E4141" t="n">
        <v>2032</v>
      </c>
      <c r="F4141" t="inlineStr">
        <is>
          <t>Maj</t>
        </is>
      </c>
      <c r="G4141" t="inlineStr">
        <is>
          <t>Nd</t>
        </is>
      </c>
      <c r="H4141">
        <f>'Floor Hours Engine'!$E$6</f>
        <v/>
      </c>
      <c r="I4141" t="inlineStr">
        <is>
          <t>W1</t>
        </is>
      </c>
      <c r="J4141" t="inlineStr">
        <is>
          <t>2032_Maj_W1</t>
        </is>
      </c>
    </row>
    <row r="4142">
      <c r="A4142" s="177" t="n">
        <v>48337</v>
      </c>
      <c r="B4142" s="177" t="n">
        <v>48331</v>
      </c>
      <c r="C4142" s="177" t="n">
        <v>48337</v>
      </c>
      <c r="D4142" t="inlineStr">
        <is>
          <t>BW20320427</t>
        </is>
      </c>
      <c r="E4142" t="n">
        <v>2032</v>
      </c>
      <c r="F4142" t="inlineStr">
        <is>
          <t>Maj</t>
        </is>
      </c>
      <c r="G4142" t="inlineStr">
        <is>
          <t>Pn</t>
        </is>
      </c>
      <c r="H4142">
        <f>'Floor Hours Engine'!$E$4</f>
        <v/>
      </c>
      <c r="I4142" t="inlineStr">
        <is>
          <t>W1</t>
        </is>
      </c>
      <c r="J4142" t="inlineStr">
        <is>
          <t>2032_Maj_W1</t>
        </is>
      </c>
    </row>
    <row r="4143">
      <c r="A4143" s="177" t="n">
        <v>48338</v>
      </c>
      <c r="B4143" s="177" t="n">
        <v>48338</v>
      </c>
      <c r="C4143" s="177" t="n">
        <v>48344</v>
      </c>
      <c r="D4143" t="inlineStr">
        <is>
          <t>BW20320504</t>
        </is>
      </c>
      <c r="E4143" t="n">
        <v>2032</v>
      </c>
      <c r="F4143" t="inlineStr">
        <is>
          <t>Maj</t>
        </is>
      </c>
      <c r="G4143" t="inlineStr">
        <is>
          <t>Wt</t>
        </is>
      </c>
      <c r="H4143">
        <f>'Floor Hours Engine'!$E$4</f>
        <v/>
      </c>
      <c r="I4143" t="inlineStr">
        <is>
          <t>W2</t>
        </is>
      </c>
      <c r="J4143" t="inlineStr">
        <is>
          <t>2032_Maj_W2</t>
        </is>
      </c>
    </row>
    <row r="4144">
      <c r="A4144" s="177" t="n">
        <v>48339</v>
      </c>
      <c r="B4144" s="177" t="n">
        <v>48338</v>
      </c>
      <c r="C4144" s="177" t="n">
        <v>48344</v>
      </c>
      <c r="D4144" t="inlineStr">
        <is>
          <t>BW20320504</t>
        </is>
      </c>
      <c r="E4144" t="n">
        <v>2032</v>
      </c>
      <c r="F4144" t="inlineStr">
        <is>
          <t>Maj</t>
        </is>
      </c>
      <c r="G4144" t="inlineStr">
        <is>
          <t>Śr</t>
        </is>
      </c>
      <c r="H4144">
        <f>'Floor Hours Engine'!$E$4</f>
        <v/>
      </c>
      <c r="I4144" t="inlineStr">
        <is>
          <t>W2</t>
        </is>
      </c>
      <c r="J4144" t="inlineStr">
        <is>
          <t>2032_Maj_W2</t>
        </is>
      </c>
    </row>
    <row r="4145">
      <c r="A4145" s="177" t="n">
        <v>48340</v>
      </c>
      <c r="B4145" s="177" t="n">
        <v>48338</v>
      </c>
      <c r="C4145" s="177" t="n">
        <v>48344</v>
      </c>
      <c r="D4145" t="inlineStr">
        <is>
          <t>BW20320504</t>
        </is>
      </c>
      <c r="E4145" t="n">
        <v>2032</v>
      </c>
      <c r="F4145" t="inlineStr">
        <is>
          <t>Maj</t>
        </is>
      </c>
      <c r="G4145" t="inlineStr">
        <is>
          <t>Czw</t>
        </is>
      </c>
      <c r="H4145">
        <f>'Floor Hours Engine'!$E$4</f>
        <v/>
      </c>
      <c r="I4145" t="inlineStr">
        <is>
          <t>W2</t>
        </is>
      </c>
      <c r="J4145" t="inlineStr">
        <is>
          <t>2032_Maj_W2</t>
        </is>
      </c>
    </row>
    <row r="4146">
      <c r="A4146" s="177" t="n">
        <v>48341</v>
      </c>
      <c r="B4146" s="177" t="n">
        <v>48338</v>
      </c>
      <c r="C4146" s="177" t="n">
        <v>48344</v>
      </c>
      <c r="D4146" t="inlineStr">
        <is>
          <t>BW20320504</t>
        </is>
      </c>
      <c r="E4146" t="n">
        <v>2032</v>
      </c>
      <c r="F4146" t="inlineStr">
        <is>
          <t>Maj</t>
        </is>
      </c>
      <c r="G4146" t="inlineStr">
        <is>
          <t>Pt</t>
        </is>
      </c>
      <c r="H4146">
        <f>'Floor Hours Engine'!$E$5</f>
        <v/>
      </c>
      <c r="I4146" t="inlineStr">
        <is>
          <t>W2</t>
        </is>
      </c>
      <c r="J4146" t="inlineStr">
        <is>
          <t>2032_Maj_W2</t>
        </is>
      </c>
    </row>
    <row r="4147">
      <c r="A4147" s="177" t="n">
        <v>48342</v>
      </c>
      <c r="B4147" s="177" t="n">
        <v>48338</v>
      </c>
      <c r="C4147" s="177" t="n">
        <v>48344</v>
      </c>
      <c r="D4147" t="inlineStr">
        <is>
          <t>BW20320504</t>
        </is>
      </c>
      <c r="E4147" t="n">
        <v>2032</v>
      </c>
      <c r="F4147" t="inlineStr">
        <is>
          <t>Maj</t>
        </is>
      </c>
      <c r="G4147" t="inlineStr">
        <is>
          <t>Sob</t>
        </is>
      </c>
      <c r="H4147">
        <f>'Floor Hours Engine'!$E$5</f>
        <v/>
      </c>
      <c r="I4147" t="inlineStr">
        <is>
          <t>W2</t>
        </is>
      </c>
      <c r="J4147" t="inlineStr">
        <is>
          <t>2032_Maj_W2</t>
        </is>
      </c>
    </row>
    <row r="4148">
      <c r="A4148" s="177" t="n">
        <v>48343</v>
      </c>
      <c r="B4148" s="177" t="n">
        <v>48338</v>
      </c>
      <c r="C4148" s="177" t="n">
        <v>48344</v>
      </c>
      <c r="D4148" t="inlineStr">
        <is>
          <t>BW20320504</t>
        </is>
      </c>
      <c r="E4148" t="n">
        <v>2032</v>
      </c>
      <c r="F4148" t="inlineStr">
        <is>
          <t>Maj</t>
        </is>
      </c>
      <c r="G4148" t="inlineStr">
        <is>
          <t>Nd</t>
        </is>
      </c>
      <c r="H4148">
        <f>'Floor Hours Engine'!$E$6</f>
        <v/>
      </c>
      <c r="I4148" t="inlineStr">
        <is>
          <t>W2</t>
        </is>
      </c>
      <c r="J4148" t="inlineStr">
        <is>
          <t>2032_Maj_W2</t>
        </is>
      </c>
    </row>
    <row r="4149">
      <c r="A4149" s="177" t="n">
        <v>48344</v>
      </c>
      <c r="B4149" s="177" t="n">
        <v>48338</v>
      </c>
      <c r="C4149" s="177" t="n">
        <v>48344</v>
      </c>
      <c r="D4149" t="inlineStr">
        <is>
          <t>BW20320504</t>
        </is>
      </c>
      <c r="E4149" t="n">
        <v>2032</v>
      </c>
      <c r="F4149" t="inlineStr">
        <is>
          <t>Maj</t>
        </is>
      </c>
      <c r="G4149" t="inlineStr">
        <is>
          <t>Pn</t>
        </is>
      </c>
      <c r="H4149">
        <f>'Floor Hours Engine'!$E$4</f>
        <v/>
      </c>
      <c r="I4149" t="inlineStr">
        <is>
          <t>W2</t>
        </is>
      </c>
      <c r="J4149" t="inlineStr">
        <is>
          <t>2032_Maj_W2</t>
        </is>
      </c>
    </row>
    <row r="4150">
      <c r="A4150" s="177" t="n">
        <v>48345</v>
      </c>
      <c r="B4150" s="177" t="n">
        <v>48345</v>
      </c>
      <c r="C4150" s="177" t="n">
        <v>48351</v>
      </c>
      <c r="D4150" t="inlineStr">
        <is>
          <t>BW20320511</t>
        </is>
      </c>
      <c r="E4150" t="n">
        <v>2032</v>
      </c>
      <c r="F4150" t="inlineStr">
        <is>
          <t>Maj</t>
        </is>
      </c>
      <c r="G4150" t="inlineStr">
        <is>
          <t>Wt</t>
        </is>
      </c>
      <c r="H4150">
        <f>'Floor Hours Engine'!$E$4</f>
        <v/>
      </c>
      <c r="I4150" t="inlineStr">
        <is>
          <t>W3</t>
        </is>
      </c>
      <c r="J4150" t="inlineStr">
        <is>
          <t>2032_Maj_W3</t>
        </is>
      </c>
    </row>
    <row r="4151">
      <c r="A4151" s="177" t="n">
        <v>48346</v>
      </c>
      <c r="B4151" s="177" t="n">
        <v>48345</v>
      </c>
      <c r="C4151" s="177" t="n">
        <v>48351</v>
      </c>
      <c r="D4151" t="inlineStr">
        <is>
          <t>BW20320511</t>
        </is>
      </c>
      <c r="E4151" t="n">
        <v>2032</v>
      </c>
      <c r="F4151" t="inlineStr">
        <is>
          <t>Maj</t>
        </is>
      </c>
      <c r="G4151" t="inlineStr">
        <is>
          <t>Śr</t>
        </is>
      </c>
      <c r="H4151">
        <f>'Floor Hours Engine'!$E$4</f>
        <v/>
      </c>
      <c r="I4151" t="inlineStr">
        <is>
          <t>W3</t>
        </is>
      </c>
      <c r="J4151" t="inlineStr">
        <is>
          <t>2032_Maj_W3</t>
        </is>
      </c>
    </row>
    <row r="4152">
      <c r="A4152" s="177" t="n">
        <v>48347</v>
      </c>
      <c r="B4152" s="177" t="n">
        <v>48345</v>
      </c>
      <c r="C4152" s="177" t="n">
        <v>48351</v>
      </c>
      <c r="D4152" t="inlineStr">
        <is>
          <t>BW20320511</t>
        </is>
      </c>
      <c r="E4152" t="n">
        <v>2032</v>
      </c>
      <c r="F4152" t="inlineStr">
        <is>
          <t>Maj</t>
        </is>
      </c>
      <c r="G4152" t="inlineStr">
        <is>
          <t>Czw</t>
        </is>
      </c>
      <c r="H4152">
        <f>'Floor Hours Engine'!$E$4</f>
        <v/>
      </c>
      <c r="I4152" t="inlineStr">
        <is>
          <t>W3</t>
        </is>
      </c>
      <c r="J4152" t="inlineStr">
        <is>
          <t>2032_Maj_W3</t>
        </is>
      </c>
    </row>
    <row r="4153">
      <c r="A4153" s="177" t="n">
        <v>48348</v>
      </c>
      <c r="B4153" s="177" t="n">
        <v>48345</v>
      </c>
      <c r="C4153" s="177" t="n">
        <v>48351</v>
      </c>
      <c r="D4153" t="inlineStr">
        <is>
          <t>BW20320511</t>
        </is>
      </c>
      <c r="E4153" t="n">
        <v>2032</v>
      </c>
      <c r="F4153" t="inlineStr">
        <is>
          <t>Maj</t>
        </is>
      </c>
      <c r="G4153" t="inlineStr">
        <is>
          <t>Pt</t>
        </is>
      </c>
      <c r="H4153">
        <f>'Floor Hours Engine'!$E$5</f>
        <v/>
      </c>
      <c r="I4153" t="inlineStr">
        <is>
          <t>W3</t>
        </is>
      </c>
      <c r="J4153" t="inlineStr">
        <is>
          <t>2032_Maj_W3</t>
        </is>
      </c>
    </row>
    <row r="4154">
      <c r="A4154" s="177" t="n">
        <v>48349</v>
      </c>
      <c r="B4154" s="177" t="n">
        <v>48345</v>
      </c>
      <c r="C4154" s="177" t="n">
        <v>48351</v>
      </c>
      <c r="D4154" t="inlineStr">
        <is>
          <t>BW20320511</t>
        </is>
      </c>
      <c r="E4154" t="n">
        <v>2032</v>
      </c>
      <c r="F4154" t="inlineStr">
        <is>
          <t>Maj</t>
        </is>
      </c>
      <c r="G4154" t="inlineStr">
        <is>
          <t>Sob</t>
        </is>
      </c>
      <c r="H4154">
        <f>'Floor Hours Engine'!$E$5</f>
        <v/>
      </c>
      <c r="I4154" t="inlineStr">
        <is>
          <t>W3</t>
        </is>
      </c>
      <c r="J4154" t="inlineStr">
        <is>
          <t>2032_Maj_W3</t>
        </is>
      </c>
    </row>
    <row r="4155">
      <c r="A4155" s="177" t="n">
        <v>48350</v>
      </c>
      <c r="B4155" s="177" t="n">
        <v>48345</v>
      </c>
      <c r="C4155" s="177" t="n">
        <v>48351</v>
      </c>
      <c r="D4155" t="inlineStr">
        <is>
          <t>BW20320511</t>
        </is>
      </c>
      <c r="E4155" t="n">
        <v>2032</v>
      </c>
      <c r="F4155" t="inlineStr">
        <is>
          <t>Maj</t>
        </is>
      </c>
      <c r="G4155" t="inlineStr">
        <is>
          <t>Nd</t>
        </is>
      </c>
      <c r="H4155">
        <f>'Floor Hours Engine'!$E$6</f>
        <v/>
      </c>
      <c r="I4155" t="inlineStr">
        <is>
          <t>W3</t>
        </is>
      </c>
      <c r="J4155" t="inlineStr">
        <is>
          <t>2032_Maj_W3</t>
        </is>
      </c>
    </row>
    <row r="4156">
      <c r="A4156" s="177" t="n">
        <v>48351</v>
      </c>
      <c r="B4156" s="177" t="n">
        <v>48345</v>
      </c>
      <c r="C4156" s="177" t="n">
        <v>48351</v>
      </c>
      <c r="D4156" t="inlineStr">
        <is>
          <t>BW20320511</t>
        </is>
      </c>
      <c r="E4156" t="n">
        <v>2032</v>
      </c>
      <c r="F4156" t="inlineStr">
        <is>
          <t>Maj</t>
        </is>
      </c>
      <c r="G4156" t="inlineStr">
        <is>
          <t>Pn</t>
        </is>
      </c>
      <c r="H4156">
        <f>'Floor Hours Engine'!$E$4</f>
        <v/>
      </c>
      <c r="I4156" t="inlineStr">
        <is>
          <t>W3</t>
        </is>
      </c>
      <c r="J4156" t="inlineStr">
        <is>
          <t>2032_Maj_W3</t>
        </is>
      </c>
    </row>
    <row r="4157">
      <c r="A4157" s="177" t="n">
        <v>48352</v>
      </c>
      <c r="B4157" s="177" t="n">
        <v>48352</v>
      </c>
      <c r="C4157" s="177" t="n">
        <v>48358</v>
      </c>
      <c r="D4157" t="inlineStr">
        <is>
          <t>BW20320518</t>
        </is>
      </c>
      <c r="E4157" t="n">
        <v>2032</v>
      </c>
      <c r="F4157" t="inlineStr">
        <is>
          <t>Maj</t>
        </is>
      </c>
      <c r="G4157" t="inlineStr">
        <is>
          <t>Wt</t>
        </is>
      </c>
      <c r="H4157">
        <f>'Floor Hours Engine'!$E$4</f>
        <v/>
      </c>
      <c r="I4157" t="inlineStr">
        <is>
          <t>W4</t>
        </is>
      </c>
      <c r="J4157" t="inlineStr">
        <is>
          <t>2032_Maj_W4</t>
        </is>
      </c>
    </row>
    <row r="4158">
      <c r="A4158" s="177" t="n">
        <v>48353</v>
      </c>
      <c r="B4158" s="177" t="n">
        <v>48352</v>
      </c>
      <c r="C4158" s="177" t="n">
        <v>48358</v>
      </c>
      <c r="D4158" t="inlineStr">
        <is>
          <t>BW20320518</t>
        </is>
      </c>
      <c r="E4158" t="n">
        <v>2032</v>
      </c>
      <c r="F4158" t="inlineStr">
        <is>
          <t>Maj</t>
        </is>
      </c>
      <c r="G4158" t="inlineStr">
        <is>
          <t>Śr</t>
        </is>
      </c>
      <c r="H4158">
        <f>'Floor Hours Engine'!$E$4</f>
        <v/>
      </c>
      <c r="I4158" t="inlineStr">
        <is>
          <t>W4</t>
        </is>
      </c>
      <c r="J4158" t="inlineStr">
        <is>
          <t>2032_Maj_W4</t>
        </is>
      </c>
    </row>
    <row r="4159">
      <c r="A4159" s="177" t="n">
        <v>48354</v>
      </c>
      <c r="B4159" s="177" t="n">
        <v>48352</v>
      </c>
      <c r="C4159" s="177" t="n">
        <v>48358</v>
      </c>
      <c r="D4159" t="inlineStr">
        <is>
          <t>BW20320518</t>
        </is>
      </c>
      <c r="E4159" t="n">
        <v>2032</v>
      </c>
      <c r="F4159" t="inlineStr">
        <is>
          <t>Maj</t>
        </is>
      </c>
      <c r="G4159" t="inlineStr">
        <is>
          <t>Czw</t>
        </is>
      </c>
      <c r="H4159">
        <f>'Floor Hours Engine'!$E$4</f>
        <v/>
      </c>
      <c r="I4159" t="inlineStr">
        <is>
          <t>W4</t>
        </is>
      </c>
      <c r="J4159" t="inlineStr">
        <is>
          <t>2032_Maj_W4</t>
        </is>
      </c>
    </row>
    <row r="4160">
      <c r="A4160" s="177" t="n">
        <v>48355</v>
      </c>
      <c r="B4160" s="177" t="n">
        <v>48352</v>
      </c>
      <c r="C4160" s="177" t="n">
        <v>48358</v>
      </c>
      <c r="D4160" t="inlineStr">
        <is>
          <t>BW20320518</t>
        </is>
      </c>
      <c r="E4160" t="n">
        <v>2032</v>
      </c>
      <c r="F4160" t="inlineStr">
        <is>
          <t>Maj</t>
        </is>
      </c>
      <c r="G4160" t="inlineStr">
        <is>
          <t>Pt</t>
        </is>
      </c>
      <c r="H4160">
        <f>'Floor Hours Engine'!$E$5</f>
        <v/>
      </c>
      <c r="I4160" t="inlineStr">
        <is>
          <t>W4</t>
        </is>
      </c>
      <c r="J4160" t="inlineStr">
        <is>
          <t>2032_Maj_W4</t>
        </is>
      </c>
    </row>
    <row r="4161">
      <c r="A4161" s="177" t="n">
        <v>48356</v>
      </c>
      <c r="B4161" s="177" t="n">
        <v>48352</v>
      </c>
      <c r="C4161" s="177" t="n">
        <v>48358</v>
      </c>
      <c r="D4161" t="inlineStr">
        <is>
          <t>BW20320518</t>
        </is>
      </c>
      <c r="E4161" t="n">
        <v>2032</v>
      </c>
      <c r="F4161" t="inlineStr">
        <is>
          <t>Maj</t>
        </is>
      </c>
      <c r="G4161" t="inlineStr">
        <is>
          <t>Sob</t>
        </is>
      </c>
      <c r="H4161">
        <f>'Floor Hours Engine'!$E$5</f>
        <v/>
      </c>
      <c r="I4161" t="inlineStr">
        <is>
          <t>W4</t>
        </is>
      </c>
      <c r="J4161" t="inlineStr">
        <is>
          <t>2032_Maj_W4</t>
        </is>
      </c>
    </row>
    <row r="4162">
      <c r="A4162" s="177" t="n">
        <v>48357</v>
      </c>
      <c r="B4162" s="177" t="n">
        <v>48352</v>
      </c>
      <c r="C4162" s="177" t="n">
        <v>48358</v>
      </c>
      <c r="D4162" t="inlineStr">
        <is>
          <t>BW20320518</t>
        </is>
      </c>
      <c r="E4162" t="n">
        <v>2032</v>
      </c>
      <c r="F4162" t="inlineStr">
        <is>
          <t>Maj</t>
        </is>
      </c>
      <c r="G4162" t="inlineStr">
        <is>
          <t>Nd</t>
        </is>
      </c>
      <c r="H4162">
        <f>'Floor Hours Engine'!$E$6</f>
        <v/>
      </c>
      <c r="I4162" t="inlineStr">
        <is>
          <t>W4</t>
        </is>
      </c>
      <c r="J4162" t="inlineStr">
        <is>
          <t>2032_Maj_W4</t>
        </is>
      </c>
    </row>
    <row r="4163">
      <c r="A4163" s="177" t="n">
        <v>48358</v>
      </c>
      <c r="B4163" s="177" t="n">
        <v>48352</v>
      </c>
      <c r="C4163" s="177" t="n">
        <v>48358</v>
      </c>
      <c r="D4163" t="inlineStr">
        <is>
          <t>BW20320518</t>
        </is>
      </c>
      <c r="E4163" t="n">
        <v>2032</v>
      </c>
      <c r="F4163" t="inlineStr">
        <is>
          <t>Maj</t>
        </is>
      </c>
      <c r="G4163" t="inlineStr">
        <is>
          <t>Pn</t>
        </is>
      </c>
      <c r="H4163">
        <f>'Floor Hours Engine'!$E$4</f>
        <v/>
      </c>
      <c r="I4163" t="inlineStr">
        <is>
          <t>W4</t>
        </is>
      </c>
      <c r="J4163" t="inlineStr">
        <is>
          <t>2032_Maj_W4</t>
        </is>
      </c>
    </row>
    <row r="4164">
      <c r="A4164" s="177" t="n">
        <v>48359</v>
      </c>
      <c r="B4164" s="177" t="n">
        <v>48359</v>
      </c>
      <c r="C4164" s="177" t="n">
        <v>48365</v>
      </c>
      <c r="D4164" t="inlineStr">
        <is>
          <t>BW20320525</t>
        </is>
      </c>
      <c r="E4164" t="n">
        <v>2032</v>
      </c>
      <c r="F4164" t="inlineStr">
        <is>
          <t>Maj</t>
        </is>
      </c>
      <c r="G4164" t="inlineStr">
        <is>
          <t>Wt</t>
        </is>
      </c>
      <c r="H4164">
        <f>'Floor Hours Engine'!$E$4</f>
        <v/>
      </c>
      <c r="I4164" t="inlineStr">
        <is>
          <t>W5</t>
        </is>
      </c>
      <c r="J4164" t="inlineStr">
        <is>
          <t>2032_Maj_W5</t>
        </is>
      </c>
    </row>
    <row r="4165">
      <c r="A4165" s="177" t="n">
        <v>48360</v>
      </c>
      <c r="B4165" s="177" t="n">
        <v>48359</v>
      </c>
      <c r="C4165" s="177" t="n">
        <v>48365</v>
      </c>
      <c r="D4165" t="inlineStr">
        <is>
          <t>BW20320525</t>
        </is>
      </c>
      <c r="E4165" t="n">
        <v>2032</v>
      </c>
      <c r="F4165" t="inlineStr">
        <is>
          <t>Maj</t>
        </is>
      </c>
      <c r="G4165" t="inlineStr">
        <is>
          <t>Śr</t>
        </is>
      </c>
      <c r="H4165">
        <f>'Floor Hours Engine'!$E$4</f>
        <v/>
      </c>
      <c r="I4165" t="inlineStr">
        <is>
          <t>W5</t>
        </is>
      </c>
      <c r="J4165" t="inlineStr">
        <is>
          <t>2032_Maj_W5</t>
        </is>
      </c>
    </row>
    <row r="4166">
      <c r="A4166" s="177" t="n">
        <v>48361</v>
      </c>
      <c r="B4166" s="177" t="n">
        <v>48359</v>
      </c>
      <c r="C4166" s="177" t="n">
        <v>48365</v>
      </c>
      <c r="D4166" t="inlineStr">
        <is>
          <t>BW20320525</t>
        </is>
      </c>
      <c r="E4166" t="n">
        <v>2032</v>
      </c>
      <c r="F4166" t="inlineStr">
        <is>
          <t>Maj</t>
        </is>
      </c>
      <c r="G4166" t="inlineStr">
        <is>
          <t>Czw</t>
        </is>
      </c>
      <c r="H4166">
        <f>'Floor Hours Engine'!$E$4</f>
        <v/>
      </c>
      <c r="I4166" t="inlineStr">
        <is>
          <t>W5</t>
        </is>
      </c>
      <c r="J4166" t="inlineStr">
        <is>
          <t>2032_Maj_W5</t>
        </is>
      </c>
    </row>
    <row r="4167">
      <c r="A4167" s="177" t="n">
        <v>48362</v>
      </c>
      <c r="B4167" s="177" t="n">
        <v>48359</v>
      </c>
      <c r="C4167" s="177" t="n">
        <v>48365</v>
      </c>
      <c r="D4167" t="inlineStr">
        <is>
          <t>BW20320525</t>
        </is>
      </c>
      <c r="E4167" t="n">
        <v>2032</v>
      </c>
      <c r="F4167" t="inlineStr">
        <is>
          <t>Maj</t>
        </is>
      </c>
      <c r="G4167" t="inlineStr">
        <is>
          <t>Pt</t>
        </is>
      </c>
      <c r="H4167">
        <f>'Floor Hours Engine'!$E$5</f>
        <v/>
      </c>
      <c r="I4167" t="inlineStr">
        <is>
          <t>W5</t>
        </is>
      </c>
      <c r="J4167" t="inlineStr">
        <is>
          <t>2032_Maj_W5</t>
        </is>
      </c>
    </row>
    <row r="4168">
      <c r="A4168" s="177" t="n">
        <v>48363</v>
      </c>
      <c r="B4168" s="177" t="n">
        <v>48359</v>
      </c>
      <c r="C4168" s="177" t="n">
        <v>48365</v>
      </c>
      <c r="D4168" t="inlineStr">
        <is>
          <t>BW20320525</t>
        </is>
      </c>
      <c r="E4168" t="n">
        <v>2032</v>
      </c>
      <c r="F4168" t="inlineStr">
        <is>
          <t>Maj</t>
        </is>
      </c>
      <c r="G4168" t="inlineStr">
        <is>
          <t>Sob</t>
        </is>
      </c>
      <c r="H4168">
        <f>'Floor Hours Engine'!$E$5</f>
        <v/>
      </c>
      <c r="I4168" t="inlineStr">
        <is>
          <t>W5</t>
        </is>
      </c>
      <c r="J4168" t="inlineStr">
        <is>
          <t>2032_Maj_W5</t>
        </is>
      </c>
    </row>
    <row r="4169">
      <c r="A4169" s="177" t="n">
        <v>48364</v>
      </c>
      <c r="B4169" s="177" t="n">
        <v>48359</v>
      </c>
      <c r="C4169" s="177" t="n">
        <v>48365</v>
      </c>
      <c r="D4169" t="inlineStr">
        <is>
          <t>BW20320525</t>
        </is>
      </c>
      <c r="E4169" t="n">
        <v>2032</v>
      </c>
      <c r="F4169" t="inlineStr">
        <is>
          <t>Maj</t>
        </is>
      </c>
      <c r="G4169" t="inlineStr">
        <is>
          <t>Nd</t>
        </is>
      </c>
      <c r="H4169">
        <f>'Floor Hours Engine'!$E$6</f>
        <v/>
      </c>
      <c r="I4169" t="inlineStr">
        <is>
          <t>W5</t>
        </is>
      </c>
      <c r="J4169" t="inlineStr">
        <is>
          <t>2032_Maj_W5</t>
        </is>
      </c>
    </row>
    <row r="4170">
      <c r="A4170" s="177" t="n">
        <v>48365</v>
      </c>
      <c r="B4170" s="177" t="n">
        <v>48359</v>
      </c>
      <c r="C4170" s="177" t="n">
        <v>48365</v>
      </c>
      <c r="D4170" t="inlineStr">
        <is>
          <t>BW20320525</t>
        </is>
      </c>
      <c r="E4170" t="n">
        <v>2032</v>
      </c>
      <c r="F4170" t="inlineStr">
        <is>
          <t>Maj</t>
        </is>
      </c>
      <c r="G4170" t="inlineStr">
        <is>
          <t>Pn</t>
        </is>
      </c>
      <c r="H4170">
        <f>'Floor Hours Engine'!$E$4</f>
        <v/>
      </c>
      <c r="I4170" t="inlineStr">
        <is>
          <t>W5</t>
        </is>
      </c>
      <c r="J4170" t="inlineStr">
        <is>
          <t>2032_Maj_W5</t>
        </is>
      </c>
    </row>
    <row r="4171">
      <c r="A4171" s="177" t="n">
        <v>48366</v>
      </c>
      <c r="B4171" s="177" t="n">
        <v>48366</v>
      </c>
      <c r="C4171" s="177" t="n">
        <v>48372</v>
      </c>
      <c r="D4171" t="inlineStr">
        <is>
          <t>BW20320601</t>
        </is>
      </c>
      <c r="E4171" t="n">
        <v>2032</v>
      </c>
      <c r="F4171" t="inlineStr">
        <is>
          <t>Czerwiec</t>
        </is>
      </c>
      <c r="G4171" t="inlineStr">
        <is>
          <t>Wt</t>
        </is>
      </c>
      <c r="H4171">
        <f>'Floor Hours Engine'!$E$4</f>
        <v/>
      </c>
      <c r="I4171" t="inlineStr">
        <is>
          <t>W1</t>
        </is>
      </c>
      <c r="J4171" t="inlineStr">
        <is>
          <t>2032_Czerwiec_W1</t>
        </is>
      </c>
    </row>
    <row r="4172">
      <c r="A4172" s="177" t="n">
        <v>48367</v>
      </c>
      <c r="B4172" s="177" t="n">
        <v>48366</v>
      </c>
      <c r="C4172" s="177" t="n">
        <v>48372</v>
      </c>
      <c r="D4172" t="inlineStr">
        <is>
          <t>BW20320601</t>
        </is>
      </c>
      <c r="E4172" t="n">
        <v>2032</v>
      </c>
      <c r="F4172" t="inlineStr">
        <is>
          <t>Czerwiec</t>
        </is>
      </c>
      <c r="G4172" t="inlineStr">
        <is>
          <t>Śr</t>
        </is>
      </c>
      <c r="H4172">
        <f>'Floor Hours Engine'!$E$4</f>
        <v/>
      </c>
      <c r="I4172" t="inlineStr">
        <is>
          <t>W1</t>
        </is>
      </c>
      <c r="J4172" t="inlineStr">
        <is>
          <t>2032_Czerwiec_W1</t>
        </is>
      </c>
    </row>
    <row r="4173">
      <c r="A4173" s="177" t="n">
        <v>48368</v>
      </c>
      <c r="B4173" s="177" t="n">
        <v>48366</v>
      </c>
      <c r="C4173" s="177" t="n">
        <v>48372</v>
      </c>
      <c r="D4173" t="inlineStr">
        <is>
          <t>BW20320601</t>
        </is>
      </c>
      <c r="E4173" t="n">
        <v>2032</v>
      </c>
      <c r="F4173" t="inlineStr">
        <is>
          <t>Czerwiec</t>
        </is>
      </c>
      <c r="G4173" t="inlineStr">
        <is>
          <t>Czw</t>
        </is>
      </c>
      <c r="H4173">
        <f>'Floor Hours Engine'!$E$4</f>
        <v/>
      </c>
      <c r="I4173" t="inlineStr">
        <is>
          <t>W1</t>
        </is>
      </c>
      <c r="J4173" t="inlineStr">
        <is>
          <t>2032_Czerwiec_W1</t>
        </is>
      </c>
    </row>
    <row r="4174">
      <c r="A4174" s="177" t="n">
        <v>48369</v>
      </c>
      <c r="B4174" s="177" t="n">
        <v>48366</v>
      </c>
      <c r="C4174" s="177" t="n">
        <v>48372</v>
      </c>
      <c r="D4174" t="inlineStr">
        <is>
          <t>BW20320601</t>
        </is>
      </c>
      <c r="E4174" t="n">
        <v>2032</v>
      </c>
      <c r="F4174" t="inlineStr">
        <is>
          <t>Czerwiec</t>
        </is>
      </c>
      <c r="G4174" t="inlineStr">
        <is>
          <t>Pt</t>
        </is>
      </c>
      <c r="H4174">
        <f>'Floor Hours Engine'!$E$5</f>
        <v/>
      </c>
      <c r="I4174" t="inlineStr">
        <is>
          <t>W1</t>
        </is>
      </c>
      <c r="J4174" t="inlineStr">
        <is>
          <t>2032_Czerwiec_W1</t>
        </is>
      </c>
    </row>
    <row r="4175">
      <c r="A4175" s="177" t="n">
        <v>48370</v>
      </c>
      <c r="B4175" s="177" t="n">
        <v>48366</v>
      </c>
      <c r="C4175" s="177" t="n">
        <v>48372</v>
      </c>
      <c r="D4175" t="inlineStr">
        <is>
          <t>BW20320601</t>
        </is>
      </c>
      <c r="E4175" t="n">
        <v>2032</v>
      </c>
      <c r="F4175" t="inlineStr">
        <is>
          <t>Czerwiec</t>
        </is>
      </c>
      <c r="G4175" t="inlineStr">
        <is>
          <t>Sob</t>
        </is>
      </c>
      <c r="H4175">
        <f>'Floor Hours Engine'!$E$5</f>
        <v/>
      </c>
      <c r="I4175" t="inlineStr">
        <is>
          <t>W1</t>
        </is>
      </c>
      <c r="J4175" t="inlineStr">
        <is>
          <t>2032_Czerwiec_W1</t>
        </is>
      </c>
    </row>
    <row r="4176">
      <c r="A4176" s="177" t="n">
        <v>48371</v>
      </c>
      <c r="B4176" s="177" t="n">
        <v>48366</v>
      </c>
      <c r="C4176" s="177" t="n">
        <v>48372</v>
      </c>
      <c r="D4176" t="inlineStr">
        <is>
          <t>BW20320601</t>
        </is>
      </c>
      <c r="E4176" t="n">
        <v>2032</v>
      </c>
      <c r="F4176" t="inlineStr">
        <is>
          <t>Czerwiec</t>
        </is>
      </c>
      <c r="G4176" t="inlineStr">
        <is>
          <t>Nd</t>
        </is>
      </c>
      <c r="H4176">
        <f>'Floor Hours Engine'!$E$6</f>
        <v/>
      </c>
      <c r="I4176" t="inlineStr">
        <is>
          <t>W1</t>
        </is>
      </c>
      <c r="J4176" t="inlineStr">
        <is>
          <t>2032_Czerwiec_W1</t>
        </is>
      </c>
    </row>
    <row r="4177">
      <c r="A4177" s="177" t="n">
        <v>48372</v>
      </c>
      <c r="B4177" s="177" t="n">
        <v>48366</v>
      </c>
      <c r="C4177" s="177" t="n">
        <v>48372</v>
      </c>
      <c r="D4177" t="inlineStr">
        <is>
          <t>BW20320601</t>
        </is>
      </c>
      <c r="E4177" t="n">
        <v>2032</v>
      </c>
      <c r="F4177" t="inlineStr">
        <is>
          <t>Czerwiec</t>
        </is>
      </c>
      <c r="G4177" t="inlineStr">
        <is>
          <t>Pn</t>
        </is>
      </c>
      <c r="H4177">
        <f>'Floor Hours Engine'!$E$4</f>
        <v/>
      </c>
      <c r="I4177" t="inlineStr">
        <is>
          <t>W1</t>
        </is>
      </c>
      <c r="J4177" t="inlineStr">
        <is>
          <t>2032_Czerwiec_W1</t>
        </is>
      </c>
    </row>
    <row r="4178">
      <c r="A4178" s="177" t="n">
        <v>48373</v>
      </c>
      <c r="B4178" s="177" t="n">
        <v>48373</v>
      </c>
      <c r="C4178" s="177" t="n">
        <v>48379</v>
      </c>
      <c r="D4178" t="inlineStr">
        <is>
          <t>BW20320608</t>
        </is>
      </c>
      <c r="E4178" t="n">
        <v>2032</v>
      </c>
      <c r="F4178" t="inlineStr">
        <is>
          <t>Czerwiec</t>
        </is>
      </c>
      <c r="G4178" t="inlineStr">
        <is>
          <t>Wt</t>
        </is>
      </c>
      <c r="H4178">
        <f>'Floor Hours Engine'!$E$4</f>
        <v/>
      </c>
      <c r="I4178" t="inlineStr">
        <is>
          <t>W2</t>
        </is>
      </c>
      <c r="J4178" t="inlineStr">
        <is>
          <t>2032_Czerwiec_W2</t>
        </is>
      </c>
    </row>
    <row r="4179">
      <c r="A4179" s="177" t="n">
        <v>48374</v>
      </c>
      <c r="B4179" s="177" t="n">
        <v>48373</v>
      </c>
      <c r="C4179" s="177" t="n">
        <v>48379</v>
      </c>
      <c r="D4179" t="inlineStr">
        <is>
          <t>BW20320608</t>
        </is>
      </c>
      <c r="E4179" t="n">
        <v>2032</v>
      </c>
      <c r="F4179" t="inlineStr">
        <is>
          <t>Czerwiec</t>
        </is>
      </c>
      <c r="G4179" t="inlineStr">
        <is>
          <t>Śr</t>
        </is>
      </c>
      <c r="H4179">
        <f>'Floor Hours Engine'!$E$4</f>
        <v/>
      </c>
      <c r="I4179" t="inlineStr">
        <is>
          <t>W2</t>
        </is>
      </c>
      <c r="J4179" t="inlineStr">
        <is>
          <t>2032_Czerwiec_W2</t>
        </is>
      </c>
    </row>
    <row r="4180">
      <c r="A4180" s="177" t="n">
        <v>48375</v>
      </c>
      <c r="B4180" s="177" t="n">
        <v>48373</v>
      </c>
      <c r="C4180" s="177" t="n">
        <v>48379</v>
      </c>
      <c r="D4180" t="inlineStr">
        <is>
          <t>BW20320608</t>
        </is>
      </c>
      <c r="E4180" t="n">
        <v>2032</v>
      </c>
      <c r="F4180" t="inlineStr">
        <is>
          <t>Czerwiec</t>
        </is>
      </c>
      <c r="G4180" t="inlineStr">
        <is>
          <t>Czw</t>
        </is>
      </c>
      <c r="H4180">
        <f>'Floor Hours Engine'!$E$4</f>
        <v/>
      </c>
      <c r="I4180" t="inlineStr">
        <is>
          <t>W2</t>
        </is>
      </c>
      <c r="J4180" t="inlineStr">
        <is>
          <t>2032_Czerwiec_W2</t>
        </is>
      </c>
    </row>
    <row r="4181">
      <c r="A4181" s="177" t="n">
        <v>48376</v>
      </c>
      <c r="B4181" s="177" t="n">
        <v>48373</v>
      </c>
      <c r="C4181" s="177" t="n">
        <v>48379</v>
      </c>
      <c r="D4181" t="inlineStr">
        <is>
          <t>BW20320608</t>
        </is>
      </c>
      <c r="E4181" t="n">
        <v>2032</v>
      </c>
      <c r="F4181" t="inlineStr">
        <is>
          <t>Czerwiec</t>
        </is>
      </c>
      <c r="G4181" t="inlineStr">
        <is>
          <t>Pt</t>
        </is>
      </c>
      <c r="H4181">
        <f>'Floor Hours Engine'!$E$5</f>
        <v/>
      </c>
      <c r="I4181" t="inlineStr">
        <is>
          <t>W2</t>
        </is>
      </c>
      <c r="J4181" t="inlineStr">
        <is>
          <t>2032_Czerwiec_W2</t>
        </is>
      </c>
    </row>
    <row r="4182">
      <c r="A4182" s="177" t="n">
        <v>48377</v>
      </c>
      <c r="B4182" s="177" t="n">
        <v>48373</v>
      </c>
      <c r="C4182" s="177" t="n">
        <v>48379</v>
      </c>
      <c r="D4182" t="inlineStr">
        <is>
          <t>BW20320608</t>
        </is>
      </c>
      <c r="E4182" t="n">
        <v>2032</v>
      </c>
      <c r="F4182" t="inlineStr">
        <is>
          <t>Czerwiec</t>
        </is>
      </c>
      <c r="G4182" t="inlineStr">
        <is>
          <t>Sob</t>
        </is>
      </c>
      <c r="H4182">
        <f>'Floor Hours Engine'!$E$5</f>
        <v/>
      </c>
      <c r="I4182" t="inlineStr">
        <is>
          <t>W2</t>
        </is>
      </c>
      <c r="J4182" t="inlineStr">
        <is>
          <t>2032_Czerwiec_W2</t>
        </is>
      </c>
    </row>
    <row r="4183">
      <c r="A4183" s="177" t="n">
        <v>48378</v>
      </c>
      <c r="B4183" s="177" t="n">
        <v>48373</v>
      </c>
      <c r="C4183" s="177" t="n">
        <v>48379</v>
      </c>
      <c r="D4183" t="inlineStr">
        <is>
          <t>BW20320608</t>
        </is>
      </c>
      <c r="E4183" t="n">
        <v>2032</v>
      </c>
      <c r="F4183" t="inlineStr">
        <is>
          <t>Czerwiec</t>
        </is>
      </c>
      <c r="G4183" t="inlineStr">
        <is>
          <t>Nd</t>
        </is>
      </c>
      <c r="H4183">
        <f>'Floor Hours Engine'!$E$6</f>
        <v/>
      </c>
      <c r="I4183" t="inlineStr">
        <is>
          <t>W2</t>
        </is>
      </c>
      <c r="J4183" t="inlineStr">
        <is>
          <t>2032_Czerwiec_W2</t>
        </is>
      </c>
    </row>
    <row r="4184">
      <c r="A4184" s="177" t="n">
        <v>48379</v>
      </c>
      <c r="B4184" s="177" t="n">
        <v>48373</v>
      </c>
      <c r="C4184" s="177" t="n">
        <v>48379</v>
      </c>
      <c r="D4184" t="inlineStr">
        <is>
          <t>BW20320608</t>
        </is>
      </c>
      <c r="E4184" t="n">
        <v>2032</v>
      </c>
      <c r="F4184" t="inlineStr">
        <is>
          <t>Czerwiec</t>
        </is>
      </c>
      <c r="G4184" t="inlineStr">
        <is>
          <t>Pn</t>
        </is>
      </c>
      <c r="H4184">
        <f>'Floor Hours Engine'!$E$4</f>
        <v/>
      </c>
      <c r="I4184" t="inlineStr">
        <is>
          <t>W2</t>
        </is>
      </c>
      <c r="J4184" t="inlineStr">
        <is>
          <t>2032_Czerwiec_W2</t>
        </is>
      </c>
    </row>
    <row r="4185">
      <c r="A4185" s="177" t="n">
        <v>48380</v>
      </c>
      <c r="B4185" s="177" t="n">
        <v>48380</v>
      </c>
      <c r="C4185" s="177" t="n">
        <v>48386</v>
      </c>
      <c r="D4185" t="inlineStr">
        <is>
          <t>BW20320615</t>
        </is>
      </c>
      <c r="E4185" t="n">
        <v>2032</v>
      </c>
      <c r="F4185" t="inlineStr">
        <is>
          <t>Czerwiec</t>
        </is>
      </c>
      <c r="G4185" t="inlineStr">
        <is>
          <t>Wt</t>
        </is>
      </c>
      <c r="H4185">
        <f>'Floor Hours Engine'!$E$4</f>
        <v/>
      </c>
      <c r="I4185" t="inlineStr">
        <is>
          <t>W3</t>
        </is>
      </c>
      <c r="J4185" t="inlineStr">
        <is>
          <t>2032_Czerwiec_W3</t>
        </is>
      </c>
    </row>
    <row r="4186">
      <c r="A4186" s="177" t="n">
        <v>48381</v>
      </c>
      <c r="B4186" s="177" t="n">
        <v>48380</v>
      </c>
      <c r="C4186" s="177" t="n">
        <v>48386</v>
      </c>
      <c r="D4186" t="inlineStr">
        <is>
          <t>BW20320615</t>
        </is>
      </c>
      <c r="E4186" t="n">
        <v>2032</v>
      </c>
      <c r="F4186" t="inlineStr">
        <is>
          <t>Czerwiec</t>
        </is>
      </c>
      <c r="G4186" t="inlineStr">
        <is>
          <t>Śr</t>
        </is>
      </c>
      <c r="H4186">
        <f>'Floor Hours Engine'!$E$4</f>
        <v/>
      </c>
      <c r="I4186" t="inlineStr">
        <is>
          <t>W3</t>
        </is>
      </c>
      <c r="J4186" t="inlineStr">
        <is>
          <t>2032_Czerwiec_W3</t>
        </is>
      </c>
    </row>
    <row r="4187">
      <c r="A4187" s="177" t="n">
        <v>48382</v>
      </c>
      <c r="B4187" s="177" t="n">
        <v>48380</v>
      </c>
      <c r="C4187" s="177" t="n">
        <v>48386</v>
      </c>
      <c r="D4187" t="inlineStr">
        <is>
          <t>BW20320615</t>
        </is>
      </c>
      <c r="E4187" t="n">
        <v>2032</v>
      </c>
      <c r="F4187" t="inlineStr">
        <is>
          <t>Czerwiec</t>
        </is>
      </c>
      <c r="G4187" t="inlineStr">
        <is>
          <t>Czw</t>
        </is>
      </c>
      <c r="H4187">
        <f>'Floor Hours Engine'!$E$4</f>
        <v/>
      </c>
      <c r="I4187" t="inlineStr">
        <is>
          <t>W3</t>
        </is>
      </c>
      <c r="J4187" t="inlineStr">
        <is>
          <t>2032_Czerwiec_W3</t>
        </is>
      </c>
    </row>
    <row r="4188">
      <c r="A4188" s="177" t="n">
        <v>48383</v>
      </c>
      <c r="B4188" s="177" t="n">
        <v>48380</v>
      </c>
      <c r="C4188" s="177" t="n">
        <v>48386</v>
      </c>
      <c r="D4188" t="inlineStr">
        <is>
          <t>BW20320615</t>
        </is>
      </c>
      <c r="E4188" t="n">
        <v>2032</v>
      </c>
      <c r="F4188" t="inlineStr">
        <is>
          <t>Czerwiec</t>
        </is>
      </c>
      <c r="G4188" t="inlineStr">
        <is>
          <t>Pt</t>
        </is>
      </c>
      <c r="H4188">
        <f>'Floor Hours Engine'!$E$5</f>
        <v/>
      </c>
      <c r="I4188" t="inlineStr">
        <is>
          <t>W3</t>
        </is>
      </c>
      <c r="J4188" t="inlineStr">
        <is>
          <t>2032_Czerwiec_W3</t>
        </is>
      </c>
    </row>
    <row r="4189">
      <c r="A4189" s="177" t="n">
        <v>48384</v>
      </c>
      <c r="B4189" s="177" t="n">
        <v>48380</v>
      </c>
      <c r="C4189" s="177" t="n">
        <v>48386</v>
      </c>
      <c r="D4189" t="inlineStr">
        <is>
          <t>BW20320615</t>
        </is>
      </c>
      <c r="E4189" t="n">
        <v>2032</v>
      </c>
      <c r="F4189" t="inlineStr">
        <is>
          <t>Czerwiec</t>
        </is>
      </c>
      <c r="G4189" t="inlineStr">
        <is>
          <t>Sob</t>
        </is>
      </c>
      <c r="H4189">
        <f>'Floor Hours Engine'!$E$5</f>
        <v/>
      </c>
      <c r="I4189" t="inlineStr">
        <is>
          <t>W3</t>
        </is>
      </c>
      <c r="J4189" t="inlineStr">
        <is>
          <t>2032_Czerwiec_W3</t>
        </is>
      </c>
    </row>
    <row r="4190">
      <c r="A4190" s="177" t="n">
        <v>48385</v>
      </c>
      <c r="B4190" s="177" t="n">
        <v>48380</v>
      </c>
      <c r="C4190" s="177" t="n">
        <v>48386</v>
      </c>
      <c r="D4190" t="inlineStr">
        <is>
          <t>BW20320615</t>
        </is>
      </c>
      <c r="E4190" t="n">
        <v>2032</v>
      </c>
      <c r="F4190" t="inlineStr">
        <is>
          <t>Czerwiec</t>
        </is>
      </c>
      <c r="G4190" t="inlineStr">
        <is>
          <t>Nd</t>
        </is>
      </c>
      <c r="H4190">
        <f>'Floor Hours Engine'!$E$6</f>
        <v/>
      </c>
      <c r="I4190" t="inlineStr">
        <is>
          <t>W3</t>
        </is>
      </c>
      <c r="J4190" t="inlineStr">
        <is>
          <t>2032_Czerwiec_W3</t>
        </is>
      </c>
    </row>
    <row r="4191">
      <c r="A4191" s="177" t="n">
        <v>48386</v>
      </c>
      <c r="B4191" s="177" t="n">
        <v>48380</v>
      </c>
      <c r="C4191" s="177" t="n">
        <v>48386</v>
      </c>
      <c r="D4191" t="inlineStr">
        <is>
          <t>BW20320615</t>
        </is>
      </c>
      <c r="E4191" t="n">
        <v>2032</v>
      </c>
      <c r="F4191" t="inlineStr">
        <is>
          <t>Czerwiec</t>
        </is>
      </c>
      <c r="G4191" t="inlineStr">
        <is>
          <t>Pn</t>
        </is>
      </c>
      <c r="H4191">
        <f>'Floor Hours Engine'!$E$4</f>
        <v/>
      </c>
      <c r="I4191" t="inlineStr">
        <is>
          <t>W3</t>
        </is>
      </c>
      <c r="J4191" t="inlineStr">
        <is>
          <t>2032_Czerwiec_W3</t>
        </is>
      </c>
    </row>
    <row r="4192">
      <c r="A4192" s="177" t="n">
        <v>48387</v>
      </c>
      <c r="B4192" s="177" t="n">
        <v>48387</v>
      </c>
      <c r="C4192" s="177" t="n">
        <v>48393</v>
      </c>
      <c r="D4192" t="inlineStr">
        <is>
          <t>BW20320622</t>
        </is>
      </c>
      <c r="E4192" t="n">
        <v>2032</v>
      </c>
      <c r="F4192" t="inlineStr">
        <is>
          <t>Czerwiec</t>
        </is>
      </c>
      <c r="G4192" t="inlineStr">
        <is>
          <t>Wt</t>
        </is>
      </c>
      <c r="H4192">
        <f>'Floor Hours Engine'!$E$4</f>
        <v/>
      </c>
      <c r="I4192" t="inlineStr">
        <is>
          <t>W4</t>
        </is>
      </c>
      <c r="J4192" t="inlineStr">
        <is>
          <t>2032_Czerwiec_W4</t>
        </is>
      </c>
    </row>
    <row r="4193">
      <c r="A4193" s="177" t="n">
        <v>48388</v>
      </c>
      <c r="B4193" s="177" t="n">
        <v>48387</v>
      </c>
      <c r="C4193" s="177" t="n">
        <v>48393</v>
      </c>
      <c r="D4193" t="inlineStr">
        <is>
          <t>BW20320622</t>
        </is>
      </c>
      <c r="E4193" t="n">
        <v>2032</v>
      </c>
      <c r="F4193" t="inlineStr">
        <is>
          <t>Czerwiec</t>
        </is>
      </c>
      <c r="G4193" t="inlineStr">
        <is>
          <t>Śr</t>
        </is>
      </c>
      <c r="H4193">
        <f>'Floor Hours Engine'!$E$4</f>
        <v/>
      </c>
      <c r="I4193" t="inlineStr">
        <is>
          <t>W4</t>
        </is>
      </c>
      <c r="J4193" t="inlineStr">
        <is>
          <t>2032_Czerwiec_W4</t>
        </is>
      </c>
    </row>
    <row r="4194">
      <c r="A4194" s="177" t="n">
        <v>48389</v>
      </c>
      <c r="B4194" s="177" t="n">
        <v>48387</v>
      </c>
      <c r="C4194" s="177" t="n">
        <v>48393</v>
      </c>
      <c r="D4194" t="inlineStr">
        <is>
          <t>BW20320622</t>
        </is>
      </c>
      <c r="E4194" t="n">
        <v>2032</v>
      </c>
      <c r="F4194" t="inlineStr">
        <is>
          <t>Czerwiec</t>
        </is>
      </c>
      <c r="G4194" t="inlineStr">
        <is>
          <t>Czw</t>
        </is>
      </c>
      <c r="H4194">
        <f>'Floor Hours Engine'!$E$4</f>
        <v/>
      </c>
      <c r="I4194" t="inlineStr">
        <is>
          <t>W4</t>
        </is>
      </c>
      <c r="J4194" t="inlineStr">
        <is>
          <t>2032_Czerwiec_W4</t>
        </is>
      </c>
    </row>
    <row r="4195">
      <c r="A4195" s="177" t="n">
        <v>48390</v>
      </c>
      <c r="B4195" s="177" t="n">
        <v>48387</v>
      </c>
      <c r="C4195" s="177" t="n">
        <v>48393</v>
      </c>
      <c r="D4195" t="inlineStr">
        <is>
          <t>BW20320622</t>
        </is>
      </c>
      <c r="E4195" t="n">
        <v>2032</v>
      </c>
      <c r="F4195" t="inlineStr">
        <is>
          <t>Czerwiec</t>
        </is>
      </c>
      <c r="G4195" t="inlineStr">
        <is>
          <t>Pt</t>
        </is>
      </c>
      <c r="H4195">
        <f>'Floor Hours Engine'!$E$5</f>
        <v/>
      </c>
      <c r="I4195" t="inlineStr">
        <is>
          <t>W4</t>
        </is>
      </c>
      <c r="J4195" t="inlineStr">
        <is>
          <t>2032_Czerwiec_W4</t>
        </is>
      </c>
    </row>
    <row r="4196">
      <c r="A4196" s="177" t="n">
        <v>48391</v>
      </c>
      <c r="B4196" s="177" t="n">
        <v>48387</v>
      </c>
      <c r="C4196" s="177" t="n">
        <v>48393</v>
      </c>
      <c r="D4196" t="inlineStr">
        <is>
          <t>BW20320622</t>
        </is>
      </c>
      <c r="E4196" t="n">
        <v>2032</v>
      </c>
      <c r="F4196" t="inlineStr">
        <is>
          <t>Czerwiec</t>
        </is>
      </c>
      <c r="G4196" t="inlineStr">
        <is>
          <t>Sob</t>
        </is>
      </c>
      <c r="H4196">
        <f>'Floor Hours Engine'!$E$5</f>
        <v/>
      </c>
      <c r="I4196" t="inlineStr">
        <is>
          <t>W4</t>
        </is>
      </c>
      <c r="J4196" t="inlineStr">
        <is>
          <t>2032_Czerwiec_W4</t>
        </is>
      </c>
    </row>
    <row r="4197">
      <c r="A4197" s="177" t="n">
        <v>48392</v>
      </c>
      <c r="B4197" s="177" t="n">
        <v>48387</v>
      </c>
      <c r="C4197" s="177" t="n">
        <v>48393</v>
      </c>
      <c r="D4197" t="inlineStr">
        <is>
          <t>BW20320622</t>
        </is>
      </c>
      <c r="E4197" t="n">
        <v>2032</v>
      </c>
      <c r="F4197" t="inlineStr">
        <is>
          <t>Czerwiec</t>
        </is>
      </c>
      <c r="G4197" t="inlineStr">
        <is>
          <t>Nd</t>
        </is>
      </c>
      <c r="H4197">
        <f>'Floor Hours Engine'!$E$6</f>
        <v/>
      </c>
      <c r="I4197" t="inlineStr">
        <is>
          <t>W4</t>
        </is>
      </c>
      <c r="J4197" t="inlineStr">
        <is>
          <t>2032_Czerwiec_W4</t>
        </is>
      </c>
    </row>
    <row r="4198">
      <c r="A4198" s="177" t="n">
        <v>48393</v>
      </c>
      <c r="B4198" s="177" t="n">
        <v>48387</v>
      </c>
      <c r="C4198" s="177" t="n">
        <v>48393</v>
      </c>
      <c r="D4198" t="inlineStr">
        <is>
          <t>BW20320622</t>
        </is>
      </c>
      <c r="E4198" t="n">
        <v>2032</v>
      </c>
      <c r="F4198" t="inlineStr">
        <is>
          <t>Czerwiec</t>
        </is>
      </c>
      <c r="G4198" t="inlineStr">
        <is>
          <t>Pn</t>
        </is>
      </c>
      <c r="H4198">
        <f>'Floor Hours Engine'!$E$4</f>
        <v/>
      </c>
      <c r="I4198" t="inlineStr">
        <is>
          <t>W4</t>
        </is>
      </c>
      <c r="J4198" t="inlineStr">
        <is>
          <t>2032_Czerwiec_W4</t>
        </is>
      </c>
    </row>
    <row r="4199">
      <c r="A4199" s="177" t="n">
        <v>48394</v>
      </c>
      <c r="B4199" s="177" t="n">
        <v>48394</v>
      </c>
      <c r="C4199" s="177" t="n">
        <v>48400</v>
      </c>
      <c r="D4199" t="inlineStr">
        <is>
          <t>BW20320629</t>
        </is>
      </c>
      <c r="E4199" t="n">
        <v>2032</v>
      </c>
      <c r="F4199" t="inlineStr">
        <is>
          <t>Czerwiec</t>
        </is>
      </c>
      <c r="G4199" t="inlineStr">
        <is>
          <t>Wt</t>
        </is>
      </c>
      <c r="H4199">
        <f>'Floor Hours Engine'!$E$4</f>
        <v/>
      </c>
      <c r="I4199" t="inlineStr">
        <is>
          <t>W5</t>
        </is>
      </c>
      <c r="J4199" t="inlineStr">
        <is>
          <t>2032_Czerwiec_W5</t>
        </is>
      </c>
    </row>
    <row r="4200">
      <c r="A4200" s="177" t="n">
        <v>48395</v>
      </c>
      <c r="B4200" s="177" t="n">
        <v>48394</v>
      </c>
      <c r="C4200" s="177" t="n">
        <v>48400</v>
      </c>
      <c r="D4200" t="inlineStr">
        <is>
          <t>BW20320629</t>
        </is>
      </c>
      <c r="E4200" t="n">
        <v>2032</v>
      </c>
      <c r="F4200" t="inlineStr">
        <is>
          <t>Czerwiec</t>
        </is>
      </c>
      <c r="G4200" t="inlineStr">
        <is>
          <t>Śr</t>
        </is>
      </c>
      <c r="H4200">
        <f>'Floor Hours Engine'!$E$4</f>
        <v/>
      </c>
      <c r="I4200" t="inlineStr">
        <is>
          <t>W5</t>
        </is>
      </c>
      <c r="J4200" t="inlineStr">
        <is>
          <t>2032_Czerwiec_W5</t>
        </is>
      </c>
    </row>
    <row r="4201">
      <c r="A4201" s="177" t="n">
        <v>48396</v>
      </c>
      <c r="B4201" s="177" t="n">
        <v>48394</v>
      </c>
      <c r="C4201" s="177" t="n">
        <v>48400</v>
      </c>
      <c r="D4201" t="inlineStr">
        <is>
          <t>BW20320629</t>
        </is>
      </c>
      <c r="E4201" t="n">
        <v>2032</v>
      </c>
      <c r="F4201" t="inlineStr">
        <is>
          <t>Lipiec</t>
        </is>
      </c>
      <c r="G4201" t="inlineStr">
        <is>
          <t>Czw</t>
        </is>
      </c>
      <c r="H4201">
        <f>'Floor Hours Engine'!$E$4</f>
        <v/>
      </c>
      <c r="I4201" t="inlineStr">
        <is>
          <t>W1</t>
        </is>
      </c>
      <c r="J4201" t="inlineStr">
        <is>
          <t>2032_Lipiec_W1</t>
        </is>
      </c>
    </row>
    <row r="4202">
      <c r="A4202" s="177" t="n">
        <v>48397</v>
      </c>
      <c r="B4202" s="177" t="n">
        <v>48394</v>
      </c>
      <c r="C4202" s="177" t="n">
        <v>48400</v>
      </c>
      <c r="D4202" t="inlineStr">
        <is>
          <t>BW20320629</t>
        </is>
      </c>
      <c r="E4202" t="n">
        <v>2032</v>
      </c>
      <c r="F4202" t="inlineStr">
        <is>
          <t>Lipiec</t>
        </is>
      </c>
      <c r="G4202" t="inlineStr">
        <is>
          <t>Pt</t>
        </is>
      </c>
      <c r="H4202">
        <f>'Floor Hours Engine'!$E$5</f>
        <v/>
      </c>
      <c r="I4202" t="inlineStr">
        <is>
          <t>W1</t>
        </is>
      </c>
      <c r="J4202" t="inlineStr">
        <is>
          <t>2032_Lipiec_W1</t>
        </is>
      </c>
    </row>
    <row r="4203">
      <c r="A4203" s="177" t="n">
        <v>48398</v>
      </c>
      <c r="B4203" s="177" t="n">
        <v>48394</v>
      </c>
      <c r="C4203" s="177" t="n">
        <v>48400</v>
      </c>
      <c r="D4203" t="inlineStr">
        <is>
          <t>BW20320629</t>
        </is>
      </c>
      <c r="E4203" t="n">
        <v>2032</v>
      </c>
      <c r="F4203" t="inlineStr">
        <is>
          <t>Lipiec</t>
        </is>
      </c>
      <c r="G4203" t="inlineStr">
        <is>
          <t>Sob</t>
        </is>
      </c>
      <c r="H4203">
        <f>'Floor Hours Engine'!$E$5</f>
        <v/>
      </c>
      <c r="I4203" t="inlineStr">
        <is>
          <t>W1</t>
        </is>
      </c>
      <c r="J4203" t="inlineStr">
        <is>
          <t>2032_Lipiec_W1</t>
        </is>
      </c>
    </row>
    <row r="4204">
      <c r="A4204" s="177" t="n">
        <v>48399</v>
      </c>
      <c r="B4204" s="177" t="n">
        <v>48394</v>
      </c>
      <c r="C4204" s="177" t="n">
        <v>48400</v>
      </c>
      <c r="D4204" t="inlineStr">
        <is>
          <t>BW20320629</t>
        </is>
      </c>
      <c r="E4204" t="n">
        <v>2032</v>
      </c>
      <c r="F4204" t="inlineStr">
        <is>
          <t>Lipiec</t>
        </is>
      </c>
      <c r="G4204" t="inlineStr">
        <is>
          <t>Nd</t>
        </is>
      </c>
      <c r="H4204">
        <f>'Floor Hours Engine'!$E$6</f>
        <v/>
      </c>
      <c r="I4204" t="inlineStr">
        <is>
          <t>W1</t>
        </is>
      </c>
      <c r="J4204" t="inlineStr">
        <is>
          <t>2032_Lipiec_W1</t>
        </is>
      </c>
    </row>
    <row r="4205">
      <c r="A4205" s="177" t="n">
        <v>48400</v>
      </c>
      <c r="B4205" s="177" t="n">
        <v>48394</v>
      </c>
      <c r="C4205" s="177" t="n">
        <v>48400</v>
      </c>
      <c r="D4205" t="inlineStr">
        <is>
          <t>BW20320629</t>
        </is>
      </c>
      <c r="E4205" t="n">
        <v>2032</v>
      </c>
      <c r="F4205" t="inlineStr">
        <is>
          <t>Lipiec</t>
        </is>
      </c>
      <c r="G4205" t="inlineStr">
        <is>
          <t>Pn</t>
        </is>
      </c>
      <c r="H4205">
        <f>'Floor Hours Engine'!$E$4</f>
        <v/>
      </c>
      <c r="I4205" t="inlineStr">
        <is>
          <t>W1</t>
        </is>
      </c>
      <c r="J4205" t="inlineStr">
        <is>
          <t>2032_Lipiec_W1</t>
        </is>
      </c>
    </row>
    <row r="4206">
      <c r="A4206" s="177" t="n">
        <v>48401</v>
      </c>
      <c r="B4206" s="177" t="n">
        <v>48401</v>
      </c>
      <c r="C4206" s="177" t="n">
        <v>48407</v>
      </c>
      <c r="D4206" t="inlineStr">
        <is>
          <t>BW20320706</t>
        </is>
      </c>
      <c r="E4206" t="n">
        <v>2032</v>
      </c>
      <c r="F4206" t="inlineStr">
        <is>
          <t>Lipiec</t>
        </is>
      </c>
      <c r="G4206" t="inlineStr">
        <is>
          <t>Wt</t>
        </is>
      </c>
      <c r="H4206">
        <f>'Floor Hours Engine'!$E$4</f>
        <v/>
      </c>
      <c r="I4206" t="inlineStr">
        <is>
          <t>W2</t>
        </is>
      </c>
      <c r="J4206" t="inlineStr">
        <is>
          <t>2032_Lipiec_W2</t>
        </is>
      </c>
    </row>
    <row r="4207">
      <c r="A4207" s="177" t="n">
        <v>48402</v>
      </c>
      <c r="B4207" s="177" t="n">
        <v>48401</v>
      </c>
      <c r="C4207" s="177" t="n">
        <v>48407</v>
      </c>
      <c r="D4207" t="inlineStr">
        <is>
          <t>BW20320706</t>
        </is>
      </c>
      <c r="E4207" t="n">
        <v>2032</v>
      </c>
      <c r="F4207" t="inlineStr">
        <is>
          <t>Lipiec</t>
        </is>
      </c>
      <c r="G4207" t="inlineStr">
        <is>
          <t>Śr</t>
        </is>
      </c>
      <c r="H4207">
        <f>'Floor Hours Engine'!$E$4</f>
        <v/>
      </c>
      <c r="I4207" t="inlineStr">
        <is>
          <t>W2</t>
        </is>
      </c>
      <c r="J4207" t="inlineStr">
        <is>
          <t>2032_Lipiec_W2</t>
        </is>
      </c>
    </row>
    <row r="4208">
      <c r="A4208" s="177" t="n">
        <v>48403</v>
      </c>
      <c r="B4208" s="177" t="n">
        <v>48401</v>
      </c>
      <c r="C4208" s="177" t="n">
        <v>48407</v>
      </c>
      <c r="D4208" t="inlineStr">
        <is>
          <t>BW20320706</t>
        </is>
      </c>
      <c r="E4208" t="n">
        <v>2032</v>
      </c>
      <c r="F4208" t="inlineStr">
        <is>
          <t>Lipiec</t>
        </is>
      </c>
      <c r="G4208" t="inlineStr">
        <is>
          <t>Czw</t>
        </is>
      </c>
      <c r="H4208">
        <f>'Floor Hours Engine'!$E$4</f>
        <v/>
      </c>
      <c r="I4208" t="inlineStr">
        <is>
          <t>W2</t>
        </is>
      </c>
      <c r="J4208" t="inlineStr">
        <is>
          <t>2032_Lipiec_W2</t>
        </is>
      </c>
    </row>
    <row r="4209">
      <c r="A4209" s="177" t="n">
        <v>48404</v>
      </c>
      <c r="B4209" s="177" t="n">
        <v>48401</v>
      </c>
      <c r="C4209" s="177" t="n">
        <v>48407</v>
      </c>
      <c r="D4209" t="inlineStr">
        <is>
          <t>BW20320706</t>
        </is>
      </c>
      <c r="E4209" t="n">
        <v>2032</v>
      </c>
      <c r="F4209" t="inlineStr">
        <is>
          <t>Lipiec</t>
        </is>
      </c>
      <c r="G4209" t="inlineStr">
        <is>
          <t>Pt</t>
        </is>
      </c>
      <c r="H4209">
        <f>'Floor Hours Engine'!$E$5</f>
        <v/>
      </c>
      <c r="I4209" t="inlineStr">
        <is>
          <t>W2</t>
        </is>
      </c>
      <c r="J4209" t="inlineStr">
        <is>
          <t>2032_Lipiec_W2</t>
        </is>
      </c>
    </row>
    <row r="4210">
      <c r="A4210" s="177" t="n">
        <v>48405</v>
      </c>
      <c r="B4210" s="177" t="n">
        <v>48401</v>
      </c>
      <c r="C4210" s="177" t="n">
        <v>48407</v>
      </c>
      <c r="D4210" t="inlineStr">
        <is>
          <t>BW20320706</t>
        </is>
      </c>
      <c r="E4210" t="n">
        <v>2032</v>
      </c>
      <c r="F4210" t="inlineStr">
        <is>
          <t>Lipiec</t>
        </is>
      </c>
      <c r="G4210" t="inlineStr">
        <is>
          <t>Sob</t>
        </is>
      </c>
      <c r="H4210">
        <f>'Floor Hours Engine'!$E$5</f>
        <v/>
      </c>
      <c r="I4210" t="inlineStr">
        <is>
          <t>W2</t>
        </is>
      </c>
      <c r="J4210" t="inlineStr">
        <is>
          <t>2032_Lipiec_W2</t>
        </is>
      </c>
    </row>
    <row r="4211">
      <c r="A4211" s="177" t="n">
        <v>48406</v>
      </c>
      <c r="B4211" s="177" t="n">
        <v>48401</v>
      </c>
      <c r="C4211" s="177" t="n">
        <v>48407</v>
      </c>
      <c r="D4211" t="inlineStr">
        <is>
          <t>BW20320706</t>
        </is>
      </c>
      <c r="E4211" t="n">
        <v>2032</v>
      </c>
      <c r="F4211" t="inlineStr">
        <is>
          <t>Lipiec</t>
        </is>
      </c>
      <c r="G4211" t="inlineStr">
        <is>
          <t>Nd</t>
        </is>
      </c>
      <c r="H4211">
        <f>'Floor Hours Engine'!$E$6</f>
        <v/>
      </c>
      <c r="I4211" t="inlineStr">
        <is>
          <t>W2</t>
        </is>
      </c>
      <c r="J4211" t="inlineStr">
        <is>
          <t>2032_Lipiec_W2</t>
        </is>
      </c>
    </row>
    <row r="4212">
      <c r="A4212" s="177" t="n">
        <v>48407</v>
      </c>
      <c r="B4212" s="177" t="n">
        <v>48401</v>
      </c>
      <c r="C4212" s="177" t="n">
        <v>48407</v>
      </c>
      <c r="D4212" t="inlineStr">
        <is>
          <t>BW20320706</t>
        </is>
      </c>
      <c r="E4212" t="n">
        <v>2032</v>
      </c>
      <c r="F4212" t="inlineStr">
        <is>
          <t>Lipiec</t>
        </is>
      </c>
      <c r="G4212" t="inlineStr">
        <is>
          <t>Pn</t>
        </is>
      </c>
      <c r="H4212">
        <f>'Floor Hours Engine'!$E$4</f>
        <v/>
      </c>
      <c r="I4212" t="inlineStr">
        <is>
          <t>W2</t>
        </is>
      </c>
      <c r="J4212" t="inlineStr">
        <is>
          <t>2032_Lipiec_W2</t>
        </is>
      </c>
    </row>
    <row r="4213">
      <c r="A4213" s="177" t="n">
        <v>48408</v>
      </c>
      <c r="B4213" s="177" t="n">
        <v>48408</v>
      </c>
      <c r="C4213" s="177" t="n">
        <v>48414</v>
      </c>
      <c r="D4213" t="inlineStr">
        <is>
          <t>BW20320713</t>
        </is>
      </c>
      <c r="E4213" t="n">
        <v>2032</v>
      </c>
      <c r="F4213" t="inlineStr">
        <is>
          <t>Lipiec</t>
        </is>
      </c>
      <c r="G4213" t="inlineStr">
        <is>
          <t>Wt</t>
        </is>
      </c>
      <c r="H4213">
        <f>'Floor Hours Engine'!$E$4</f>
        <v/>
      </c>
      <c r="I4213" t="inlineStr">
        <is>
          <t>W3</t>
        </is>
      </c>
      <c r="J4213" t="inlineStr">
        <is>
          <t>2032_Lipiec_W3</t>
        </is>
      </c>
    </row>
    <row r="4214">
      <c r="A4214" s="177" t="n">
        <v>48409</v>
      </c>
      <c r="B4214" s="177" t="n">
        <v>48408</v>
      </c>
      <c r="C4214" s="177" t="n">
        <v>48414</v>
      </c>
      <c r="D4214" t="inlineStr">
        <is>
          <t>BW20320713</t>
        </is>
      </c>
      <c r="E4214" t="n">
        <v>2032</v>
      </c>
      <c r="F4214" t="inlineStr">
        <is>
          <t>Lipiec</t>
        </is>
      </c>
      <c r="G4214" t="inlineStr">
        <is>
          <t>Śr</t>
        </is>
      </c>
      <c r="H4214">
        <f>'Floor Hours Engine'!$E$4</f>
        <v/>
      </c>
      <c r="I4214" t="inlineStr">
        <is>
          <t>W3</t>
        </is>
      </c>
      <c r="J4214" t="inlineStr">
        <is>
          <t>2032_Lipiec_W3</t>
        </is>
      </c>
    </row>
    <row r="4215">
      <c r="A4215" s="177" t="n">
        <v>48410</v>
      </c>
      <c r="B4215" s="177" t="n">
        <v>48408</v>
      </c>
      <c r="C4215" s="177" t="n">
        <v>48414</v>
      </c>
      <c r="D4215" t="inlineStr">
        <is>
          <t>BW20320713</t>
        </is>
      </c>
      <c r="E4215" t="n">
        <v>2032</v>
      </c>
      <c r="F4215" t="inlineStr">
        <is>
          <t>Lipiec</t>
        </is>
      </c>
      <c r="G4215" t="inlineStr">
        <is>
          <t>Czw</t>
        </is>
      </c>
      <c r="H4215">
        <f>'Floor Hours Engine'!$E$4</f>
        <v/>
      </c>
      <c r="I4215" t="inlineStr">
        <is>
          <t>W3</t>
        </is>
      </c>
      <c r="J4215" t="inlineStr">
        <is>
          <t>2032_Lipiec_W3</t>
        </is>
      </c>
    </row>
    <row r="4216">
      <c r="A4216" s="177" t="n">
        <v>48411</v>
      </c>
      <c r="B4216" s="177" t="n">
        <v>48408</v>
      </c>
      <c r="C4216" s="177" t="n">
        <v>48414</v>
      </c>
      <c r="D4216" t="inlineStr">
        <is>
          <t>BW20320713</t>
        </is>
      </c>
      <c r="E4216" t="n">
        <v>2032</v>
      </c>
      <c r="F4216" t="inlineStr">
        <is>
          <t>Lipiec</t>
        </is>
      </c>
      <c r="G4216" t="inlineStr">
        <is>
          <t>Pt</t>
        </is>
      </c>
      <c r="H4216">
        <f>'Floor Hours Engine'!$E$5</f>
        <v/>
      </c>
      <c r="I4216" t="inlineStr">
        <is>
          <t>W3</t>
        </is>
      </c>
      <c r="J4216" t="inlineStr">
        <is>
          <t>2032_Lipiec_W3</t>
        </is>
      </c>
    </row>
    <row r="4217">
      <c r="A4217" s="177" t="n">
        <v>48412</v>
      </c>
      <c r="B4217" s="177" t="n">
        <v>48408</v>
      </c>
      <c r="C4217" s="177" t="n">
        <v>48414</v>
      </c>
      <c r="D4217" t="inlineStr">
        <is>
          <t>BW20320713</t>
        </is>
      </c>
      <c r="E4217" t="n">
        <v>2032</v>
      </c>
      <c r="F4217" t="inlineStr">
        <is>
          <t>Lipiec</t>
        </is>
      </c>
      <c r="G4217" t="inlineStr">
        <is>
          <t>Sob</t>
        </is>
      </c>
      <c r="H4217">
        <f>'Floor Hours Engine'!$E$5</f>
        <v/>
      </c>
      <c r="I4217" t="inlineStr">
        <is>
          <t>W3</t>
        </is>
      </c>
      <c r="J4217" t="inlineStr">
        <is>
          <t>2032_Lipiec_W3</t>
        </is>
      </c>
    </row>
    <row r="4218">
      <c r="A4218" s="177" t="n">
        <v>48413</v>
      </c>
      <c r="B4218" s="177" t="n">
        <v>48408</v>
      </c>
      <c r="C4218" s="177" t="n">
        <v>48414</v>
      </c>
      <c r="D4218" t="inlineStr">
        <is>
          <t>BW20320713</t>
        </is>
      </c>
      <c r="E4218" t="n">
        <v>2032</v>
      </c>
      <c r="F4218" t="inlineStr">
        <is>
          <t>Lipiec</t>
        </is>
      </c>
      <c r="G4218" t="inlineStr">
        <is>
          <t>Nd</t>
        </is>
      </c>
      <c r="H4218">
        <f>'Floor Hours Engine'!$E$6</f>
        <v/>
      </c>
      <c r="I4218" t="inlineStr">
        <is>
          <t>W3</t>
        </is>
      </c>
      <c r="J4218" t="inlineStr">
        <is>
          <t>2032_Lipiec_W3</t>
        </is>
      </c>
    </row>
    <row r="4219">
      <c r="A4219" s="177" t="n">
        <v>48414</v>
      </c>
      <c r="B4219" s="177" t="n">
        <v>48408</v>
      </c>
      <c r="C4219" s="177" t="n">
        <v>48414</v>
      </c>
      <c r="D4219" t="inlineStr">
        <is>
          <t>BW20320713</t>
        </is>
      </c>
      <c r="E4219" t="n">
        <v>2032</v>
      </c>
      <c r="F4219" t="inlineStr">
        <is>
          <t>Lipiec</t>
        </is>
      </c>
      <c r="G4219" t="inlineStr">
        <is>
          <t>Pn</t>
        </is>
      </c>
      <c r="H4219">
        <f>'Floor Hours Engine'!$E$4</f>
        <v/>
      </c>
      <c r="I4219" t="inlineStr">
        <is>
          <t>W3</t>
        </is>
      </c>
      <c r="J4219" t="inlineStr">
        <is>
          <t>2032_Lipiec_W3</t>
        </is>
      </c>
    </row>
    <row r="4220">
      <c r="A4220" s="177" t="n">
        <v>48415</v>
      </c>
      <c r="B4220" s="177" t="n">
        <v>48415</v>
      </c>
      <c r="C4220" s="177" t="n">
        <v>48421</v>
      </c>
      <c r="D4220" t="inlineStr">
        <is>
          <t>BW20320720</t>
        </is>
      </c>
      <c r="E4220" t="n">
        <v>2032</v>
      </c>
      <c r="F4220" t="inlineStr">
        <is>
          <t>Lipiec</t>
        </is>
      </c>
      <c r="G4220" t="inlineStr">
        <is>
          <t>Wt</t>
        </is>
      </c>
      <c r="H4220">
        <f>'Floor Hours Engine'!$E$4</f>
        <v/>
      </c>
      <c r="I4220" t="inlineStr">
        <is>
          <t>W4</t>
        </is>
      </c>
      <c r="J4220" t="inlineStr">
        <is>
          <t>2032_Lipiec_W4</t>
        </is>
      </c>
    </row>
    <row r="4221">
      <c r="A4221" s="177" t="n">
        <v>48416</v>
      </c>
      <c r="B4221" s="177" t="n">
        <v>48415</v>
      </c>
      <c r="C4221" s="177" t="n">
        <v>48421</v>
      </c>
      <c r="D4221" t="inlineStr">
        <is>
          <t>BW20320720</t>
        </is>
      </c>
      <c r="E4221" t="n">
        <v>2032</v>
      </c>
      <c r="F4221" t="inlineStr">
        <is>
          <t>Lipiec</t>
        </is>
      </c>
      <c r="G4221" t="inlineStr">
        <is>
          <t>Śr</t>
        </is>
      </c>
      <c r="H4221">
        <f>'Floor Hours Engine'!$E$4</f>
        <v/>
      </c>
      <c r="I4221" t="inlineStr">
        <is>
          <t>W4</t>
        </is>
      </c>
      <c r="J4221" t="inlineStr">
        <is>
          <t>2032_Lipiec_W4</t>
        </is>
      </c>
    </row>
    <row r="4222">
      <c r="A4222" s="177" t="n">
        <v>48417</v>
      </c>
      <c r="B4222" s="177" t="n">
        <v>48415</v>
      </c>
      <c r="C4222" s="177" t="n">
        <v>48421</v>
      </c>
      <c r="D4222" t="inlineStr">
        <is>
          <t>BW20320720</t>
        </is>
      </c>
      <c r="E4222" t="n">
        <v>2032</v>
      </c>
      <c r="F4222" t="inlineStr">
        <is>
          <t>Lipiec</t>
        </is>
      </c>
      <c r="G4222" t="inlineStr">
        <is>
          <t>Czw</t>
        </is>
      </c>
      <c r="H4222">
        <f>'Floor Hours Engine'!$E$4</f>
        <v/>
      </c>
      <c r="I4222" t="inlineStr">
        <is>
          <t>W4</t>
        </is>
      </c>
      <c r="J4222" t="inlineStr">
        <is>
          <t>2032_Lipiec_W4</t>
        </is>
      </c>
    </row>
    <row r="4223">
      <c r="A4223" s="177" t="n">
        <v>48418</v>
      </c>
      <c r="B4223" s="177" t="n">
        <v>48415</v>
      </c>
      <c r="C4223" s="177" t="n">
        <v>48421</v>
      </c>
      <c r="D4223" t="inlineStr">
        <is>
          <t>BW20320720</t>
        </is>
      </c>
      <c r="E4223" t="n">
        <v>2032</v>
      </c>
      <c r="F4223" t="inlineStr">
        <is>
          <t>Lipiec</t>
        </is>
      </c>
      <c r="G4223" t="inlineStr">
        <is>
          <t>Pt</t>
        </is>
      </c>
      <c r="H4223">
        <f>'Floor Hours Engine'!$E$5</f>
        <v/>
      </c>
      <c r="I4223" t="inlineStr">
        <is>
          <t>W4</t>
        </is>
      </c>
      <c r="J4223" t="inlineStr">
        <is>
          <t>2032_Lipiec_W4</t>
        </is>
      </c>
    </row>
    <row r="4224">
      <c r="A4224" s="177" t="n">
        <v>48419</v>
      </c>
      <c r="B4224" s="177" t="n">
        <v>48415</v>
      </c>
      <c r="C4224" s="177" t="n">
        <v>48421</v>
      </c>
      <c r="D4224" t="inlineStr">
        <is>
          <t>BW20320720</t>
        </is>
      </c>
      <c r="E4224" t="n">
        <v>2032</v>
      </c>
      <c r="F4224" t="inlineStr">
        <is>
          <t>Lipiec</t>
        </is>
      </c>
      <c r="G4224" t="inlineStr">
        <is>
          <t>Sob</t>
        </is>
      </c>
      <c r="H4224">
        <f>'Floor Hours Engine'!$E$5</f>
        <v/>
      </c>
      <c r="I4224" t="inlineStr">
        <is>
          <t>W4</t>
        </is>
      </c>
      <c r="J4224" t="inlineStr">
        <is>
          <t>2032_Lipiec_W4</t>
        </is>
      </c>
    </row>
    <row r="4225">
      <c r="A4225" s="177" t="n">
        <v>48420</v>
      </c>
      <c r="B4225" s="177" t="n">
        <v>48415</v>
      </c>
      <c r="C4225" s="177" t="n">
        <v>48421</v>
      </c>
      <c r="D4225" t="inlineStr">
        <is>
          <t>BW20320720</t>
        </is>
      </c>
      <c r="E4225" t="n">
        <v>2032</v>
      </c>
      <c r="F4225" t="inlineStr">
        <is>
          <t>Lipiec</t>
        </is>
      </c>
      <c r="G4225" t="inlineStr">
        <is>
          <t>Nd</t>
        </is>
      </c>
      <c r="H4225">
        <f>'Floor Hours Engine'!$E$6</f>
        <v/>
      </c>
      <c r="I4225" t="inlineStr">
        <is>
          <t>W4</t>
        </is>
      </c>
      <c r="J4225" t="inlineStr">
        <is>
          <t>2032_Lipiec_W4</t>
        </is>
      </c>
    </row>
    <row r="4226">
      <c r="A4226" s="177" t="n">
        <v>48421</v>
      </c>
      <c r="B4226" s="177" t="n">
        <v>48415</v>
      </c>
      <c r="C4226" s="177" t="n">
        <v>48421</v>
      </c>
      <c r="D4226" t="inlineStr">
        <is>
          <t>BW20320720</t>
        </is>
      </c>
      <c r="E4226" t="n">
        <v>2032</v>
      </c>
      <c r="F4226" t="inlineStr">
        <is>
          <t>Lipiec</t>
        </is>
      </c>
      <c r="G4226" t="inlineStr">
        <is>
          <t>Pn</t>
        </is>
      </c>
      <c r="H4226">
        <f>'Floor Hours Engine'!$E$4</f>
        <v/>
      </c>
      <c r="I4226" t="inlineStr">
        <is>
          <t>W4</t>
        </is>
      </c>
      <c r="J4226" t="inlineStr">
        <is>
          <t>2032_Lipiec_W4</t>
        </is>
      </c>
    </row>
    <row r="4227">
      <c r="A4227" s="177" t="n">
        <v>48422</v>
      </c>
      <c r="B4227" s="177" t="n">
        <v>48422</v>
      </c>
      <c r="C4227" s="177" t="n">
        <v>48428</v>
      </c>
      <c r="D4227" t="inlineStr">
        <is>
          <t>BW20320727</t>
        </is>
      </c>
      <c r="E4227" t="n">
        <v>2032</v>
      </c>
      <c r="F4227" t="inlineStr">
        <is>
          <t>Lipiec</t>
        </is>
      </c>
      <c r="G4227" t="inlineStr">
        <is>
          <t>Wt</t>
        </is>
      </c>
      <c r="H4227">
        <f>'Floor Hours Engine'!$E$4</f>
        <v/>
      </c>
      <c r="I4227" t="inlineStr">
        <is>
          <t>W5</t>
        </is>
      </c>
      <c r="J4227" t="inlineStr">
        <is>
          <t>2032_Lipiec_W5</t>
        </is>
      </c>
    </row>
    <row r="4228">
      <c r="A4228" s="177" t="n">
        <v>48423</v>
      </c>
      <c r="B4228" s="177" t="n">
        <v>48422</v>
      </c>
      <c r="C4228" s="177" t="n">
        <v>48428</v>
      </c>
      <c r="D4228" t="inlineStr">
        <is>
          <t>BW20320727</t>
        </is>
      </c>
      <c r="E4228" t="n">
        <v>2032</v>
      </c>
      <c r="F4228" t="inlineStr">
        <is>
          <t>Lipiec</t>
        </is>
      </c>
      <c r="G4228" t="inlineStr">
        <is>
          <t>Śr</t>
        </is>
      </c>
      <c r="H4228">
        <f>'Floor Hours Engine'!$E$4</f>
        <v/>
      </c>
      <c r="I4228" t="inlineStr">
        <is>
          <t>W5</t>
        </is>
      </c>
      <c r="J4228" t="inlineStr">
        <is>
          <t>2032_Lipiec_W5</t>
        </is>
      </c>
    </row>
    <row r="4229">
      <c r="A4229" s="177" t="n">
        <v>48424</v>
      </c>
      <c r="B4229" s="177" t="n">
        <v>48422</v>
      </c>
      <c r="C4229" s="177" t="n">
        <v>48428</v>
      </c>
      <c r="D4229" t="inlineStr">
        <is>
          <t>BW20320727</t>
        </is>
      </c>
      <c r="E4229" t="n">
        <v>2032</v>
      </c>
      <c r="F4229" t="inlineStr">
        <is>
          <t>Lipiec</t>
        </is>
      </c>
      <c r="G4229" t="inlineStr">
        <is>
          <t>Czw</t>
        </is>
      </c>
      <c r="H4229">
        <f>'Floor Hours Engine'!$E$4</f>
        <v/>
      </c>
      <c r="I4229" t="inlineStr">
        <is>
          <t>W5</t>
        </is>
      </c>
      <c r="J4229" t="inlineStr">
        <is>
          <t>2032_Lipiec_W5</t>
        </is>
      </c>
    </row>
    <row r="4230">
      <c r="A4230" s="177" t="n">
        <v>48425</v>
      </c>
      <c r="B4230" s="177" t="n">
        <v>48422</v>
      </c>
      <c r="C4230" s="177" t="n">
        <v>48428</v>
      </c>
      <c r="D4230" t="inlineStr">
        <is>
          <t>BW20320727</t>
        </is>
      </c>
      <c r="E4230" t="n">
        <v>2032</v>
      </c>
      <c r="F4230" t="inlineStr">
        <is>
          <t>Lipiec</t>
        </is>
      </c>
      <c r="G4230" t="inlineStr">
        <is>
          <t>Pt</t>
        </is>
      </c>
      <c r="H4230">
        <f>'Floor Hours Engine'!$E$5</f>
        <v/>
      </c>
      <c r="I4230" t="inlineStr">
        <is>
          <t>W5</t>
        </is>
      </c>
      <c r="J4230" t="inlineStr">
        <is>
          <t>2032_Lipiec_W5</t>
        </is>
      </c>
    </row>
    <row r="4231">
      <c r="A4231" s="177" t="n">
        <v>48426</v>
      </c>
      <c r="B4231" s="177" t="n">
        <v>48422</v>
      </c>
      <c r="C4231" s="177" t="n">
        <v>48428</v>
      </c>
      <c r="D4231" t="inlineStr">
        <is>
          <t>BW20320727</t>
        </is>
      </c>
      <c r="E4231" t="n">
        <v>2032</v>
      </c>
      <c r="F4231" t="inlineStr">
        <is>
          <t>Lipiec</t>
        </is>
      </c>
      <c r="G4231" t="inlineStr">
        <is>
          <t>Sob</t>
        </is>
      </c>
      <c r="H4231">
        <f>'Floor Hours Engine'!$E$5</f>
        <v/>
      </c>
      <c r="I4231" t="inlineStr">
        <is>
          <t>W5</t>
        </is>
      </c>
      <c r="J4231" t="inlineStr">
        <is>
          <t>2032_Lipiec_W5</t>
        </is>
      </c>
    </row>
    <row r="4232">
      <c r="A4232" s="177" t="n">
        <v>48427</v>
      </c>
      <c r="B4232" s="177" t="n">
        <v>48422</v>
      </c>
      <c r="C4232" s="177" t="n">
        <v>48428</v>
      </c>
      <c r="D4232" t="inlineStr">
        <is>
          <t>BW20320727</t>
        </is>
      </c>
      <c r="E4232" t="n">
        <v>2032</v>
      </c>
      <c r="F4232" t="inlineStr">
        <is>
          <t>Sierpień</t>
        </is>
      </c>
      <c r="G4232" t="inlineStr">
        <is>
          <t>Nd</t>
        </is>
      </c>
      <c r="H4232">
        <f>'Floor Hours Engine'!$E$6</f>
        <v/>
      </c>
      <c r="I4232" t="inlineStr">
        <is>
          <t>W1</t>
        </is>
      </c>
      <c r="J4232" t="inlineStr">
        <is>
          <t>2032_Sierpień_W1</t>
        </is>
      </c>
    </row>
    <row r="4233">
      <c r="A4233" s="177" t="n">
        <v>48428</v>
      </c>
      <c r="B4233" s="177" t="n">
        <v>48422</v>
      </c>
      <c r="C4233" s="177" t="n">
        <v>48428</v>
      </c>
      <c r="D4233" t="inlineStr">
        <is>
          <t>BW20320727</t>
        </is>
      </c>
      <c r="E4233" t="n">
        <v>2032</v>
      </c>
      <c r="F4233" t="inlineStr">
        <is>
          <t>Sierpień</t>
        </is>
      </c>
      <c r="G4233" t="inlineStr">
        <is>
          <t>Pn</t>
        </is>
      </c>
      <c r="H4233">
        <f>'Floor Hours Engine'!$E$4</f>
        <v/>
      </c>
      <c r="I4233" t="inlineStr">
        <is>
          <t>W1</t>
        </is>
      </c>
      <c r="J4233" t="inlineStr">
        <is>
          <t>2032_Sierpień_W1</t>
        </is>
      </c>
    </row>
    <row r="4234">
      <c r="A4234" s="177" t="n">
        <v>48429</v>
      </c>
      <c r="B4234" s="177" t="n">
        <v>48429</v>
      </c>
      <c r="C4234" s="177" t="n">
        <v>48435</v>
      </c>
      <c r="D4234" t="inlineStr">
        <is>
          <t>BW20320803</t>
        </is>
      </c>
      <c r="E4234" t="n">
        <v>2032</v>
      </c>
      <c r="F4234" t="inlineStr">
        <is>
          <t>Sierpień</t>
        </is>
      </c>
      <c r="G4234" t="inlineStr">
        <is>
          <t>Wt</t>
        </is>
      </c>
      <c r="H4234">
        <f>'Floor Hours Engine'!$E$4</f>
        <v/>
      </c>
      <c r="I4234" t="inlineStr">
        <is>
          <t>W2</t>
        </is>
      </c>
      <c r="J4234" t="inlineStr">
        <is>
          <t>2032_Sierpień_W2</t>
        </is>
      </c>
    </row>
    <row r="4235">
      <c r="A4235" s="177" t="n">
        <v>48430</v>
      </c>
      <c r="B4235" s="177" t="n">
        <v>48429</v>
      </c>
      <c r="C4235" s="177" t="n">
        <v>48435</v>
      </c>
      <c r="D4235" t="inlineStr">
        <is>
          <t>BW20320803</t>
        </is>
      </c>
      <c r="E4235" t="n">
        <v>2032</v>
      </c>
      <c r="F4235" t="inlineStr">
        <is>
          <t>Sierpień</t>
        </is>
      </c>
      <c r="G4235" t="inlineStr">
        <is>
          <t>Śr</t>
        </is>
      </c>
      <c r="H4235">
        <f>'Floor Hours Engine'!$E$4</f>
        <v/>
      </c>
      <c r="I4235" t="inlineStr">
        <is>
          <t>W2</t>
        </is>
      </c>
      <c r="J4235" t="inlineStr">
        <is>
          <t>2032_Sierpień_W2</t>
        </is>
      </c>
    </row>
    <row r="4236">
      <c r="A4236" s="177" t="n">
        <v>48431</v>
      </c>
      <c r="B4236" s="177" t="n">
        <v>48429</v>
      </c>
      <c r="C4236" s="177" t="n">
        <v>48435</v>
      </c>
      <c r="D4236" t="inlineStr">
        <is>
          <t>BW20320803</t>
        </is>
      </c>
      <c r="E4236" t="n">
        <v>2032</v>
      </c>
      <c r="F4236" t="inlineStr">
        <is>
          <t>Sierpień</t>
        </is>
      </c>
      <c r="G4236" t="inlineStr">
        <is>
          <t>Czw</t>
        </is>
      </c>
      <c r="H4236">
        <f>'Floor Hours Engine'!$E$4</f>
        <v/>
      </c>
      <c r="I4236" t="inlineStr">
        <is>
          <t>W2</t>
        </is>
      </c>
      <c r="J4236" t="inlineStr">
        <is>
          <t>2032_Sierpień_W2</t>
        </is>
      </c>
    </row>
    <row r="4237">
      <c r="A4237" s="177" t="n">
        <v>48432</v>
      </c>
      <c r="B4237" s="177" t="n">
        <v>48429</v>
      </c>
      <c r="C4237" s="177" t="n">
        <v>48435</v>
      </c>
      <c r="D4237" t="inlineStr">
        <is>
          <t>BW20320803</t>
        </is>
      </c>
      <c r="E4237" t="n">
        <v>2032</v>
      </c>
      <c r="F4237" t="inlineStr">
        <is>
          <t>Sierpień</t>
        </is>
      </c>
      <c r="G4237" t="inlineStr">
        <is>
          <t>Pt</t>
        </is>
      </c>
      <c r="H4237">
        <f>'Floor Hours Engine'!$E$5</f>
        <v/>
      </c>
      <c r="I4237" t="inlineStr">
        <is>
          <t>W2</t>
        </is>
      </c>
      <c r="J4237" t="inlineStr">
        <is>
          <t>2032_Sierpień_W2</t>
        </is>
      </c>
    </row>
    <row r="4238">
      <c r="A4238" s="177" t="n">
        <v>48433</v>
      </c>
      <c r="B4238" s="177" t="n">
        <v>48429</v>
      </c>
      <c r="C4238" s="177" t="n">
        <v>48435</v>
      </c>
      <c r="D4238" t="inlineStr">
        <is>
          <t>BW20320803</t>
        </is>
      </c>
      <c r="E4238" t="n">
        <v>2032</v>
      </c>
      <c r="F4238" t="inlineStr">
        <is>
          <t>Sierpień</t>
        </is>
      </c>
      <c r="G4238" t="inlineStr">
        <is>
          <t>Sob</t>
        </is>
      </c>
      <c r="H4238">
        <f>'Floor Hours Engine'!$E$5</f>
        <v/>
      </c>
      <c r="I4238" t="inlineStr">
        <is>
          <t>W2</t>
        </is>
      </c>
      <c r="J4238" t="inlineStr">
        <is>
          <t>2032_Sierpień_W2</t>
        </is>
      </c>
    </row>
    <row r="4239">
      <c r="A4239" s="177" t="n">
        <v>48434</v>
      </c>
      <c r="B4239" s="177" t="n">
        <v>48429</v>
      </c>
      <c r="C4239" s="177" t="n">
        <v>48435</v>
      </c>
      <c r="D4239" t="inlineStr">
        <is>
          <t>BW20320803</t>
        </is>
      </c>
      <c r="E4239" t="n">
        <v>2032</v>
      </c>
      <c r="F4239" t="inlineStr">
        <is>
          <t>Sierpień</t>
        </is>
      </c>
      <c r="G4239" t="inlineStr">
        <is>
          <t>Nd</t>
        </is>
      </c>
      <c r="H4239">
        <f>'Floor Hours Engine'!$E$6</f>
        <v/>
      </c>
      <c r="I4239" t="inlineStr">
        <is>
          <t>W2</t>
        </is>
      </c>
      <c r="J4239" t="inlineStr">
        <is>
          <t>2032_Sierpień_W2</t>
        </is>
      </c>
    </row>
    <row r="4240">
      <c r="A4240" s="177" t="n">
        <v>48435</v>
      </c>
      <c r="B4240" s="177" t="n">
        <v>48429</v>
      </c>
      <c r="C4240" s="177" t="n">
        <v>48435</v>
      </c>
      <c r="D4240" t="inlineStr">
        <is>
          <t>BW20320803</t>
        </is>
      </c>
      <c r="E4240" t="n">
        <v>2032</v>
      </c>
      <c r="F4240" t="inlineStr">
        <is>
          <t>Sierpień</t>
        </is>
      </c>
      <c r="G4240" t="inlineStr">
        <is>
          <t>Pn</t>
        </is>
      </c>
      <c r="H4240">
        <f>'Floor Hours Engine'!$E$4</f>
        <v/>
      </c>
      <c r="I4240" t="inlineStr">
        <is>
          <t>W2</t>
        </is>
      </c>
      <c r="J4240" t="inlineStr">
        <is>
          <t>2032_Sierpień_W2</t>
        </is>
      </c>
    </row>
    <row r="4241">
      <c r="A4241" s="177" t="n">
        <v>48436</v>
      </c>
      <c r="B4241" s="177" t="n">
        <v>48436</v>
      </c>
      <c r="C4241" s="177" t="n">
        <v>48442</v>
      </c>
      <c r="D4241" t="inlineStr">
        <is>
          <t>BW20320810</t>
        </is>
      </c>
      <c r="E4241" t="n">
        <v>2032</v>
      </c>
      <c r="F4241" t="inlineStr">
        <is>
          <t>Sierpień</t>
        </is>
      </c>
      <c r="G4241" t="inlineStr">
        <is>
          <t>Wt</t>
        </is>
      </c>
      <c r="H4241">
        <f>'Floor Hours Engine'!$E$4</f>
        <v/>
      </c>
      <c r="I4241" t="inlineStr">
        <is>
          <t>W3</t>
        </is>
      </c>
      <c r="J4241" t="inlineStr">
        <is>
          <t>2032_Sierpień_W3</t>
        </is>
      </c>
    </row>
    <row r="4242">
      <c r="A4242" s="177" t="n">
        <v>48437</v>
      </c>
      <c r="B4242" s="177" t="n">
        <v>48436</v>
      </c>
      <c r="C4242" s="177" t="n">
        <v>48442</v>
      </c>
      <c r="D4242" t="inlineStr">
        <is>
          <t>BW20320810</t>
        </is>
      </c>
      <c r="E4242" t="n">
        <v>2032</v>
      </c>
      <c r="F4242" t="inlineStr">
        <is>
          <t>Sierpień</t>
        </is>
      </c>
      <c r="G4242" t="inlineStr">
        <is>
          <t>Śr</t>
        </is>
      </c>
      <c r="H4242">
        <f>'Floor Hours Engine'!$E$4</f>
        <v/>
      </c>
      <c r="I4242" t="inlineStr">
        <is>
          <t>W3</t>
        </is>
      </c>
      <c r="J4242" t="inlineStr">
        <is>
          <t>2032_Sierpień_W3</t>
        </is>
      </c>
    </row>
    <row r="4243">
      <c r="A4243" s="177" t="n">
        <v>48438</v>
      </c>
      <c r="B4243" s="177" t="n">
        <v>48436</v>
      </c>
      <c r="C4243" s="177" t="n">
        <v>48442</v>
      </c>
      <c r="D4243" t="inlineStr">
        <is>
          <t>BW20320810</t>
        </is>
      </c>
      <c r="E4243" t="n">
        <v>2032</v>
      </c>
      <c r="F4243" t="inlineStr">
        <is>
          <t>Sierpień</t>
        </is>
      </c>
      <c r="G4243" t="inlineStr">
        <is>
          <t>Czw</t>
        </is>
      </c>
      <c r="H4243">
        <f>'Floor Hours Engine'!$E$4</f>
        <v/>
      </c>
      <c r="I4243" t="inlineStr">
        <is>
          <t>W3</t>
        </is>
      </c>
      <c r="J4243" t="inlineStr">
        <is>
          <t>2032_Sierpień_W3</t>
        </is>
      </c>
    </row>
    <row r="4244">
      <c r="A4244" s="177" t="n">
        <v>48439</v>
      </c>
      <c r="B4244" s="177" t="n">
        <v>48436</v>
      </c>
      <c r="C4244" s="177" t="n">
        <v>48442</v>
      </c>
      <c r="D4244" t="inlineStr">
        <is>
          <t>BW20320810</t>
        </is>
      </c>
      <c r="E4244" t="n">
        <v>2032</v>
      </c>
      <c r="F4244" t="inlineStr">
        <is>
          <t>Sierpień</t>
        </is>
      </c>
      <c r="G4244" t="inlineStr">
        <is>
          <t>Pt</t>
        </is>
      </c>
      <c r="H4244">
        <f>'Floor Hours Engine'!$E$5</f>
        <v/>
      </c>
      <c r="I4244" t="inlineStr">
        <is>
          <t>W3</t>
        </is>
      </c>
      <c r="J4244" t="inlineStr">
        <is>
          <t>2032_Sierpień_W3</t>
        </is>
      </c>
    </row>
    <row r="4245">
      <c r="A4245" s="177" t="n">
        <v>48440</v>
      </c>
      <c r="B4245" s="177" t="n">
        <v>48436</v>
      </c>
      <c r="C4245" s="177" t="n">
        <v>48442</v>
      </c>
      <c r="D4245" t="inlineStr">
        <is>
          <t>BW20320810</t>
        </is>
      </c>
      <c r="E4245" t="n">
        <v>2032</v>
      </c>
      <c r="F4245" t="inlineStr">
        <is>
          <t>Sierpień</t>
        </is>
      </c>
      <c r="G4245" t="inlineStr">
        <is>
          <t>Sob</t>
        </is>
      </c>
      <c r="H4245">
        <f>'Floor Hours Engine'!$E$5</f>
        <v/>
      </c>
      <c r="I4245" t="inlineStr">
        <is>
          <t>W3</t>
        </is>
      </c>
      <c r="J4245" t="inlineStr">
        <is>
          <t>2032_Sierpień_W3</t>
        </is>
      </c>
    </row>
    <row r="4246">
      <c r="A4246" s="177" t="n">
        <v>48441</v>
      </c>
      <c r="B4246" s="177" t="n">
        <v>48436</v>
      </c>
      <c r="C4246" s="177" t="n">
        <v>48442</v>
      </c>
      <c r="D4246" t="inlineStr">
        <is>
          <t>BW20320810</t>
        </is>
      </c>
      <c r="E4246" t="n">
        <v>2032</v>
      </c>
      <c r="F4246" t="inlineStr">
        <is>
          <t>Sierpień</t>
        </is>
      </c>
      <c r="G4246" t="inlineStr">
        <is>
          <t>Nd</t>
        </is>
      </c>
      <c r="H4246">
        <f>'Floor Hours Engine'!$E$6</f>
        <v/>
      </c>
      <c r="I4246" t="inlineStr">
        <is>
          <t>W3</t>
        </is>
      </c>
      <c r="J4246" t="inlineStr">
        <is>
          <t>2032_Sierpień_W3</t>
        </is>
      </c>
    </row>
    <row r="4247">
      <c r="A4247" s="177" t="n">
        <v>48442</v>
      </c>
      <c r="B4247" s="177" t="n">
        <v>48436</v>
      </c>
      <c r="C4247" s="177" t="n">
        <v>48442</v>
      </c>
      <c r="D4247" t="inlineStr">
        <is>
          <t>BW20320810</t>
        </is>
      </c>
      <c r="E4247" t="n">
        <v>2032</v>
      </c>
      <c r="F4247" t="inlineStr">
        <is>
          <t>Sierpień</t>
        </is>
      </c>
      <c r="G4247" t="inlineStr">
        <is>
          <t>Pn</t>
        </is>
      </c>
      <c r="H4247">
        <f>'Floor Hours Engine'!$E$4</f>
        <v/>
      </c>
      <c r="I4247" t="inlineStr">
        <is>
          <t>W3</t>
        </is>
      </c>
      <c r="J4247" t="inlineStr">
        <is>
          <t>2032_Sierpień_W3</t>
        </is>
      </c>
    </row>
    <row r="4248">
      <c r="A4248" s="177" t="n">
        <v>48443</v>
      </c>
      <c r="B4248" s="177" t="n">
        <v>48443</v>
      </c>
      <c r="C4248" s="177" t="n">
        <v>48449</v>
      </c>
      <c r="D4248" t="inlineStr">
        <is>
          <t>BW20320817</t>
        </is>
      </c>
      <c r="E4248" t="n">
        <v>2032</v>
      </c>
      <c r="F4248" t="inlineStr">
        <is>
          <t>Sierpień</t>
        </is>
      </c>
      <c r="G4248" t="inlineStr">
        <is>
          <t>Wt</t>
        </is>
      </c>
      <c r="H4248">
        <f>'Floor Hours Engine'!$E$4</f>
        <v/>
      </c>
      <c r="I4248" t="inlineStr">
        <is>
          <t>W4</t>
        </is>
      </c>
      <c r="J4248" t="inlineStr">
        <is>
          <t>2032_Sierpień_W4</t>
        </is>
      </c>
    </row>
    <row r="4249">
      <c r="A4249" s="177" t="n">
        <v>48444</v>
      </c>
      <c r="B4249" s="177" t="n">
        <v>48443</v>
      </c>
      <c r="C4249" s="177" t="n">
        <v>48449</v>
      </c>
      <c r="D4249" t="inlineStr">
        <is>
          <t>BW20320817</t>
        </is>
      </c>
      <c r="E4249" t="n">
        <v>2032</v>
      </c>
      <c r="F4249" t="inlineStr">
        <is>
          <t>Sierpień</t>
        </is>
      </c>
      <c r="G4249" t="inlineStr">
        <is>
          <t>Śr</t>
        </is>
      </c>
      <c r="H4249">
        <f>'Floor Hours Engine'!$E$4</f>
        <v/>
      </c>
      <c r="I4249" t="inlineStr">
        <is>
          <t>W4</t>
        </is>
      </c>
      <c r="J4249" t="inlineStr">
        <is>
          <t>2032_Sierpień_W4</t>
        </is>
      </c>
    </row>
    <row r="4250">
      <c r="A4250" s="177" t="n">
        <v>48445</v>
      </c>
      <c r="B4250" s="177" t="n">
        <v>48443</v>
      </c>
      <c r="C4250" s="177" t="n">
        <v>48449</v>
      </c>
      <c r="D4250" t="inlineStr">
        <is>
          <t>BW20320817</t>
        </is>
      </c>
      <c r="E4250" t="n">
        <v>2032</v>
      </c>
      <c r="F4250" t="inlineStr">
        <is>
          <t>Sierpień</t>
        </is>
      </c>
      <c r="G4250" t="inlineStr">
        <is>
          <t>Czw</t>
        </is>
      </c>
      <c r="H4250">
        <f>'Floor Hours Engine'!$E$4</f>
        <v/>
      </c>
      <c r="I4250" t="inlineStr">
        <is>
          <t>W4</t>
        </is>
      </c>
      <c r="J4250" t="inlineStr">
        <is>
          <t>2032_Sierpień_W4</t>
        </is>
      </c>
    </row>
    <row r="4251">
      <c r="A4251" s="177" t="n">
        <v>48446</v>
      </c>
      <c r="B4251" s="177" t="n">
        <v>48443</v>
      </c>
      <c r="C4251" s="177" t="n">
        <v>48449</v>
      </c>
      <c r="D4251" t="inlineStr">
        <is>
          <t>BW20320817</t>
        </is>
      </c>
      <c r="E4251" t="n">
        <v>2032</v>
      </c>
      <c r="F4251" t="inlineStr">
        <is>
          <t>Sierpień</t>
        </is>
      </c>
      <c r="G4251" t="inlineStr">
        <is>
          <t>Pt</t>
        </is>
      </c>
      <c r="H4251">
        <f>'Floor Hours Engine'!$E$5</f>
        <v/>
      </c>
      <c r="I4251" t="inlineStr">
        <is>
          <t>W4</t>
        </is>
      </c>
      <c r="J4251" t="inlineStr">
        <is>
          <t>2032_Sierpień_W4</t>
        </is>
      </c>
    </row>
    <row r="4252">
      <c r="A4252" s="177" t="n">
        <v>48447</v>
      </c>
      <c r="B4252" s="177" t="n">
        <v>48443</v>
      </c>
      <c r="C4252" s="177" t="n">
        <v>48449</v>
      </c>
      <c r="D4252" t="inlineStr">
        <is>
          <t>BW20320817</t>
        </is>
      </c>
      <c r="E4252" t="n">
        <v>2032</v>
      </c>
      <c r="F4252" t="inlineStr">
        <is>
          <t>Sierpień</t>
        </is>
      </c>
      <c r="G4252" t="inlineStr">
        <is>
          <t>Sob</t>
        </is>
      </c>
      <c r="H4252">
        <f>'Floor Hours Engine'!$E$5</f>
        <v/>
      </c>
      <c r="I4252" t="inlineStr">
        <is>
          <t>W4</t>
        </is>
      </c>
      <c r="J4252" t="inlineStr">
        <is>
          <t>2032_Sierpień_W4</t>
        </is>
      </c>
    </row>
    <row r="4253">
      <c r="A4253" s="177" t="n">
        <v>48448</v>
      </c>
      <c r="B4253" s="177" t="n">
        <v>48443</v>
      </c>
      <c r="C4253" s="177" t="n">
        <v>48449</v>
      </c>
      <c r="D4253" t="inlineStr">
        <is>
          <t>BW20320817</t>
        </is>
      </c>
      <c r="E4253" t="n">
        <v>2032</v>
      </c>
      <c r="F4253" t="inlineStr">
        <is>
          <t>Sierpień</t>
        </is>
      </c>
      <c r="G4253" t="inlineStr">
        <is>
          <t>Nd</t>
        </is>
      </c>
      <c r="H4253">
        <f>'Floor Hours Engine'!$E$6</f>
        <v/>
      </c>
      <c r="I4253" t="inlineStr">
        <is>
          <t>W4</t>
        </is>
      </c>
      <c r="J4253" t="inlineStr">
        <is>
          <t>2032_Sierpień_W4</t>
        </is>
      </c>
    </row>
    <row r="4254">
      <c r="A4254" s="177" t="n">
        <v>48449</v>
      </c>
      <c r="B4254" s="177" t="n">
        <v>48443</v>
      </c>
      <c r="C4254" s="177" t="n">
        <v>48449</v>
      </c>
      <c r="D4254" t="inlineStr">
        <is>
          <t>BW20320817</t>
        </is>
      </c>
      <c r="E4254" t="n">
        <v>2032</v>
      </c>
      <c r="F4254" t="inlineStr">
        <is>
          <t>Sierpień</t>
        </is>
      </c>
      <c r="G4254" t="inlineStr">
        <is>
          <t>Pn</t>
        </is>
      </c>
      <c r="H4254">
        <f>'Floor Hours Engine'!$E$4</f>
        <v/>
      </c>
      <c r="I4254" t="inlineStr">
        <is>
          <t>W4</t>
        </is>
      </c>
      <c r="J4254" t="inlineStr">
        <is>
          <t>2032_Sierpień_W4</t>
        </is>
      </c>
    </row>
    <row r="4255">
      <c r="A4255" s="177" t="n">
        <v>48450</v>
      </c>
      <c r="B4255" s="177" t="n">
        <v>48450</v>
      </c>
      <c r="C4255" s="177" t="n">
        <v>48456</v>
      </c>
      <c r="D4255" t="inlineStr">
        <is>
          <t>BW20320824</t>
        </is>
      </c>
      <c r="E4255" t="n">
        <v>2032</v>
      </c>
      <c r="F4255" t="inlineStr">
        <is>
          <t>Sierpień</t>
        </is>
      </c>
      <c r="G4255" t="inlineStr">
        <is>
          <t>Wt</t>
        </is>
      </c>
      <c r="H4255">
        <f>'Floor Hours Engine'!$E$4</f>
        <v/>
      </c>
      <c r="I4255" t="inlineStr">
        <is>
          <t>W5</t>
        </is>
      </c>
      <c r="J4255" t="inlineStr">
        <is>
          <t>2032_Sierpień_W5</t>
        </is>
      </c>
    </row>
    <row r="4256">
      <c r="A4256" s="177" t="n">
        <v>48451</v>
      </c>
      <c r="B4256" s="177" t="n">
        <v>48450</v>
      </c>
      <c r="C4256" s="177" t="n">
        <v>48456</v>
      </c>
      <c r="D4256" t="inlineStr">
        <is>
          <t>BW20320824</t>
        </is>
      </c>
      <c r="E4256" t="n">
        <v>2032</v>
      </c>
      <c r="F4256" t="inlineStr">
        <is>
          <t>Sierpień</t>
        </is>
      </c>
      <c r="G4256" t="inlineStr">
        <is>
          <t>Śr</t>
        </is>
      </c>
      <c r="H4256">
        <f>'Floor Hours Engine'!$E$4</f>
        <v/>
      </c>
      <c r="I4256" t="inlineStr">
        <is>
          <t>W5</t>
        </is>
      </c>
      <c r="J4256" t="inlineStr">
        <is>
          <t>2032_Sierpień_W5</t>
        </is>
      </c>
    </row>
    <row r="4257">
      <c r="A4257" s="177" t="n">
        <v>48452</v>
      </c>
      <c r="B4257" s="177" t="n">
        <v>48450</v>
      </c>
      <c r="C4257" s="177" t="n">
        <v>48456</v>
      </c>
      <c r="D4257" t="inlineStr">
        <is>
          <t>BW20320824</t>
        </is>
      </c>
      <c r="E4257" t="n">
        <v>2032</v>
      </c>
      <c r="F4257" t="inlineStr">
        <is>
          <t>Sierpień</t>
        </is>
      </c>
      <c r="G4257" t="inlineStr">
        <is>
          <t>Czw</t>
        </is>
      </c>
      <c r="H4257">
        <f>'Floor Hours Engine'!$E$4</f>
        <v/>
      </c>
      <c r="I4257" t="inlineStr">
        <is>
          <t>W5</t>
        </is>
      </c>
      <c r="J4257" t="inlineStr">
        <is>
          <t>2032_Sierpień_W5</t>
        </is>
      </c>
    </row>
    <row r="4258">
      <c r="A4258" s="177" t="n">
        <v>48453</v>
      </c>
      <c r="B4258" s="177" t="n">
        <v>48450</v>
      </c>
      <c r="C4258" s="177" t="n">
        <v>48456</v>
      </c>
      <c r="D4258" t="inlineStr">
        <is>
          <t>BW20320824</t>
        </is>
      </c>
      <c r="E4258" t="n">
        <v>2032</v>
      </c>
      <c r="F4258" t="inlineStr">
        <is>
          <t>Sierpień</t>
        </is>
      </c>
      <c r="G4258" t="inlineStr">
        <is>
          <t>Pt</t>
        </is>
      </c>
      <c r="H4258">
        <f>'Floor Hours Engine'!$E$5</f>
        <v/>
      </c>
      <c r="I4258" t="inlineStr">
        <is>
          <t>W5</t>
        </is>
      </c>
      <c r="J4258" t="inlineStr">
        <is>
          <t>2032_Sierpień_W5</t>
        </is>
      </c>
    </row>
    <row r="4259">
      <c r="A4259" s="177" t="n">
        <v>48454</v>
      </c>
      <c r="B4259" s="177" t="n">
        <v>48450</v>
      </c>
      <c r="C4259" s="177" t="n">
        <v>48456</v>
      </c>
      <c r="D4259" t="inlineStr">
        <is>
          <t>BW20320824</t>
        </is>
      </c>
      <c r="E4259" t="n">
        <v>2032</v>
      </c>
      <c r="F4259" t="inlineStr">
        <is>
          <t>Sierpień</t>
        </is>
      </c>
      <c r="G4259" t="inlineStr">
        <is>
          <t>Sob</t>
        </is>
      </c>
      <c r="H4259">
        <f>'Floor Hours Engine'!$E$5</f>
        <v/>
      </c>
      <c r="I4259" t="inlineStr">
        <is>
          <t>W5</t>
        </is>
      </c>
      <c r="J4259" t="inlineStr">
        <is>
          <t>2032_Sierpień_W5</t>
        </is>
      </c>
    </row>
    <row r="4260">
      <c r="A4260" s="177" t="n">
        <v>48455</v>
      </c>
      <c r="B4260" s="177" t="n">
        <v>48450</v>
      </c>
      <c r="C4260" s="177" t="n">
        <v>48456</v>
      </c>
      <c r="D4260" t="inlineStr">
        <is>
          <t>BW20320824</t>
        </is>
      </c>
      <c r="E4260" t="n">
        <v>2032</v>
      </c>
      <c r="F4260" t="inlineStr">
        <is>
          <t>Sierpień</t>
        </is>
      </c>
      <c r="G4260" t="inlineStr">
        <is>
          <t>Nd</t>
        </is>
      </c>
      <c r="H4260">
        <f>'Floor Hours Engine'!$E$6</f>
        <v/>
      </c>
      <c r="I4260" t="inlineStr">
        <is>
          <t>W5</t>
        </is>
      </c>
      <c r="J4260" t="inlineStr">
        <is>
          <t>2032_Sierpień_W5</t>
        </is>
      </c>
    </row>
    <row r="4261">
      <c r="A4261" s="177" t="n">
        <v>48456</v>
      </c>
      <c r="B4261" s="177" t="n">
        <v>48450</v>
      </c>
      <c r="C4261" s="177" t="n">
        <v>48456</v>
      </c>
      <c r="D4261" t="inlineStr">
        <is>
          <t>BW20320824</t>
        </is>
      </c>
      <c r="E4261" t="n">
        <v>2032</v>
      </c>
      <c r="F4261" t="inlineStr">
        <is>
          <t>Sierpień</t>
        </is>
      </c>
      <c r="G4261" t="inlineStr">
        <is>
          <t>Pn</t>
        </is>
      </c>
      <c r="H4261">
        <f>'Floor Hours Engine'!$E$4</f>
        <v/>
      </c>
      <c r="I4261" t="inlineStr">
        <is>
          <t>W5</t>
        </is>
      </c>
      <c r="J4261" t="inlineStr">
        <is>
          <t>2032_Sierpień_W5</t>
        </is>
      </c>
    </row>
    <row r="4262">
      <c r="A4262" s="177" t="n">
        <v>48457</v>
      </c>
      <c r="B4262" s="177" t="n">
        <v>48457</v>
      </c>
      <c r="C4262" s="177" t="n">
        <v>48463</v>
      </c>
      <c r="D4262" t="inlineStr">
        <is>
          <t>BW20320831</t>
        </is>
      </c>
      <c r="E4262" t="n">
        <v>2032</v>
      </c>
      <c r="F4262" t="inlineStr">
        <is>
          <t>Sierpień</t>
        </is>
      </c>
      <c r="G4262" t="inlineStr">
        <is>
          <t>Wt</t>
        </is>
      </c>
      <c r="H4262">
        <f>'Floor Hours Engine'!$E$4</f>
        <v/>
      </c>
      <c r="I4262" t="inlineStr">
        <is>
          <t>W6</t>
        </is>
      </c>
      <c r="J4262" t="inlineStr">
        <is>
          <t>2032_Sierpień_W6</t>
        </is>
      </c>
    </row>
    <row r="4263">
      <c r="A4263" s="177" t="n">
        <v>48458</v>
      </c>
      <c r="B4263" s="177" t="n">
        <v>48457</v>
      </c>
      <c r="C4263" s="177" t="n">
        <v>48463</v>
      </c>
      <c r="D4263" t="inlineStr">
        <is>
          <t>BW20320831</t>
        </is>
      </c>
      <c r="E4263" t="n">
        <v>2032</v>
      </c>
      <c r="F4263" t="inlineStr">
        <is>
          <t>Wrzesień</t>
        </is>
      </c>
      <c r="G4263" t="inlineStr">
        <is>
          <t>Śr</t>
        </is>
      </c>
      <c r="H4263">
        <f>'Floor Hours Engine'!$E$4</f>
        <v/>
      </c>
      <c r="I4263" t="inlineStr">
        <is>
          <t>W1</t>
        </is>
      </c>
      <c r="J4263" t="inlineStr">
        <is>
          <t>2032_Wrzesień_W1</t>
        </is>
      </c>
    </row>
    <row r="4264">
      <c r="A4264" s="177" t="n">
        <v>48459</v>
      </c>
      <c r="B4264" s="177" t="n">
        <v>48457</v>
      </c>
      <c r="C4264" s="177" t="n">
        <v>48463</v>
      </c>
      <c r="D4264" t="inlineStr">
        <is>
          <t>BW20320831</t>
        </is>
      </c>
      <c r="E4264" t="n">
        <v>2032</v>
      </c>
      <c r="F4264" t="inlineStr">
        <is>
          <t>Wrzesień</t>
        </is>
      </c>
      <c r="G4264" t="inlineStr">
        <is>
          <t>Czw</t>
        </is>
      </c>
      <c r="H4264">
        <f>'Floor Hours Engine'!$E$4</f>
        <v/>
      </c>
      <c r="I4264" t="inlineStr">
        <is>
          <t>W1</t>
        </is>
      </c>
      <c r="J4264" t="inlineStr">
        <is>
          <t>2032_Wrzesień_W1</t>
        </is>
      </c>
    </row>
    <row r="4265">
      <c r="A4265" s="177" t="n">
        <v>48460</v>
      </c>
      <c r="B4265" s="177" t="n">
        <v>48457</v>
      </c>
      <c r="C4265" s="177" t="n">
        <v>48463</v>
      </c>
      <c r="D4265" t="inlineStr">
        <is>
          <t>BW20320831</t>
        </is>
      </c>
      <c r="E4265" t="n">
        <v>2032</v>
      </c>
      <c r="F4265" t="inlineStr">
        <is>
          <t>Wrzesień</t>
        </is>
      </c>
      <c r="G4265" t="inlineStr">
        <is>
          <t>Pt</t>
        </is>
      </c>
      <c r="H4265">
        <f>'Floor Hours Engine'!$E$5</f>
        <v/>
      </c>
      <c r="I4265" t="inlineStr">
        <is>
          <t>W1</t>
        </is>
      </c>
      <c r="J4265" t="inlineStr">
        <is>
          <t>2032_Wrzesień_W1</t>
        </is>
      </c>
    </row>
    <row r="4266">
      <c r="A4266" s="177" t="n">
        <v>48461</v>
      </c>
      <c r="B4266" s="177" t="n">
        <v>48457</v>
      </c>
      <c r="C4266" s="177" t="n">
        <v>48463</v>
      </c>
      <c r="D4266" t="inlineStr">
        <is>
          <t>BW20320831</t>
        </is>
      </c>
      <c r="E4266" t="n">
        <v>2032</v>
      </c>
      <c r="F4266" t="inlineStr">
        <is>
          <t>Wrzesień</t>
        </is>
      </c>
      <c r="G4266" t="inlineStr">
        <is>
          <t>Sob</t>
        </is>
      </c>
      <c r="H4266">
        <f>'Floor Hours Engine'!$E$5</f>
        <v/>
      </c>
      <c r="I4266" t="inlineStr">
        <is>
          <t>W1</t>
        </is>
      </c>
      <c r="J4266" t="inlineStr">
        <is>
          <t>2032_Wrzesień_W1</t>
        </is>
      </c>
    </row>
    <row r="4267">
      <c r="A4267" s="177" t="n">
        <v>48462</v>
      </c>
      <c r="B4267" s="177" t="n">
        <v>48457</v>
      </c>
      <c r="C4267" s="177" t="n">
        <v>48463</v>
      </c>
      <c r="D4267" t="inlineStr">
        <is>
          <t>BW20320831</t>
        </is>
      </c>
      <c r="E4267" t="n">
        <v>2032</v>
      </c>
      <c r="F4267" t="inlineStr">
        <is>
          <t>Wrzesień</t>
        </is>
      </c>
      <c r="G4267" t="inlineStr">
        <is>
          <t>Nd</t>
        </is>
      </c>
      <c r="H4267">
        <f>'Floor Hours Engine'!$E$6</f>
        <v/>
      </c>
      <c r="I4267" t="inlineStr">
        <is>
          <t>W1</t>
        </is>
      </c>
      <c r="J4267" t="inlineStr">
        <is>
          <t>2032_Wrzesień_W1</t>
        </is>
      </c>
    </row>
    <row r="4268">
      <c r="A4268" s="177" t="n">
        <v>48463</v>
      </c>
      <c r="B4268" s="177" t="n">
        <v>48457</v>
      </c>
      <c r="C4268" s="177" t="n">
        <v>48463</v>
      </c>
      <c r="D4268" t="inlineStr">
        <is>
          <t>BW20320831</t>
        </is>
      </c>
      <c r="E4268" t="n">
        <v>2032</v>
      </c>
      <c r="F4268" t="inlineStr">
        <is>
          <t>Wrzesień</t>
        </is>
      </c>
      <c r="G4268" t="inlineStr">
        <is>
          <t>Pn</t>
        </is>
      </c>
      <c r="H4268">
        <f>'Floor Hours Engine'!$E$4</f>
        <v/>
      </c>
      <c r="I4268" t="inlineStr">
        <is>
          <t>W1</t>
        </is>
      </c>
      <c r="J4268" t="inlineStr">
        <is>
          <t>2032_Wrzesień_W1</t>
        </is>
      </c>
    </row>
    <row r="4269">
      <c r="A4269" s="177" t="n">
        <v>48464</v>
      </c>
      <c r="B4269" s="177" t="n">
        <v>48464</v>
      </c>
      <c r="C4269" s="177" t="n">
        <v>48470</v>
      </c>
      <c r="D4269" t="inlineStr">
        <is>
          <t>BW20320907</t>
        </is>
      </c>
      <c r="E4269" t="n">
        <v>2032</v>
      </c>
      <c r="F4269" t="inlineStr">
        <is>
          <t>Wrzesień</t>
        </is>
      </c>
      <c r="G4269" t="inlineStr">
        <is>
          <t>Wt</t>
        </is>
      </c>
      <c r="H4269">
        <f>'Floor Hours Engine'!$E$4</f>
        <v/>
      </c>
      <c r="I4269" t="inlineStr">
        <is>
          <t>W2</t>
        </is>
      </c>
      <c r="J4269" t="inlineStr">
        <is>
          <t>2032_Wrzesień_W2</t>
        </is>
      </c>
    </row>
    <row r="4270">
      <c r="A4270" s="177" t="n">
        <v>48465</v>
      </c>
      <c r="B4270" s="177" t="n">
        <v>48464</v>
      </c>
      <c r="C4270" s="177" t="n">
        <v>48470</v>
      </c>
      <c r="D4270" t="inlineStr">
        <is>
          <t>BW20320907</t>
        </is>
      </c>
      <c r="E4270" t="n">
        <v>2032</v>
      </c>
      <c r="F4270" t="inlineStr">
        <is>
          <t>Wrzesień</t>
        </is>
      </c>
      <c r="G4270" t="inlineStr">
        <is>
          <t>Śr</t>
        </is>
      </c>
      <c r="H4270">
        <f>'Floor Hours Engine'!$E$4</f>
        <v/>
      </c>
      <c r="I4270" t="inlineStr">
        <is>
          <t>W2</t>
        </is>
      </c>
      <c r="J4270" t="inlineStr">
        <is>
          <t>2032_Wrzesień_W2</t>
        </is>
      </c>
    </row>
    <row r="4271">
      <c r="A4271" s="177" t="n">
        <v>48466</v>
      </c>
      <c r="B4271" s="177" t="n">
        <v>48464</v>
      </c>
      <c r="C4271" s="177" t="n">
        <v>48470</v>
      </c>
      <c r="D4271" t="inlineStr">
        <is>
          <t>BW20320907</t>
        </is>
      </c>
      <c r="E4271" t="n">
        <v>2032</v>
      </c>
      <c r="F4271" t="inlineStr">
        <is>
          <t>Wrzesień</t>
        </is>
      </c>
      <c r="G4271" t="inlineStr">
        <is>
          <t>Czw</t>
        </is>
      </c>
      <c r="H4271">
        <f>'Floor Hours Engine'!$E$4</f>
        <v/>
      </c>
      <c r="I4271" t="inlineStr">
        <is>
          <t>W2</t>
        </is>
      </c>
      <c r="J4271" t="inlineStr">
        <is>
          <t>2032_Wrzesień_W2</t>
        </is>
      </c>
    </row>
    <row r="4272">
      <c r="A4272" s="177" t="n">
        <v>48467</v>
      </c>
      <c r="B4272" s="177" t="n">
        <v>48464</v>
      </c>
      <c r="C4272" s="177" t="n">
        <v>48470</v>
      </c>
      <c r="D4272" t="inlineStr">
        <is>
          <t>BW20320907</t>
        </is>
      </c>
      <c r="E4272" t="n">
        <v>2032</v>
      </c>
      <c r="F4272" t="inlineStr">
        <is>
          <t>Wrzesień</t>
        </is>
      </c>
      <c r="G4272" t="inlineStr">
        <is>
          <t>Pt</t>
        </is>
      </c>
      <c r="H4272">
        <f>'Floor Hours Engine'!$E$5</f>
        <v/>
      </c>
      <c r="I4272" t="inlineStr">
        <is>
          <t>W2</t>
        </is>
      </c>
      <c r="J4272" t="inlineStr">
        <is>
          <t>2032_Wrzesień_W2</t>
        </is>
      </c>
    </row>
    <row r="4273">
      <c r="A4273" s="177" t="n">
        <v>48468</v>
      </c>
      <c r="B4273" s="177" t="n">
        <v>48464</v>
      </c>
      <c r="C4273" s="177" t="n">
        <v>48470</v>
      </c>
      <c r="D4273" t="inlineStr">
        <is>
          <t>BW20320907</t>
        </is>
      </c>
      <c r="E4273" t="n">
        <v>2032</v>
      </c>
      <c r="F4273" t="inlineStr">
        <is>
          <t>Wrzesień</t>
        </is>
      </c>
      <c r="G4273" t="inlineStr">
        <is>
          <t>Sob</t>
        </is>
      </c>
      <c r="H4273">
        <f>'Floor Hours Engine'!$E$5</f>
        <v/>
      </c>
      <c r="I4273" t="inlineStr">
        <is>
          <t>W2</t>
        </is>
      </c>
      <c r="J4273" t="inlineStr">
        <is>
          <t>2032_Wrzesień_W2</t>
        </is>
      </c>
    </row>
    <row r="4274">
      <c r="A4274" s="177" t="n">
        <v>48469</v>
      </c>
      <c r="B4274" s="177" t="n">
        <v>48464</v>
      </c>
      <c r="C4274" s="177" t="n">
        <v>48470</v>
      </c>
      <c r="D4274" t="inlineStr">
        <is>
          <t>BW20320907</t>
        </is>
      </c>
      <c r="E4274" t="n">
        <v>2032</v>
      </c>
      <c r="F4274" t="inlineStr">
        <is>
          <t>Wrzesień</t>
        </is>
      </c>
      <c r="G4274" t="inlineStr">
        <is>
          <t>Nd</t>
        </is>
      </c>
      <c r="H4274">
        <f>'Floor Hours Engine'!$E$6</f>
        <v/>
      </c>
      <c r="I4274" t="inlineStr">
        <is>
          <t>W2</t>
        </is>
      </c>
      <c r="J4274" t="inlineStr">
        <is>
          <t>2032_Wrzesień_W2</t>
        </is>
      </c>
    </row>
    <row r="4275">
      <c r="A4275" s="177" t="n">
        <v>48470</v>
      </c>
      <c r="B4275" s="177" t="n">
        <v>48464</v>
      </c>
      <c r="C4275" s="177" t="n">
        <v>48470</v>
      </c>
      <c r="D4275" t="inlineStr">
        <is>
          <t>BW20320907</t>
        </is>
      </c>
      <c r="E4275" t="n">
        <v>2032</v>
      </c>
      <c r="F4275" t="inlineStr">
        <is>
          <t>Wrzesień</t>
        </is>
      </c>
      <c r="G4275" t="inlineStr">
        <is>
          <t>Pn</t>
        </is>
      </c>
      <c r="H4275">
        <f>'Floor Hours Engine'!$E$4</f>
        <v/>
      </c>
      <c r="I4275" t="inlineStr">
        <is>
          <t>W2</t>
        </is>
      </c>
      <c r="J4275" t="inlineStr">
        <is>
          <t>2032_Wrzesień_W2</t>
        </is>
      </c>
    </row>
    <row r="4276">
      <c r="A4276" s="177" t="n">
        <v>48471</v>
      </c>
      <c r="B4276" s="177" t="n">
        <v>48471</v>
      </c>
      <c r="C4276" s="177" t="n">
        <v>48477</v>
      </c>
      <c r="D4276" t="inlineStr">
        <is>
          <t>BW20320914</t>
        </is>
      </c>
      <c r="E4276" t="n">
        <v>2032</v>
      </c>
      <c r="F4276" t="inlineStr">
        <is>
          <t>Wrzesień</t>
        </is>
      </c>
      <c r="G4276" t="inlineStr">
        <is>
          <t>Wt</t>
        </is>
      </c>
      <c r="H4276">
        <f>'Floor Hours Engine'!$E$4</f>
        <v/>
      </c>
      <c r="I4276" t="inlineStr">
        <is>
          <t>W3</t>
        </is>
      </c>
      <c r="J4276" t="inlineStr">
        <is>
          <t>2032_Wrzesień_W3</t>
        </is>
      </c>
    </row>
    <row r="4277">
      <c r="A4277" s="177" t="n">
        <v>48472</v>
      </c>
      <c r="B4277" s="177" t="n">
        <v>48471</v>
      </c>
      <c r="C4277" s="177" t="n">
        <v>48477</v>
      </c>
      <c r="D4277" t="inlineStr">
        <is>
          <t>BW20320914</t>
        </is>
      </c>
      <c r="E4277" t="n">
        <v>2032</v>
      </c>
      <c r="F4277" t="inlineStr">
        <is>
          <t>Wrzesień</t>
        </is>
      </c>
      <c r="G4277" t="inlineStr">
        <is>
          <t>Śr</t>
        </is>
      </c>
      <c r="H4277">
        <f>'Floor Hours Engine'!$E$4</f>
        <v/>
      </c>
      <c r="I4277" t="inlineStr">
        <is>
          <t>W3</t>
        </is>
      </c>
      <c r="J4277" t="inlineStr">
        <is>
          <t>2032_Wrzesień_W3</t>
        </is>
      </c>
    </row>
    <row r="4278">
      <c r="A4278" s="177" t="n">
        <v>48473</v>
      </c>
      <c r="B4278" s="177" t="n">
        <v>48471</v>
      </c>
      <c r="C4278" s="177" t="n">
        <v>48477</v>
      </c>
      <c r="D4278" t="inlineStr">
        <is>
          <t>BW20320914</t>
        </is>
      </c>
      <c r="E4278" t="n">
        <v>2032</v>
      </c>
      <c r="F4278" t="inlineStr">
        <is>
          <t>Wrzesień</t>
        </is>
      </c>
      <c r="G4278" t="inlineStr">
        <is>
          <t>Czw</t>
        </is>
      </c>
      <c r="H4278">
        <f>'Floor Hours Engine'!$E$4</f>
        <v/>
      </c>
      <c r="I4278" t="inlineStr">
        <is>
          <t>W3</t>
        </is>
      </c>
      <c r="J4278" t="inlineStr">
        <is>
          <t>2032_Wrzesień_W3</t>
        </is>
      </c>
    </row>
    <row r="4279">
      <c r="A4279" s="177" t="n">
        <v>48474</v>
      </c>
      <c r="B4279" s="177" t="n">
        <v>48471</v>
      </c>
      <c r="C4279" s="177" t="n">
        <v>48477</v>
      </c>
      <c r="D4279" t="inlineStr">
        <is>
          <t>BW20320914</t>
        </is>
      </c>
      <c r="E4279" t="n">
        <v>2032</v>
      </c>
      <c r="F4279" t="inlineStr">
        <is>
          <t>Wrzesień</t>
        </is>
      </c>
      <c r="G4279" t="inlineStr">
        <is>
          <t>Pt</t>
        </is>
      </c>
      <c r="H4279">
        <f>'Floor Hours Engine'!$E$5</f>
        <v/>
      </c>
      <c r="I4279" t="inlineStr">
        <is>
          <t>W3</t>
        </is>
      </c>
      <c r="J4279" t="inlineStr">
        <is>
          <t>2032_Wrzesień_W3</t>
        </is>
      </c>
    </row>
    <row r="4280">
      <c r="A4280" s="177" t="n">
        <v>48475</v>
      </c>
      <c r="B4280" s="177" t="n">
        <v>48471</v>
      </c>
      <c r="C4280" s="177" t="n">
        <v>48477</v>
      </c>
      <c r="D4280" t="inlineStr">
        <is>
          <t>BW20320914</t>
        </is>
      </c>
      <c r="E4280" t="n">
        <v>2032</v>
      </c>
      <c r="F4280" t="inlineStr">
        <is>
          <t>Wrzesień</t>
        </is>
      </c>
      <c r="G4280" t="inlineStr">
        <is>
          <t>Sob</t>
        </is>
      </c>
      <c r="H4280">
        <f>'Floor Hours Engine'!$E$5</f>
        <v/>
      </c>
      <c r="I4280" t="inlineStr">
        <is>
          <t>W3</t>
        </is>
      </c>
      <c r="J4280" t="inlineStr">
        <is>
          <t>2032_Wrzesień_W3</t>
        </is>
      </c>
    </row>
    <row r="4281">
      <c r="A4281" s="177" t="n">
        <v>48476</v>
      </c>
      <c r="B4281" s="177" t="n">
        <v>48471</v>
      </c>
      <c r="C4281" s="177" t="n">
        <v>48477</v>
      </c>
      <c r="D4281" t="inlineStr">
        <is>
          <t>BW20320914</t>
        </is>
      </c>
      <c r="E4281" t="n">
        <v>2032</v>
      </c>
      <c r="F4281" t="inlineStr">
        <is>
          <t>Wrzesień</t>
        </is>
      </c>
      <c r="G4281" t="inlineStr">
        <is>
          <t>Nd</t>
        </is>
      </c>
      <c r="H4281">
        <f>'Floor Hours Engine'!$E$6</f>
        <v/>
      </c>
      <c r="I4281" t="inlineStr">
        <is>
          <t>W3</t>
        </is>
      </c>
      <c r="J4281" t="inlineStr">
        <is>
          <t>2032_Wrzesień_W3</t>
        </is>
      </c>
    </row>
    <row r="4282">
      <c r="A4282" s="177" t="n">
        <v>48477</v>
      </c>
      <c r="B4282" s="177" t="n">
        <v>48471</v>
      </c>
      <c r="C4282" s="177" t="n">
        <v>48477</v>
      </c>
      <c r="D4282" t="inlineStr">
        <is>
          <t>BW20320914</t>
        </is>
      </c>
      <c r="E4282" t="n">
        <v>2032</v>
      </c>
      <c r="F4282" t="inlineStr">
        <is>
          <t>Wrzesień</t>
        </is>
      </c>
      <c r="G4282" t="inlineStr">
        <is>
          <t>Pn</t>
        </is>
      </c>
      <c r="H4282">
        <f>'Floor Hours Engine'!$E$4</f>
        <v/>
      </c>
      <c r="I4282" t="inlineStr">
        <is>
          <t>W3</t>
        </is>
      </c>
      <c r="J4282" t="inlineStr">
        <is>
          <t>2032_Wrzesień_W3</t>
        </is>
      </c>
    </row>
    <row r="4283">
      <c r="A4283" s="177" t="n">
        <v>48478</v>
      </c>
      <c r="B4283" s="177" t="n">
        <v>48478</v>
      </c>
      <c r="C4283" s="177" t="n">
        <v>48484</v>
      </c>
      <c r="D4283" t="inlineStr">
        <is>
          <t>BW20320921</t>
        </is>
      </c>
      <c r="E4283" t="n">
        <v>2032</v>
      </c>
      <c r="F4283" t="inlineStr">
        <is>
          <t>Wrzesień</t>
        </is>
      </c>
      <c r="G4283" t="inlineStr">
        <is>
          <t>Wt</t>
        </is>
      </c>
      <c r="H4283">
        <f>'Floor Hours Engine'!$E$4</f>
        <v/>
      </c>
      <c r="I4283" t="inlineStr">
        <is>
          <t>W4</t>
        </is>
      </c>
      <c r="J4283" t="inlineStr">
        <is>
          <t>2032_Wrzesień_W4</t>
        </is>
      </c>
    </row>
    <row r="4284">
      <c r="A4284" s="177" t="n">
        <v>48479</v>
      </c>
      <c r="B4284" s="177" t="n">
        <v>48478</v>
      </c>
      <c r="C4284" s="177" t="n">
        <v>48484</v>
      </c>
      <c r="D4284" t="inlineStr">
        <is>
          <t>BW20320921</t>
        </is>
      </c>
      <c r="E4284" t="n">
        <v>2032</v>
      </c>
      <c r="F4284" t="inlineStr">
        <is>
          <t>Wrzesień</t>
        </is>
      </c>
      <c r="G4284" t="inlineStr">
        <is>
          <t>Śr</t>
        </is>
      </c>
      <c r="H4284">
        <f>'Floor Hours Engine'!$E$4</f>
        <v/>
      </c>
      <c r="I4284" t="inlineStr">
        <is>
          <t>W4</t>
        </is>
      </c>
      <c r="J4284" t="inlineStr">
        <is>
          <t>2032_Wrzesień_W4</t>
        </is>
      </c>
    </row>
    <row r="4285">
      <c r="A4285" s="177" t="n">
        <v>48480</v>
      </c>
      <c r="B4285" s="177" t="n">
        <v>48478</v>
      </c>
      <c r="C4285" s="177" t="n">
        <v>48484</v>
      </c>
      <c r="D4285" t="inlineStr">
        <is>
          <t>BW20320921</t>
        </is>
      </c>
      <c r="E4285" t="n">
        <v>2032</v>
      </c>
      <c r="F4285" t="inlineStr">
        <is>
          <t>Wrzesień</t>
        </is>
      </c>
      <c r="G4285" t="inlineStr">
        <is>
          <t>Czw</t>
        </is>
      </c>
      <c r="H4285">
        <f>'Floor Hours Engine'!$E$4</f>
        <v/>
      </c>
      <c r="I4285" t="inlineStr">
        <is>
          <t>W4</t>
        </is>
      </c>
      <c r="J4285" t="inlineStr">
        <is>
          <t>2032_Wrzesień_W4</t>
        </is>
      </c>
    </row>
    <row r="4286">
      <c r="A4286" s="177" t="n">
        <v>48481</v>
      </c>
      <c r="B4286" s="177" t="n">
        <v>48478</v>
      </c>
      <c r="C4286" s="177" t="n">
        <v>48484</v>
      </c>
      <c r="D4286" t="inlineStr">
        <is>
          <t>BW20320921</t>
        </is>
      </c>
      <c r="E4286" t="n">
        <v>2032</v>
      </c>
      <c r="F4286" t="inlineStr">
        <is>
          <t>Wrzesień</t>
        </is>
      </c>
      <c r="G4286" t="inlineStr">
        <is>
          <t>Pt</t>
        </is>
      </c>
      <c r="H4286">
        <f>'Floor Hours Engine'!$E$5</f>
        <v/>
      </c>
      <c r="I4286" t="inlineStr">
        <is>
          <t>W4</t>
        </is>
      </c>
      <c r="J4286" t="inlineStr">
        <is>
          <t>2032_Wrzesień_W4</t>
        </is>
      </c>
    </row>
    <row r="4287">
      <c r="A4287" s="177" t="n">
        <v>48482</v>
      </c>
      <c r="B4287" s="177" t="n">
        <v>48478</v>
      </c>
      <c r="C4287" s="177" t="n">
        <v>48484</v>
      </c>
      <c r="D4287" t="inlineStr">
        <is>
          <t>BW20320921</t>
        </is>
      </c>
      <c r="E4287" t="n">
        <v>2032</v>
      </c>
      <c r="F4287" t="inlineStr">
        <is>
          <t>Wrzesień</t>
        </is>
      </c>
      <c r="G4287" t="inlineStr">
        <is>
          <t>Sob</t>
        </is>
      </c>
      <c r="H4287">
        <f>'Floor Hours Engine'!$E$5</f>
        <v/>
      </c>
      <c r="I4287" t="inlineStr">
        <is>
          <t>W4</t>
        </is>
      </c>
      <c r="J4287" t="inlineStr">
        <is>
          <t>2032_Wrzesień_W4</t>
        </is>
      </c>
    </row>
    <row r="4288">
      <c r="A4288" s="177" t="n">
        <v>48483</v>
      </c>
      <c r="B4288" s="177" t="n">
        <v>48478</v>
      </c>
      <c r="C4288" s="177" t="n">
        <v>48484</v>
      </c>
      <c r="D4288" t="inlineStr">
        <is>
          <t>BW20320921</t>
        </is>
      </c>
      <c r="E4288" t="n">
        <v>2032</v>
      </c>
      <c r="F4288" t="inlineStr">
        <is>
          <t>Wrzesień</t>
        </is>
      </c>
      <c r="G4288" t="inlineStr">
        <is>
          <t>Nd</t>
        </is>
      </c>
      <c r="H4288">
        <f>'Floor Hours Engine'!$E$6</f>
        <v/>
      </c>
      <c r="I4288" t="inlineStr">
        <is>
          <t>W4</t>
        </is>
      </c>
      <c r="J4288" t="inlineStr">
        <is>
          <t>2032_Wrzesień_W4</t>
        </is>
      </c>
    </row>
    <row r="4289">
      <c r="A4289" s="177" t="n">
        <v>48484</v>
      </c>
      <c r="B4289" s="177" t="n">
        <v>48478</v>
      </c>
      <c r="C4289" s="177" t="n">
        <v>48484</v>
      </c>
      <c r="D4289" t="inlineStr">
        <is>
          <t>BW20320921</t>
        </is>
      </c>
      <c r="E4289" t="n">
        <v>2032</v>
      </c>
      <c r="F4289" t="inlineStr">
        <is>
          <t>Wrzesień</t>
        </is>
      </c>
      <c r="G4289" t="inlineStr">
        <is>
          <t>Pn</t>
        </is>
      </c>
      <c r="H4289">
        <f>'Floor Hours Engine'!$E$4</f>
        <v/>
      </c>
      <c r="I4289" t="inlineStr">
        <is>
          <t>W4</t>
        </is>
      </c>
      <c r="J4289" t="inlineStr">
        <is>
          <t>2032_Wrzesień_W4</t>
        </is>
      </c>
    </row>
    <row r="4290">
      <c r="A4290" s="177" t="n">
        <v>48485</v>
      </c>
      <c r="B4290" s="177" t="n">
        <v>48485</v>
      </c>
      <c r="C4290" s="177" t="n">
        <v>48491</v>
      </c>
      <c r="D4290" t="inlineStr">
        <is>
          <t>BW20320928</t>
        </is>
      </c>
      <c r="E4290" t="n">
        <v>2032</v>
      </c>
      <c r="F4290" t="inlineStr">
        <is>
          <t>Wrzesień</t>
        </is>
      </c>
      <c r="G4290" t="inlineStr">
        <is>
          <t>Wt</t>
        </is>
      </c>
      <c r="H4290">
        <f>'Floor Hours Engine'!$E$4</f>
        <v/>
      </c>
      <c r="I4290" t="inlineStr">
        <is>
          <t>W5</t>
        </is>
      </c>
      <c r="J4290" t="inlineStr">
        <is>
          <t>2032_Wrzesień_W5</t>
        </is>
      </c>
    </row>
    <row r="4291">
      <c r="A4291" s="177" t="n">
        <v>48486</v>
      </c>
      <c r="B4291" s="177" t="n">
        <v>48485</v>
      </c>
      <c r="C4291" s="177" t="n">
        <v>48491</v>
      </c>
      <c r="D4291" t="inlineStr">
        <is>
          <t>BW20320928</t>
        </is>
      </c>
      <c r="E4291" t="n">
        <v>2032</v>
      </c>
      <c r="F4291" t="inlineStr">
        <is>
          <t>Wrzesień</t>
        </is>
      </c>
      <c r="G4291" t="inlineStr">
        <is>
          <t>Śr</t>
        </is>
      </c>
      <c r="H4291">
        <f>'Floor Hours Engine'!$E$4</f>
        <v/>
      </c>
      <c r="I4291" t="inlineStr">
        <is>
          <t>W5</t>
        </is>
      </c>
      <c r="J4291" t="inlineStr">
        <is>
          <t>2032_Wrzesień_W5</t>
        </is>
      </c>
    </row>
    <row r="4292">
      <c r="A4292" s="177" t="n">
        <v>48487</v>
      </c>
      <c r="B4292" s="177" t="n">
        <v>48485</v>
      </c>
      <c r="C4292" s="177" t="n">
        <v>48491</v>
      </c>
      <c r="D4292" t="inlineStr">
        <is>
          <t>BW20320928</t>
        </is>
      </c>
      <c r="E4292" t="n">
        <v>2032</v>
      </c>
      <c r="F4292" t="inlineStr">
        <is>
          <t>Wrzesień</t>
        </is>
      </c>
      <c r="G4292" t="inlineStr">
        <is>
          <t>Czw</t>
        </is>
      </c>
      <c r="H4292">
        <f>'Floor Hours Engine'!$E$4</f>
        <v/>
      </c>
      <c r="I4292" t="inlineStr">
        <is>
          <t>W5</t>
        </is>
      </c>
      <c r="J4292" t="inlineStr">
        <is>
          <t>2032_Wrzesień_W5</t>
        </is>
      </c>
    </row>
    <row r="4293">
      <c r="A4293" s="177" t="n">
        <v>48488</v>
      </c>
      <c r="B4293" s="177" t="n">
        <v>48485</v>
      </c>
      <c r="C4293" s="177" t="n">
        <v>48491</v>
      </c>
      <c r="D4293" t="inlineStr">
        <is>
          <t>BW20320928</t>
        </is>
      </c>
      <c r="E4293" t="n">
        <v>2032</v>
      </c>
      <c r="F4293" t="inlineStr">
        <is>
          <t>Październik</t>
        </is>
      </c>
      <c r="G4293" t="inlineStr">
        <is>
          <t>Pt</t>
        </is>
      </c>
      <c r="H4293">
        <f>'Floor Hours Engine'!$E$5</f>
        <v/>
      </c>
      <c r="I4293" t="inlineStr">
        <is>
          <t>W1</t>
        </is>
      </c>
      <c r="J4293" t="inlineStr">
        <is>
          <t>2032_Październik_W1</t>
        </is>
      </c>
    </row>
    <row r="4294">
      <c r="A4294" s="177" t="n">
        <v>48489</v>
      </c>
      <c r="B4294" s="177" t="n">
        <v>48485</v>
      </c>
      <c r="C4294" s="177" t="n">
        <v>48491</v>
      </c>
      <c r="D4294" t="inlineStr">
        <is>
          <t>BW20320928</t>
        </is>
      </c>
      <c r="E4294" t="n">
        <v>2032</v>
      </c>
      <c r="F4294" t="inlineStr">
        <is>
          <t>Październik</t>
        </is>
      </c>
      <c r="G4294" t="inlineStr">
        <is>
          <t>Sob</t>
        </is>
      </c>
      <c r="H4294">
        <f>'Floor Hours Engine'!$E$5</f>
        <v/>
      </c>
      <c r="I4294" t="inlineStr">
        <is>
          <t>W1</t>
        </is>
      </c>
      <c r="J4294" t="inlineStr">
        <is>
          <t>2032_Październik_W1</t>
        </is>
      </c>
    </row>
    <row r="4295">
      <c r="A4295" s="177" t="n">
        <v>48490</v>
      </c>
      <c r="B4295" s="177" t="n">
        <v>48485</v>
      </c>
      <c r="C4295" s="177" t="n">
        <v>48491</v>
      </c>
      <c r="D4295" t="inlineStr">
        <is>
          <t>BW20320928</t>
        </is>
      </c>
      <c r="E4295" t="n">
        <v>2032</v>
      </c>
      <c r="F4295" t="inlineStr">
        <is>
          <t>Październik</t>
        </is>
      </c>
      <c r="G4295" t="inlineStr">
        <is>
          <t>Nd</t>
        </is>
      </c>
      <c r="H4295">
        <f>'Floor Hours Engine'!$E$6</f>
        <v/>
      </c>
      <c r="I4295" t="inlineStr">
        <is>
          <t>W1</t>
        </is>
      </c>
      <c r="J4295" t="inlineStr">
        <is>
          <t>2032_Październik_W1</t>
        </is>
      </c>
    </row>
    <row r="4296">
      <c r="A4296" s="177" t="n">
        <v>48491</v>
      </c>
      <c r="B4296" s="177" t="n">
        <v>48485</v>
      </c>
      <c r="C4296" s="177" t="n">
        <v>48491</v>
      </c>
      <c r="D4296" t="inlineStr">
        <is>
          <t>BW20320928</t>
        </is>
      </c>
      <c r="E4296" t="n">
        <v>2032</v>
      </c>
      <c r="F4296" t="inlineStr">
        <is>
          <t>Październik</t>
        </is>
      </c>
      <c r="G4296" t="inlineStr">
        <is>
          <t>Pn</t>
        </is>
      </c>
      <c r="H4296">
        <f>'Floor Hours Engine'!$E$4</f>
        <v/>
      </c>
      <c r="I4296" t="inlineStr">
        <is>
          <t>W1</t>
        </is>
      </c>
      <c r="J4296" t="inlineStr">
        <is>
          <t>2032_Październik_W1</t>
        </is>
      </c>
    </row>
    <row r="4297">
      <c r="A4297" s="177" t="n">
        <v>48492</v>
      </c>
      <c r="B4297" s="177" t="n">
        <v>48492</v>
      </c>
      <c r="C4297" s="177" t="n">
        <v>48498</v>
      </c>
      <c r="D4297" t="inlineStr">
        <is>
          <t>BW20321005</t>
        </is>
      </c>
      <c r="E4297" t="n">
        <v>2032</v>
      </c>
      <c r="F4297" t="inlineStr">
        <is>
          <t>Październik</t>
        </is>
      </c>
      <c r="G4297" t="inlineStr">
        <is>
          <t>Wt</t>
        </is>
      </c>
      <c r="H4297">
        <f>'Floor Hours Engine'!$E$4</f>
        <v/>
      </c>
      <c r="I4297" t="inlineStr">
        <is>
          <t>W2</t>
        </is>
      </c>
      <c r="J4297" t="inlineStr">
        <is>
          <t>2032_Październik_W2</t>
        </is>
      </c>
    </row>
    <row r="4298">
      <c r="A4298" s="177" t="n">
        <v>48493</v>
      </c>
      <c r="B4298" s="177" t="n">
        <v>48492</v>
      </c>
      <c r="C4298" s="177" t="n">
        <v>48498</v>
      </c>
      <c r="D4298" t="inlineStr">
        <is>
          <t>BW20321005</t>
        </is>
      </c>
      <c r="E4298" t="n">
        <v>2032</v>
      </c>
      <c r="F4298" t="inlineStr">
        <is>
          <t>Październik</t>
        </is>
      </c>
      <c r="G4298" t="inlineStr">
        <is>
          <t>Śr</t>
        </is>
      </c>
      <c r="H4298">
        <f>'Floor Hours Engine'!$E$4</f>
        <v/>
      </c>
      <c r="I4298" t="inlineStr">
        <is>
          <t>W2</t>
        </is>
      </c>
      <c r="J4298" t="inlineStr">
        <is>
          <t>2032_Październik_W2</t>
        </is>
      </c>
    </row>
    <row r="4299">
      <c r="A4299" s="177" t="n">
        <v>48494</v>
      </c>
      <c r="B4299" s="177" t="n">
        <v>48492</v>
      </c>
      <c r="C4299" s="177" t="n">
        <v>48498</v>
      </c>
      <c r="D4299" t="inlineStr">
        <is>
          <t>BW20321005</t>
        </is>
      </c>
      <c r="E4299" t="n">
        <v>2032</v>
      </c>
      <c r="F4299" t="inlineStr">
        <is>
          <t>Październik</t>
        </is>
      </c>
      <c r="G4299" t="inlineStr">
        <is>
          <t>Czw</t>
        </is>
      </c>
      <c r="H4299">
        <f>'Floor Hours Engine'!$E$4</f>
        <v/>
      </c>
      <c r="I4299" t="inlineStr">
        <is>
          <t>W2</t>
        </is>
      </c>
      <c r="J4299" t="inlineStr">
        <is>
          <t>2032_Październik_W2</t>
        </is>
      </c>
    </row>
    <row r="4300">
      <c r="A4300" s="177" t="n">
        <v>48495</v>
      </c>
      <c r="B4300" s="177" t="n">
        <v>48492</v>
      </c>
      <c r="C4300" s="177" t="n">
        <v>48498</v>
      </c>
      <c r="D4300" t="inlineStr">
        <is>
          <t>BW20321005</t>
        </is>
      </c>
      <c r="E4300" t="n">
        <v>2032</v>
      </c>
      <c r="F4300" t="inlineStr">
        <is>
          <t>Październik</t>
        </is>
      </c>
      <c r="G4300" t="inlineStr">
        <is>
          <t>Pt</t>
        </is>
      </c>
      <c r="H4300">
        <f>'Floor Hours Engine'!$E$5</f>
        <v/>
      </c>
      <c r="I4300" t="inlineStr">
        <is>
          <t>W2</t>
        </is>
      </c>
      <c r="J4300" t="inlineStr">
        <is>
          <t>2032_Październik_W2</t>
        </is>
      </c>
    </row>
    <row r="4301">
      <c r="A4301" s="177" t="n">
        <v>48496</v>
      </c>
      <c r="B4301" s="177" t="n">
        <v>48492</v>
      </c>
      <c r="C4301" s="177" t="n">
        <v>48498</v>
      </c>
      <c r="D4301" t="inlineStr">
        <is>
          <t>BW20321005</t>
        </is>
      </c>
      <c r="E4301" t="n">
        <v>2032</v>
      </c>
      <c r="F4301" t="inlineStr">
        <is>
          <t>Październik</t>
        </is>
      </c>
      <c r="G4301" t="inlineStr">
        <is>
          <t>Sob</t>
        </is>
      </c>
      <c r="H4301">
        <f>'Floor Hours Engine'!$E$5</f>
        <v/>
      </c>
      <c r="I4301" t="inlineStr">
        <is>
          <t>W2</t>
        </is>
      </c>
      <c r="J4301" t="inlineStr">
        <is>
          <t>2032_Październik_W2</t>
        </is>
      </c>
    </row>
    <row r="4302">
      <c r="A4302" s="177" t="n">
        <v>48497</v>
      </c>
      <c r="B4302" s="177" t="n">
        <v>48492</v>
      </c>
      <c r="C4302" s="177" t="n">
        <v>48498</v>
      </c>
      <c r="D4302" t="inlineStr">
        <is>
          <t>BW20321005</t>
        </is>
      </c>
      <c r="E4302" t="n">
        <v>2032</v>
      </c>
      <c r="F4302" t="inlineStr">
        <is>
          <t>Październik</t>
        </is>
      </c>
      <c r="G4302" t="inlineStr">
        <is>
          <t>Nd</t>
        </is>
      </c>
      <c r="H4302">
        <f>'Floor Hours Engine'!$E$6</f>
        <v/>
      </c>
      <c r="I4302" t="inlineStr">
        <is>
          <t>W2</t>
        </is>
      </c>
      <c r="J4302" t="inlineStr">
        <is>
          <t>2032_Październik_W2</t>
        </is>
      </c>
    </row>
    <row r="4303">
      <c r="A4303" s="177" t="n">
        <v>48498</v>
      </c>
      <c r="B4303" s="177" t="n">
        <v>48492</v>
      </c>
      <c r="C4303" s="177" t="n">
        <v>48498</v>
      </c>
      <c r="D4303" t="inlineStr">
        <is>
          <t>BW20321005</t>
        </is>
      </c>
      <c r="E4303" t="n">
        <v>2032</v>
      </c>
      <c r="F4303" t="inlineStr">
        <is>
          <t>Październik</t>
        </is>
      </c>
      <c r="G4303" t="inlineStr">
        <is>
          <t>Pn</t>
        </is>
      </c>
      <c r="H4303">
        <f>'Floor Hours Engine'!$E$4</f>
        <v/>
      </c>
      <c r="I4303" t="inlineStr">
        <is>
          <t>W2</t>
        </is>
      </c>
      <c r="J4303" t="inlineStr">
        <is>
          <t>2032_Październik_W2</t>
        </is>
      </c>
    </row>
    <row r="4304">
      <c r="A4304" s="177" t="n">
        <v>48499</v>
      </c>
      <c r="B4304" s="177" t="n">
        <v>48499</v>
      </c>
      <c r="C4304" s="177" t="n">
        <v>48505</v>
      </c>
      <c r="D4304" t="inlineStr">
        <is>
          <t>BW20321012</t>
        </is>
      </c>
      <c r="E4304" t="n">
        <v>2032</v>
      </c>
      <c r="F4304" t="inlineStr">
        <is>
          <t>Październik</t>
        </is>
      </c>
      <c r="G4304" t="inlineStr">
        <is>
          <t>Wt</t>
        </is>
      </c>
      <c r="H4304">
        <f>'Floor Hours Engine'!$E$4</f>
        <v/>
      </c>
      <c r="I4304" t="inlineStr">
        <is>
          <t>W3</t>
        </is>
      </c>
      <c r="J4304" t="inlineStr">
        <is>
          <t>2032_Październik_W3</t>
        </is>
      </c>
    </row>
    <row r="4305">
      <c r="A4305" s="177" t="n">
        <v>48500</v>
      </c>
      <c r="B4305" s="177" t="n">
        <v>48499</v>
      </c>
      <c r="C4305" s="177" t="n">
        <v>48505</v>
      </c>
      <c r="D4305" t="inlineStr">
        <is>
          <t>BW20321012</t>
        </is>
      </c>
      <c r="E4305" t="n">
        <v>2032</v>
      </c>
      <c r="F4305" t="inlineStr">
        <is>
          <t>Październik</t>
        </is>
      </c>
      <c r="G4305" t="inlineStr">
        <is>
          <t>Śr</t>
        </is>
      </c>
      <c r="H4305">
        <f>'Floor Hours Engine'!$E$4</f>
        <v/>
      </c>
      <c r="I4305" t="inlineStr">
        <is>
          <t>W3</t>
        </is>
      </c>
      <c r="J4305" t="inlineStr">
        <is>
          <t>2032_Październik_W3</t>
        </is>
      </c>
    </row>
    <row r="4306">
      <c r="A4306" s="177" t="n">
        <v>48501</v>
      </c>
      <c r="B4306" s="177" t="n">
        <v>48499</v>
      </c>
      <c r="C4306" s="177" t="n">
        <v>48505</v>
      </c>
      <c r="D4306" t="inlineStr">
        <is>
          <t>BW20321012</t>
        </is>
      </c>
      <c r="E4306" t="n">
        <v>2032</v>
      </c>
      <c r="F4306" t="inlineStr">
        <is>
          <t>Październik</t>
        </is>
      </c>
      <c r="G4306" t="inlineStr">
        <is>
          <t>Czw</t>
        </is>
      </c>
      <c r="H4306">
        <f>'Floor Hours Engine'!$E$4</f>
        <v/>
      </c>
      <c r="I4306" t="inlineStr">
        <is>
          <t>W3</t>
        </is>
      </c>
      <c r="J4306" t="inlineStr">
        <is>
          <t>2032_Październik_W3</t>
        </is>
      </c>
    </row>
    <row r="4307">
      <c r="A4307" s="177" t="n">
        <v>48502</v>
      </c>
      <c r="B4307" s="177" t="n">
        <v>48499</v>
      </c>
      <c r="C4307" s="177" t="n">
        <v>48505</v>
      </c>
      <c r="D4307" t="inlineStr">
        <is>
          <t>BW20321012</t>
        </is>
      </c>
      <c r="E4307" t="n">
        <v>2032</v>
      </c>
      <c r="F4307" t="inlineStr">
        <is>
          <t>Październik</t>
        </is>
      </c>
      <c r="G4307" t="inlineStr">
        <is>
          <t>Pt</t>
        </is>
      </c>
      <c r="H4307">
        <f>'Floor Hours Engine'!$E$5</f>
        <v/>
      </c>
      <c r="I4307" t="inlineStr">
        <is>
          <t>W3</t>
        </is>
      </c>
      <c r="J4307" t="inlineStr">
        <is>
          <t>2032_Październik_W3</t>
        </is>
      </c>
    </row>
    <row r="4308">
      <c r="A4308" s="177" t="n">
        <v>48503</v>
      </c>
      <c r="B4308" s="177" t="n">
        <v>48499</v>
      </c>
      <c r="C4308" s="177" t="n">
        <v>48505</v>
      </c>
      <c r="D4308" t="inlineStr">
        <is>
          <t>BW20321012</t>
        </is>
      </c>
      <c r="E4308" t="n">
        <v>2032</v>
      </c>
      <c r="F4308" t="inlineStr">
        <is>
          <t>Październik</t>
        </is>
      </c>
      <c r="G4308" t="inlineStr">
        <is>
          <t>Sob</t>
        </is>
      </c>
      <c r="H4308">
        <f>'Floor Hours Engine'!$E$5</f>
        <v/>
      </c>
      <c r="I4308" t="inlineStr">
        <is>
          <t>W3</t>
        </is>
      </c>
      <c r="J4308" t="inlineStr">
        <is>
          <t>2032_Październik_W3</t>
        </is>
      </c>
    </row>
    <row r="4309">
      <c r="A4309" s="177" t="n">
        <v>48504</v>
      </c>
      <c r="B4309" s="177" t="n">
        <v>48499</v>
      </c>
      <c r="C4309" s="177" t="n">
        <v>48505</v>
      </c>
      <c r="D4309" t="inlineStr">
        <is>
          <t>BW20321012</t>
        </is>
      </c>
      <c r="E4309" t="n">
        <v>2032</v>
      </c>
      <c r="F4309" t="inlineStr">
        <is>
          <t>Październik</t>
        </is>
      </c>
      <c r="G4309" t="inlineStr">
        <is>
          <t>Nd</t>
        </is>
      </c>
      <c r="H4309">
        <f>'Floor Hours Engine'!$E$6</f>
        <v/>
      </c>
      <c r="I4309" t="inlineStr">
        <is>
          <t>W3</t>
        </is>
      </c>
      <c r="J4309" t="inlineStr">
        <is>
          <t>2032_Październik_W3</t>
        </is>
      </c>
    </row>
    <row r="4310">
      <c r="A4310" s="177" t="n">
        <v>48505</v>
      </c>
      <c r="B4310" s="177" t="n">
        <v>48499</v>
      </c>
      <c r="C4310" s="177" t="n">
        <v>48505</v>
      </c>
      <c r="D4310" t="inlineStr">
        <is>
          <t>BW20321012</t>
        </is>
      </c>
      <c r="E4310" t="n">
        <v>2032</v>
      </c>
      <c r="F4310" t="inlineStr">
        <is>
          <t>Październik</t>
        </is>
      </c>
      <c r="G4310" t="inlineStr">
        <is>
          <t>Pn</t>
        </is>
      </c>
      <c r="H4310">
        <f>'Floor Hours Engine'!$E$4</f>
        <v/>
      </c>
      <c r="I4310" t="inlineStr">
        <is>
          <t>W3</t>
        </is>
      </c>
      <c r="J4310" t="inlineStr">
        <is>
          <t>2032_Październik_W3</t>
        </is>
      </c>
    </row>
    <row r="4311">
      <c r="A4311" s="177" t="n">
        <v>48506</v>
      </c>
      <c r="B4311" s="177" t="n">
        <v>48506</v>
      </c>
      <c r="C4311" s="177" t="n">
        <v>48512</v>
      </c>
      <c r="D4311" t="inlineStr">
        <is>
          <t>BW20321019</t>
        </is>
      </c>
      <c r="E4311" t="n">
        <v>2032</v>
      </c>
      <c r="F4311" t="inlineStr">
        <is>
          <t>Październik</t>
        </is>
      </c>
      <c r="G4311" t="inlineStr">
        <is>
          <t>Wt</t>
        </is>
      </c>
      <c r="H4311">
        <f>'Floor Hours Engine'!$E$4</f>
        <v/>
      </c>
      <c r="I4311" t="inlineStr">
        <is>
          <t>W4</t>
        </is>
      </c>
      <c r="J4311" t="inlineStr">
        <is>
          <t>2032_Październik_W4</t>
        </is>
      </c>
    </row>
    <row r="4312">
      <c r="A4312" s="177" t="n">
        <v>48507</v>
      </c>
      <c r="B4312" s="177" t="n">
        <v>48506</v>
      </c>
      <c r="C4312" s="177" t="n">
        <v>48512</v>
      </c>
      <c r="D4312" t="inlineStr">
        <is>
          <t>BW20321019</t>
        </is>
      </c>
      <c r="E4312" t="n">
        <v>2032</v>
      </c>
      <c r="F4312" t="inlineStr">
        <is>
          <t>Październik</t>
        </is>
      </c>
      <c r="G4312" t="inlineStr">
        <is>
          <t>Śr</t>
        </is>
      </c>
      <c r="H4312">
        <f>'Floor Hours Engine'!$E$4</f>
        <v/>
      </c>
      <c r="I4312" t="inlineStr">
        <is>
          <t>W4</t>
        </is>
      </c>
      <c r="J4312" t="inlineStr">
        <is>
          <t>2032_Październik_W4</t>
        </is>
      </c>
    </row>
    <row r="4313">
      <c r="A4313" s="177" t="n">
        <v>48508</v>
      </c>
      <c r="B4313" s="177" t="n">
        <v>48506</v>
      </c>
      <c r="C4313" s="177" t="n">
        <v>48512</v>
      </c>
      <c r="D4313" t="inlineStr">
        <is>
          <t>BW20321019</t>
        </is>
      </c>
      <c r="E4313" t="n">
        <v>2032</v>
      </c>
      <c r="F4313" t="inlineStr">
        <is>
          <t>Październik</t>
        </is>
      </c>
      <c r="G4313" t="inlineStr">
        <is>
          <t>Czw</t>
        </is>
      </c>
      <c r="H4313">
        <f>'Floor Hours Engine'!$E$4</f>
        <v/>
      </c>
      <c r="I4313" t="inlineStr">
        <is>
          <t>W4</t>
        </is>
      </c>
      <c r="J4313" t="inlineStr">
        <is>
          <t>2032_Październik_W4</t>
        </is>
      </c>
    </row>
    <row r="4314">
      <c r="A4314" s="177" t="n">
        <v>48509</v>
      </c>
      <c r="B4314" s="177" t="n">
        <v>48506</v>
      </c>
      <c r="C4314" s="177" t="n">
        <v>48512</v>
      </c>
      <c r="D4314" t="inlineStr">
        <is>
          <t>BW20321019</t>
        </is>
      </c>
      <c r="E4314" t="n">
        <v>2032</v>
      </c>
      <c r="F4314" t="inlineStr">
        <is>
          <t>Październik</t>
        </is>
      </c>
      <c r="G4314" t="inlineStr">
        <is>
          <t>Pt</t>
        </is>
      </c>
      <c r="H4314">
        <f>'Floor Hours Engine'!$E$5</f>
        <v/>
      </c>
      <c r="I4314" t="inlineStr">
        <is>
          <t>W4</t>
        </is>
      </c>
      <c r="J4314" t="inlineStr">
        <is>
          <t>2032_Październik_W4</t>
        </is>
      </c>
    </row>
    <row r="4315">
      <c r="A4315" s="177" t="n">
        <v>48510</v>
      </c>
      <c r="B4315" s="177" t="n">
        <v>48506</v>
      </c>
      <c r="C4315" s="177" t="n">
        <v>48512</v>
      </c>
      <c r="D4315" t="inlineStr">
        <is>
          <t>BW20321019</t>
        </is>
      </c>
      <c r="E4315" t="n">
        <v>2032</v>
      </c>
      <c r="F4315" t="inlineStr">
        <is>
          <t>Październik</t>
        </is>
      </c>
      <c r="G4315" t="inlineStr">
        <is>
          <t>Sob</t>
        </is>
      </c>
      <c r="H4315">
        <f>'Floor Hours Engine'!$E$5</f>
        <v/>
      </c>
      <c r="I4315" t="inlineStr">
        <is>
          <t>W4</t>
        </is>
      </c>
      <c r="J4315" t="inlineStr">
        <is>
          <t>2032_Październik_W4</t>
        </is>
      </c>
    </row>
    <row r="4316">
      <c r="A4316" s="177" t="n">
        <v>48511</v>
      </c>
      <c r="B4316" s="177" t="n">
        <v>48506</v>
      </c>
      <c r="C4316" s="177" t="n">
        <v>48512</v>
      </c>
      <c r="D4316" t="inlineStr">
        <is>
          <t>BW20321019</t>
        </is>
      </c>
      <c r="E4316" t="n">
        <v>2032</v>
      </c>
      <c r="F4316" t="inlineStr">
        <is>
          <t>Październik</t>
        </is>
      </c>
      <c r="G4316" t="inlineStr">
        <is>
          <t>Nd</t>
        </is>
      </c>
      <c r="H4316">
        <f>'Floor Hours Engine'!$E$6</f>
        <v/>
      </c>
      <c r="I4316" t="inlineStr">
        <is>
          <t>W4</t>
        </is>
      </c>
      <c r="J4316" t="inlineStr">
        <is>
          <t>2032_Październik_W4</t>
        </is>
      </c>
    </row>
    <row r="4317">
      <c r="A4317" s="177" t="n">
        <v>48512</v>
      </c>
      <c r="B4317" s="177" t="n">
        <v>48506</v>
      </c>
      <c r="C4317" s="177" t="n">
        <v>48512</v>
      </c>
      <c r="D4317" t="inlineStr">
        <is>
          <t>BW20321019</t>
        </is>
      </c>
      <c r="E4317" t="n">
        <v>2032</v>
      </c>
      <c r="F4317" t="inlineStr">
        <is>
          <t>Październik</t>
        </is>
      </c>
      <c r="G4317" t="inlineStr">
        <is>
          <t>Pn</t>
        </is>
      </c>
      <c r="H4317">
        <f>'Floor Hours Engine'!$E$4</f>
        <v/>
      </c>
      <c r="I4317" t="inlineStr">
        <is>
          <t>W4</t>
        </is>
      </c>
      <c r="J4317" t="inlineStr">
        <is>
          <t>2032_Październik_W4</t>
        </is>
      </c>
    </row>
    <row r="4318">
      <c r="A4318" s="177" t="n">
        <v>48513</v>
      </c>
      <c r="B4318" s="177" t="n">
        <v>48513</v>
      </c>
      <c r="C4318" s="177" t="n">
        <v>48519</v>
      </c>
      <c r="D4318" t="inlineStr">
        <is>
          <t>BW20321026</t>
        </is>
      </c>
      <c r="E4318" t="n">
        <v>2032</v>
      </c>
      <c r="F4318" t="inlineStr">
        <is>
          <t>Październik</t>
        </is>
      </c>
      <c r="G4318" t="inlineStr">
        <is>
          <t>Wt</t>
        </is>
      </c>
      <c r="H4318">
        <f>'Floor Hours Engine'!$E$4</f>
        <v/>
      </c>
      <c r="I4318" t="inlineStr">
        <is>
          <t>W5</t>
        </is>
      </c>
      <c r="J4318" t="inlineStr">
        <is>
          <t>2032_Październik_W5</t>
        </is>
      </c>
    </row>
    <row r="4319">
      <c r="A4319" s="177" t="n">
        <v>48514</v>
      </c>
      <c r="B4319" s="177" t="n">
        <v>48513</v>
      </c>
      <c r="C4319" s="177" t="n">
        <v>48519</v>
      </c>
      <c r="D4319" t="inlineStr">
        <is>
          <t>BW20321026</t>
        </is>
      </c>
      <c r="E4319" t="n">
        <v>2032</v>
      </c>
      <c r="F4319" t="inlineStr">
        <is>
          <t>Październik</t>
        </is>
      </c>
      <c r="G4319" t="inlineStr">
        <is>
          <t>Śr</t>
        </is>
      </c>
      <c r="H4319">
        <f>'Floor Hours Engine'!$E$4</f>
        <v/>
      </c>
      <c r="I4319" t="inlineStr">
        <is>
          <t>W5</t>
        </is>
      </c>
      <c r="J4319" t="inlineStr">
        <is>
          <t>2032_Październik_W5</t>
        </is>
      </c>
    </row>
    <row r="4320">
      <c r="A4320" s="177" t="n">
        <v>48515</v>
      </c>
      <c r="B4320" s="177" t="n">
        <v>48513</v>
      </c>
      <c r="C4320" s="177" t="n">
        <v>48519</v>
      </c>
      <c r="D4320" t="inlineStr">
        <is>
          <t>BW20321026</t>
        </is>
      </c>
      <c r="E4320" t="n">
        <v>2032</v>
      </c>
      <c r="F4320" t="inlineStr">
        <is>
          <t>Październik</t>
        </is>
      </c>
      <c r="G4320" t="inlineStr">
        <is>
          <t>Czw</t>
        </is>
      </c>
      <c r="H4320">
        <f>'Floor Hours Engine'!$E$4</f>
        <v/>
      </c>
      <c r="I4320" t="inlineStr">
        <is>
          <t>W5</t>
        </is>
      </c>
      <c r="J4320" t="inlineStr">
        <is>
          <t>2032_Październik_W5</t>
        </is>
      </c>
    </row>
    <row r="4321">
      <c r="A4321" s="177" t="n">
        <v>48516</v>
      </c>
      <c r="B4321" s="177" t="n">
        <v>48513</v>
      </c>
      <c r="C4321" s="177" t="n">
        <v>48519</v>
      </c>
      <c r="D4321" t="inlineStr">
        <is>
          <t>BW20321026</t>
        </is>
      </c>
      <c r="E4321" t="n">
        <v>2032</v>
      </c>
      <c r="F4321" t="inlineStr">
        <is>
          <t>Październik</t>
        </is>
      </c>
      <c r="G4321" t="inlineStr">
        <is>
          <t>Pt</t>
        </is>
      </c>
      <c r="H4321">
        <f>'Floor Hours Engine'!$E$5</f>
        <v/>
      </c>
      <c r="I4321" t="inlineStr">
        <is>
          <t>W5</t>
        </is>
      </c>
      <c r="J4321" t="inlineStr">
        <is>
          <t>2032_Październik_W5</t>
        </is>
      </c>
    </row>
    <row r="4322">
      <c r="A4322" s="177" t="n">
        <v>48517</v>
      </c>
      <c r="B4322" s="177" t="n">
        <v>48513</v>
      </c>
      <c r="C4322" s="177" t="n">
        <v>48519</v>
      </c>
      <c r="D4322" t="inlineStr">
        <is>
          <t>BW20321026</t>
        </is>
      </c>
      <c r="E4322" t="n">
        <v>2032</v>
      </c>
      <c r="F4322" t="inlineStr">
        <is>
          <t>Październik</t>
        </is>
      </c>
      <c r="G4322" t="inlineStr">
        <is>
          <t>Sob</t>
        </is>
      </c>
      <c r="H4322">
        <f>'Floor Hours Engine'!$E$5</f>
        <v/>
      </c>
      <c r="I4322" t="inlineStr">
        <is>
          <t>W5</t>
        </is>
      </c>
      <c r="J4322" t="inlineStr">
        <is>
          <t>2032_Październik_W5</t>
        </is>
      </c>
    </row>
    <row r="4323">
      <c r="A4323" s="177" t="n">
        <v>48518</v>
      </c>
      <c r="B4323" s="177" t="n">
        <v>48513</v>
      </c>
      <c r="C4323" s="177" t="n">
        <v>48519</v>
      </c>
      <c r="D4323" t="inlineStr">
        <is>
          <t>BW20321026</t>
        </is>
      </c>
      <c r="E4323" t="n">
        <v>2032</v>
      </c>
      <c r="F4323" t="inlineStr">
        <is>
          <t>Październik</t>
        </is>
      </c>
      <c r="G4323" t="inlineStr">
        <is>
          <t>Nd</t>
        </is>
      </c>
      <c r="H4323">
        <f>'Floor Hours Engine'!$E$6</f>
        <v/>
      </c>
      <c r="I4323" t="inlineStr">
        <is>
          <t>W5</t>
        </is>
      </c>
      <c r="J4323" t="inlineStr">
        <is>
          <t>2032_Październik_W5</t>
        </is>
      </c>
    </row>
    <row r="4324">
      <c r="A4324" s="177" t="n">
        <v>48519</v>
      </c>
      <c r="B4324" s="177" t="n">
        <v>48513</v>
      </c>
      <c r="C4324" s="177" t="n">
        <v>48519</v>
      </c>
      <c r="D4324" t="inlineStr">
        <is>
          <t>BW20321026</t>
        </is>
      </c>
      <c r="E4324" t="n">
        <v>2032</v>
      </c>
      <c r="F4324" t="inlineStr">
        <is>
          <t>Listopad</t>
        </is>
      </c>
      <c r="G4324" t="inlineStr">
        <is>
          <t>Pn</t>
        </is>
      </c>
      <c r="H4324">
        <f>'Floor Hours Engine'!$E$4</f>
        <v/>
      </c>
      <c r="I4324" t="inlineStr">
        <is>
          <t>W1</t>
        </is>
      </c>
      <c r="J4324" t="inlineStr">
        <is>
          <t>2032_Listopad_W1</t>
        </is>
      </c>
    </row>
    <row r="4325">
      <c r="A4325" s="177" t="n">
        <v>48520</v>
      </c>
      <c r="B4325" s="177" t="n">
        <v>48520</v>
      </c>
      <c r="C4325" s="177" t="n">
        <v>48526</v>
      </c>
      <c r="D4325" t="inlineStr">
        <is>
          <t>BW20321102</t>
        </is>
      </c>
      <c r="E4325" t="n">
        <v>2032</v>
      </c>
      <c r="F4325" t="inlineStr">
        <is>
          <t>Listopad</t>
        </is>
      </c>
      <c r="G4325" t="inlineStr">
        <is>
          <t>Wt</t>
        </is>
      </c>
      <c r="H4325">
        <f>'Floor Hours Engine'!$E$4</f>
        <v/>
      </c>
      <c r="I4325" t="inlineStr">
        <is>
          <t>W2</t>
        </is>
      </c>
      <c r="J4325" t="inlineStr">
        <is>
          <t>2032_Listopad_W2</t>
        </is>
      </c>
    </row>
    <row r="4326">
      <c r="A4326" s="177" t="n">
        <v>48521</v>
      </c>
      <c r="B4326" s="177" t="n">
        <v>48520</v>
      </c>
      <c r="C4326" s="177" t="n">
        <v>48526</v>
      </c>
      <c r="D4326" t="inlineStr">
        <is>
          <t>BW20321102</t>
        </is>
      </c>
      <c r="E4326" t="n">
        <v>2032</v>
      </c>
      <c r="F4326" t="inlineStr">
        <is>
          <t>Listopad</t>
        </is>
      </c>
      <c r="G4326" t="inlineStr">
        <is>
          <t>Śr</t>
        </is>
      </c>
      <c r="H4326">
        <f>'Floor Hours Engine'!$E$4</f>
        <v/>
      </c>
      <c r="I4326" t="inlineStr">
        <is>
          <t>W2</t>
        </is>
      </c>
      <c r="J4326" t="inlineStr">
        <is>
          <t>2032_Listopad_W2</t>
        </is>
      </c>
    </row>
    <row r="4327">
      <c r="A4327" s="177" t="n">
        <v>48522</v>
      </c>
      <c r="B4327" s="177" t="n">
        <v>48520</v>
      </c>
      <c r="C4327" s="177" t="n">
        <v>48526</v>
      </c>
      <c r="D4327" t="inlineStr">
        <is>
          <t>BW20321102</t>
        </is>
      </c>
      <c r="E4327" t="n">
        <v>2032</v>
      </c>
      <c r="F4327" t="inlineStr">
        <is>
          <t>Listopad</t>
        </is>
      </c>
      <c r="G4327" t="inlineStr">
        <is>
          <t>Czw</t>
        </is>
      </c>
      <c r="H4327">
        <f>'Floor Hours Engine'!$E$4</f>
        <v/>
      </c>
      <c r="I4327" t="inlineStr">
        <is>
          <t>W2</t>
        </is>
      </c>
      <c r="J4327" t="inlineStr">
        <is>
          <t>2032_Listopad_W2</t>
        </is>
      </c>
    </row>
    <row r="4328">
      <c r="A4328" s="177" t="n">
        <v>48523</v>
      </c>
      <c r="B4328" s="177" t="n">
        <v>48520</v>
      </c>
      <c r="C4328" s="177" t="n">
        <v>48526</v>
      </c>
      <c r="D4328" t="inlineStr">
        <is>
          <t>BW20321102</t>
        </is>
      </c>
      <c r="E4328" t="n">
        <v>2032</v>
      </c>
      <c r="F4328" t="inlineStr">
        <is>
          <t>Listopad</t>
        </is>
      </c>
      <c r="G4328" t="inlineStr">
        <is>
          <t>Pt</t>
        </is>
      </c>
      <c r="H4328">
        <f>'Floor Hours Engine'!$E$5</f>
        <v/>
      </c>
      <c r="I4328" t="inlineStr">
        <is>
          <t>W2</t>
        </is>
      </c>
      <c r="J4328" t="inlineStr">
        <is>
          <t>2032_Listopad_W2</t>
        </is>
      </c>
    </row>
    <row r="4329">
      <c r="A4329" s="177" t="n">
        <v>48524</v>
      </c>
      <c r="B4329" s="177" t="n">
        <v>48520</v>
      </c>
      <c r="C4329" s="177" t="n">
        <v>48526</v>
      </c>
      <c r="D4329" t="inlineStr">
        <is>
          <t>BW20321102</t>
        </is>
      </c>
      <c r="E4329" t="n">
        <v>2032</v>
      </c>
      <c r="F4329" t="inlineStr">
        <is>
          <t>Listopad</t>
        </is>
      </c>
      <c r="G4329" t="inlineStr">
        <is>
          <t>Sob</t>
        </is>
      </c>
      <c r="H4329">
        <f>'Floor Hours Engine'!$E$5</f>
        <v/>
      </c>
      <c r="I4329" t="inlineStr">
        <is>
          <t>W2</t>
        </is>
      </c>
      <c r="J4329" t="inlineStr">
        <is>
          <t>2032_Listopad_W2</t>
        </is>
      </c>
    </row>
    <row r="4330">
      <c r="A4330" s="177" t="n">
        <v>48525</v>
      </c>
      <c r="B4330" s="177" t="n">
        <v>48520</v>
      </c>
      <c r="C4330" s="177" t="n">
        <v>48526</v>
      </c>
      <c r="D4330" t="inlineStr">
        <is>
          <t>BW20321102</t>
        </is>
      </c>
      <c r="E4330" t="n">
        <v>2032</v>
      </c>
      <c r="F4330" t="inlineStr">
        <is>
          <t>Listopad</t>
        </is>
      </c>
      <c r="G4330" t="inlineStr">
        <is>
          <t>Nd</t>
        </is>
      </c>
      <c r="H4330">
        <f>'Floor Hours Engine'!$E$6</f>
        <v/>
      </c>
      <c r="I4330" t="inlineStr">
        <is>
          <t>W2</t>
        </is>
      </c>
      <c r="J4330" t="inlineStr">
        <is>
          <t>2032_Listopad_W2</t>
        </is>
      </c>
    </row>
    <row r="4331">
      <c r="A4331" s="177" t="n">
        <v>48526</v>
      </c>
      <c r="B4331" s="177" t="n">
        <v>48520</v>
      </c>
      <c r="C4331" s="177" t="n">
        <v>48526</v>
      </c>
      <c r="D4331" t="inlineStr">
        <is>
          <t>BW20321102</t>
        </is>
      </c>
      <c r="E4331" t="n">
        <v>2032</v>
      </c>
      <c r="F4331" t="inlineStr">
        <is>
          <t>Listopad</t>
        </is>
      </c>
      <c r="G4331" t="inlineStr">
        <is>
          <t>Pn</t>
        </is>
      </c>
      <c r="H4331">
        <f>'Floor Hours Engine'!$E$4</f>
        <v/>
      </c>
      <c r="I4331" t="inlineStr">
        <is>
          <t>W2</t>
        </is>
      </c>
      <c r="J4331" t="inlineStr">
        <is>
          <t>2032_Listopad_W2</t>
        </is>
      </c>
    </row>
    <row r="4332">
      <c r="A4332" s="177" t="n">
        <v>48527</v>
      </c>
      <c r="B4332" s="177" t="n">
        <v>48527</v>
      </c>
      <c r="C4332" s="177" t="n">
        <v>48533</v>
      </c>
      <c r="D4332" t="inlineStr">
        <is>
          <t>BW20321109</t>
        </is>
      </c>
      <c r="E4332" t="n">
        <v>2032</v>
      </c>
      <c r="F4332" t="inlineStr">
        <is>
          <t>Listopad</t>
        </is>
      </c>
      <c r="G4332" t="inlineStr">
        <is>
          <t>Wt</t>
        </is>
      </c>
      <c r="H4332">
        <f>'Floor Hours Engine'!$E$4</f>
        <v/>
      </c>
      <c r="I4332" t="inlineStr">
        <is>
          <t>W3</t>
        </is>
      </c>
      <c r="J4332" t="inlineStr">
        <is>
          <t>2032_Listopad_W3</t>
        </is>
      </c>
    </row>
    <row r="4333">
      <c r="A4333" s="177" t="n">
        <v>48528</v>
      </c>
      <c r="B4333" s="177" t="n">
        <v>48527</v>
      </c>
      <c r="C4333" s="177" t="n">
        <v>48533</v>
      </c>
      <c r="D4333" t="inlineStr">
        <is>
          <t>BW20321109</t>
        </is>
      </c>
      <c r="E4333" t="n">
        <v>2032</v>
      </c>
      <c r="F4333" t="inlineStr">
        <is>
          <t>Listopad</t>
        </is>
      </c>
      <c r="G4333" t="inlineStr">
        <is>
          <t>Śr</t>
        </is>
      </c>
      <c r="H4333">
        <f>'Floor Hours Engine'!$E$4</f>
        <v/>
      </c>
      <c r="I4333" t="inlineStr">
        <is>
          <t>W3</t>
        </is>
      </c>
      <c r="J4333" t="inlineStr">
        <is>
          <t>2032_Listopad_W3</t>
        </is>
      </c>
    </row>
    <row r="4334">
      <c r="A4334" s="177" t="n">
        <v>48529</v>
      </c>
      <c r="B4334" s="177" t="n">
        <v>48527</v>
      </c>
      <c r="C4334" s="177" t="n">
        <v>48533</v>
      </c>
      <c r="D4334" t="inlineStr">
        <is>
          <t>BW20321109</t>
        </is>
      </c>
      <c r="E4334" t="n">
        <v>2032</v>
      </c>
      <c r="F4334" t="inlineStr">
        <is>
          <t>Listopad</t>
        </is>
      </c>
      <c r="G4334" t="inlineStr">
        <is>
          <t>Czw</t>
        </is>
      </c>
      <c r="H4334">
        <f>'Floor Hours Engine'!$E$4</f>
        <v/>
      </c>
      <c r="I4334" t="inlineStr">
        <is>
          <t>W3</t>
        </is>
      </c>
      <c r="J4334" t="inlineStr">
        <is>
          <t>2032_Listopad_W3</t>
        </is>
      </c>
    </row>
    <row r="4335">
      <c r="A4335" s="177" t="n">
        <v>48530</v>
      </c>
      <c r="B4335" s="177" t="n">
        <v>48527</v>
      </c>
      <c r="C4335" s="177" t="n">
        <v>48533</v>
      </c>
      <c r="D4335" t="inlineStr">
        <is>
          <t>BW20321109</t>
        </is>
      </c>
      <c r="E4335" t="n">
        <v>2032</v>
      </c>
      <c r="F4335" t="inlineStr">
        <is>
          <t>Listopad</t>
        </is>
      </c>
      <c r="G4335" t="inlineStr">
        <is>
          <t>Pt</t>
        </is>
      </c>
      <c r="H4335">
        <f>'Floor Hours Engine'!$E$5</f>
        <v/>
      </c>
      <c r="I4335" t="inlineStr">
        <is>
          <t>W3</t>
        </is>
      </c>
      <c r="J4335" t="inlineStr">
        <is>
          <t>2032_Listopad_W3</t>
        </is>
      </c>
    </row>
    <row r="4336">
      <c r="A4336" s="177" t="n">
        <v>48531</v>
      </c>
      <c r="B4336" s="177" t="n">
        <v>48527</v>
      </c>
      <c r="C4336" s="177" t="n">
        <v>48533</v>
      </c>
      <c r="D4336" t="inlineStr">
        <is>
          <t>BW20321109</t>
        </is>
      </c>
      <c r="E4336" t="n">
        <v>2032</v>
      </c>
      <c r="F4336" t="inlineStr">
        <is>
          <t>Listopad</t>
        </is>
      </c>
      <c r="G4336" t="inlineStr">
        <is>
          <t>Sob</t>
        </is>
      </c>
      <c r="H4336">
        <f>'Floor Hours Engine'!$E$5</f>
        <v/>
      </c>
      <c r="I4336" t="inlineStr">
        <is>
          <t>W3</t>
        </is>
      </c>
      <c r="J4336" t="inlineStr">
        <is>
          <t>2032_Listopad_W3</t>
        </is>
      </c>
    </row>
    <row r="4337">
      <c r="A4337" s="177" t="n">
        <v>48532</v>
      </c>
      <c r="B4337" s="177" t="n">
        <v>48527</v>
      </c>
      <c r="C4337" s="177" t="n">
        <v>48533</v>
      </c>
      <c r="D4337" t="inlineStr">
        <is>
          <t>BW20321109</t>
        </is>
      </c>
      <c r="E4337" t="n">
        <v>2032</v>
      </c>
      <c r="F4337" t="inlineStr">
        <is>
          <t>Listopad</t>
        </is>
      </c>
      <c r="G4337" t="inlineStr">
        <is>
          <t>Nd</t>
        </is>
      </c>
      <c r="H4337">
        <f>'Floor Hours Engine'!$E$6</f>
        <v/>
      </c>
      <c r="I4337" t="inlineStr">
        <is>
          <t>W3</t>
        </is>
      </c>
      <c r="J4337" t="inlineStr">
        <is>
          <t>2032_Listopad_W3</t>
        </is>
      </c>
    </row>
    <row r="4338">
      <c r="A4338" s="177" t="n">
        <v>48533</v>
      </c>
      <c r="B4338" s="177" t="n">
        <v>48527</v>
      </c>
      <c r="C4338" s="177" t="n">
        <v>48533</v>
      </c>
      <c r="D4338" t="inlineStr">
        <is>
          <t>BW20321109</t>
        </is>
      </c>
      <c r="E4338" t="n">
        <v>2032</v>
      </c>
      <c r="F4338" t="inlineStr">
        <is>
          <t>Listopad</t>
        </is>
      </c>
      <c r="G4338" t="inlineStr">
        <is>
          <t>Pn</t>
        </is>
      </c>
      <c r="H4338">
        <f>'Floor Hours Engine'!$E$4</f>
        <v/>
      </c>
      <c r="I4338" t="inlineStr">
        <is>
          <t>W3</t>
        </is>
      </c>
      <c r="J4338" t="inlineStr">
        <is>
          <t>2032_Listopad_W3</t>
        </is>
      </c>
    </row>
    <row r="4339">
      <c r="A4339" s="177" t="n">
        <v>48534</v>
      </c>
      <c r="B4339" s="177" t="n">
        <v>48534</v>
      </c>
      <c r="C4339" s="177" t="n">
        <v>48540</v>
      </c>
      <c r="D4339" t="inlineStr">
        <is>
          <t>BW20321116</t>
        </is>
      </c>
      <c r="E4339" t="n">
        <v>2032</v>
      </c>
      <c r="F4339" t="inlineStr">
        <is>
          <t>Listopad</t>
        </is>
      </c>
      <c r="G4339" t="inlineStr">
        <is>
          <t>Wt</t>
        </is>
      </c>
      <c r="H4339">
        <f>'Floor Hours Engine'!$E$4</f>
        <v/>
      </c>
      <c r="I4339" t="inlineStr">
        <is>
          <t>W4</t>
        </is>
      </c>
      <c r="J4339" t="inlineStr">
        <is>
          <t>2032_Listopad_W4</t>
        </is>
      </c>
    </row>
    <row r="4340">
      <c r="A4340" s="177" t="n">
        <v>48535</v>
      </c>
      <c r="B4340" s="177" t="n">
        <v>48534</v>
      </c>
      <c r="C4340" s="177" t="n">
        <v>48540</v>
      </c>
      <c r="D4340" t="inlineStr">
        <is>
          <t>BW20321116</t>
        </is>
      </c>
      <c r="E4340" t="n">
        <v>2032</v>
      </c>
      <c r="F4340" t="inlineStr">
        <is>
          <t>Listopad</t>
        </is>
      </c>
      <c r="G4340" t="inlineStr">
        <is>
          <t>Śr</t>
        </is>
      </c>
      <c r="H4340">
        <f>'Floor Hours Engine'!$E$4</f>
        <v/>
      </c>
      <c r="I4340" t="inlineStr">
        <is>
          <t>W4</t>
        </is>
      </c>
      <c r="J4340" t="inlineStr">
        <is>
          <t>2032_Listopad_W4</t>
        </is>
      </c>
    </row>
    <row r="4341">
      <c r="A4341" s="177" t="n">
        <v>48536</v>
      </c>
      <c r="B4341" s="177" t="n">
        <v>48534</v>
      </c>
      <c r="C4341" s="177" t="n">
        <v>48540</v>
      </c>
      <c r="D4341" t="inlineStr">
        <is>
          <t>BW20321116</t>
        </is>
      </c>
      <c r="E4341" t="n">
        <v>2032</v>
      </c>
      <c r="F4341" t="inlineStr">
        <is>
          <t>Listopad</t>
        </is>
      </c>
      <c r="G4341" t="inlineStr">
        <is>
          <t>Czw</t>
        </is>
      </c>
      <c r="H4341">
        <f>'Floor Hours Engine'!$E$4</f>
        <v/>
      </c>
      <c r="I4341" t="inlineStr">
        <is>
          <t>W4</t>
        </is>
      </c>
      <c r="J4341" t="inlineStr">
        <is>
          <t>2032_Listopad_W4</t>
        </is>
      </c>
    </row>
    <row r="4342">
      <c r="A4342" s="177" t="n">
        <v>48537</v>
      </c>
      <c r="B4342" s="177" t="n">
        <v>48534</v>
      </c>
      <c r="C4342" s="177" t="n">
        <v>48540</v>
      </c>
      <c r="D4342" t="inlineStr">
        <is>
          <t>BW20321116</t>
        </is>
      </c>
      <c r="E4342" t="n">
        <v>2032</v>
      </c>
      <c r="F4342" t="inlineStr">
        <is>
          <t>Listopad</t>
        </is>
      </c>
      <c r="G4342" t="inlineStr">
        <is>
          <t>Pt</t>
        </is>
      </c>
      <c r="H4342">
        <f>'Floor Hours Engine'!$E$5</f>
        <v/>
      </c>
      <c r="I4342" t="inlineStr">
        <is>
          <t>W4</t>
        </is>
      </c>
      <c r="J4342" t="inlineStr">
        <is>
          <t>2032_Listopad_W4</t>
        </is>
      </c>
    </row>
    <row r="4343">
      <c r="A4343" s="177" t="n">
        <v>48538</v>
      </c>
      <c r="B4343" s="177" t="n">
        <v>48534</v>
      </c>
      <c r="C4343" s="177" t="n">
        <v>48540</v>
      </c>
      <c r="D4343" t="inlineStr">
        <is>
          <t>BW20321116</t>
        </is>
      </c>
      <c r="E4343" t="n">
        <v>2032</v>
      </c>
      <c r="F4343" t="inlineStr">
        <is>
          <t>Listopad</t>
        </is>
      </c>
      <c r="G4343" t="inlineStr">
        <is>
          <t>Sob</t>
        </is>
      </c>
      <c r="H4343">
        <f>'Floor Hours Engine'!$E$5</f>
        <v/>
      </c>
      <c r="I4343" t="inlineStr">
        <is>
          <t>W4</t>
        </is>
      </c>
      <c r="J4343" t="inlineStr">
        <is>
          <t>2032_Listopad_W4</t>
        </is>
      </c>
    </row>
    <row r="4344">
      <c r="A4344" s="177" t="n">
        <v>48539</v>
      </c>
      <c r="B4344" s="177" t="n">
        <v>48534</v>
      </c>
      <c r="C4344" s="177" t="n">
        <v>48540</v>
      </c>
      <c r="D4344" t="inlineStr">
        <is>
          <t>BW20321116</t>
        </is>
      </c>
      <c r="E4344" t="n">
        <v>2032</v>
      </c>
      <c r="F4344" t="inlineStr">
        <is>
          <t>Listopad</t>
        </is>
      </c>
      <c r="G4344" t="inlineStr">
        <is>
          <t>Nd</t>
        </is>
      </c>
      <c r="H4344">
        <f>'Floor Hours Engine'!$E$6</f>
        <v/>
      </c>
      <c r="I4344" t="inlineStr">
        <is>
          <t>W4</t>
        </is>
      </c>
      <c r="J4344" t="inlineStr">
        <is>
          <t>2032_Listopad_W4</t>
        </is>
      </c>
    </row>
    <row r="4345">
      <c r="A4345" s="177" t="n">
        <v>48540</v>
      </c>
      <c r="B4345" s="177" t="n">
        <v>48534</v>
      </c>
      <c r="C4345" s="177" t="n">
        <v>48540</v>
      </c>
      <c r="D4345" t="inlineStr">
        <is>
          <t>BW20321116</t>
        </is>
      </c>
      <c r="E4345" t="n">
        <v>2032</v>
      </c>
      <c r="F4345" t="inlineStr">
        <is>
          <t>Listopad</t>
        </is>
      </c>
      <c r="G4345" t="inlineStr">
        <is>
          <t>Pn</t>
        </is>
      </c>
      <c r="H4345">
        <f>'Floor Hours Engine'!$E$4</f>
        <v/>
      </c>
      <c r="I4345" t="inlineStr">
        <is>
          <t>W4</t>
        </is>
      </c>
      <c r="J4345" t="inlineStr">
        <is>
          <t>2032_Listopad_W4</t>
        </is>
      </c>
    </row>
    <row r="4346">
      <c r="A4346" s="177" t="n">
        <v>48541</v>
      </c>
      <c r="B4346" s="177" t="n">
        <v>48541</v>
      </c>
      <c r="C4346" s="177" t="n">
        <v>48547</v>
      </c>
      <c r="D4346" t="inlineStr">
        <is>
          <t>BW20321123</t>
        </is>
      </c>
      <c r="E4346" t="n">
        <v>2032</v>
      </c>
      <c r="F4346" t="inlineStr">
        <is>
          <t>Listopad</t>
        </is>
      </c>
      <c r="G4346" t="inlineStr">
        <is>
          <t>Wt</t>
        </is>
      </c>
      <c r="H4346">
        <f>'Floor Hours Engine'!$E$4</f>
        <v/>
      </c>
      <c r="I4346" t="inlineStr">
        <is>
          <t>W5</t>
        </is>
      </c>
      <c r="J4346" t="inlineStr">
        <is>
          <t>2032_Listopad_W5</t>
        </is>
      </c>
    </row>
    <row r="4347">
      <c r="A4347" s="177" t="n">
        <v>48542</v>
      </c>
      <c r="B4347" s="177" t="n">
        <v>48541</v>
      </c>
      <c r="C4347" s="177" t="n">
        <v>48547</v>
      </c>
      <c r="D4347" t="inlineStr">
        <is>
          <t>BW20321123</t>
        </is>
      </c>
      <c r="E4347" t="n">
        <v>2032</v>
      </c>
      <c r="F4347" t="inlineStr">
        <is>
          <t>Listopad</t>
        </is>
      </c>
      <c r="G4347" t="inlineStr">
        <is>
          <t>Śr</t>
        </is>
      </c>
      <c r="H4347">
        <f>'Floor Hours Engine'!$E$4</f>
        <v/>
      </c>
      <c r="I4347" t="inlineStr">
        <is>
          <t>W5</t>
        </is>
      </c>
      <c r="J4347" t="inlineStr">
        <is>
          <t>2032_Listopad_W5</t>
        </is>
      </c>
    </row>
    <row r="4348">
      <c r="A4348" s="177" t="n">
        <v>48543</v>
      </c>
      <c r="B4348" s="177" t="n">
        <v>48541</v>
      </c>
      <c r="C4348" s="177" t="n">
        <v>48547</v>
      </c>
      <c r="D4348" t="inlineStr">
        <is>
          <t>BW20321123</t>
        </is>
      </c>
      <c r="E4348" t="n">
        <v>2032</v>
      </c>
      <c r="F4348" t="inlineStr">
        <is>
          <t>Listopad</t>
        </is>
      </c>
      <c r="G4348" t="inlineStr">
        <is>
          <t>Czw</t>
        </is>
      </c>
      <c r="H4348">
        <f>'Floor Hours Engine'!$E$4</f>
        <v/>
      </c>
      <c r="I4348" t="inlineStr">
        <is>
          <t>W5</t>
        </is>
      </c>
      <c r="J4348" t="inlineStr">
        <is>
          <t>2032_Listopad_W5</t>
        </is>
      </c>
    </row>
    <row r="4349">
      <c r="A4349" s="177" t="n">
        <v>48544</v>
      </c>
      <c r="B4349" s="177" t="n">
        <v>48541</v>
      </c>
      <c r="C4349" s="177" t="n">
        <v>48547</v>
      </c>
      <c r="D4349" t="inlineStr">
        <is>
          <t>BW20321123</t>
        </is>
      </c>
      <c r="E4349" t="n">
        <v>2032</v>
      </c>
      <c r="F4349" t="inlineStr">
        <is>
          <t>Listopad</t>
        </is>
      </c>
      <c r="G4349" t="inlineStr">
        <is>
          <t>Pt</t>
        </is>
      </c>
      <c r="H4349">
        <f>'Floor Hours Engine'!$E$5</f>
        <v/>
      </c>
      <c r="I4349" t="inlineStr">
        <is>
          <t>W5</t>
        </is>
      </c>
      <c r="J4349" t="inlineStr">
        <is>
          <t>2032_Listopad_W5</t>
        </is>
      </c>
    </row>
    <row r="4350">
      <c r="A4350" s="177" t="n">
        <v>48545</v>
      </c>
      <c r="B4350" s="177" t="n">
        <v>48541</v>
      </c>
      <c r="C4350" s="177" t="n">
        <v>48547</v>
      </c>
      <c r="D4350" t="inlineStr">
        <is>
          <t>BW20321123</t>
        </is>
      </c>
      <c r="E4350" t="n">
        <v>2032</v>
      </c>
      <c r="F4350" t="inlineStr">
        <is>
          <t>Listopad</t>
        </is>
      </c>
      <c r="G4350" t="inlineStr">
        <is>
          <t>Sob</t>
        </is>
      </c>
      <c r="H4350">
        <f>'Floor Hours Engine'!$E$5</f>
        <v/>
      </c>
      <c r="I4350" t="inlineStr">
        <is>
          <t>W5</t>
        </is>
      </c>
      <c r="J4350" t="inlineStr">
        <is>
          <t>2032_Listopad_W5</t>
        </is>
      </c>
    </row>
    <row r="4351">
      <c r="A4351" s="177" t="n">
        <v>48546</v>
      </c>
      <c r="B4351" s="177" t="n">
        <v>48541</v>
      </c>
      <c r="C4351" s="177" t="n">
        <v>48547</v>
      </c>
      <c r="D4351" t="inlineStr">
        <is>
          <t>BW20321123</t>
        </is>
      </c>
      <c r="E4351" t="n">
        <v>2032</v>
      </c>
      <c r="F4351" t="inlineStr">
        <is>
          <t>Listopad</t>
        </is>
      </c>
      <c r="G4351" t="inlineStr">
        <is>
          <t>Nd</t>
        </is>
      </c>
      <c r="H4351">
        <f>'Floor Hours Engine'!$E$6</f>
        <v/>
      </c>
      <c r="I4351" t="inlineStr">
        <is>
          <t>W5</t>
        </is>
      </c>
      <c r="J4351" t="inlineStr">
        <is>
          <t>2032_Listopad_W5</t>
        </is>
      </c>
    </row>
    <row r="4352">
      <c r="A4352" s="177" t="n">
        <v>48547</v>
      </c>
      <c r="B4352" s="177" t="n">
        <v>48541</v>
      </c>
      <c r="C4352" s="177" t="n">
        <v>48547</v>
      </c>
      <c r="D4352" t="inlineStr">
        <is>
          <t>BW20321123</t>
        </is>
      </c>
      <c r="E4352" t="n">
        <v>2032</v>
      </c>
      <c r="F4352" t="inlineStr">
        <is>
          <t>Listopad</t>
        </is>
      </c>
      <c r="G4352" t="inlineStr">
        <is>
          <t>Pn</t>
        </is>
      </c>
      <c r="H4352">
        <f>'Floor Hours Engine'!$E$4</f>
        <v/>
      </c>
      <c r="I4352" t="inlineStr">
        <is>
          <t>W5</t>
        </is>
      </c>
      <c r="J4352" t="inlineStr">
        <is>
          <t>2032_Listopad_W5</t>
        </is>
      </c>
    </row>
    <row r="4353">
      <c r="A4353" s="177" t="n">
        <v>48548</v>
      </c>
      <c r="B4353" s="177" t="n">
        <v>48548</v>
      </c>
      <c r="C4353" s="177" t="n">
        <v>48554</v>
      </c>
      <c r="D4353" t="inlineStr">
        <is>
          <t>BW20321130</t>
        </is>
      </c>
      <c r="E4353" t="n">
        <v>2032</v>
      </c>
      <c r="F4353" t="inlineStr">
        <is>
          <t>Listopad</t>
        </is>
      </c>
      <c r="G4353" t="inlineStr">
        <is>
          <t>Wt</t>
        </is>
      </c>
      <c r="H4353">
        <f>'Floor Hours Engine'!$E$4</f>
        <v/>
      </c>
      <c r="I4353" t="inlineStr">
        <is>
          <t>W6</t>
        </is>
      </c>
      <c r="J4353" t="inlineStr">
        <is>
          <t>2032_Listopad_W6</t>
        </is>
      </c>
    </row>
    <row r="4354">
      <c r="A4354" s="177" t="n">
        <v>48549</v>
      </c>
      <c r="B4354" s="177" t="n">
        <v>48548</v>
      </c>
      <c r="C4354" s="177" t="n">
        <v>48554</v>
      </c>
      <c r="D4354" t="inlineStr">
        <is>
          <t>BW20321130</t>
        </is>
      </c>
      <c r="E4354" t="n">
        <v>2032</v>
      </c>
      <c r="F4354" t="inlineStr">
        <is>
          <t>Grudzień</t>
        </is>
      </c>
      <c r="G4354" t="inlineStr">
        <is>
          <t>Śr</t>
        </is>
      </c>
      <c r="H4354">
        <f>'Floor Hours Engine'!$E$4</f>
        <v/>
      </c>
      <c r="I4354" t="inlineStr">
        <is>
          <t>W1</t>
        </is>
      </c>
      <c r="J4354" t="inlineStr">
        <is>
          <t>2032_Grudzień_W1</t>
        </is>
      </c>
    </row>
    <row r="4355">
      <c r="A4355" s="177" t="n">
        <v>48550</v>
      </c>
      <c r="B4355" s="177" t="n">
        <v>48548</v>
      </c>
      <c r="C4355" s="177" t="n">
        <v>48554</v>
      </c>
      <c r="D4355" t="inlineStr">
        <is>
          <t>BW20321130</t>
        </is>
      </c>
      <c r="E4355" t="n">
        <v>2032</v>
      </c>
      <c r="F4355" t="inlineStr">
        <is>
          <t>Grudzień</t>
        </is>
      </c>
      <c r="G4355" t="inlineStr">
        <is>
          <t>Czw</t>
        </is>
      </c>
      <c r="H4355">
        <f>'Floor Hours Engine'!$E$4</f>
        <v/>
      </c>
      <c r="I4355" t="inlineStr">
        <is>
          <t>W1</t>
        </is>
      </c>
      <c r="J4355" t="inlineStr">
        <is>
          <t>2032_Grudzień_W1</t>
        </is>
      </c>
    </row>
    <row r="4356">
      <c r="A4356" s="177" t="n">
        <v>48551</v>
      </c>
      <c r="B4356" s="177" t="n">
        <v>48548</v>
      </c>
      <c r="C4356" s="177" t="n">
        <v>48554</v>
      </c>
      <c r="D4356" t="inlineStr">
        <is>
          <t>BW20321130</t>
        </is>
      </c>
      <c r="E4356" t="n">
        <v>2032</v>
      </c>
      <c r="F4356" t="inlineStr">
        <is>
          <t>Grudzień</t>
        </is>
      </c>
      <c r="G4356" t="inlineStr">
        <is>
          <t>Pt</t>
        </is>
      </c>
      <c r="H4356">
        <f>'Floor Hours Engine'!$E$5</f>
        <v/>
      </c>
      <c r="I4356" t="inlineStr">
        <is>
          <t>W1</t>
        </is>
      </c>
      <c r="J4356" t="inlineStr">
        <is>
          <t>2032_Grudzień_W1</t>
        </is>
      </c>
    </row>
    <row r="4357">
      <c r="A4357" s="177" t="n">
        <v>48552</v>
      </c>
      <c r="B4357" s="177" t="n">
        <v>48548</v>
      </c>
      <c r="C4357" s="177" t="n">
        <v>48554</v>
      </c>
      <c r="D4357" t="inlineStr">
        <is>
          <t>BW20321130</t>
        </is>
      </c>
      <c r="E4357" t="n">
        <v>2032</v>
      </c>
      <c r="F4357" t="inlineStr">
        <is>
          <t>Grudzień</t>
        </is>
      </c>
      <c r="G4357" t="inlineStr">
        <is>
          <t>Sob</t>
        </is>
      </c>
      <c r="H4357">
        <f>'Floor Hours Engine'!$E$5</f>
        <v/>
      </c>
      <c r="I4357" t="inlineStr">
        <is>
          <t>W1</t>
        </is>
      </c>
      <c r="J4357" t="inlineStr">
        <is>
          <t>2032_Grudzień_W1</t>
        </is>
      </c>
    </row>
    <row r="4358">
      <c r="A4358" s="177" t="n">
        <v>48553</v>
      </c>
      <c r="B4358" s="177" t="n">
        <v>48548</v>
      </c>
      <c r="C4358" s="177" t="n">
        <v>48554</v>
      </c>
      <c r="D4358" t="inlineStr">
        <is>
          <t>BW20321130</t>
        </is>
      </c>
      <c r="E4358" t="n">
        <v>2032</v>
      </c>
      <c r="F4358" t="inlineStr">
        <is>
          <t>Grudzień</t>
        </is>
      </c>
      <c r="G4358" t="inlineStr">
        <is>
          <t>Nd</t>
        </is>
      </c>
      <c r="H4358">
        <f>'Floor Hours Engine'!$E$6</f>
        <v/>
      </c>
      <c r="I4358" t="inlineStr">
        <is>
          <t>W1</t>
        </is>
      </c>
      <c r="J4358" t="inlineStr">
        <is>
          <t>2032_Grudzień_W1</t>
        </is>
      </c>
    </row>
    <row r="4359">
      <c r="A4359" s="177" t="n">
        <v>48554</v>
      </c>
      <c r="B4359" s="177" t="n">
        <v>48548</v>
      </c>
      <c r="C4359" s="177" t="n">
        <v>48554</v>
      </c>
      <c r="D4359" t="inlineStr">
        <is>
          <t>BW20321130</t>
        </is>
      </c>
      <c r="E4359" t="n">
        <v>2032</v>
      </c>
      <c r="F4359" t="inlineStr">
        <is>
          <t>Grudzień</t>
        </is>
      </c>
      <c r="G4359" t="inlineStr">
        <is>
          <t>Pn</t>
        </is>
      </c>
      <c r="H4359">
        <f>'Floor Hours Engine'!$E$4</f>
        <v/>
      </c>
      <c r="I4359" t="inlineStr">
        <is>
          <t>W1</t>
        </is>
      </c>
      <c r="J4359" t="inlineStr">
        <is>
          <t>2032_Grudzień_W1</t>
        </is>
      </c>
    </row>
    <row r="4360">
      <c r="A4360" s="177" t="n">
        <v>48555</v>
      </c>
      <c r="B4360" s="177" t="n">
        <v>48555</v>
      </c>
      <c r="C4360" s="177" t="n">
        <v>48561</v>
      </c>
      <c r="D4360" t="inlineStr">
        <is>
          <t>BW20321207</t>
        </is>
      </c>
      <c r="E4360" t="n">
        <v>2032</v>
      </c>
      <c r="F4360" t="inlineStr">
        <is>
          <t>Grudzień</t>
        </is>
      </c>
      <c r="G4360" t="inlineStr">
        <is>
          <t>Wt</t>
        </is>
      </c>
      <c r="H4360">
        <f>'Floor Hours Engine'!$E$4</f>
        <v/>
      </c>
      <c r="I4360" t="inlineStr">
        <is>
          <t>W2</t>
        </is>
      </c>
      <c r="J4360" t="inlineStr">
        <is>
          <t>2032_Grudzień_W2</t>
        </is>
      </c>
    </row>
    <row r="4361">
      <c r="A4361" s="177" t="n">
        <v>48556</v>
      </c>
      <c r="B4361" s="177" t="n">
        <v>48555</v>
      </c>
      <c r="C4361" s="177" t="n">
        <v>48561</v>
      </c>
      <c r="D4361" t="inlineStr">
        <is>
          <t>BW20321207</t>
        </is>
      </c>
      <c r="E4361" t="n">
        <v>2032</v>
      </c>
      <c r="F4361" t="inlineStr">
        <is>
          <t>Grudzień</t>
        </is>
      </c>
      <c r="G4361" t="inlineStr">
        <is>
          <t>Śr</t>
        </is>
      </c>
      <c r="H4361">
        <f>'Floor Hours Engine'!$E$4</f>
        <v/>
      </c>
      <c r="I4361" t="inlineStr">
        <is>
          <t>W2</t>
        </is>
      </c>
      <c r="J4361" t="inlineStr">
        <is>
          <t>2032_Grudzień_W2</t>
        </is>
      </c>
    </row>
    <row r="4362">
      <c r="A4362" s="177" t="n">
        <v>48557</v>
      </c>
      <c r="B4362" s="177" t="n">
        <v>48555</v>
      </c>
      <c r="C4362" s="177" t="n">
        <v>48561</v>
      </c>
      <c r="D4362" t="inlineStr">
        <is>
          <t>BW20321207</t>
        </is>
      </c>
      <c r="E4362" t="n">
        <v>2032</v>
      </c>
      <c r="F4362" t="inlineStr">
        <is>
          <t>Grudzień</t>
        </is>
      </c>
      <c r="G4362" t="inlineStr">
        <is>
          <t>Czw</t>
        </is>
      </c>
      <c r="H4362">
        <f>'Floor Hours Engine'!$E$4</f>
        <v/>
      </c>
      <c r="I4362" t="inlineStr">
        <is>
          <t>W2</t>
        </is>
      </c>
      <c r="J4362" t="inlineStr">
        <is>
          <t>2032_Grudzień_W2</t>
        </is>
      </c>
    </row>
    <row r="4363">
      <c r="A4363" s="177" t="n">
        <v>48558</v>
      </c>
      <c r="B4363" s="177" t="n">
        <v>48555</v>
      </c>
      <c r="C4363" s="177" t="n">
        <v>48561</v>
      </c>
      <c r="D4363" t="inlineStr">
        <is>
          <t>BW20321207</t>
        </is>
      </c>
      <c r="E4363" t="n">
        <v>2032</v>
      </c>
      <c r="F4363" t="inlineStr">
        <is>
          <t>Grudzień</t>
        </is>
      </c>
      <c r="G4363" t="inlineStr">
        <is>
          <t>Pt</t>
        </is>
      </c>
      <c r="H4363">
        <f>'Floor Hours Engine'!$E$5</f>
        <v/>
      </c>
      <c r="I4363" t="inlineStr">
        <is>
          <t>W2</t>
        </is>
      </c>
      <c r="J4363" t="inlineStr">
        <is>
          <t>2032_Grudzień_W2</t>
        </is>
      </c>
    </row>
    <row r="4364">
      <c r="A4364" s="177" t="n">
        <v>48559</v>
      </c>
      <c r="B4364" s="177" t="n">
        <v>48555</v>
      </c>
      <c r="C4364" s="177" t="n">
        <v>48561</v>
      </c>
      <c r="D4364" t="inlineStr">
        <is>
          <t>BW20321207</t>
        </is>
      </c>
      <c r="E4364" t="n">
        <v>2032</v>
      </c>
      <c r="F4364" t="inlineStr">
        <is>
          <t>Grudzień</t>
        </is>
      </c>
      <c r="G4364" t="inlineStr">
        <is>
          <t>Sob</t>
        </is>
      </c>
      <c r="H4364">
        <f>'Floor Hours Engine'!$E$5</f>
        <v/>
      </c>
      <c r="I4364" t="inlineStr">
        <is>
          <t>W2</t>
        </is>
      </c>
      <c r="J4364" t="inlineStr">
        <is>
          <t>2032_Grudzień_W2</t>
        </is>
      </c>
    </row>
    <row r="4365">
      <c r="A4365" s="177" t="n">
        <v>48560</v>
      </c>
      <c r="B4365" s="177" t="n">
        <v>48555</v>
      </c>
      <c r="C4365" s="177" t="n">
        <v>48561</v>
      </c>
      <c r="D4365" t="inlineStr">
        <is>
          <t>BW20321207</t>
        </is>
      </c>
      <c r="E4365" t="n">
        <v>2032</v>
      </c>
      <c r="F4365" t="inlineStr">
        <is>
          <t>Grudzień</t>
        </is>
      </c>
      <c r="G4365" t="inlineStr">
        <is>
          <t>Nd</t>
        </is>
      </c>
      <c r="H4365">
        <f>'Floor Hours Engine'!$E$6</f>
        <v/>
      </c>
      <c r="I4365" t="inlineStr">
        <is>
          <t>W2</t>
        </is>
      </c>
      <c r="J4365" t="inlineStr">
        <is>
          <t>2032_Grudzień_W2</t>
        </is>
      </c>
    </row>
    <row r="4366">
      <c r="A4366" s="177" t="n">
        <v>48561</v>
      </c>
      <c r="B4366" s="177" t="n">
        <v>48555</v>
      </c>
      <c r="C4366" s="177" t="n">
        <v>48561</v>
      </c>
      <c r="D4366" t="inlineStr">
        <is>
          <t>BW20321207</t>
        </is>
      </c>
      <c r="E4366" t="n">
        <v>2032</v>
      </c>
      <c r="F4366" t="inlineStr">
        <is>
          <t>Grudzień</t>
        </is>
      </c>
      <c r="G4366" t="inlineStr">
        <is>
          <t>Pn</t>
        </is>
      </c>
      <c r="H4366">
        <f>'Floor Hours Engine'!$E$4</f>
        <v/>
      </c>
      <c r="I4366" t="inlineStr">
        <is>
          <t>W2</t>
        </is>
      </c>
      <c r="J4366" t="inlineStr">
        <is>
          <t>2032_Grudzień_W2</t>
        </is>
      </c>
    </row>
    <row r="4367">
      <c r="A4367" s="177" t="n">
        <v>48562</v>
      </c>
      <c r="B4367" s="177" t="n">
        <v>48562</v>
      </c>
      <c r="C4367" s="177" t="n">
        <v>48568</v>
      </c>
      <c r="D4367" t="inlineStr">
        <is>
          <t>BW20321214</t>
        </is>
      </c>
      <c r="E4367" t="n">
        <v>2032</v>
      </c>
      <c r="F4367" t="inlineStr">
        <is>
          <t>Grudzień</t>
        </is>
      </c>
      <c r="G4367" t="inlineStr">
        <is>
          <t>Wt</t>
        </is>
      </c>
      <c r="H4367">
        <f>'Floor Hours Engine'!$E$4</f>
        <v/>
      </c>
      <c r="I4367" t="inlineStr">
        <is>
          <t>W3</t>
        </is>
      </c>
      <c r="J4367" t="inlineStr">
        <is>
          <t>2032_Grudzień_W3</t>
        </is>
      </c>
    </row>
    <row r="4368">
      <c r="A4368" s="177" t="n">
        <v>48563</v>
      </c>
      <c r="B4368" s="177" t="n">
        <v>48562</v>
      </c>
      <c r="C4368" s="177" t="n">
        <v>48568</v>
      </c>
      <c r="D4368" t="inlineStr">
        <is>
          <t>BW20321214</t>
        </is>
      </c>
      <c r="E4368" t="n">
        <v>2032</v>
      </c>
      <c r="F4368" t="inlineStr">
        <is>
          <t>Grudzień</t>
        </is>
      </c>
      <c r="G4368" t="inlineStr">
        <is>
          <t>Śr</t>
        </is>
      </c>
      <c r="H4368">
        <f>'Floor Hours Engine'!$E$4</f>
        <v/>
      </c>
      <c r="I4368" t="inlineStr">
        <is>
          <t>W3</t>
        </is>
      </c>
      <c r="J4368" t="inlineStr">
        <is>
          <t>2032_Grudzień_W3</t>
        </is>
      </c>
    </row>
    <row r="4369">
      <c r="A4369" s="177" t="n">
        <v>48564</v>
      </c>
      <c r="B4369" s="177" t="n">
        <v>48562</v>
      </c>
      <c r="C4369" s="177" t="n">
        <v>48568</v>
      </c>
      <c r="D4369" t="inlineStr">
        <is>
          <t>BW20321214</t>
        </is>
      </c>
      <c r="E4369" t="n">
        <v>2032</v>
      </c>
      <c r="F4369" t="inlineStr">
        <is>
          <t>Grudzień</t>
        </is>
      </c>
      <c r="G4369" t="inlineStr">
        <is>
          <t>Czw</t>
        </is>
      </c>
      <c r="H4369">
        <f>'Floor Hours Engine'!$E$4</f>
        <v/>
      </c>
      <c r="I4369" t="inlineStr">
        <is>
          <t>W3</t>
        </is>
      </c>
      <c r="J4369" t="inlineStr">
        <is>
          <t>2032_Grudzień_W3</t>
        </is>
      </c>
    </row>
    <row r="4370">
      <c r="A4370" s="177" t="n">
        <v>48565</v>
      </c>
      <c r="B4370" s="177" t="n">
        <v>48562</v>
      </c>
      <c r="C4370" s="177" t="n">
        <v>48568</v>
      </c>
      <c r="D4370" t="inlineStr">
        <is>
          <t>BW20321214</t>
        </is>
      </c>
      <c r="E4370" t="n">
        <v>2032</v>
      </c>
      <c r="F4370" t="inlineStr">
        <is>
          <t>Grudzień</t>
        </is>
      </c>
      <c r="G4370" t="inlineStr">
        <is>
          <t>Pt</t>
        </is>
      </c>
      <c r="H4370">
        <f>'Floor Hours Engine'!$E$5</f>
        <v/>
      </c>
      <c r="I4370" t="inlineStr">
        <is>
          <t>W3</t>
        </is>
      </c>
      <c r="J4370" t="inlineStr">
        <is>
          <t>2032_Grudzień_W3</t>
        </is>
      </c>
    </row>
    <row r="4371">
      <c r="A4371" s="177" t="n">
        <v>48566</v>
      </c>
      <c r="B4371" s="177" t="n">
        <v>48562</v>
      </c>
      <c r="C4371" s="177" t="n">
        <v>48568</v>
      </c>
      <c r="D4371" t="inlineStr">
        <is>
          <t>BW20321214</t>
        </is>
      </c>
      <c r="E4371" t="n">
        <v>2032</v>
      </c>
      <c r="F4371" t="inlineStr">
        <is>
          <t>Grudzień</t>
        </is>
      </c>
      <c r="G4371" t="inlineStr">
        <is>
          <t>Sob</t>
        </is>
      </c>
      <c r="H4371">
        <f>'Floor Hours Engine'!$E$5</f>
        <v/>
      </c>
      <c r="I4371" t="inlineStr">
        <is>
          <t>W3</t>
        </is>
      </c>
      <c r="J4371" t="inlineStr">
        <is>
          <t>2032_Grudzień_W3</t>
        </is>
      </c>
    </row>
    <row r="4372">
      <c r="A4372" s="177" t="n">
        <v>48567</v>
      </c>
      <c r="B4372" s="177" t="n">
        <v>48562</v>
      </c>
      <c r="C4372" s="177" t="n">
        <v>48568</v>
      </c>
      <c r="D4372" t="inlineStr">
        <is>
          <t>BW20321214</t>
        </is>
      </c>
      <c r="E4372" t="n">
        <v>2032</v>
      </c>
      <c r="F4372" t="inlineStr">
        <is>
          <t>Grudzień</t>
        </is>
      </c>
      <c r="G4372" t="inlineStr">
        <is>
          <t>Nd</t>
        </is>
      </c>
      <c r="H4372">
        <f>'Floor Hours Engine'!$E$6</f>
        <v/>
      </c>
      <c r="I4372" t="inlineStr">
        <is>
          <t>W3</t>
        </is>
      </c>
      <c r="J4372" t="inlineStr">
        <is>
          <t>2032_Grudzień_W3</t>
        </is>
      </c>
    </row>
    <row r="4373">
      <c r="A4373" s="177" t="n">
        <v>48568</v>
      </c>
      <c r="B4373" s="177" t="n">
        <v>48562</v>
      </c>
      <c r="C4373" s="177" t="n">
        <v>48568</v>
      </c>
      <c r="D4373" t="inlineStr">
        <is>
          <t>BW20321214</t>
        </is>
      </c>
      <c r="E4373" t="n">
        <v>2032</v>
      </c>
      <c r="F4373" t="inlineStr">
        <is>
          <t>Grudzień</t>
        </is>
      </c>
      <c r="G4373" t="inlineStr">
        <is>
          <t>Pn</t>
        </is>
      </c>
      <c r="H4373">
        <f>'Floor Hours Engine'!$E$4</f>
        <v/>
      </c>
      <c r="I4373" t="inlineStr">
        <is>
          <t>W3</t>
        </is>
      </c>
      <c r="J4373" t="inlineStr">
        <is>
          <t>2032_Grudzień_W3</t>
        </is>
      </c>
    </row>
    <row r="4374">
      <c r="A4374" s="177" t="n">
        <v>48569</v>
      </c>
      <c r="B4374" s="177" t="n">
        <v>48569</v>
      </c>
      <c r="C4374" s="177" t="n">
        <v>48575</v>
      </c>
      <c r="D4374" t="inlineStr">
        <is>
          <t>BW20321221</t>
        </is>
      </c>
      <c r="E4374" t="n">
        <v>2032</v>
      </c>
      <c r="F4374" t="inlineStr">
        <is>
          <t>Grudzień</t>
        </is>
      </c>
      <c r="G4374" t="inlineStr">
        <is>
          <t>Wt</t>
        </is>
      </c>
      <c r="H4374">
        <f>'Floor Hours Engine'!$E$4</f>
        <v/>
      </c>
      <c r="I4374" t="inlineStr">
        <is>
          <t>W4</t>
        </is>
      </c>
      <c r="J4374" t="inlineStr">
        <is>
          <t>2032_Grudzień_W4</t>
        </is>
      </c>
    </row>
    <row r="4375">
      <c r="A4375" s="177" t="n">
        <v>48570</v>
      </c>
      <c r="B4375" s="177" t="n">
        <v>48569</v>
      </c>
      <c r="C4375" s="177" t="n">
        <v>48575</v>
      </c>
      <c r="D4375" t="inlineStr">
        <is>
          <t>BW20321221</t>
        </is>
      </c>
      <c r="E4375" t="n">
        <v>2032</v>
      </c>
      <c r="F4375" t="inlineStr">
        <is>
          <t>Grudzień</t>
        </is>
      </c>
      <c r="G4375" t="inlineStr">
        <is>
          <t>Śr</t>
        </is>
      </c>
      <c r="H4375">
        <f>'Floor Hours Engine'!$E$4</f>
        <v/>
      </c>
      <c r="I4375" t="inlineStr">
        <is>
          <t>W4</t>
        </is>
      </c>
      <c r="J4375" t="inlineStr">
        <is>
          <t>2032_Grudzień_W4</t>
        </is>
      </c>
    </row>
    <row r="4376">
      <c r="A4376" s="177" t="n">
        <v>48571</v>
      </c>
      <c r="B4376" s="177" t="n">
        <v>48569</v>
      </c>
      <c r="C4376" s="177" t="n">
        <v>48575</v>
      </c>
      <c r="D4376" t="inlineStr">
        <is>
          <t>BW20321221</t>
        </is>
      </c>
      <c r="E4376" t="n">
        <v>2032</v>
      </c>
      <c r="F4376" t="inlineStr">
        <is>
          <t>Grudzień</t>
        </is>
      </c>
      <c r="G4376" t="inlineStr">
        <is>
          <t>Czw</t>
        </is>
      </c>
      <c r="H4376">
        <f>'Floor Hours Engine'!$E$4</f>
        <v/>
      </c>
      <c r="I4376" t="inlineStr">
        <is>
          <t>W4</t>
        </is>
      </c>
      <c r="J4376" t="inlineStr">
        <is>
          <t>2032_Grudzień_W4</t>
        </is>
      </c>
    </row>
    <row r="4377">
      <c r="A4377" s="177" t="n">
        <v>48572</v>
      </c>
      <c r="B4377" s="177" t="n">
        <v>48569</v>
      </c>
      <c r="C4377" s="177" t="n">
        <v>48575</v>
      </c>
      <c r="D4377" t="inlineStr">
        <is>
          <t>BW20321221</t>
        </is>
      </c>
      <c r="E4377" t="n">
        <v>2032</v>
      </c>
      <c r="F4377" t="inlineStr">
        <is>
          <t>Grudzień</t>
        </is>
      </c>
      <c r="G4377" t="inlineStr">
        <is>
          <t>Pt</t>
        </is>
      </c>
      <c r="H4377">
        <f>'Floor Hours Engine'!$E$5</f>
        <v/>
      </c>
      <c r="I4377" t="inlineStr">
        <is>
          <t>W4</t>
        </is>
      </c>
      <c r="J4377" t="inlineStr">
        <is>
          <t>2032_Grudzień_W4</t>
        </is>
      </c>
    </row>
    <row r="4378">
      <c r="A4378" s="177" t="n">
        <v>48573</v>
      </c>
      <c r="B4378" s="177" t="n">
        <v>48569</v>
      </c>
      <c r="C4378" s="177" t="n">
        <v>48575</v>
      </c>
      <c r="D4378" t="inlineStr">
        <is>
          <t>BW20321221</t>
        </is>
      </c>
      <c r="E4378" t="n">
        <v>2032</v>
      </c>
      <c r="F4378" t="inlineStr">
        <is>
          <t>Grudzień</t>
        </is>
      </c>
      <c r="G4378" t="inlineStr">
        <is>
          <t>Sob</t>
        </is>
      </c>
      <c r="H4378">
        <f>'Floor Hours Engine'!$E$5</f>
        <v/>
      </c>
      <c r="I4378" t="inlineStr">
        <is>
          <t>W4</t>
        </is>
      </c>
      <c r="J4378" t="inlineStr">
        <is>
          <t>2032_Grudzień_W4</t>
        </is>
      </c>
    </row>
    <row r="4379">
      <c r="A4379" s="177" t="n">
        <v>48574</v>
      </c>
      <c r="B4379" s="177" t="n">
        <v>48569</v>
      </c>
      <c r="C4379" s="177" t="n">
        <v>48575</v>
      </c>
      <c r="D4379" t="inlineStr">
        <is>
          <t>BW20321221</t>
        </is>
      </c>
      <c r="E4379" t="n">
        <v>2032</v>
      </c>
      <c r="F4379" t="inlineStr">
        <is>
          <t>Grudzień</t>
        </is>
      </c>
      <c r="G4379" t="inlineStr">
        <is>
          <t>Nd</t>
        </is>
      </c>
      <c r="H4379">
        <f>'Floor Hours Engine'!$E$6</f>
        <v/>
      </c>
      <c r="I4379" t="inlineStr">
        <is>
          <t>W4</t>
        </is>
      </c>
      <c r="J4379" t="inlineStr">
        <is>
          <t>2032_Grudzień_W4</t>
        </is>
      </c>
    </row>
    <row r="4380">
      <c r="A4380" s="177" t="n">
        <v>48575</v>
      </c>
      <c r="B4380" s="177" t="n">
        <v>48569</v>
      </c>
      <c r="C4380" s="177" t="n">
        <v>48575</v>
      </c>
      <c r="D4380" t="inlineStr">
        <is>
          <t>BW20321221</t>
        </is>
      </c>
      <c r="E4380" t="n">
        <v>2032</v>
      </c>
      <c r="F4380" t="inlineStr">
        <is>
          <t>Grudzień</t>
        </is>
      </c>
      <c r="G4380" t="inlineStr">
        <is>
          <t>Pn</t>
        </is>
      </c>
      <c r="H4380">
        <f>'Floor Hours Engine'!$E$4</f>
        <v/>
      </c>
      <c r="I4380" t="inlineStr">
        <is>
          <t>W4</t>
        </is>
      </c>
      <c r="J4380" t="inlineStr">
        <is>
          <t>2032_Grudzień_W4</t>
        </is>
      </c>
    </row>
    <row r="4381">
      <c r="A4381" s="177" t="n">
        <v>48576</v>
      </c>
      <c r="B4381" s="177" t="n">
        <v>48576</v>
      </c>
      <c r="C4381" s="177" t="n">
        <v>48582</v>
      </c>
      <c r="D4381" t="inlineStr">
        <is>
          <t>BW20321228</t>
        </is>
      </c>
      <c r="E4381" t="n">
        <v>2032</v>
      </c>
      <c r="F4381" t="inlineStr">
        <is>
          <t>Grudzień</t>
        </is>
      </c>
      <c r="G4381" t="inlineStr">
        <is>
          <t>Wt</t>
        </is>
      </c>
      <c r="H4381">
        <f>'Floor Hours Engine'!$E$4</f>
        <v/>
      </c>
      <c r="I4381" t="inlineStr">
        <is>
          <t>W5</t>
        </is>
      </c>
      <c r="J4381" t="inlineStr">
        <is>
          <t>2032_Grudzień_W5</t>
        </is>
      </c>
    </row>
    <row r="4382">
      <c r="A4382" s="177" t="n">
        <v>48577</v>
      </c>
      <c r="B4382" s="177" t="n">
        <v>48576</v>
      </c>
      <c r="C4382" s="177" t="n">
        <v>48582</v>
      </c>
      <c r="D4382" t="inlineStr">
        <is>
          <t>BW20321228</t>
        </is>
      </c>
      <c r="E4382" t="n">
        <v>2032</v>
      </c>
      <c r="F4382" t="inlineStr">
        <is>
          <t>Grudzień</t>
        </is>
      </c>
      <c r="G4382" t="inlineStr">
        <is>
          <t>Śr</t>
        </is>
      </c>
      <c r="H4382">
        <f>'Floor Hours Engine'!$E$4</f>
        <v/>
      </c>
      <c r="I4382" t="inlineStr">
        <is>
          <t>W5</t>
        </is>
      </c>
      <c r="J4382" t="inlineStr">
        <is>
          <t>2032_Grudzień_W5</t>
        </is>
      </c>
    </row>
    <row r="4383">
      <c r="A4383" s="177" t="n">
        <v>48578</v>
      </c>
      <c r="B4383" s="177" t="n">
        <v>48576</v>
      </c>
      <c r="C4383" s="177" t="n">
        <v>48582</v>
      </c>
      <c r="D4383" t="inlineStr">
        <is>
          <t>BW20321228</t>
        </is>
      </c>
      <c r="E4383" t="n">
        <v>2032</v>
      </c>
      <c r="F4383" t="inlineStr">
        <is>
          <t>Grudzień</t>
        </is>
      </c>
      <c r="G4383" t="inlineStr">
        <is>
          <t>Czw</t>
        </is>
      </c>
      <c r="H4383">
        <f>'Floor Hours Engine'!$E$4</f>
        <v/>
      </c>
      <c r="I4383" t="inlineStr">
        <is>
          <t>W5</t>
        </is>
      </c>
      <c r="J4383" t="inlineStr">
        <is>
          <t>2032_Grudzień_W5</t>
        </is>
      </c>
    </row>
    <row r="4384">
      <c r="A4384" s="177" t="n">
        <v>48579</v>
      </c>
      <c r="B4384" s="177" t="n">
        <v>48576</v>
      </c>
      <c r="C4384" s="177" t="n">
        <v>48582</v>
      </c>
      <c r="D4384" t="inlineStr">
        <is>
          <t>BW20321228</t>
        </is>
      </c>
      <c r="E4384" t="n">
        <v>2032</v>
      </c>
      <c r="F4384" t="inlineStr">
        <is>
          <t>Grudzień</t>
        </is>
      </c>
      <c r="G4384" t="inlineStr">
        <is>
          <t>Pt</t>
        </is>
      </c>
      <c r="H4384">
        <f>'Floor Hours Engine'!$E$5</f>
        <v/>
      </c>
      <c r="I4384" t="inlineStr">
        <is>
          <t>W5</t>
        </is>
      </c>
      <c r="J4384" t="inlineStr">
        <is>
          <t>2032_Grudzień_W5</t>
        </is>
      </c>
    </row>
    <row r="4385">
      <c r="A4385" s="177" t="n">
        <v>48580</v>
      </c>
      <c r="B4385" s="177" t="n">
        <v>48576</v>
      </c>
      <c r="C4385" s="177" t="n">
        <v>48582</v>
      </c>
      <c r="D4385" t="inlineStr">
        <is>
          <t>BW20321228</t>
        </is>
      </c>
      <c r="E4385" t="n">
        <v>2033</v>
      </c>
      <c r="F4385" t="inlineStr">
        <is>
          <t>Styczeń</t>
        </is>
      </c>
      <c r="G4385" t="inlineStr">
        <is>
          <t>Sob</t>
        </is>
      </c>
      <c r="H4385">
        <f>'Floor Hours Engine'!$E$5</f>
        <v/>
      </c>
      <c r="I4385" t="inlineStr">
        <is>
          <t>W1</t>
        </is>
      </c>
      <c r="J4385" t="inlineStr">
        <is>
          <t>2033_Styczeń_W1</t>
        </is>
      </c>
    </row>
    <row r="4386">
      <c r="A4386" s="177" t="n">
        <v>48581</v>
      </c>
      <c r="B4386" s="177" t="n">
        <v>48576</v>
      </c>
      <c r="C4386" s="177" t="n">
        <v>48582</v>
      </c>
      <c r="D4386" t="inlineStr">
        <is>
          <t>BW20321228</t>
        </is>
      </c>
      <c r="E4386" t="n">
        <v>2033</v>
      </c>
      <c r="F4386" t="inlineStr">
        <is>
          <t>Styczeń</t>
        </is>
      </c>
      <c r="G4386" t="inlineStr">
        <is>
          <t>Nd</t>
        </is>
      </c>
      <c r="H4386">
        <f>'Floor Hours Engine'!$E$6</f>
        <v/>
      </c>
      <c r="I4386" t="inlineStr">
        <is>
          <t>W1</t>
        </is>
      </c>
      <c r="J4386" t="inlineStr">
        <is>
          <t>2033_Styczeń_W1</t>
        </is>
      </c>
    </row>
    <row r="4387">
      <c r="A4387" s="177" t="n">
        <v>48582</v>
      </c>
      <c r="B4387" s="177" t="n">
        <v>48576</v>
      </c>
      <c r="C4387" s="177" t="n">
        <v>48582</v>
      </c>
      <c r="D4387" t="inlineStr">
        <is>
          <t>BW20321228</t>
        </is>
      </c>
      <c r="E4387" t="n">
        <v>2033</v>
      </c>
      <c r="F4387" t="inlineStr">
        <is>
          <t>Styczeń</t>
        </is>
      </c>
      <c r="G4387" t="inlineStr">
        <is>
          <t>Pn</t>
        </is>
      </c>
      <c r="H4387">
        <f>'Floor Hours Engine'!$E$4</f>
        <v/>
      </c>
      <c r="I4387" t="inlineStr">
        <is>
          <t>W1</t>
        </is>
      </c>
      <c r="J4387" t="inlineStr">
        <is>
          <t>2033_Styczeń_W1</t>
        </is>
      </c>
    </row>
    <row r="4388">
      <c r="A4388" s="177" t="n">
        <v>48583</v>
      </c>
      <c r="B4388" s="177" t="n">
        <v>48583</v>
      </c>
      <c r="C4388" s="177" t="n">
        <v>48589</v>
      </c>
      <c r="D4388" t="inlineStr">
        <is>
          <t>BW20330104</t>
        </is>
      </c>
      <c r="E4388" t="n">
        <v>2033</v>
      </c>
      <c r="F4388" t="inlineStr">
        <is>
          <t>Styczeń</t>
        </is>
      </c>
      <c r="G4388" t="inlineStr">
        <is>
          <t>Wt</t>
        </is>
      </c>
      <c r="H4388">
        <f>'Floor Hours Engine'!$E$4</f>
        <v/>
      </c>
      <c r="I4388" t="inlineStr">
        <is>
          <t>W2</t>
        </is>
      </c>
      <c r="J4388" t="inlineStr">
        <is>
          <t>2033_Styczeń_W2</t>
        </is>
      </c>
    </row>
    <row r="4389">
      <c r="A4389" s="177" t="n">
        <v>48584</v>
      </c>
      <c r="B4389" s="177" t="n">
        <v>48583</v>
      </c>
      <c r="C4389" s="177" t="n">
        <v>48589</v>
      </c>
      <c r="D4389" t="inlineStr">
        <is>
          <t>BW20330104</t>
        </is>
      </c>
      <c r="E4389" t="n">
        <v>2033</v>
      </c>
      <c r="F4389" t="inlineStr">
        <is>
          <t>Styczeń</t>
        </is>
      </c>
      <c r="G4389" t="inlineStr">
        <is>
          <t>Śr</t>
        </is>
      </c>
      <c r="H4389">
        <f>'Floor Hours Engine'!$E$4</f>
        <v/>
      </c>
      <c r="I4389" t="inlineStr">
        <is>
          <t>W2</t>
        </is>
      </c>
      <c r="J4389" t="inlineStr">
        <is>
          <t>2033_Styczeń_W2</t>
        </is>
      </c>
    </row>
    <row r="4390">
      <c r="A4390" s="177" t="n">
        <v>48585</v>
      </c>
      <c r="B4390" s="177" t="n">
        <v>48583</v>
      </c>
      <c r="C4390" s="177" t="n">
        <v>48589</v>
      </c>
      <c r="D4390" t="inlineStr">
        <is>
          <t>BW20330104</t>
        </is>
      </c>
      <c r="E4390" t="n">
        <v>2033</v>
      </c>
      <c r="F4390" t="inlineStr">
        <is>
          <t>Styczeń</t>
        </is>
      </c>
      <c r="G4390" t="inlineStr">
        <is>
          <t>Czw</t>
        </is>
      </c>
      <c r="H4390">
        <f>'Floor Hours Engine'!$E$4</f>
        <v/>
      </c>
      <c r="I4390" t="inlineStr">
        <is>
          <t>W2</t>
        </is>
      </c>
      <c r="J4390" t="inlineStr">
        <is>
          <t>2033_Styczeń_W2</t>
        </is>
      </c>
    </row>
    <row r="4391">
      <c r="A4391" s="177" t="n">
        <v>48586</v>
      </c>
      <c r="B4391" s="177" t="n">
        <v>48583</v>
      </c>
      <c r="C4391" s="177" t="n">
        <v>48589</v>
      </c>
      <c r="D4391" t="inlineStr">
        <is>
          <t>BW20330104</t>
        </is>
      </c>
      <c r="E4391" t="n">
        <v>2033</v>
      </c>
      <c r="F4391" t="inlineStr">
        <is>
          <t>Styczeń</t>
        </is>
      </c>
      <c r="G4391" t="inlineStr">
        <is>
          <t>Pt</t>
        </is>
      </c>
      <c r="H4391">
        <f>'Floor Hours Engine'!$E$5</f>
        <v/>
      </c>
      <c r="I4391" t="inlineStr">
        <is>
          <t>W2</t>
        </is>
      </c>
      <c r="J4391" t="inlineStr">
        <is>
          <t>2033_Styczeń_W2</t>
        </is>
      </c>
    </row>
    <row r="4392">
      <c r="A4392" s="177" t="n">
        <v>48587</v>
      </c>
      <c r="B4392" s="177" t="n">
        <v>48583</v>
      </c>
      <c r="C4392" s="177" t="n">
        <v>48589</v>
      </c>
      <c r="D4392" t="inlineStr">
        <is>
          <t>BW20330104</t>
        </is>
      </c>
      <c r="E4392" t="n">
        <v>2033</v>
      </c>
      <c r="F4392" t="inlineStr">
        <is>
          <t>Styczeń</t>
        </is>
      </c>
      <c r="G4392" t="inlineStr">
        <is>
          <t>Sob</t>
        </is>
      </c>
      <c r="H4392">
        <f>'Floor Hours Engine'!$E$5</f>
        <v/>
      </c>
      <c r="I4392" t="inlineStr">
        <is>
          <t>W2</t>
        </is>
      </c>
      <c r="J4392" t="inlineStr">
        <is>
          <t>2033_Styczeń_W2</t>
        </is>
      </c>
    </row>
    <row r="4393">
      <c r="A4393" s="177" t="n">
        <v>48588</v>
      </c>
      <c r="B4393" s="177" t="n">
        <v>48583</v>
      </c>
      <c r="C4393" s="177" t="n">
        <v>48589</v>
      </c>
      <c r="D4393" t="inlineStr">
        <is>
          <t>BW20330104</t>
        </is>
      </c>
      <c r="E4393" t="n">
        <v>2033</v>
      </c>
      <c r="F4393" t="inlineStr">
        <is>
          <t>Styczeń</t>
        </is>
      </c>
      <c r="G4393" t="inlineStr">
        <is>
          <t>Nd</t>
        </is>
      </c>
      <c r="H4393">
        <f>'Floor Hours Engine'!$E$6</f>
        <v/>
      </c>
      <c r="I4393" t="inlineStr">
        <is>
          <t>W2</t>
        </is>
      </c>
      <c r="J4393" t="inlineStr">
        <is>
          <t>2033_Styczeń_W2</t>
        </is>
      </c>
    </row>
    <row r="4394">
      <c r="A4394" s="177" t="n">
        <v>48589</v>
      </c>
      <c r="B4394" s="177" t="n">
        <v>48583</v>
      </c>
      <c r="C4394" s="177" t="n">
        <v>48589</v>
      </c>
      <c r="D4394" t="inlineStr">
        <is>
          <t>BW20330104</t>
        </is>
      </c>
      <c r="E4394" t="n">
        <v>2033</v>
      </c>
      <c r="F4394" t="inlineStr">
        <is>
          <t>Styczeń</t>
        </is>
      </c>
      <c r="G4394" t="inlineStr">
        <is>
          <t>Pn</t>
        </is>
      </c>
      <c r="H4394">
        <f>'Floor Hours Engine'!$E$4</f>
        <v/>
      </c>
      <c r="I4394" t="inlineStr">
        <is>
          <t>W2</t>
        </is>
      </c>
      <c r="J4394" t="inlineStr">
        <is>
          <t>2033_Styczeń_W2</t>
        </is>
      </c>
    </row>
    <row r="4395">
      <c r="A4395" s="177" t="n">
        <v>48590</v>
      </c>
      <c r="B4395" s="177" t="n">
        <v>48590</v>
      </c>
      <c r="C4395" s="177" t="n">
        <v>48596</v>
      </c>
      <c r="D4395" t="inlineStr">
        <is>
          <t>BW20330111</t>
        </is>
      </c>
      <c r="E4395" t="n">
        <v>2033</v>
      </c>
      <c r="F4395" t="inlineStr">
        <is>
          <t>Styczeń</t>
        </is>
      </c>
      <c r="G4395" t="inlineStr">
        <is>
          <t>Wt</t>
        </is>
      </c>
      <c r="H4395">
        <f>'Floor Hours Engine'!$E$4</f>
        <v/>
      </c>
      <c r="I4395" t="inlineStr">
        <is>
          <t>W3</t>
        </is>
      </c>
      <c r="J4395" t="inlineStr">
        <is>
          <t>2033_Styczeń_W3</t>
        </is>
      </c>
    </row>
    <row r="4396">
      <c r="A4396" s="177" t="n">
        <v>48591</v>
      </c>
      <c r="B4396" s="177" t="n">
        <v>48590</v>
      </c>
      <c r="C4396" s="177" t="n">
        <v>48596</v>
      </c>
      <c r="D4396" t="inlineStr">
        <is>
          <t>BW20330111</t>
        </is>
      </c>
      <c r="E4396" t="n">
        <v>2033</v>
      </c>
      <c r="F4396" t="inlineStr">
        <is>
          <t>Styczeń</t>
        </is>
      </c>
      <c r="G4396" t="inlineStr">
        <is>
          <t>Śr</t>
        </is>
      </c>
      <c r="H4396">
        <f>'Floor Hours Engine'!$E$4</f>
        <v/>
      </c>
      <c r="I4396" t="inlineStr">
        <is>
          <t>W3</t>
        </is>
      </c>
      <c r="J4396" t="inlineStr">
        <is>
          <t>2033_Styczeń_W3</t>
        </is>
      </c>
    </row>
    <row r="4397">
      <c r="A4397" s="177" t="n">
        <v>48592</v>
      </c>
      <c r="B4397" s="177" t="n">
        <v>48590</v>
      </c>
      <c r="C4397" s="177" t="n">
        <v>48596</v>
      </c>
      <c r="D4397" t="inlineStr">
        <is>
          <t>BW20330111</t>
        </is>
      </c>
      <c r="E4397" t="n">
        <v>2033</v>
      </c>
      <c r="F4397" t="inlineStr">
        <is>
          <t>Styczeń</t>
        </is>
      </c>
      <c r="G4397" t="inlineStr">
        <is>
          <t>Czw</t>
        </is>
      </c>
      <c r="H4397">
        <f>'Floor Hours Engine'!$E$4</f>
        <v/>
      </c>
      <c r="I4397" t="inlineStr">
        <is>
          <t>W3</t>
        </is>
      </c>
      <c r="J4397" t="inlineStr">
        <is>
          <t>2033_Styczeń_W3</t>
        </is>
      </c>
    </row>
    <row r="4398">
      <c r="A4398" s="177" t="n">
        <v>48593</v>
      </c>
      <c r="B4398" s="177" t="n">
        <v>48590</v>
      </c>
      <c r="C4398" s="177" t="n">
        <v>48596</v>
      </c>
      <c r="D4398" t="inlineStr">
        <is>
          <t>BW20330111</t>
        </is>
      </c>
      <c r="E4398" t="n">
        <v>2033</v>
      </c>
      <c r="F4398" t="inlineStr">
        <is>
          <t>Styczeń</t>
        </is>
      </c>
      <c r="G4398" t="inlineStr">
        <is>
          <t>Pt</t>
        </is>
      </c>
      <c r="H4398">
        <f>'Floor Hours Engine'!$E$5</f>
        <v/>
      </c>
      <c r="I4398" t="inlineStr">
        <is>
          <t>W3</t>
        </is>
      </c>
      <c r="J4398" t="inlineStr">
        <is>
          <t>2033_Styczeń_W3</t>
        </is>
      </c>
    </row>
    <row r="4399">
      <c r="A4399" s="177" t="n">
        <v>48594</v>
      </c>
      <c r="B4399" s="177" t="n">
        <v>48590</v>
      </c>
      <c r="C4399" s="177" t="n">
        <v>48596</v>
      </c>
      <c r="D4399" t="inlineStr">
        <is>
          <t>BW20330111</t>
        </is>
      </c>
      <c r="E4399" t="n">
        <v>2033</v>
      </c>
      <c r="F4399" t="inlineStr">
        <is>
          <t>Styczeń</t>
        </is>
      </c>
      <c r="G4399" t="inlineStr">
        <is>
          <t>Sob</t>
        </is>
      </c>
      <c r="H4399">
        <f>'Floor Hours Engine'!$E$5</f>
        <v/>
      </c>
      <c r="I4399" t="inlineStr">
        <is>
          <t>W3</t>
        </is>
      </c>
      <c r="J4399" t="inlineStr">
        <is>
          <t>2033_Styczeń_W3</t>
        </is>
      </c>
    </row>
    <row r="4400">
      <c r="A4400" s="177" t="n">
        <v>48595</v>
      </c>
      <c r="B4400" s="177" t="n">
        <v>48590</v>
      </c>
      <c r="C4400" s="177" t="n">
        <v>48596</v>
      </c>
      <c r="D4400" t="inlineStr">
        <is>
          <t>BW20330111</t>
        </is>
      </c>
      <c r="E4400" t="n">
        <v>2033</v>
      </c>
      <c r="F4400" t="inlineStr">
        <is>
          <t>Styczeń</t>
        </is>
      </c>
      <c r="G4400" t="inlineStr">
        <is>
          <t>Nd</t>
        </is>
      </c>
      <c r="H4400">
        <f>'Floor Hours Engine'!$E$6</f>
        <v/>
      </c>
      <c r="I4400" t="inlineStr">
        <is>
          <t>W3</t>
        </is>
      </c>
      <c r="J4400" t="inlineStr">
        <is>
          <t>2033_Styczeń_W3</t>
        </is>
      </c>
    </row>
    <row r="4401">
      <c r="A4401" s="177" t="n">
        <v>48596</v>
      </c>
      <c r="B4401" s="177" t="n">
        <v>48590</v>
      </c>
      <c r="C4401" s="177" t="n">
        <v>48596</v>
      </c>
      <c r="D4401" t="inlineStr">
        <is>
          <t>BW20330111</t>
        </is>
      </c>
      <c r="E4401" t="n">
        <v>2033</v>
      </c>
      <c r="F4401" t="inlineStr">
        <is>
          <t>Styczeń</t>
        </is>
      </c>
      <c r="G4401" t="inlineStr">
        <is>
          <t>Pn</t>
        </is>
      </c>
      <c r="H4401">
        <f>'Floor Hours Engine'!$E$4</f>
        <v/>
      </c>
      <c r="I4401" t="inlineStr">
        <is>
          <t>W3</t>
        </is>
      </c>
      <c r="J4401" t="inlineStr">
        <is>
          <t>2033_Styczeń_W3</t>
        </is>
      </c>
    </row>
    <row r="4402">
      <c r="A4402" s="177" t="n">
        <v>48597</v>
      </c>
      <c r="B4402" s="177" t="n">
        <v>48597</v>
      </c>
      <c r="C4402" s="177" t="n">
        <v>48603</v>
      </c>
      <c r="D4402" t="inlineStr">
        <is>
          <t>BW20330118</t>
        </is>
      </c>
      <c r="E4402" t="n">
        <v>2033</v>
      </c>
      <c r="F4402" t="inlineStr">
        <is>
          <t>Styczeń</t>
        </is>
      </c>
      <c r="G4402" t="inlineStr">
        <is>
          <t>Wt</t>
        </is>
      </c>
      <c r="H4402">
        <f>'Floor Hours Engine'!$E$4</f>
        <v/>
      </c>
      <c r="I4402" t="inlineStr">
        <is>
          <t>W4</t>
        </is>
      </c>
      <c r="J4402" t="inlineStr">
        <is>
          <t>2033_Styczeń_W4</t>
        </is>
      </c>
    </row>
    <row r="4403">
      <c r="A4403" s="177" t="n">
        <v>48598</v>
      </c>
      <c r="B4403" s="177" t="n">
        <v>48597</v>
      </c>
      <c r="C4403" s="177" t="n">
        <v>48603</v>
      </c>
      <c r="D4403" t="inlineStr">
        <is>
          <t>BW20330118</t>
        </is>
      </c>
      <c r="E4403" t="n">
        <v>2033</v>
      </c>
      <c r="F4403" t="inlineStr">
        <is>
          <t>Styczeń</t>
        </is>
      </c>
      <c r="G4403" t="inlineStr">
        <is>
          <t>Śr</t>
        </is>
      </c>
      <c r="H4403">
        <f>'Floor Hours Engine'!$E$4</f>
        <v/>
      </c>
      <c r="I4403" t="inlineStr">
        <is>
          <t>W4</t>
        </is>
      </c>
      <c r="J4403" t="inlineStr">
        <is>
          <t>2033_Styczeń_W4</t>
        </is>
      </c>
    </row>
    <row r="4404">
      <c r="A4404" s="177" t="n">
        <v>48599</v>
      </c>
      <c r="B4404" s="177" t="n">
        <v>48597</v>
      </c>
      <c r="C4404" s="177" t="n">
        <v>48603</v>
      </c>
      <c r="D4404" t="inlineStr">
        <is>
          <t>BW20330118</t>
        </is>
      </c>
      <c r="E4404" t="n">
        <v>2033</v>
      </c>
      <c r="F4404" t="inlineStr">
        <is>
          <t>Styczeń</t>
        </is>
      </c>
      <c r="G4404" t="inlineStr">
        <is>
          <t>Czw</t>
        </is>
      </c>
      <c r="H4404">
        <f>'Floor Hours Engine'!$E$4</f>
        <v/>
      </c>
      <c r="I4404" t="inlineStr">
        <is>
          <t>W4</t>
        </is>
      </c>
      <c r="J4404" t="inlineStr">
        <is>
          <t>2033_Styczeń_W4</t>
        </is>
      </c>
    </row>
    <row r="4405">
      <c r="A4405" s="177" t="n">
        <v>48600</v>
      </c>
      <c r="B4405" s="177" t="n">
        <v>48597</v>
      </c>
      <c r="C4405" s="177" t="n">
        <v>48603</v>
      </c>
      <c r="D4405" t="inlineStr">
        <is>
          <t>BW20330118</t>
        </is>
      </c>
      <c r="E4405" t="n">
        <v>2033</v>
      </c>
      <c r="F4405" t="inlineStr">
        <is>
          <t>Styczeń</t>
        </is>
      </c>
      <c r="G4405" t="inlineStr">
        <is>
          <t>Pt</t>
        </is>
      </c>
      <c r="H4405">
        <f>'Floor Hours Engine'!$E$5</f>
        <v/>
      </c>
      <c r="I4405" t="inlineStr">
        <is>
          <t>W4</t>
        </is>
      </c>
      <c r="J4405" t="inlineStr">
        <is>
          <t>2033_Styczeń_W4</t>
        </is>
      </c>
    </row>
    <row r="4406">
      <c r="A4406" s="177" t="n">
        <v>48601</v>
      </c>
      <c r="B4406" s="177" t="n">
        <v>48597</v>
      </c>
      <c r="C4406" s="177" t="n">
        <v>48603</v>
      </c>
      <c r="D4406" t="inlineStr">
        <is>
          <t>BW20330118</t>
        </is>
      </c>
      <c r="E4406" t="n">
        <v>2033</v>
      </c>
      <c r="F4406" t="inlineStr">
        <is>
          <t>Styczeń</t>
        </is>
      </c>
      <c r="G4406" t="inlineStr">
        <is>
          <t>Sob</t>
        </is>
      </c>
      <c r="H4406">
        <f>'Floor Hours Engine'!$E$5</f>
        <v/>
      </c>
      <c r="I4406" t="inlineStr">
        <is>
          <t>W4</t>
        </is>
      </c>
      <c r="J4406" t="inlineStr">
        <is>
          <t>2033_Styczeń_W4</t>
        </is>
      </c>
    </row>
    <row r="4407">
      <c r="A4407" s="177" t="n">
        <v>48602</v>
      </c>
      <c r="B4407" s="177" t="n">
        <v>48597</v>
      </c>
      <c r="C4407" s="177" t="n">
        <v>48603</v>
      </c>
      <c r="D4407" t="inlineStr">
        <is>
          <t>BW20330118</t>
        </is>
      </c>
      <c r="E4407" t="n">
        <v>2033</v>
      </c>
      <c r="F4407" t="inlineStr">
        <is>
          <t>Styczeń</t>
        </is>
      </c>
      <c r="G4407" t="inlineStr">
        <is>
          <t>Nd</t>
        </is>
      </c>
      <c r="H4407">
        <f>'Floor Hours Engine'!$E$6</f>
        <v/>
      </c>
      <c r="I4407" t="inlineStr">
        <is>
          <t>W4</t>
        </is>
      </c>
      <c r="J4407" t="inlineStr">
        <is>
          <t>2033_Styczeń_W4</t>
        </is>
      </c>
    </row>
    <row r="4408">
      <c r="A4408" s="177" t="n">
        <v>48603</v>
      </c>
      <c r="B4408" s="177" t="n">
        <v>48597</v>
      </c>
      <c r="C4408" s="177" t="n">
        <v>48603</v>
      </c>
      <c r="D4408" t="inlineStr">
        <is>
          <t>BW20330118</t>
        </is>
      </c>
      <c r="E4408" t="n">
        <v>2033</v>
      </c>
      <c r="F4408" t="inlineStr">
        <is>
          <t>Styczeń</t>
        </is>
      </c>
      <c r="G4408" t="inlineStr">
        <is>
          <t>Pn</t>
        </is>
      </c>
      <c r="H4408">
        <f>'Floor Hours Engine'!$E$4</f>
        <v/>
      </c>
      <c r="I4408" t="inlineStr">
        <is>
          <t>W4</t>
        </is>
      </c>
      <c r="J4408" t="inlineStr">
        <is>
          <t>2033_Styczeń_W4</t>
        </is>
      </c>
    </row>
    <row r="4409">
      <c r="A4409" s="177" t="n">
        <v>48604</v>
      </c>
      <c r="B4409" s="177" t="n">
        <v>48604</v>
      </c>
      <c r="C4409" s="177" t="n">
        <v>48610</v>
      </c>
      <c r="D4409" t="inlineStr">
        <is>
          <t>BW20330125</t>
        </is>
      </c>
      <c r="E4409" t="n">
        <v>2033</v>
      </c>
      <c r="F4409" t="inlineStr">
        <is>
          <t>Styczeń</t>
        </is>
      </c>
      <c r="G4409" t="inlineStr">
        <is>
          <t>Wt</t>
        </is>
      </c>
      <c r="H4409">
        <f>'Floor Hours Engine'!$E$4</f>
        <v/>
      </c>
      <c r="I4409" t="inlineStr">
        <is>
          <t>W5</t>
        </is>
      </c>
      <c r="J4409" t="inlineStr">
        <is>
          <t>2033_Styczeń_W5</t>
        </is>
      </c>
    </row>
    <row r="4410">
      <c r="A4410" s="177" t="n">
        <v>48605</v>
      </c>
      <c r="B4410" s="177" t="n">
        <v>48604</v>
      </c>
      <c r="C4410" s="177" t="n">
        <v>48610</v>
      </c>
      <c r="D4410" t="inlineStr">
        <is>
          <t>BW20330125</t>
        </is>
      </c>
      <c r="E4410" t="n">
        <v>2033</v>
      </c>
      <c r="F4410" t="inlineStr">
        <is>
          <t>Styczeń</t>
        </is>
      </c>
      <c r="G4410" t="inlineStr">
        <is>
          <t>Śr</t>
        </is>
      </c>
      <c r="H4410">
        <f>'Floor Hours Engine'!$E$4</f>
        <v/>
      </c>
      <c r="I4410" t="inlineStr">
        <is>
          <t>W5</t>
        </is>
      </c>
      <c r="J4410" t="inlineStr">
        <is>
          <t>2033_Styczeń_W5</t>
        </is>
      </c>
    </row>
    <row r="4411">
      <c r="A4411" s="177" t="n">
        <v>48606</v>
      </c>
      <c r="B4411" s="177" t="n">
        <v>48604</v>
      </c>
      <c r="C4411" s="177" t="n">
        <v>48610</v>
      </c>
      <c r="D4411" t="inlineStr">
        <is>
          <t>BW20330125</t>
        </is>
      </c>
      <c r="E4411" t="n">
        <v>2033</v>
      </c>
      <c r="F4411" t="inlineStr">
        <is>
          <t>Styczeń</t>
        </is>
      </c>
      <c r="G4411" t="inlineStr">
        <is>
          <t>Czw</t>
        </is>
      </c>
      <c r="H4411">
        <f>'Floor Hours Engine'!$E$4</f>
        <v/>
      </c>
      <c r="I4411" t="inlineStr">
        <is>
          <t>W5</t>
        </is>
      </c>
      <c r="J4411" t="inlineStr">
        <is>
          <t>2033_Styczeń_W5</t>
        </is>
      </c>
    </row>
    <row r="4412">
      <c r="A4412" s="177" t="n">
        <v>48607</v>
      </c>
      <c r="B4412" s="177" t="n">
        <v>48604</v>
      </c>
      <c r="C4412" s="177" t="n">
        <v>48610</v>
      </c>
      <c r="D4412" t="inlineStr">
        <is>
          <t>BW20330125</t>
        </is>
      </c>
      <c r="E4412" t="n">
        <v>2033</v>
      </c>
      <c r="F4412" t="inlineStr">
        <is>
          <t>Styczeń</t>
        </is>
      </c>
      <c r="G4412" t="inlineStr">
        <is>
          <t>Pt</t>
        </is>
      </c>
      <c r="H4412">
        <f>'Floor Hours Engine'!$E$5</f>
        <v/>
      </c>
      <c r="I4412" t="inlineStr">
        <is>
          <t>W5</t>
        </is>
      </c>
      <c r="J4412" t="inlineStr">
        <is>
          <t>2033_Styczeń_W5</t>
        </is>
      </c>
    </row>
    <row r="4413">
      <c r="A4413" s="177" t="n">
        <v>48608</v>
      </c>
      <c r="B4413" s="177" t="n">
        <v>48604</v>
      </c>
      <c r="C4413" s="177" t="n">
        <v>48610</v>
      </c>
      <c r="D4413" t="inlineStr">
        <is>
          <t>BW20330125</t>
        </is>
      </c>
      <c r="E4413" t="n">
        <v>2033</v>
      </c>
      <c r="F4413" t="inlineStr">
        <is>
          <t>Styczeń</t>
        </is>
      </c>
      <c r="G4413" t="inlineStr">
        <is>
          <t>Sob</t>
        </is>
      </c>
      <c r="H4413">
        <f>'Floor Hours Engine'!$E$5</f>
        <v/>
      </c>
      <c r="I4413" t="inlineStr">
        <is>
          <t>W5</t>
        </is>
      </c>
      <c r="J4413" t="inlineStr">
        <is>
          <t>2033_Styczeń_W5</t>
        </is>
      </c>
    </row>
    <row r="4414">
      <c r="A4414" s="177" t="n">
        <v>48609</v>
      </c>
      <c r="B4414" s="177" t="n">
        <v>48604</v>
      </c>
      <c r="C4414" s="177" t="n">
        <v>48610</v>
      </c>
      <c r="D4414" t="inlineStr">
        <is>
          <t>BW20330125</t>
        </is>
      </c>
      <c r="E4414" t="n">
        <v>2033</v>
      </c>
      <c r="F4414" t="inlineStr">
        <is>
          <t>Styczeń</t>
        </is>
      </c>
      <c r="G4414" t="inlineStr">
        <is>
          <t>Nd</t>
        </is>
      </c>
      <c r="H4414">
        <f>'Floor Hours Engine'!$E$6</f>
        <v/>
      </c>
      <c r="I4414" t="inlineStr">
        <is>
          <t>W5</t>
        </is>
      </c>
      <c r="J4414" t="inlineStr">
        <is>
          <t>2033_Styczeń_W5</t>
        </is>
      </c>
    </row>
    <row r="4415">
      <c r="A4415" s="177" t="n">
        <v>48610</v>
      </c>
      <c r="B4415" s="177" t="n">
        <v>48604</v>
      </c>
      <c r="C4415" s="177" t="n">
        <v>48610</v>
      </c>
      <c r="D4415" t="inlineStr">
        <is>
          <t>BW20330125</t>
        </is>
      </c>
      <c r="E4415" t="n">
        <v>2033</v>
      </c>
      <c r="F4415" t="inlineStr">
        <is>
          <t>Styczeń</t>
        </is>
      </c>
      <c r="G4415" t="inlineStr">
        <is>
          <t>Pn</t>
        </is>
      </c>
      <c r="H4415">
        <f>'Floor Hours Engine'!$E$4</f>
        <v/>
      </c>
      <c r="I4415" t="inlineStr">
        <is>
          <t>W5</t>
        </is>
      </c>
      <c r="J4415" t="inlineStr">
        <is>
          <t>2033_Styczeń_W5</t>
        </is>
      </c>
    </row>
    <row r="4416">
      <c r="A4416" s="177" t="n">
        <v>48611</v>
      </c>
      <c r="B4416" s="177" t="n">
        <v>48611</v>
      </c>
      <c r="C4416" s="177" t="n">
        <v>48617</v>
      </c>
      <c r="D4416" t="inlineStr">
        <is>
          <t>BW20330201</t>
        </is>
      </c>
      <c r="E4416" t="n">
        <v>2033</v>
      </c>
      <c r="F4416" t="inlineStr">
        <is>
          <t>Luty</t>
        </is>
      </c>
      <c r="G4416" t="inlineStr">
        <is>
          <t>Wt</t>
        </is>
      </c>
      <c r="H4416">
        <f>'Floor Hours Engine'!$E$4</f>
        <v/>
      </c>
      <c r="I4416" t="inlineStr">
        <is>
          <t>W1</t>
        </is>
      </c>
      <c r="J4416" t="inlineStr">
        <is>
          <t>2033_Luty_W1</t>
        </is>
      </c>
    </row>
    <row r="4417">
      <c r="A4417" s="177" t="n">
        <v>48612</v>
      </c>
      <c r="B4417" s="177" t="n">
        <v>48611</v>
      </c>
      <c r="C4417" s="177" t="n">
        <v>48617</v>
      </c>
      <c r="D4417" t="inlineStr">
        <is>
          <t>BW20330201</t>
        </is>
      </c>
      <c r="E4417" t="n">
        <v>2033</v>
      </c>
      <c r="F4417" t="inlineStr">
        <is>
          <t>Luty</t>
        </is>
      </c>
      <c r="G4417" t="inlineStr">
        <is>
          <t>Śr</t>
        </is>
      </c>
      <c r="H4417">
        <f>'Floor Hours Engine'!$E$4</f>
        <v/>
      </c>
      <c r="I4417" t="inlineStr">
        <is>
          <t>W1</t>
        </is>
      </c>
      <c r="J4417" t="inlineStr">
        <is>
          <t>2033_Luty_W1</t>
        </is>
      </c>
    </row>
    <row r="4418">
      <c r="A4418" s="177" t="n">
        <v>48613</v>
      </c>
      <c r="B4418" s="177" t="n">
        <v>48611</v>
      </c>
      <c r="C4418" s="177" t="n">
        <v>48617</v>
      </c>
      <c r="D4418" t="inlineStr">
        <is>
          <t>BW20330201</t>
        </is>
      </c>
      <c r="E4418" t="n">
        <v>2033</v>
      </c>
      <c r="F4418" t="inlineStr">
        <is>
          <t>Luty</t>
        </is>
      </c>
      <c r="G4418" t="inlineStr">
        <is>
          <t>Czw</t>
        </is>
      </c>
      <c r="H4418">
        <f>'Floor Hours Engine'!$E$4</f>
        <v/>
      </c>
      <c r="I4418" t="inlineStr">
        <is>
          <t>W1</t>
        </is>
      </c>
      <c r="J4418" t="inlineStr">
        <is>
          <t>2033_Luty_W1</t>
        </is>
      </c>
    </row>
    <row r="4419">
      <c r="A4419" s="177" t="n">
        <v>48614</v>
      </c>
      <c r="B4419" s="177" t="n">
        <v>48611</v>
      </c>
      <c r="C4419" s="177" t="n">
        <v>48617</v>
      </c>
      <c r="D4419" t="inlineStr">
        <is>
          <t>BW20330201</t>
        </is>
      </c>
      <c r="E4419" t="n">
        <v>2033</v>
      </c>
      <c r="F4419" t="inlineStr">
        <is>
          <t>Luty</t>
        </is>
      </c>
      <c r="G4419" t="inlineStr">
        <is>
          <t>Pt</t>
        </is>
      </c>
      <c r="H4419">
        <f>'Floor Hours Engine'!$E$5</f>
        <v/>
      </c>
      <c r="I4419" t="inlineStr">
        <is>
          <t>W1</t>
        </is>
      </c>
      <c r="J4419" t="inlineStr">
        <is>
          <t>2033_Luty_W1</t>
        </is>
      </c>
    </row>
    <row r="4420">
      <c r="A4420" s="177" t="n">
        <v>48615</v>
      </c>
      <c r="B4420" s="177" t="n">
        <v>48611</v>
      </c>
      <c r="C4420" s="177" t="n">
        <v>48617</v>
      </c>
      <c r="D4420" t="inlineStr">
        <is>
          <t>BW20330201</t>
        </is>
      </c>
      <c r="E4420" t="n">
        <v>2033</v>
      </c>
      <c r="F4420" t="inlineStr">
        <is>
          <t>Luty</t>
        </is>
      </c>
      <c r="G4420" t="inlineStr">
        <is>
          <t>Sob</t>
        </is>
      </c>
      <c r="H4420">
        <f>'Floor Hours Engine'!$E$5</f>
        <v/>
      </c>
      <c r="I4420" t="inlineStr">
        <is>
          <t>W1</t>
        </is>
      </c>
      <c r="J4420" t="inlineStr">
        <is>
          <t>2033_Luty_W1</t>
        </is>
      </c>
    </row>
    <row r="4421">
      <c r="A4421" s="177" t="n">
        <v>48616</v>
      </c>
      <c r="B4421" s="177" t="n">
        <v>48611</v>
      </c>
      <c r="C4421" s="177" t="n">
        <v>48617</v>
      </c>
      <c r="D4421" t="inlineStr">
        <is>
          <t>BW20330201</t>
        </is>
      </c>
      <c r="E4421" t="n">
        <v>2033</v>
      </c>
      <c r="F4421" t="inlineStr">
        <is>
          <t>Luty</t>
        </is>
      </c>
      <c r="G4421" t="inlineStr">
        <is>
          <t>Nd</t>
        </is>
      </c>
      <c r="H4421">
        <f>'Floor Hours Engine'!$E$6</f>
        <v/>
      </c>
      <c r="I4421" t="inlineStr">
        <is>
          <t>W1</t>
        </is>
      </c>
      <c r="J4421" t="inlineStr">
        <is>
          <t>2033_Luty_W1</t>
        </is>
      </c>
    </row>
    <row r="4422">
      <c r="A4422" s="177" t="n">
        <v>48617</v>
      </c>
      <c r="B4422" s="177" t="n">
        <v>48611</v>
      </c>
      <c r="C4422" s="177" t="n">
        <v>48617</v>
      </c>
      <c r="D4422" t="inlineStr">
        <is>
          <t>BW20330201</t>
        </is>
      </c>
      <c r="E4422" t="n">
        <v>2033</v>
      </c>
      <c r="F4422" t="inlineStr">
        <is>
          <t>Luty</t>
        </is>
      </c>
      <c r="G4422" t="inlineStr">
        <is>
          <t>Pn</t>
        </is>
      </c>
      <c r="H4422">
        <f>'Floor Hours Engine'!$E$4</f>
        <v/>
      </c>
      <c r="I4422" t="inlineStr">
        <is>
          <t>W1</t>
        </is>
      </c>
      <c r="J4422" t="inlineStr">
        <is>
          <t>2033_Luty_W1</t>
        </is>
      </c>
    </row>
    <row r="4423">
      <c r="A4423" s="177" t="n">
        <v>48618</v>
      </c>
      <c r="B4423" s="177" t="n">
        <v>48618</v>
      </c>
      <c r="C4423" s="177" t="n">
        <v>48624</v>
      </c>
      <c r="D4423" t="inlineStr">
        <is>
          <t>BW20330208</t>
        </is>
      </c>
      <c r="E4423" t="n">
        <v>2033</v>
      </c>
      <c r="F4423" t="inlineStr">
        <is>
          <t>Luty</t>
        </is>
      </c>
      <c r="G4423" t="inlineStr">
        <is>
          <t>Wt</t>
        </is>
      </c>
      <c r="H4423">
        <f>'Floor Hours Engine'!$E$4</f>
        <v/>
      </c>
      <c r="I4423" t="inlineStr">
        <is>
          <t>W2</t>
        </is>
      </c>
      <c r="J4423" t="inlineStr">
        <is>
          <t>2033_Luty_W2</t>
        </is>
      </c>
    </row>
    <row r="4424">
      <c r="A4424" s="177" t="n">
        <v>48619</v>
      </c>
      <c r="B4424" s="177" t="n">
        <v>48618</v>
      </c>
      <c r="C4424" s="177" t="n">
        <v>48624</v>
      </c>
      <c r="D4424" t="inlineStr">
        <is>
          <t>BW20330208</t>
        </is>
      </c>
      <c r="E4424" t="n">
        <v>2033</v>
      </c>
      <c r="F4424" t="inlineStr">
        <is>
          <t>Luty</t>
        </is>
      </c>
      <c r="G4424" t="inlineStr">
        <is>
          <t>Śr</t>
        </is>
      </c>
      <c r="H4424">
        <f>'Floor Hours Engine'!$E$4</f>
        <v/>
      </c>
      <c r="I4424" t="inlineStr">
        <is>
          <t>W2</t>
        </is>
      </c>
      <c r="J4424" t="inlineStr">
        <is>
          <t>2033_Luty_W2</t>
        </is>
      </c>
    </row>
    <row r="4425">
      <c r="A4425" s="177" t="n">
        <v>48620</v>
      </c>
      <c r="B4425" s="177" t="n">
        <v>48618</v>
      </c>
      <c r="C4425" s="177" t="n">
        <v>48624</v>
      </c>
      <c r="D4425" t="inlineStr">
        <is>
          <t>BW20330208</t>
        </is>
      </c>
      <c r="E4425" t="n">
        <v>2033</v>
      </c>
      <c r="F4425" t="inlineStr">
        <is>
          <t>Luty</t>
        </is>
      </c>
      <c r="G4425" t="inlineStr">
        <is>
          <t>Czw</t>
        </is>
      </c>
      <c r="H4425">
        <f>'Floor Hours Engine'!$E$4</f>
        <v/>
      </c>
      <c r="I4425" t="inlineStr">
        <is>
          <t>W2</t>
        </is>
      </c>
      <c r="J4425" t="inlineStr">
        <is>
          <t>2033_Luty_W2</t>
        </is>
      </c>
    </row>
    <row r="4426">
      <c r="A4426" s="177" t="n">
        <v>48621</v>
      </c>
      <c r="B4426" s="177" t="n">
        <v>48618</v>
      </c>
      <c r="C4426" s="177" t="n">
        <v>48624</v>
      </c>
      <c r="D4426" t="inlineStr">
        <is>
          <t>BW20330208</t>
        </is>
      </c>
      <c r="E4426" t="n">
        <v>2033</v>
      </c>
      <c r="F4426" t="inlineStr">
        <is>
          <t>Luty</t>
        </is>
      </c>
      <c r="G4426" t="inlineStr">
        <is>
          <t>Pt</t>
        </is>
      </c>
      <c r="H4426">
        <f>'Floor Hours Engine'!$E$5</f>
        <v/>
      </c>
      <c r="I4426" t="inlineStr">
        <is>
          <t>W2</t>
        </is>
      </c>
      <c r="J4426" t="inlineStr">
        <is>
          <t>2033_Luty_W2</t>
        </is>
      </c>
    </row>
    <row r="4427">
      <c r="A4427" s="177" t="n">
        <v>48622</v>
      </c>
      <c r="B4427" s="177" t="n">
        <v>48618</v>
      </c>
      <c r="C4427" s="177" t="n">
        <v>48624</v>
      </c>
      <c r="D4427" t="inlineStr">
        <is>
          <t>BW20330208</t>
        </is>
      </c>
      <c r="E4427" t="n">
        <v>2033</v>
      </c>
      <c r="F4427" t="inlineStr">
        <is>
          <t>Luty</t>
        </is>
      </c>
      <c r="G4427" t="inlineStr">
        <is>
          <t>Sob</t>
        </is>
      </c>
      <c r="H4427">
        <f>'Floor Hours Engine'!$E$5</f>
        <v/>
      </c>
      <c r="I4427" t="inlineStr">
        <is>
          <t>W2</t>
        </is>
      </c>
      <c r="J4427" t="inlineStr">
        <is>
          <t>2033_Luty_W2</t>
        </is>
      </c>
    </row>
    <row r="4428">
      <c r="A4428" s="177" t="n">
        <v>48623</v>
      </c>
      <c r="B4428" s="177" t="n">
        <v>48618</v>
      </c>
      <c r="C4428" s="177" t="n">
        <v>48624</v>
      </c>
      <c r="D4428" t="inlineStr">
        <is>
          <t>BW20330208</t>
        </is>
      </c>
      <c r="E4428" t="n">
        <v>2033</v>
      </c>
      <c r="F4428" t="inlineStr">
        <is>
          <t>Luty</t>
        </is>
      </c>
      <c r="G4428" t="inlineStr">
        <is>
          <t>Nd</t>
        </is>
      </c>
      <c r="H4428">
        <f>'Floor Hours Engine'!$E$6</f>
        <v/>
      </c>
      <c r="I4428" t="inlineStr">
        <is>
          <t>W2</t>
        </is>
      </c>
      <c r="J4428" t="inlineStr">
        <is>
          <t>2033_Luty_W2</t>
        </is>
      </c>
    </row>
    <row r="4429">
      <c r="A4429" s="177" t="n">
        <v>48624</v>
      </c>
      <c r="B4429" s="177" t="n">
        <v>48618</v>
      </c>
      <c r="C4429" s="177" t="n">
        <v>48624</v>
      </c>
      <c r="D4429" t="inlineStr">
        <is>
          <t>BW20330208</t>
        </is>
      </c>
      <c r="E4429" t="n">
        <v>2033</v>
      </c>
      <c r="F4429" t="inlineStr">
        <is>
          <t>Luty</t>
        </is>
      </c>
      <c r="G4429" t="inlineStr">
        <is>
          <t>Pn</t>
        </is>
      </c>
      <c r="H4429">
        <f>'Floor Hours Engine'!$E$4</f>
        <v/>
      </c>
      <c r="I4429" t="inlineStr">
        <is>
          <t>W2</t>
        </is>
      </c>
      <c r="J4429" t="inlineStr">
        <is>
          <t>2033_Luty_W2</t>
        </is>
      </c>
    </row>
    <row r="4430">
      <c r="A4430" s="177" t="n">
        <v>48625</v>
      </c>
      <c r="B4430" s="177" t="n">
        <v>48625</v>
      </c>
      <c r="C4430" s="177" t="n">
        <v>48631</v>
      </c>
      <c r="D4430" t="inlineStr">
        <is>
          <t>BW20330215</t>
        </is>
      </c>
      <c r="E4430" t="n">
        <v>2033</v>
      </c>
      <c r="F4430" t="inlineStr">
        <is>
          <t>Luty</t>
        </is>
      </c>
      <c r="G4430" t="inlineStr">
        <is>
          <t>Wt</t>
        </is>
      </c>
      <c r="H4430">
        <f>'Floor Hours Engine'!$E$4</f>
        <v/>
      </c>
      <c r="I4430" t="inlineStr">
        <is>
          <t>W3</t>
        </is>
      </c>
      <c r="J4430" t="inlineStr">
        <is>
          <t>2033_Luty_W3</t>
        </is>
      </c>
    </row>
    <row r="4431">
      <c r="A4431" s="177" t="n">
        <v>48626</v>
      </c>
      <c r="B4431" s="177" t="n">
        <v>48625</v>
      </c>
      <c r="C4431" s="177" t="n">
        <v>48631</v>
      </c>
      <c r="D4431" t="inlineStr">
        <is>
          <t>BW20330215</t>
        </is>
      </c>
      <c r="E4431" t="n">
        <v>2033</v>
      </c>
      <c r="F4431" t="inlineStr">
        <is>
          <t>Luty</t>
        </is>
      </c>
      <c r="G4431" t="inlineStr">
        <is>
          <t>Śr</t>
        </is>
      </c>
      <c r="H4431">
        <f>'Floor Hours Engine'!$E$4</f>
        <v/>
      </c>
      <c r="I4431" t="inlineStr">
        <is>
          <t>W3</t>
        </is>
      </c>
      <c r="J4431" t="inlineStr">
        <is>
          <t>2033_Luty_W3</t>
        </is>
      </c>
    </row>
    <row r="4432">
      <c r="A4432" s="177" t="n">
        <v>48627</v>
      </c>
      <c r="B4432" s="177" t="n">
        <v>48625</v>
      </c>
      <c r="C4432" s="177" t="n">
        <v>48631</v>
      </c>
      <c r="D4432" t="inlineStr">
        <is>
          <t>BW20330215</t>
        </is>
      </c>
      <c r="E4432" t="n">
        <v>2033</v>
      </c>
      <c r="F4432" t="inlineStr">
        <is>
          <t>Luty</t>
        </is>
      </c>
      <c r="G4432" t="inlineStr">
        <is>
          <t>Czw</t>
        </is>
      </c>
      <c r="H4432">
        <f>'Floor Hours Engine'!$E$4</f>
        <v/>
      </c>
      <c r="I4432" t="inlineStr">
        <is>
          <t>W3</t>
        </is>
      </c>
      <c r="J4432" t="inlineStr">
        <is>
          <t>2033_Luty_W3</t>
        </is>
      </c>
    </row>
    <row r="4433">
      <c r="A4433" s="177" t="n">
        <v>48628</v>
      </c>
      <c r="B4433" s="177" t="n">
        <v>48625</v>
      </c>
      <c r="C4433" s="177" t="n">
        <v>48631</v>
      </c>
      <c r="D4433" t="inlineStr">
        <is>
          <t>BW20330215</t>
        </is>
      </c>
      <c r="E4433" t="n">
        <v>2033</v>
      </c>
      <c r="F4433" t="inlineStr">
        <is>
          <t>Luty</t>
        </is>
      </c>
      <c r="G4433" t="inlineStr">
        <is>
          <t>Pt</t>
        </is>
      </c>
      <c r="H4433">
        <f>'Floor Hours Engine'!$E$5</f>
        <v/>
      </c>
      <c r="I4433" t="inlineStr">
        <is>
          <t>W3</t>
        </is>
      </c>
      <c r="J4433" t="inlineStr">
        <is>
          <t>2033_Luty_W3</t>
        </is>
      </c>
    </row>
    <row r="4434">
      <c r="A4434" s="177" t="n">
        <v>48629</v>
      </c>
      <c r="B4434" s="177" t="n">
        <v>48625</v>
      </c>
      <c r="C4434" s="177" t="n">
        <v>48631</v>
      </c>
      <c r="D4434" t="inlineStr">
        <is>
          <t>BW20330215</t>
        </is>
      </c>
      <c r="E4434" t="n">
        <v>2033</v>
      </c>
      <c r="F4434" t="inlineStr">
        <is>
          <t>Luty</t>
        </is>
      </c>
      <c r="G4434" t="inlineStr">
        <is>
          <t>Sob</t>
        </is>
      </c>
      <c r="H4434">
        <f>'Floor Hours Engine'!$E$5</f>
        <v/>
      </c>
      <c r="I4434" t="inlineStr">
        <is>
          <t>W3</t>
        </is>
      </c>
      <c r="J4434" t="inlineStr">
        <is>
          <t>2033_Luty_W3</t>
        </is>
      </c>
    </row>
    <row r="4435">
      <c r="A4435" s="177" t="n">
        <v>48630</v>
      </c>
      <c r="B4435" s="177" t="n">
        <v>48625</v>
      </c>
      <c r="C4435" s="177" t="n">
        <v>48631</v>
      </c>
      <c r="D4435" t="inlineStr">
        <is>
          <t>BW20330215</t>
        </is>
      </c>
      <c r="E4435" t="n">
        <v>2033</v>
      </c>
      <c r="F4435" t="inlineStr">
        <is>
          <t>Luty</t>
        </is>
      </c>
      <c r="G4435" t="inlineStr">
        <is>
          <t>Nd</t>
        </is>
      </c>
      <c r="H4435">
        <f>'Floor Hours Engine'!$E$6</f>
        <v/>
      </c>
      <c r="I4435" t="inlineStr">
        <is>
          <t>W3</t>
        </is>
      </c>
      <c r="J4435" t="inlineStr">
        <is>
          <t>2033_Luty_W3</t>
        </is>
      </c>
    </row>
    <row r="4436">
      <c r="A4436" s="177" t="n">
        <v>48631</v>
      </c>
      <c r="B4436" s="177" t="n">
        <v>48625</v>
      </c>
      <c r="C4436" s="177" t="n">
        <v>48631</v>
      </c>
      <c r="D4436" t="inlineStr">
        <is>
          <t>BW20330215</t>
        </is>
      </c>
      <c r="E4436" t="n">
        <v>2033</v>
      </c>
      <c r="F4436" t="inlineStr">
        <is>
          <t>Luty</t>
        </is>
      </c>
      <c r="G4436" t="inlineStr">
        <is>
          <t>Pn</t>
        </is>
      </c>
      <c r="H4436">
        <f>'Floor Hours Engine'!$E$4</f>
        <v/>
      </c>
      <c r="I4436" t="inlineStr">
        <is>
          <t>W3</t>
        </is>
      </c>
      <c r="J4436" t="inlineStr">
        <is>
          <t>2033_Luty_W3</t>
        </is>
      </c>
    </row>
    <row r="4437">
      <c r="A4437" s="177" t="n">
        <v>48632</v>
      </c>
      <c r="B4437" s="177" t="n">
        <v>48632</v>
      </c>
      <c r="C4437" s="177" t="n">
        <v>48638</v>
      </c>
      <c r="D4437" t="inlineStr">
        <is>
          <t>BW20330222</t>
        </is>
      </c>
      <c r="E4437" t="n">
        <v>2033</v>
      </c>
      <c r="F4437" t="inlineStr">
        <is>
          <t>Luty</t>
        </is>
      </c>
      <c r="G4437" t="inlineStr">
        <is>
          <t>Wt</t>
        </is>
      </c>
      <c r="H4437">
        <f>'Floor Hours Engine'!$E$4</f>
        <v/>
      </c>
      <c r="I4437" t="inlineStr">
        <is>
          <t>W4</t>
        </is>
      </c>
      <c r="J4437" t="inlineStr">
        <is>
          <t>2033_Luty_W4</t>
        </is>
      </c>
    </row>
    <row r="4438">
      <c r="A4438" s="177" t="n">
        <v>48633</v>
      </c>
      <c r="B4438" s="177" t="n">
        <v>48632</v>
      </c>
      <c r="C4438" s="177" t="n">
        <v>48638</v>
      </c>
      <c r="D4438" t="inlineStr">
        <is>
          <t>BW20330222</t>
        </is>
      </c>
      <c r="E4438" t="n">
        <v>2033</v>
      </c>
      <c r="F4438" t="inlineStr">
        <is>
          <t>Luty</t>
        </is>
      </c>
      <c r="G4438" t="inlineStr">
        <is>
          <t>Śr</t>
        </is>
      </c>
      <c r="H4438">
        <f>'Floor Hours Engine'!$E$4</f>
        <v/>
      </c>
      <c r="I4438" t="inlineStr">
        <is>
          <t>W4</t>
        </is>
      </c>
      <c r="J4438" t="inlineStr">
        <is>
          <t>2033_Luty_W4</t>
        </is>
      </c>
    </row>
    <row r="4439">
      <c r="A4439" s="177" t="n">
        <v>48634</v>
      </c>
      <c r="B4439" s="177" t="n">
        <v>48632</v>
      </c>
      <c r="C4439" s="177" t="n">
        <v>48638</v>
      </c>
      <c r="D4439" t="inlineStr">
        <is>
          <t>BW20330222</t>
        </is>
      </c>
      <c r="E4439" t="n">
        <v>2033</v>
      </c>
      <c r="F4439" t="inlineStr">
        <is>
          <t>Luty</t>
        </is>
      </c>
      <c r="G4439" t="inlineStr">
        <is>
          <t>Czw</t>
        </is>
      </c>
      <c r="H4439">
        <f>'Floor Hours Engine'!$E$4</f>
        <v/>
      </c>
      <c r="I4439" t="inlineStr">
        <is>
          <t>W4</t>
        </is>
      </c>
      <c r="J4439" t="inlineStr">
        <is>
          <t>2033_Luty_W4</t>
        </is>
      </c>
    </row>
    <row r="4440">
      <c r="A4440" s="177" t="n">
        <v>48635</v>
      </c>
      <c r="B4440" s="177" t="n">
        <v>48632</v>
      </c>
      <c r="C4440" s="177" t="n">
        <v>48638</v>
      </c>
      <c r="D4440" t="inlineStr">
        <is>
          <t>BW20330222</t>
        </is>
      </c>
      <c r="E4440" t="n">
        <v>2033</v>
      </c>
      <c r="F4440" t="inlineStr">
        <is>
          <t>Luty</t>
        </is>
      </c>
      <c r="G4440" t="inlineStr">
        <is>
          <t>Pt</t>
        </is>
      </c>
      <c r="H4440">
        <f>'Floor Hours Engine'!$E$5</f>
        <v/>
      </c>
      <c r="I4440" t="inlineStr">
        <is>
          <t>W4</t>
        </is>
      </c>
      <c r="J4440" t="inlineStr">
        <is>
          <t>2033_Luty_W4</t>
        </is>
      </c>
    </row>
    <row r="4441">
      <c r="A4441" s="177" t="n">
        <v>48636</v>
      </c>
      <c r="B4441" s="177" t="n">
        <v>48632</v>
      </c>
      <c r="C4441" s="177" t="n">
        <v>48638</v>
      </c>
      <c r="D4441" t="inlineStr">
        <is>
          <t>BW20330222</t>
        </is>
      </c>
      <c r="E4441" t="n">
        <v>2033</v>
      </c>
      <c r="F4441" t="inlineStr">
        <is>
          <t>Luty</t>
        </is>
      </c>
      <c r="G4441" t="inlineStr">
        <is>
          <t>Sob</t>
        </is>
      </c>
      <c r="H4441">
        <f>'Floor Hours Engine'!$E$5</f>
        <v/>
      </c>
      <c r="I4441" t="inlineStr">
        <is>
          <t>W4</t>
        </is>
      </c>
      <c r="J4441" t="inlineStr">
        <is>
          <t>2033_Luty_W4</t>
        </is>
      </c>
    </row>
    <row r="4442">
      <c r="A4442" s="177" t="n">
        <v>48637</v>
      </c>
      <c r="B4442" s="177" t="n">
        <v>48632</v>
      </c>
      <c r="C4442" s="177" t="n">
        <v>48638</v>
      </c>
      <c r="D4442" t="inlineStr">
        <is>
          <t>BW20330222</t>
        </is>
      </c>
      <c r="E4442" t="n">
        <v>2033</v>
      </c>
      <c r="F4442" t="inlineStr">
        <is>
          <t>Luty</t>
        </is>
      </c>
      <c r="G4442" t="inlineStr">
        <is>
          <t>Nd</t>
        </is>
      </c>
      <c r="H4442">
        <f>'Floor Hours Engine'!$E$6</f>
        <v/>
      </c>
      <c r="I4442" t="inlineStr">
        <is>
          <t>W4</t>
        </is>
      </c>
      <c r="J4442" t="inlineStr">
        <is>
          <t>2033_Luty_W4</t>
        </is>
      </c>
    </row>
    <row r="4443">
      <c r="A4443" s="177" t="n">
        <v>48638</v>
      </c>
      <c r="B4443" s="177" t="n">
        <v>48632</v>
      </c>
      <c r="C4443" s="177" t="n">
        <v>48638</v>
      </c>
      <c r="D4443" t="inlineStr">
        <is>
          <t>BW20330222</t>
        </is>
      </c>
      <c r="E4443" t="n">
        <v>2033</v>
      </c>
      <c r="F4443" t="inlineStr">
        <is>
          <t>Luty</t>
        </is>
      </c>
      <c r="G4443" t="inlineStr">
        <is>
          <t>Pn</t>
        </is>
      </c>
      <c r="H4443">
        <f>'Floor Hours Engine'!$E$4</f>
        <v/>
      </c>
      <c r="I4443" t="inlineStr">
        <is>
          <t>W4</t>
        </is>
      </c>
      <c r="J4443" t="inlineStr">
        <is>
          <t>2033_Luty_W4</t>
        </is>
      </c>
    </row>
    <row r="4444">
      <c r="A4444" s="177" t="n">
        <v>48639</v>
      </c>
      <c r="B4444" s="177" t="n">
        <v>48639</v>
      </c>
      <c r="C4444" s="177" t="n">
        <v>48645</v>
      </c>
      <c r="D4444" t="inlineStr">
        <is>
          <t>BW20330301</t>
        </is>
      </c>
      <c r="E4444" t="n">
        <v>2033</v>
      </c>
      <c r="F4444" t="inlineStr">
        <is>
          <t>Marzec</t>
        </is>
      </c>
      <c r="G4444" t="inlineStr">
        <is>
          <t>Wt</t>
        </is>
      </c>
      <c r="H4444">
        <f>'Floor Hours Engine'!$E$4</f>
        <v/>
      </c>
      <c r="I4444" t="inlineStr">
        <is>
          <t>W1</t>
        </is>
      </c>
      <c r="J4444" t="inlineStr">
        <is>
          <t>2033_Marzec_W1</t>
        </is>
      </c>
    </row>
    <row r="4445">
      <c r="A4445" s="177" t="n">
        <v>48640</v>
      </c>
      <c r="B4445" s="177" t="n">
        <v>48639</v>
      </c>
      <c r="C4445" s="177" t="n">
        <v>48645</v>
      </c>
      <c r="D4445" t="inlineStr">
        <is>
          <t>BW20330301</t>
        </is>
      </c>
      <c r="E4445" t="n">
        <v>2033</v>
      </c>
      <c r="F4445" t="inlineStr">
        <is>
          <t>Marzec</t>
        </is>
      </c>
      <c r="G4445" t="inlineStr">
        <is>
          <t>Śr</t>
        </is>
      </c>
      <c r="H4445">
        <f>'Floor Hours Engine'!$E$4</f>
        <v/>
      </c>
      <c r="I4445" t="inlineStr">
        <is>
          <t>W1</t>
        </is>
      </c>
      <c r="J4445" t="inlineStr">
        <is>
          <t>2033_Marzec_W1</t>
        </is>
      </c>
    </row>
    <row r="4446">
      <c r="A4446" s="177" t="n">
        <v>48641</v>
      </c>
      <c r="B4446" s="177" t="n">
        <v>48639</v>
      </c>
      <c r="C4446" s="177" t="n">
        <v>48645</v>
      </c>
      <c r="D4446" t="inlineStr">
        <is>
          <t>BW20330301</t>
        </is>
      </c>
      <c r="E4446" t="n">
        <v>2033</v>
      </c>
      <c r="F4446" t="inlineStr">
        <is>
          <t>Marzec</t>
        </is>
      </c>
      <c r="G4446" t="inlineStr">
        <is>
          <t>Czw</t>
        </is>
      </c>
      <c r="H4446">
        <f>'Floor Hours Engine'!$E$4</f>
        <v/>
      </c>
      <c r="I4446" t="inlineStr">
        <is>
          <t>W1</t>
        </is>
      </c>
      <c r="J4446" t="inlineStr">
        <is>
          <t>2033_Marzec_W1</t>
        </is>
      </c>
    </row>
    <row r="4447">
      <c r="A4447" s="177" t="n">
        <v>48642</v>
      </c>
      <c r="B4447" s="177" t="n">
        <v>48639</v>
      </c>
      <c r="C4447" s="177" t="n">
        <v>48645</v>
      </c>
      <c r="D4447" t="inlineStr">
        <is>
          <t>BW20330301</t>
        </is>
      </c>
      <c r="E4447" t="n">
        <v>2033</v>
      </c>
      <c r="F4447" t="inlineStr">
        <is>
          <t>Marzec</t>
        </is>
      </c>
      <c r="G4447" t="inlineStr">
        <is>
          <t>Pt</t>
        </is>
      </c>
      <c r="H4447">
        <f>'Floor Hours Engine'!$E$5</f>
        <v/>
      </c>
      <c r="I4447" t="inlineStr">
        <is>
          <t>W1</t>
        </is>
      </c>
      <c r="J4447" t="inlineStr">
        <is>
          <t>2033_Marzec_W1</t>
        </is>
      </c>
    </row>
    <row r="4448">
      <c r="A4448" s="177" t="n">
        <v>48643</v>
      </c>
      <c r="B4448" s="177" t="n">
        <v>48639</v>
      </c>
      <c r="C4448" s="177" t="n">
        <v>48645</v>
      </c>
      <c r="D4448" t="inlineStr">
        <is>
          <t>BW20330301</t>
        </is>
      </c>
      <c r="E4448" t="n">
        <v>2033</v>
      </c>
      <c r="F4448" t="inlineStr">
        <is>
          <t>Marzec</t>
        </is>
      </c>
      <c r="G4448" t="inlineStr">
        <is>
          <t>Sob</t>
        </is>
      </c>
      <c r="H4448">
        <f>'Floor Hours Engine'!$E$5</f>
        <v/>
      </c>
      <c r="I4448" t="inlineStr">
        <is>
          <t>W1</t>
        </is>
      </c>
      <c r="J4448" t="inlineStr">
        <is>
          <t>2033_Marzec_W1</t>
        </is>
      </c>
    </row>
    <row r="4449">
      <c r="A4449" s="177" t="n">
        <v>48644</v>
      </c>
      <c r="B4449" s="177" t="n">
        <v>48639</v>
      </c>
      <c r="C4449" s="177" t="n">
        <v>48645</v>
      </c>
      <c r="D4449" t="inlineStr">
        <is>
          <t>BW20330301</t>
        </is>
      </c>
      <c r="E4449" t="n">
        <v>2033</v>
      </c>
      <c r="F4449" t="inlineStr">
        <is>
          <t>Marzec</t>
        </is>
      </c>
      <c r="G4449" t="inlineStr">
        <is>
          <t>Nd</t>
        </is>
      </c>
      <c r="H4449">
        <f>'Floor Hours Engine'!$E$6</f>
        <v/>
      </c>
      <c r="I4449" t="inlineStr">
        <is>
          <t>W1</t>
        </is>
      </c>
      <c r="J4449" t="inlineStr">
        <is>
          <t>2033_Marzec_W1</t>
        </is>
      </c>
    </row>
    <row r="4450">
      <c r="A4450" s="177" t="n">
        <v>48645</v>
      </c>
      <c r="B4450" s="177" t="n">
        <v>48639</v>
      </c>
      <c r="C4450" s="177" t="n">
        <v>48645</v>
      </c>
      <c r="D4450" t="inlineStr">
        <is>
          <t>BW20330301</t>
        </is>
      </c>
      <c r="E4450" t="n">
        <v>2033</v>
      </c>
      <c r="F4450" t="inlineStr">
        <is>
          <t>Marzec</t>
        </is>
      </c>
      <c r="G4450" t="inlineStr">
        <is>
          <t>Pn</t>
        </is>
      </c>
      <c r="H4450">
        <f>'Floor Hours Engine'!$E$4</f>
        <v/>
      </c>
      <c r="I4450" t="inlineStr">
        <is>
          <t>W1</t>
        </is>
      </c>
      <c r="J4450" t="inlineStr">
        <is>
          <t>2033_Marzec_W1</t>
        </is>
      </c>
    </row>
    <row r="4451">
      <c r="A4451" s="177" t="n">
        <v>48646</v>
      </c>
      <c r="B4451" s="177" t="n">
        <v>48646</v>
      </c>
      <c r="C4451" s="177" t="n">
        <v>48652</v>
      </c>
      <c r="D4451" t="inlineStr">
        <is>
          <t>BW20330308</t>
        </is>
      </c>
      <c r="E4451" t="n">
        <v>2033</v>
      </c>
      <c r="F4451" t="inlineStr">
        <is>
          <t>Marzec</t>
        </is>
      </c>
      <c r="G4451" t="inlineStr">
        <is>
          <t>Wt</t>
        </is>
      </c>
      <c r="H4451">
        <f>'Floor Hours Engine'!$E$4</f>
        <v/>
      </c>
      <c r="I4451" t="inlineStr">
        <is>
          <t>W2</t>
        </is>
      </c>
      <c r="J4451" t="inlineStr">
        <is>
          <t>2033_Marzec_W2</t>
        </is>
      </c>
    </row>
    <row r="4452">
      <c r="A4452" s="177" t="n">
        <v>48647</v>
      </c>
      <c r="B4452" s="177" t="n">
        <v>48646</v>
      </c>
      <c r="C4452" s="177" t="n">
        <v>48652</v>
      </c>
      <c r="D4452" t="inlineStr">
        <is>
          <t>BW20330308</t>
        </is>
      </c>
      <c r="E4452" t="n">
        <v>2033</v>
      </c>
      <c r="F4452" t="inlineStr">
        <is>
          <t>Marzec</t>
        </is>
      </c>
      <c r="G4452" t="inlineStr">
        <is>
          <t>Śr</t>
        </is>
      </c>
      <c r="H4452">
        <f>'Floor Hours Engine'!$E$4</f>
        <v/>
      </c>
      <c r="I4452" t="inlineStr">
        <is>
          <t>W2</t>
        </is>
      </c>
      <c r="J4452" t="inlineStr">
        <is>
          <t>2033_Marzec_W2</t>
        </is>
      </c>
    </row>
    <row r="4453">
      <c r="A4453" s="177" t="n">
        <v>48648</v>
      </c>
      <c r="B4453" s="177" t="n">
        <v>48646</v>
      </c>
      <c r="C4453" s="177" t="n">
        <v>48652</v>
      </c>
      <c r="D4453" t="inlineStr">
        <is>
          <t>BW20330308</t>
        </is>
      </c>
      <c r="E4453" t="n">
        <v>2033</v>
      </c>
      <c r="F4453" t="inlineStr">
        <is>
          <t>Marzec</t>
        </is>
      </c>
      <c r="G4453" t="inlineStr">
        <is>
          <t>Czw</t>
        </is>
      </c>
      <c r="H4453">
        <f>'Floor Hours Engine'!$E$4</f>
        <v/>
      </c>
      <c r="I4453" t="inlineStr">
        <is>
          <t>W2</t>
        </is>
      </c>
      <c r="J4453" t="inlineStr">
        <is>
          <t>2033_Marzec_W2</t>
        </is>
      </c>
    </row>
    <row r="4454">
      <c r="A4454" s="177" t="n">
        <v>48649</v>
      </c>
      <c r="B4454" s="177" t="n">
        <v>48646</v>
      </c>
      <c r="C4454" s="177" t="n">
        <v>48652</v>
      </c>
      <c r="D4454" t="inlineStr">
        <is>
          <t>BW20330308</t>
        </is>
      </c>
      <c r="E4454" t="n">
        <v>2033</v>
      </c>
      <c r="F4454" t="inlineStr">
        <is>
          <t>Marzec</t>
        </is>
      </c>
      <c r="G4454" t="inlineStr">
        <is>
          <t>Pt</t>
        </is>
      </c>
      <c r="H4454">
        <f>'Floor Hours Engine'!$E$5</f>
        <v/>
      </c>
      <c r="I4454" t="inlineStr">
        <is>
          <t>W2</t>
        </is>
      </c>
      <c r="J4454" t="inlineStr">
        <is>
          <t>2033_Marzec_W2</t>
        </is>
      </c>
    </row>
    <row r="4455">
      <c r="A4455" s="177" t="n">
        <v>48650</v>
      </c>
      <c r="B4455" s="177" t="n">
        <v>48646</v>
      </c>
      <c r="C4455" s="177" t="n">
        <v>48652</v>
      </c>
      <c r="D4455" t="inlineStr">
        <is>
          <t>BW20330308</t>
        </is>
      </c>
      <c r="E4455" t="n">
        <v>2033</v>
      </c>
      <c r="F4455" t="inlineStr">
        <is>
          <t>Marzec</t>
        </is>
      </c>
      <c r="G4455" t="inlineStr">
        <is>
          <t>Sob</t>
        </is>
      </c>
      <c r="H4455">
        <f>'Floor Hours Engine'!$E$5</f>
        <v/>
      </c>
      <c r="I4455" t="inlineStr">
        <is>
          <t>W2</t>
        </is>
      </c>
      <c r="J4455" t="inlineStr">
        <is>
          <t>2033_Marzec_W2</t>
        </is>
      </c>
    </row>
    <row r="4456">
      <c r="A4456" s="177" t="n">
        <v>48651</v>
      </c>
      <c r="B4456" s="177" t="n">
        <v>48646</v>
      </c>
      <c r="C4456" s="177" t="n">
        <v>48652</v>
      </c>
      <c r="D4456" t="inlineStr">
        <is>
          <t>BW20330308</t>
        </is>
      </c>
      <c r="E4456" t="n">
        <v>2033</v>
      </c>
      <c r="F4456" t="inlineStr">
        <is>
          <t>Marzec</t>
        </is>
      </c>
      <c r="G4456" t="inlineStr">
        <is>
          <t>Nd</t>
        </is>
      </c>
      <c r="H4456">
        <f>'Floor Hours Engine'!$E$6</f>
        <v/>
      </c>
      <c r="I4456" t="inlineStr">
        <is>
          <t>W2</t>
        </is>
      </c>
      <c r="J4456" t="inlineStr">
        <is>
          <t>2033_Marzec_W2</t>
        </is>
      </c>
    </row>
    <row r="4457">
      <c r="A4457" s="177" t="n">
        <v>48652</v>
      </c>
      <c r="B4457" s="177" t="n">
        <v>48646</v>
      </c>
      <c r="C4457" s="177" t="n">
        <v>48652</v>
      </c>
      <c r="D4457" t="inlineStr">
        <is>
          <t>BW20330308</t>
        </is>
      </c>
      <c r="E4457" t="n">
        <v>2033</v>
      </c>
      <c r="F4457" t="inlineStr">
        <is>
          <t>Marzec</t>
        </is>
      </c>
      <c r="G4457" t="inlineStr">
        <is>
          <t>Pn</t>
        </is>
      </c>
      <c r="H4457">
        <f>'Floor Hours Engine'!$E$4</f>
        <v/>
      </c>
      <c r="I4457" t="inlineStr">
        <is>
          <t>W2</t>
        </is>
      </c>
      <c r="J4457" t="inlineStr">
        <is>
          <t>2033_Marzec_W2</t>
        </is>
      </c>
    </row>
    <row r="4458">
      <c r="A4458" s="177" t="n">
        <v>48653</v>
      </c>
      <c r="B4458" s="177" t="n">
        <v>48653</v>
      </c>
      <c r="C4458" s="177" t="n">
        <v>48659</v>
      </c>
      <c r="D4458" t="inlineStr">
        <is>
          <t>BW20330315</t>
        </is>
      </c>
      <c r="E4458" t="n">
        <v>2033</v>
      </c>
      <c r="F4458" t="inlineStr">
        <is>
          <t>Marzec</t>
        </is>
      </c>
      <c r="G4458" t="inlineStr">
        <is>
          <t>Wt</t>
        </is>
      </c>
      <c r="H4458">
        <f>'Floor Hours Engine'!$E$4</f>
        <v/>
      </c>
      <c r="I4458" t="inlineStr">
        <is>
          <t>W3</t>
        </is>
      </c>
      <c r="J4458" t="inlineStr">
        <is>
          <t>2033_Marzec_W3</t>
        </is>
      </c>
    </row>
    <row r="4459">
      <c r="A4459" s="177" t="n">
        <v>48654</v>
      </c>
      <c r="B4459" s="177" t="n">
        <v>48653</v>
      </c>
      <c r="C4459" s="177" t="n">
        <v>48659</v>
      </c>
      <c r="D4459" t="inlineStr">
        <is>
          <t>BW20330315</t>
        </is>
      </c>
      <c r="E4459" t="n">
        <v>2033</v>
      </c>
      <c r="F4459" t="inlineStr">
        <is>
          <t>Marzec</t>
        </is>
      </c>
      <c r="G4459" t="inlineStr">
        <is>
          <t>Śr</t>
        </is>
      </c>
      <c r="H4459">
        <f>'Floor Hours Engine'!$E$4</f>
        <v/>
      </c>
      <c r="I4459" t="inlineStr">
        <is>
          <t>W3</t>
        </is>
      </c>
      <c r="J4459" t="inlineStr">
        <is>
          <t>2033_Marzec_W3</t>
        </is>
      </c>
    </row>
    <row r="4460">
      <c r="A4460" s="177" t="n">
        <v>48655</v>
      </c>
      <c r="B4460" s="177" t="n">
        <v>48653</v>
      </c>
      <c r="C4460" s="177" t="n">
        <v>48659</v>
      </c>
      <c r="D4460" t="inlineStr">
        <is>
          <t>BW20330315</t>
        </is>
      </c>
      <c r="E4460" t="n">
        <v>2033</v>
      </c>
      <c r="F4460" t="inlineStr">
        <is>
          <t>Marzec</t>
        </is>
      </c>
      <c r="G4460" t="inlineStr">
        <is>
          <t>Czw</t>
        </is>
      </c>
      <c r="H4460">
        <f>'Floor Hours Engine'!$E$4</f>
        <v/>
      </c>
      <c r="I4460" t="inlineStr">
        <is>
          <t>W3</t>
        </is>
      </c>
      <c r="J4460" t="inlineStr">
        <is>
          <t>2033_Marzec_W3</t>
        </is>
      </c>
    </row>
    <row r="4461">
      <c r="A4461" s="177" t="n">
        <v>48656</v>
      </c>
      <c r="B4461" s="177" t="n">
        <v>48653</v>
      </c>
      <c r="C4461" s="177" t="n">
        <v>48659</v>
      </c>
      <c r="D4461" t="inlineStr">
        <is>
          <t>BW20330315</t>
        </is>
      </c>
      <c r="E4461" t="n">
        <v>2033</v>
      </c>
      <c r="F4461" t="inlineStr">
        <is>
          <t>Marzec</t>
        </is>
      </c>
      <c r="G4461" t="inlineStr">
        <is>
          <t>Pt</t>
        </is>
      </c>
      <c r="H4461">
        <f>'Floor Hours Engine'!$E$5</f>
        <v/>
      </c>
      <c r="I4461" t="inlineStr">
        <is>
          <t>W3</t>
        </is>
      </c>
      <c r="J4461" t="inlineStr">
        <is>
          <t>2033_Marzec_W3</t>
        </is>
      </c>
    </row>
    <row r="4462">
      <c r="A4462" s="177" t="n">
        <v>48657</v>
      </c>
      <c r="B4462" s="177" t="n">
        <v>48653</v>
      </c>
      <c r="C4462" s="177" t="n">
        <v>48659</v>
      </c>
      <c r="D4462" t="inlineStr">
        <is>
          <t>BW20330315</t>
        </is>
      </c>
      <c r="E4462" t="n">
        <v>2033</v>
      </c>
      <c r="F4462" t="inlineStr">
        <is>
          <t>Marzec</t>
        </is>
      </c>
      <c r="G4462" t="inlineStr">
        <is>
          <t>Sob</t>
        </is>
      </c>
      <c r="H4462">
        <f>'Floor Hours Engine'!$E$5</f>
        <v/>
      </c>
      <c r="I4462" t="inlineStr">
        <is>
          <t>W3</t>
        </is>
      </c>
      <c r="J4462" t="inlineStr">
        <is>
          <t>2033_Marzec_W3</t>
        </is>
      </c>
    </row>
    <row r="4463">
      <c r="A4463" s="177" t="n">
        <v>48658</v>
      </c>
      <c r="B4463" s="177" t="n">
        <v>48653</v>
      </c>
      <c r="C4463" s="177" t="n">
        <v>48659</v>
      </c>
      <c r="D4463" t="inlineStr">
        <is>
          <t>BW20330315</t>
        </is>
      </c>
      <c r="E4463" t="n">
        <v>2033</v>
      </c>
      <c r="F4463" t="inlineStr">
        <is>
          <t>Marzec</t>
        </is>
      </c>
      <c r="G4463" t="inlineStr">
        <is>
          <t>Nd</t>
        </is>
      </c>
      <c r="H4463">
        <f>'Floor Hours Engine'!$E$6</f>
        <v/>
      </c>
      <c r="I4463" t="inlineStr">
        <is>
          <t>W3</t>
        </is>
      </c>
      <c r="J4463" t="inlineStr">
        <is>
          <t>2033_Marzec_W3</t>
        </is>
      </c>
    </row>
    <row r="4464">
      <c r="A4464" s="177" t="n">
        <v>48659</v>
      </c>
      <c r="B4464" s="177" t="n">
        <v>48653</v>
      </c>
      <c r="C4464" s="177" t="n">
        <v>48659</v>
      </c>
      <c r="D4464" t="inlineStr">
        <is>
          <t>BW20330315</t>
        </is>
      </c>
      <c r="E4464" t="n">
        <v>2033</v>
      </c>
      <c r="F4464" t="inlineStr">
        <is>
          <t>Marzec</t>
        </is>
      </c>
      <c r="G4464" t="inlineStr">
        <is>
          <t>Pn</t>
        </is>
      </c>
      <c r="H4464">
        <f>'Floor Hours Engine'!$E$4</f>
        <v/>
      </c>
      <c r="I4464" t="inlineStr">
        <is>
          <t>W3</t>
        </is>
      </c>
      <c r="J4464" t="inlineStr">
        <is>
          <t>2033_Marzec_W3</t>
        </is>
      </c>
    </row>
    <row r="4465">
      <c r="A4465" s="177" t="n">
        <v>48660</v>
      </c>
      <c r="B4465" s="177" t="n">
        <v>48660</v>
      </c>
      <c r="C4465" s="177" t="n">
        <v>48666</v>
      </c>
      <c r="D4465" t="inlineStr">
        <is>
          <t>BW20330322</t>
        </is>
      </c>
      <c r="E4465" t="n">
        <v>2033</v>
      </c>
      <c r="F4465" t="inlineStr">
        <is>
          <t>Marzec</t>
        </is>
      </c>
      <c r="G4465" t="inlineStr">
        <is>
          <t>Wt</t>
        </is>
      </c>
      <c r="H4465">
        <f>'Floor Hours Engine'!$E$4</f>
        <v/>
      </c>
      <c r="I4465" t="inlineStr">
        <is>
          <t>W4</t>
        </is>
      </c>
      <c r="J4465" t="inlineStr">
        <is>
          <t>2033_Marzec_W4</t>
        </is>
      </c>
    </row>
    <row r="4466">
      <c r="A4466" s="177" t="n">
        <v>48661</v>
      </c>
      <c r="B4466" s="177" t="n">
        <v>48660</v>
      </c>
      <c r="C4466" s="177" t="n">
        <v>48666</v>
      </c>
      <c r="D4466" t="inlineStr">
        <is>
          <t>BW20330322</t>
        </is>
      </c>
      <c r="E4466" t="n">
        <v>2033</v>
      </c>
      <c r="F4466" t="inlineStr">
        <is>
          <t>Marzec</t>
        </is>
      </c>
      <c r="G4466" t="inlineStr">
        <is>
          <t>Śr</t>
        </is>
      </c>
      <c r="H4466">
        <f>'Floor Hours Engine'!$E$4</f>
        <v/>
      </c>
      <c r="I4466" t="inlineStr">
        <is>
          <t>W4</t>
        </is>
      </c>
      <c r="J4466" t="inlineStr">
        <is>
          <t>2033_Marzec_W4</t>
        </is>
      </c>
    </row>
    <row r="4467">
      <c r="A4467" s="177" t="n">
        <v>48662</v>
      </c>
      <c r="B4467" s="177" t="n">
        <v>48660</v>
      </c>
      <c r="C4467" s="177" t="n">
        <v>48666</v>
      </c>
      <c r="D4467" t="inlineStr">
        <is>
          <t>BW20330322</t>
        </is>
      </c>
      <c r="E4467" t="n">
        <v>2033</v>
      </c>
      <c r="F4467" t="inlineStr">
        <is>
          <t>Marzec</t>
        </is>
      </c>
      <c r="G4467" t="inlineStr">
        <is>
          <t>Czw</t>
        </is>
      </c>
      <c r="H4467">
        <f>'Floor Hours Engine'!$E$4</f>
        <v/>
      </c>
      <c r="I4467" t="inlineStr">
        <is>
          <t>W4</t>
        </is>
      </c>
      <c r="J4467" t="inlineStr">
        <is>
          <t>2033_Marzec_W4</t>
        </is>
      </c>
    </row>
    <row r="4468">
      <c r="A4468" s="177" t="n">
        <v>48663</v>
      </c>
      <c r="B4468" s="177" t="n">
        <v>48660</v>
      </c>
      <c r="C4468" s="177" t="n">
        <v>48666</v>
      </c>
      <c r="D4468" t="inlineStr">
        <is>
          <t>BW20330322</t>
        </is>
      </c>
      <c r="E4468" t="n">
        <v>2033</v>
      </c>
      <c r="F4468" t="inlineStr">
        <is>
          <t>Marzec</t>
        </is>
      </c>
      <c r="G4468" t="inlineStr">
        <is>
          <t>Pt</t>
        </is>
      </c>
      <c r="H4468">
        <f>'Floor Hours Engine'!$E$5</f>
        <v/>
      </c>
      <c r="I4468" t="inlineStr">
        <is>
          <t>W4</t>
        </is>
      </c>
      <c r="J4468" t="inlineStr">
        <is>
          <t>2033_Marzec_W4</t>
        </is>
      </c>
    </row>
    <row r="4469">
      <c r="A4469" s="177" t="n">
        <v>48664</v>
      </c>
      <c r="B4469" s="177" t="n">
        <v>48660</v>
      </c>
      <c r="C4469" s="177" t="n">
        <v>48666</v>
      </c>
      <c r="D4469" t="inlineStr">
        <is>
          <t>BW20330322</t>
        </is>
      </c>
      <c r="E4469" t="n">
        <v>2033</v>
      </c>
      <c r="F4469" t="inlineStr">
        <is>
          <t>Marzec</t>
        </is>
      </c>
      <c r="G4469" t="inlineStr">
        <is>
          <t>Sob</t>
        </is>
      </c>
      <c r="H4469">
        <f>'Floor Hours Engine'!$E$5</f>
        <v/>
      </c>
      <c r="I4469" t="inlineStr">
        <is>
          <t>W4</t>
        </is>
      </c>
      <c r="J4469" t="inlineStr">
        <is>
          <t>2033_Marzec_W4</t>
        </is>
      </c>
    </row>
    <row r="4470">
      <c r="A4470" s="177" t="n">
        <v>48665</v>
      </c>
      <c r="B4470" s="177" t="n">
        <v>48660</v>
      </c>
      <c r="C4470" s="177" t="n">
        <v>48666</v>
      </c>
      <c r="D4470" t="inlineStr">
        <is>
          <t>BW20330322</t>
        </is>
      </c>
      <c r="E4470" t="n">
        <v>2033</v>
      </c>
      <c r="F4470" t="inlineStr">
        <is>
          <t>Marzec</t>
        </is>
      </c>
      <c r="G4470" t="inlineStr">
        <is>
          <t>Nd</t>
        </is>
      </c>
      <c r="H4470">
        <f>'Floor Hours Engine'!$E$6</f>
        <v/>
      </c>
      <c r="I4470" t="inlineStr">
        <is>
          <t>W4</t>
        </is>
      </c>
      <c r="J4470" t="inlineStr">
        <is>
          <t>2033_Marzec_W4</t>
        </is>
      </c>
    </row>
    <row r="4471">
      <c r="A4471" s="177" t="n">
        <v>48666</v>
      </c>
      <c r="B4471" s="177" t="n">
        <v>48660</v>
      </c>
      <c r="C4471" s="177" t="n">
        <v>48666</v>
      </c>
      <c r="D4471" t="inlineStr">
        <is>
          <t>BW20330322</t>
        </is>
      </c>
      <c r="E4471" t="n">
        <v>2033</v>
      </c>
      <c r="F4471" t="inlineStr">
        <is>
          <t>Marzec</t>
        </is>
      </c>
      <c r="G4471" t="inlineStr">
        <is>
          <t>Pn</t>
        </is>
      </c>
      <c r="H4471">
        <f>'Floor Hours Engine'!$E$4</f>
        <v/>
      </c>
      <c r="I4471" t="inlineStr">
        <is>
          <t>W4</t>
        </is>
      </c>
      <c r="J4471" t="inlineStr">
        <is>
          <t>2033_Marzec_W4</t>
        </is>
      </c>
    </row>
    <row r="4472">
      <c r="A4472" s="177" t="n">
        <v>48667</v>
      </c>
      <c r="B4472" s="177" t="n">
        <v>48667</v>
      </c>
      <c r="C4472" s="177" t="n">
        <v>48673</v>
      </c>
      <c r="D4472" t="inlineStr">
        <is>
          <t>BW20330329</t>
        </is>
      </c>
      <c r="E4472" t="n">
        <v>2033</v>
      </c>
      <c r="F4472" t="inlineStr">
        <is>
          <t>Marzec</t>
        </is>
      </c>
      <c r="G4472" t="inlineStr">
        <is>
          <t>Wt</t>
        </is>
      </c>
      <c r="H4472">
        <f>'Floor Hours Engine'!$E$4</f>
        <v/>
      </c>
      <c r="I4472" t="inlineStr">
        <is>
          <t>W5</t>
        </is>
      </c>
      <c r="J4472" t="inlineStr">
        <is>
          <t>2033_Marzec_W5</t>
        </is>
      </c>
    </row>
    <row r="4473">
      <c r="A4473" s="177" t="n">
        <v>48668</v>
      </c>
      <c r="B4473" s="177" t="n">
        <v>48667</v>
      </c>
      <c r="C4473" s="177" t="n">
        <v>48673</v>
      </c>
      <c r="D4473" t="inlineStr">
        <is>
          <t>BW20330329</t>
        </is>
      </c>
      <c r="E4473" t="n">
        <v>2033</v>
      </c>
      <c r="F4473" t="inlineStr">
        <is>
          <t>Marzec</t>
        </is>
      </c>
      <c r="G4473" t="inlineStr">
        <is>
          <t>Śr</t>
        </is>
      </c>
      <c r="H4473">
        <f>'Floor Hours Engine'!$E$4</f>
        <v/>
      </c>
      <c r="I4473" t="inlineStr">
        <is>
          <t>W5</t>
        </is>
      </c>
      <c r="J4473" t="inlineStr">
        <is>
          <t>2033_Marzec_W5</t>
        </is>
      </c>
    </row>
    <row r="4474">
      <c r="A4474" s="177" t="n">
        <v>48669</v>
      </c>
      <c r="B4474" s="177" t="n">
        <v>48667</v>
      </c>
      <c r="C4474" s="177" t="n">
        <v>48673</v>
      </c>
      <c r="D4474" t="inlineStr">
        <is>
          <t>BW20330329</t>
        </is>
      </c>
      <c r="E4474" t="n">
        <v>2033</v>
      </c>
      <c r="F4474" t="inlineStr">
        <is>
          <t>Marzec</t>
        </is>
      </c>
      <c r="G4474" t="inlineStr">
        <is>
          <t>Czw</t>
        </is>
      </c>
      <c r="H4474">
        <f>'Floor Hours Engine'!$E$4</f>
        <v/>
      </c>
      <c r="I4474" t="inlineStr">
        <is>
          <t>W5</t>
        </is>
      </c>
      <c r="J4474" t="inlineStr">
        <is>
          <t>2033_Marzec_W5</t>
        </is>
      </c>
    </row>
    <row r="4475">
      <c r="A4475" s="177" t="n">
        <v>48670</v>
      </c>
      <c r="B4475" s="177" t="n">
        <v>48667</v>
      </c>
      <c r="C4475" s="177" t="n">
        <v>48673</v>
      </c>
      <c r="D4475" t="inlineStr">
        <is>
          <t>BW20330329</t>
        </is>
      </c>
      <c r="E4475" t="n">
        <v>2033</v>
      </c>
      <c r="F4475" t="inlineStr">
        <is>
          <t>Kwiecień</t>
        </is>
      </c>
      <c r="G4475" t="inlineStr">
        <is>
          <t>Pt</t>
        </is>
      </c>
      <c r="H4475">
        <f>'Floor Hours Engine'!$E$5</f>
        <v/>
      </c>
      <c r="I4475" t="inlineStr">
        <is>
          <t>W1</t>
        </is>
      </c>
      <c r="J4475" t="inlineStr">
        <is>
          <t>2033_Kwiecień_W1</t>
        </is>
      </c>
    </row>
    <row r="4476">
      <c r="A4476" s="177" t="n">
        <v>48671</v>
      </c>
      <c r="B4476" s="177" t="n">
        <v>48667</v>
      </c>
      <c r="C4476" s="177" t="n">
        <v>48673</v>
      </c>
      <c r="D4476" t="inlineStr">
        <is>
          <t>BW20330329</t>
        </is>
      </c>
      <c r="E4476" t="n">
        <v>2033</v>
      </c>
      <c r="F4476" t="inlineStr">
        <is>
          <t>Kwiecień</t>
        </is>
      </c>
      <c r="G4476" t="inlineStr">
        <is>
          <t>Sob</t>
        </is>
      </c>
      <c r="H4476">
        <f>'Floor Hours Engine'!$E$5</f>
        <v/>
      </c>
      <c r="I4476" t="inlineStr">
        <is>
          <t>W1</t>
        </is>
      </c>
      <c r="J4476" t="inlineStr">
        <is>
          <t>2033_Kwiecień_W1</t>
        </is>
      </c>
    </row>
    <row r="4477">
      <c r="A4477" s="177" t="n">
        <v>48672</v>
      </c>
      <c r="B4477" s="177" t="n">
        <v>48667</v>
      </c>
      <c r="C4477" s="177" t="n">
        <v>48673</v>
      </c>
      <c r="D4477" t="inlineStr">
        <is>
          <t>BW20330329</t>
        </is>
      </c>
      <c r="E4477" t="n">
        <v>2033</v>
      </c>
      <c r="F4477" t="inlineStr">
        <is>
          <t>Kwiecień</t>
        </is>
      </c>
      <c r="G4477" t="inlineStr">
        <is>
          <t>Nd</t>
        </is>
      </c>
      <c r="H4477">
        <f>'Floor Hours Engine'!$E$6</f>
        <v/>
      </c>
      <c r="I4477" t="inlineStr">
        <is>
          <t>W1</t>
        </is>
      </c>
      <c r="J4477" t="inlineStr">
        <is>
          <t>2033_Kwiecień_W1</t>
        </is>
      </c>
    </row>
    <row r="4478">
      <c r="A4478" s="177" t="n">
        <v>48673</v>
      </c>
      <c r="B4478" s="177" t="n">
        <v>48667</v>
      </c>
      <c r="C4478" s="177" t="n">
        <v>48673</v>
      </c>
      <c r="D4478" t="inlineStr">
        <is>
          <t>BW20330329</t>
        </is>
      </c>
      <c r="E4478" t="n">
        <v>2033</v>
      </c>
      <c r="F4478" t="inlineStr">
        <is>
          <t>Kwiecień</t>
        </is>
      </c>
      <c r="G4478" t="inlineStr">
        <is>
          <t>Pn</t>
        </is>
      </c>
      <c r="H4478">
        <f>'Floor Hours Engine'!$E$4</f>
        <v/>
      </c>
      <c r="I4478" t="inlineStr">
        <is>
          <t>W1</t>
        </is>
      </c>
      <c r="J4478" t="inlineStr">
        <is>
          <t>2033_Kwiecień_W1</t>
        </is>
      </c>
    </row>
    <row r="4479">
      <c r="A4479" s="177" t="n">
        <v>48674</v>
      </c>
      <c r="B4479" s="177" t="n">
        <v>48674</v>
      </c>
      <c r="C4479" s="177" t="n">
        <v>48680</v>
      </c>
      <c r="D4479" t="inlineStr">
        <is>
          <t>BW20330405</t>
        </is>
      </c>
      <c r="E4479" t="n">
        <v>2033</v>
      </c>
      <c r="F4479" t="inlineStr">
        <is>
          <t>Kwiecień</t>
        </is>
      </c>
      <c r="G4479" t="inlineStr">
        <is>
          <t>Wt</t>
        </is>
      </c>
      <c r="H4479">
        <f>'Floor Hours Engine'!$E$4</f>
        <v/>
      </c>
      <c r="I4479" t="inlineStr">
        <is>
          <t>W2</t>
        </is>
      </c>
      <c r="J4479" t="inlineStr">
        <is>
          <t>2033_Kwiecień_W2</t>
        </is>
      </c>
    </row>
    <row r="4480">
      <c r="A4480" s="177" t="n">
        <v>48675</v>
      </c>
      <c r="B4480" s="177" t="n">
        <v>48674</v>
      </c>
      <c r="C4480" s="177" t="n">
        <v>48680</v>
      </c>
      <c r="D4480" t="inlineStr">
        <is>
          <t>BW20330405</t>
        </is>
      </c>
      <c r="E4480" t="n">
        <v>2033</v>
      </c>
      <c r="F4480" t="inlineStr">
        <is>
          <t>Kwiecień</t>
        </is>
      </c>
      <c r="G4480" t="inlineStr">
        <is>
          <t>Śr</t>
        </is>
      </c>
      <c r="H4480">
        <f>'Floor Hours Engine'!$E$4</f>
        <v/>
      </c>
      <c r="I4480" t="inlineStr">
        <is>
          <t>W2</t>
        </is>
      </c>
      <c r="J4480" t="inlineStr">
        <is>
          <t>2033_Kwiecień_W2</t>
        </is>
      </c>
    </row>
    <row r="4481">
      <c r="A4481" s="177" t="n">
        <v>48676</v>
      </c>
      <c r="B4481" s="177" t="n">
        <v>48674</v>
      </c>
      <c r="C4481" s="177" t="n">
        <v>48680</v>
      </c>
      <c r="D4481" t="inlineStr">
        <is>
          <t>BW20330405</t>
        </is>
      </c>
      <c r="E4481" t="n">
        <v>2033</v>
      </c>
      <c r="F4481" t="inlineStr">
        <is>
          <t>Kwiecień</t>
        </is>
      </c>
      <c r="G4481" t="inlineStr">
        <is>
          <t>Czw</t>
        </is>
      </c>
      <c r="H4481">
        <f>'Floor Hours Engine'!$E$4</f>
        <v/>
      </c>
      <c r="I4481" t="inlineStr">
        <is>
          <t>W2</t>
        </is>
      </c>
      <c r="J4481" t="inlineStr">
        <is>
          <t>2033_Kwiecień_W2</t>
        </is>
      </c>
    </row>
    <row r="4482">
      <c r="A4482" s="177" t="n">
        <v>48677</v>
      </c>
      <c r="B4482" s="177" t="n">
        <v>48674</v>
      </c>
      <c r="C4482" s="177" t="n">
        <v>48680</v>
      </c>
      <c r="D4482" t="inlineStr">
        <is>
          <t>BW20330405</t>
        </is>
      </c>
      <c r="E4482" t="n">
        <v>2033</v>
      </c>
      <c r="F4482" t="inlineStr">
        <is>
          <t>Kwiecień</t>
        </is>
      </c>
      <c r="G4482" t="inlineStr">
        <is>
          <t>Pt</t>
        </is>
      </c>
      <c r="H4482">
        <f>'Floor Hours Engine'!$E$5</f>
        <v/>
      </c>
      <c r="I4482" t="inlineStr">
        <is>
          <t>W2</t>
        </is>
      </c>
      <c r="J4482" t="inlineStr">
        <is>
          <t>2033_Kwiecień_W2</t>
        </is>
      </c>
    </row>
    <row r="4483">
      <c r="A4483" s="177" t="n">
        <v>48678</v>
      </c>
      <c r="B4483" s="177" t="n">
        <v>48674</v>
      </c>
      <c r="C4483" s="177" t="n">
        <v>48680</v>
      </c>
      <c r="D4483" t="inlineStr">
        <is>
          <t>BW20330405</t>
        </is>
      </c>
      <c r="E4483" t="n">
        <v>2033</v>
      </c>
      <c r="F4483" t="inlineStr">
        <is>
          <t>Kwiecień</t>
        </is>
      </c>
      <c r="G4483" t="inlineStr">
        <is>
          <t>Sob</t>
        </is>
      </c>
      <c r="H4483">
        <f>'Floor Hours Engine'!$E$5</f>
        <v/>
      </c>
      <c r="I4483" t="inlineStr">
        <is>
          <t>W2</t>
        </is>
      </c>
      <c r="J4483" t="inlineStr">
        <is>
          <t>2033_Kwiecień_W2</t>
        </is>
      </c>
    </row>
    <row r="4484">
      <c r="A4484" s="177" t="n">
        <v>48679</v>
      </c>
      <c r="B4484" s="177" t="n">
        <v>48674</v>
      </c>
      <c r="C4484" s="177" t="n">
        <v>48680</v>
      </c>
      <c r="D4484" t="inlineStr">
        <is>
          <t>BW20330405</t>
        </is>
      </c>
      <c r="E4484" t="n">
        <v>2033</v>
      </c>
      <c r="F4484" t="inlineStr">
        <is>
          <t>Kwiecień</t>
        </is>
      </c>
      <c r="G4484" t="inlineStr">
        <is>
          <t>Nd</t>
        </is>
      </c>
      <c r="H4484">
        <f>'Floor Hours Engine'!$E$6</f>
        <v/>
      </c>
      <c r="I4484" t="inlineStr">
        <is>
          <t>W2</t>
        </is>
      </c>
      <c r="J4484" t="inlineStr">
        <is>
          <t>2033_Kwiecień_W2</t>
        </is>
      </c>
    </row>
    <row r="4485">
      <c r="A4485" s="177" t="n">
        <v>48680</v>
      </c>
      <c r="B4485" s="177" t="n">
        <v>48674</v>
      </c>
      <c r="C4485" s="177" t="n">
        <v>48680</v>
      </c>
      <c r="D4485" t="inlineStr">
        <is>
          <t>BW20330405</t>
        </is>
      </c>
      <c r="E4485" t="n">
        <v>2033</v>
      </c>
      <c r="F4485" t="inlineStr">
        <is>
          <t>Kwiecień</t>
        </is>
      </c>
      <c r="G4485" t="inlineStr">
        <is>
          <t>Pn</t>
        </is>
      </c>
      <c r="H4485">
        <f>'Floor Hours Engine'!$E$4</f>
        <v/>
      </c>
      <c r="I4485" t="inlineStr">
        <is>
          <t>W2</t>
        </is>
      </c>
      <c r="J4485" t="inlineStr">
        <is>
          <t>2033_Kwiecień_W2</t>
        </is>
      </c>
    </row>
    <row r="4486">
      <c r="A4486" s="177" t="n">
        <v>48681</v>
      </c>
      <c r="B4486" s="177" t="n">
        <v>48681</v>
      </c>
      <c r="C4486" s="177" t="n">
        <v>48687</v>
      </c>
      <c r="D4486" t="inlineStr">
        <is>
          <t>BW20330412</t>
        </is>
      </c>
      <c r="E4486" t="n">
        <v>2033</v>
      </c>
      <c r="F4486" t="inlineStr">
        <is>
          <t>Kwiecień</t>
        </is>
      </c>
      <c r="G4486" t="inlineStr">
        <is>
          <t>Wt</t>
        </is>
      </c>
      <c r="H4486">
        <f>'Floor Hours Engine'!$E$4</f>
        <v/>
      </c>
      <c r="I4486" t="inlineStr">
        <is>
          <t>W3</t>
        </is>
      </c>
      <c r="J4486" t="inlineStr">
        <is>
          <t>2033_Kwiecień_W3</t>
        </is>
      </c>
    </row>
    <row r="4487">
      <c r="A4487" s="177" t="n">
        <v>48682</v>
      </c>
      <c r="B4487" s="177" t="n">
        <v>48681</v>
      </c>
      <c r="C4487" s="177" t="n">
        <v>48687</v>
      </c>
      <c r="D4487" t="inlineStr">
        <is>
          <t>BW20330412</t>
        </is>
      </c>
      <c r="E4487" t="n">
        <v>2033</v>
      </c>
      <c r="F4487" t="inlineStr">
        <is>
          <t>Kwiecień</t>
        </is>
      </c>
      <c r="G4487" t="inlineStr">
        <is>
          <t>Śr</t>
        </is>
      </c>
      <c r="H4487">
        <f>'Floor Hours Engine'!$E$4</f>
        <v/>
      </c>
      <c r="I4487" t="inlineStr">
        <is>
          <t>W3</t>
        </is>
      </c>
      <c r="J4487" t="inlineStr">
        <is>
          <t>2033_Kwiecień_W3</t>
        </is>
      </c>
    </row>
    <row r="4488">
      <c r="A4488" s="177" t="n">
        <v>48683</v>
      </c>
      <c r="B4488" s="177" t="n">
        <v>48681</v>
      </c>
      <c r="C4488" s="177" t="n">
        <v>48687</v>
      </c>
      <c r="D4488" t="inlineStr">
        <is>
          <t>BW20330412</t>
        </is>
      </c>
      <c r="E4488" t="n">
        <v>2033</v>
      </c>
      <c r="F4488" t="inlineStr">
        <is>
          <t>Kwiecień</t>
        </is>
      </c>
      <c r="G4488" t="inlineStr">
        <is>
          <t>Czw</t>
        </is>
      </c>
      <c r="H4488">
        <f>'Floor Hours Engine'!$E$4</f>
        <v/>
      </c>
      <c r="I4488" t="inlineStr">
        <is>
          <t>W3</t>
        </is>
      </c>
      <c r="J4488" t="inlineStr">
        <is>
          <t>2033_Kwiecień_W3</t>
        </is>
      </c>
    </row>
    <row r="4489">
      <c r="A4489" s="177" t="n">
        <v>48684</v>
      </c>
      <c r="B4489" s="177" t="n">
        <v>48681</v>
      </c>
      <c r="C4489" s="177" t="n">
        <v>48687</v>
      </c>
      <c r="D4489" t="inlineStr">
        <is>
          <t>BW20330412</t>
        </is>
      </c>
      <c r="E4489" t="n">
        <v>2033</v>
      </c>
      <c r="F4489" t="inlineStr">
        <is>
          <t>Kwiecień</t>
        </is>
      </c>
      <c r="G4489" t="inlineStr">
        <is>
          <t>Pt</t>
        </is>
      </c>
      <c r="H4489">
        <f>'Floor Hours Engine'!$E$5</f>
        <v/>
      </c>
      <c r="I4489" t="inlineStr">
        <is>
          <t>W3</t>
        </is>
      </c>
      <c r="J4489" t="inlineStr">
        <is>
          <t>2033_Kwiecień_W3</t>
        </is>
      </c>
    </row>
    <row r="4490">
      <c r="A4490" s="177" t="n">
        <v>48685</v>
      </c>
      <c r="B4490" s="177" t="n">
        <v>48681</v>
      </c>
      <c r="C4490" s="177" t="n">
        <v>48687</v>
      </c>
      <c r="D4490" t="inlineStr">
        <is>
          <t>BW20330412</t>
        </is>
      </c>
      <c r="E4490" t="n">
        <v>2033</v>
      </c>
      <c r="F4490" t="inlineStr">
        <is>
          <t>Kwiecień</t>
        </is>
      </c>
      <c r="G4490" t="inlineStr">
        <is>
          <t>Sob</t>
        </is>
      </c>
      <c r="H4490">
        <f>'Floor Hours Engine'!$E$5</f>
        <v/>
      </c>
      <c r="I4490" t="inlineStr">
        <is>
          <t>W3</t>
        </is>
      </c>
      <c r="J4490" t="inlineStr">
        <is>
          <t>2033_Kwiecień_W3</t>
        </is>
      </c>
    </row>
    <row r="4491">
      <c r="A4491" s="177" t="n">
        <v>48686</v>
      </c>
      <c r="B4491" s="177" t="n">
        <v>48681</v>
      </c>
      <c r="C4491" s="177" t="n">
        <v>48687</v>
      </c>
      <c r="D4491" t="inlineStr">
        <is>
          <t>BW20330412</t>
        </is>
      </c>
      <c r="E4491" t="n">
        <v>2033</v>
      </c>
      <c r="F4491" t="inlineStr">
        <is>
          <t>Kwiecień</t>
        </is>
      </c>
      <c r="G4491" t="inlineStr">
        <is>
          <t>Nd</t>
        </is>
      </c>
      <c r="H4491">
        <f>'Floor Hours Engine'!$E$6</f>
        <v/>
      </c>
      <c r="I4491" t="inlineStr">
        <is>
          <t>W3</t>
        </is>
      </c>
      <c r="J4491" t="inlineStr">
        <is>
          <t>2033_Kwiecień_W3</t>
        </is>
      </c>
    </row>
    <row r="4492">
      <c r="A4492" s="177" t="n">
        <v>48687</v>
      </c>
      <c r="B4492" s="177" t="n">
        <v>48681</v>
      </c>
      <c r="C4492" s="177" t="n">
        <v>48687</v>
      </c>
      <c r="D4492" t="inlineStr">
        <is>
          <t>BW20330412</t>
        </is>
      </c>
      <c r="E4492" t="n">
        <v>2033</v>
      </c>
      <c r="F4492" t="inlineStr">
        <is>
          <t>Kwiecień</t>
        </is>
      </c>
      <c r="G4492" t="inlineStr">
        <is>
          <t>Pn</t>
        </is>
      </c>
      <c r="H4492">
        <f>'Floor Hours Engine'!$E$4</f>
        <v/>
      </c>
      <c r="I4492" t="inlineStr">
        <is>
          <t>W3</t>
        </is>
      </c>
      <c r="J4492" t="inlineStr">
        <is>
          <t>2033_Kwiecień_W3</t>
        </is>
      </c>
    </row>
    <row r="4493">
      <c r="A4493" s="177" t="n">
        <v>48688</v>
      </c>
      <c r="B4493" s="177" t="n">
        <v>48688</v>
      </c>
      <c r="C4493" s="177" t="n">
        <v>48694</v>
      </c>
      <c r="D4493" t="inlineStr">
        <is>
          <t>BW20330419</t>
        </is>
      </c>
      <c r="E4493" t="n">
        <v>2033</v>
      </c>
      <c r="F4493" t="inlineStr">
        <is>
          <t>Kwiecień</t>
        </is>
      </c>
      <c r="G4493" t="inlineStr">
        <is>
          <t>Wt</t>
        </is>
      </c>
      <c r="H4493">
        <f>'Floor Hours Engine'!$E$4</f>
        <v/>
      </c>
      <c r="I4493" t="inlineStr">
        <is>
          <t>W4</t>
        </is>
      </c>
      <c r="J4493" t="inlineStr">
        <is>
          <t>2033_Kwiecień_W4</t>
        </is>
      </c>
    </row>
    <row r="4494">
      <c r="A4494" s="177" t="n">
        <v>48689</v>
      </c>
      <c r="B4494" s="177" t="n">
        <v>48688</v>
      </c>
      <c r="C4494" s="177" t="n">
        <v>48694</v>
      </c>
      <c r="D4494" t="inlineStr">
        <is>
          <t>BW20330419</t>
        </is>
      </c>
      <c r="E4494" t="n">
        <v>2033</v>
      </c>
      <c r="F4494" t="inlineStr">
        <is>
          <t>Kwiecień</t>
        </is>
      </c>
      <c r="G4494" t="inlineStr">
        <is>
          <t>Śr</t>
        </is>
      </c>
      <c r="H4494">
        <f>'Floor Hours Engine'!$E$4</f>
        <v/>
      </c>
      <c r="I4494" t="inlineStr">
        <is>
          <t>W4</t>
        </is>
      </c>
      <c r="J4494" t="inlineStr">
        <is>
          <t>2033_Kwiecień_W4</t>
        </is>
      </c>
    </row>
    <row r="4495">
      <c r="A4495" s="177" t="n">
        <v>48690</v>
      </c>
      <c r="B4495" s="177" t="n">
        <v>48688</v>
      </c>
      <c r="C4495" s="177" t="n">
        <v>48694</v>
      </c>
      <c r="D4495" t="inlineStr">
        <is>
          <t>BW20330419</t>
        </is>
      </c>
      <c r="E4495" t="n">
        <v>2033</v>
      </c>
      <c r="F4495" t="inlineStr">
        <is>
          <t>Kwiecień</t>
        </is>
      </c>
      <c r="G4495" t="inlineStr">
        <is>
          <t>Czw</t>
        </is>
      </c>
      <c r="H4495">
        <f>'Floor Hours Engine'!$E$4</f>
        <v/>
      </c>
      <c r="I4495" t="inlineStr">
        <is>
          <t>W4</t>
        </is>
      </c>
      <c r="J4495" t="inlineStr">
        <is>
          <t>2033_Kwiecień_W4</t>
        </is>
      </c>
    </row>
    <row r="4496">
      <c r="A4496" s="177" t="n">
        <v>48691</v>
      </c>
      <c r="B4496" s="177" t="n">
        <v>48688</v>
      </c>
      <c r="C4496" s="177" t="n">
        <v>48694</v>
      </c>
      <c r="D4496" t="inlineStr">
        <is>
          <t>BW20330419</t>
        </is>
      </c>
      <c r="E4496" t="n">
        <v>2033</v>
      </c>
      <c r="F4496" t="inlineStr">
        <is>
          <t>Kwiecień</t>
        </is>
      </c>
      <c r="G4496" t="inlineStr">
        <is>
          <t>Pt</t>
        </is>
      </c>
      <c r="H4496">
        <f>'Floor Hours Engine'!$E$5</f>
        <v/>
      </c>
      <c r="I4496" t="inlineStr">
        <is>
          <t>W4</t>
        </is>
      </c>
      <c r="J4496" t="inlineStr">
        <is>
          <t>2033_Kwiecień_W4</t>
        </is>
      </c>
    </row>
    <row r="4497">
      <c r="A4497" s="177" t="n">
        <v>48692</v>
      </c>
      <c r="B4497" s="177" t="n">
        <v>48688</v>
      </c>
      <c r="C4497" s="177" t="n">
        <v>48694</v>
      </c>
      <c r="D4497" t="inlineStr">
        <is>
          <t>BW20330419</t>
        </is>
      </c>
      <c r="E4497" t="n">
        <v>2033</v>
      </c>
      <c r="F4497" t="inlineStr">
        <is>
          <t>Kwiecień</t>
        </is>
      </c>
      <c r="G4497" t="inlineStr">
        <is>
          <t>Sob</t>
        </is>
      </c>
      <c r="H4497">
        <f>'Floor Hours Engine'!$E$5</f>
        <v/>
      </c>
      <c r="I4497" t="inlineStr">
        <is>
          <t>W4</t>
        </is>
      </c>
      <c r="J4497" t="inlineStr">
        <is>
          <t>2033_Kwiecień_W4</t>
        </is>
      </c>
    </row>
    <row r="4498">
      <c r="A4498" s="177" t="n">
        <v>48693</v>
      </c>
      <c r="B4498" s="177" t="n">
        <v>48688</v>
      </c>
      <c r="C4498" s="177" t="n">
        <v>48694</v>
      </c>
      <c r="D4498" t="inlineStr">
        <is>
          <t>BW20330419</t>
        </is>
      </c>
      <c r="E4498" t="n">
        <v>2033</v>
      </c>
      <c r="F4498" t="inlineStr">
        <is>
          <t>Kwiecień</t>
        </is>
      </c>
      <c r="G4498" t="inlineStr">
        <is>
          <t>Nd</t>
        </is>
      </c>
      <c r="H4498">
        <f>'Floor Hours Engine'!$E$6</f>
        <v/>
      </c>
      <c r="I4498" t="inlineStr">
        <is>
          <t>W4</t>
        </is>
      </c>
      <c r="J4498" t="inlineStr">
        <is>
          <t>2033_Kwiecień_W4</t>
        </is>
      </c>
    </row>
    <row r="4499">
      <c r="A4499" s="177" t="n">
        <v>48694</v>
      </c>
      <c r="B4499" s="177" t="n">
        <v>48688</v>
      </c>
      <c r="C4499" s="177" t="n">
        <v>48694</v>
      </c>
      <c r="D4499" t="inlineStr">
        <is>
          <t>BW20330419</t>
        </is>
      </c>
      <c r="E4499" t="n">
        <v>2033</v>
      </c>
      <c r="F4499" t="inlineStr">
        <is>
          <t>Kwiecień</t>
        </is>
      </c>
      <c r="G4499" t="inlineStr">
        <is>
          <t>Pn</t>
        </is>
      </c>
      <c r="H4499">
        <f>'Floor Hours Engine'!$E$4</f>
        <v/>
      </c>
      <c r="I4499" t="inlineStr">
        <is>
          <t>W4</t>
        </is>
      </c>
      <c r="J4499" t="inlineStr">
        <is>
          <t>2033_Kwiecień_W4</t>
        </is>
      </c>
    </row>
    <row r="4500">
      <c r="A4500" s="177" t="n">
        <v>48695</v>
      </c>
      <c r="B4500" s="177" t="n">
        <v>48695</v>
      </c>
      <c r="C4500" s="177" t="n">
        <v>48701</v>
      </c>
      <c r="D4500" t="inlineStr">
        <is>
          <t>BW20330426</t>
        </is>
      </c>
      <c r="E4500" t="n">
        <v>2033</v>
      </c>
      <c r="F4500" t="inlineStr">
        <is>
          <t>Kwiecień</t>
        </is>
      </c>
      <c r="G4500" t="inlineStr">
        <is>
          <t>Wt</t>
        </is>
      </c>
      <c r="H4500">
        <f>'Floor Hours Engine'!$E$4</f>
        <v/>
      </c>
      <c r="I4500" t="inlineStr">
        <is>
          <t>W5</t>
        </is>
      </c>
      <c r="J4500" t="inlineStr">
        <is>
          <t>2033_Kwiecień_W5</t>
        </is>
      </c>
    </row>
    <row r="4501">
      <c r="A4501" s="177" t="n">
        <v>48696</v>
      </c>
      <c r="B4501" s="177" t="n">
        <v>48695</v>
      </c>
      <c r="C4501" s="177" t="n">
        <v>48701</v>
      </c>
      <c r="D4501" t="inlineStr">
        <is>
          <t>BW20330426</t>
        </is>
      </c>
      <c r="E4501" t="n">
        <v>2033</v>
      </c>
      <c r="F4501" t="inlineStr">
        <is>
          <t>Kwiecień</t>
        </is>
      </c>
      <c r="G4501" t="inlineStr">
        <is>
          <t>Śr</t>
        </is>
      </c>
      <c r="H4501">
        <f>'Floor Hours Engine'!$E$4</f>
        <v/>
      </c>
      <c r="I4501" t="inlineStr">
        <is>
          <t>W5</t>
        </is>
      </c>
      <c r="J4501" t="inlineStr">
        <is>
          <t>2033_Kwiecień_W5</t>
        </is>
      </c>
    </row>
    <row r="4502">
      <c r="A4502" s="177" t="n">
        <v>48697</v>
      </c>
      <c r="B4502" s="177" t="n">
        <v>48695</v>
      </c>
      <c r="C4502" s="177" t="n">
        <v>48701</v>
      </c>
      <c r="D4502" t="inlineStr">
        <is>
          <t>BW20330426</t>
        </is>
      </c>
      <c r="E4502" t="n">
        <v>2033</v>
      </c>
      <c r="F4502" t="inlineStr">
        <is>
          <t>Kwiecień</t>
        </is>
      </c>
      <c r="G4502" t="inlineStr">
        <is>
          <t>Czw</t>
        </is>
      </c>
      <c r="H4502">
        <f>'Floor Hours Engine'!$E$4</f>
        <v/>
      </c>
      <c r="I4502" t="inlineStr">
        <is>
          <t>W5</t>
        </is>
      </c>
      <c r="J4502" t="inlineStr">
        <is>
          <t>2033_Kwiecień_W5</t>
        </is>
      </c>
    </row>
    <row r="4503">
      <c r="A4503" s="177" t="n">
        <v>48698</v>
      </c>
      <c r="B4503" s="177" t="n">
        <v>48695</v>
      </c>
      <c r="C4503" s="177" t="n">
        <v>48701</v>
      </c>
      <c r="D4503" t="inlineStr">
        <is>
          <t>BW20330426</t>
        </is>
      </c>
      <c r="E4503" t="n">
        <v>2033</v>
      </c>
      <c r="F4503" t="inlineStr">
        <is>
          <t>Kwiecień</t>
        </is>
      </c>
      <c r="G4503" t="inlineStr">
        <is>
          <t>Pt</t>
        </is>
      </c>
      <c r="H4503">
        <f>'Floor Hours Engine'!$E$5</f>
        <v/>
      </c>
      <c r="I4503" t="inlineStr">
        <is>
          <t>W5</t>
        </is>
      </c>
      <c r="J4503" t="inlineStr">
        <is>
          <t>2033_Kwiecień_W5</t>
        </is>
      </c>
    </row>
    <row r="4504">
      <c r="A4504" s="177" t="n">
        <v>48699</v>
      </c>
      <c r="B4504" s="177" t="n">
        <v>48695</v>
      </c>
      <c r="C4504" s="177" t="n">
        <v>48701</v>
      </c>
      <c r="D4504" t="inlineStr">
        <is>
          <t>BW20330426</t>
        </is>
      </c>
      <c r="E4504" t="n">
        <v>2033</v>
      </c>
      <c r="F4504" t="inlineStr">
        <is>
          <t>Kwiecień</t>
        </is>
      </c>
      <c r="G4504" t="inlineStr">
        <is>
          <t>Sob</t>
        </is>
      </c>
      <c r="H4504">
        <f>'Floor Hours Engine'!$E$5</f>
        <v/>
      </c>
      <c r="I4504" t="inlineStr">
        <is>
          <t>W5</t>
        </is>
      </c>
      <c r="J4504" t="inlineStr">
        <is>
          <t>2033_Kwiecień_W5</t>
        </is>
      </c>
    </row>
    <row r="4505">
      <c r="A4505" s="177" t="n">
        <v>48700</v>
      </c>
      <c r="B4505" s="177" t="n">
        <v>48695</v>
      </c>
      <c r="C4505" s="177" t="n">
        <v>48701</v>
      </c>
      <c r="D4505" t="inlineStr">
        <is>
          <t>BW20330426</t>
        </is>
      </c>
      <c r="E4505" t="n">
        <v>2033</v>
      </c>
      <c r="F4505" t="inlineStr">
        <is>
          <t>Maj</t>
        </is>
      </c>
      <c r="G4505" t="inlineStr">
        <is>
          <t>Nd</t>
        </is>
      </c>
      <c r="H4505">
        <f>'Floor Hours Engine'!$E$6</f>
        <v/>
      </c>
      <c r="I4505" t="inlineStr">
        <is>
          <t>W1</t>
        </is>
      </c>
      <c r="J4505" t="inlineStr">
        <is>
          <t>2033_Maj_W1</t>
        </is>
      </c>
    </row>
    <row r="4506">
      <c r="A4506" s="177" t="n">
        <v>48701</v>
      </c>
      <c r="B4506" s="177" t="n">
        <v>48695</v>
      </c>
      <c r="C4506" s="177" t="n">
        <v>48701</v>
      </c>
      <c r="D4506" t="inlineStr">
        <is>
          <t>BW20330426</t>
        </is>
      </c>
      <c r="E4506" t="n">
        <v>2033</v>
      </c>
      <c r="F4506" t="inlineStr">
        <is>
          <t>Maj</t>
        </is>
      </c>
      <c r="G4506" t="inlineStr">
        <is>
          <t>Pn</t>
        </is>
      </c>
      <c r="H4506">
        <f>'Floor Hours Engine'!$E$4</f>
        <v/>
      </c>
      <c r="I4506" t="inlineStr">
        <is>
          <t>W1</t>
        </is>
      </c>
      <c r="J4506" t="inlineStr">
        <is>
          <t>2033_Maj_W1</t>
        </is>
      </c>
    </row>
    <row r="4507">
      <c r="A4507" s="177" t="n">
        <v>48702</v>
      </c>
      <c r="B4507" s="177" t="n">
        <v>48702</v>
      </c>
      <c r="C4507" s="177" t="n">
        <v>48708</v>
      </c>
      <c r="D4507" t="inlineStr">
        <is>
          <t>BW20330503</t>
        </is>
      </c>
      <c r="E4507" t="n">
        <v>2033</v>
      </c>
      <c r="F4507" t="inlineStr">
        <is>
          <t>Maj</t>
        </is>
      </c>
      <c r="G4507" t="inlineStr">
        <is>
          <t>Wt</t>
        </is>
      </c>
      <c r="H4507">
        <f>'Floor Hours Engine'!$E$4</f>
        <v/>
      </c>
      <c r="I4507" t="inlineStr">
        <is>
          <t>W2</t>
        </is>
      </c>
      <c r="J4507" t="inlineStr">
        <is>
          <t>2033_Maj_W2</t>
        </is>
      </c>
    </row>
    <row r="4508">
      <c r="A4508" s="177" t="n">
        <v>48703</v>
      </c>
      <c r="B4508" s="177" t="n">
        <v>48702</v>
      </c>
      <c r="C4508" s="177" t="n">
        <v>48708</v>
      </c>
      <c r="D4508" t="inlineStr">
        <is>
          <t>BW20330503</t>
        </is>
      </c>
      <c r="E4508" t="n">
        <v>2033</v>
      </c>
      <c r="F4508" t="inlineStr">
        <is>
          <t>Maj</t>
        </is>
      </c>
      <c r="G4508" t="inlineStr">
        <is>
          <t>Śr</t>
        </is>
      </c>
      <c r="H4508">
        <f>'Floor Hours Engine'!$E$4</f>
        <v/>
      </c>
      <c r="I4508" t="inlineStr">
        <is>
          <t>W2</t>
        </is>
      </c>
      <c r="J4508" t="inlineStr">
        <is>
          <t>2033_Maj_W2</t>
        </is>
      </c>
    </row>
    <row r="4509">
      <c r="A4509" s="177" t="n">
        <v>48704</v>
      </c>
      <c r="B4509" s="177" t="n">
        <v>48702</v>
      </c>
      <c r="C4509" s="177" t="n">
        <v>48708</v>
      </c>
      <c r="D4509" t="inlineStr">
        <is>
          <t>BW20330503</t>
        </is>
      </c>
      <c r="E4509" t="n">
        <v>2033</v>
      </c>
      <c r="F4509" t="inlineStr">
        <is>
          <t>Maj</t>
        </is>
      </c>
      <c r="G4509" t="inlineStr">
        <is>
          <t>Czw</t>
        </is>
      </c>
      <c r="H4509">
        <f>'Floor Hours Engine'!$E$4</f>
        <v/>
      </c>
      <c r="I4509" t="inlineStr">
        <is>
          <t>W2</t>
        </is>
      </c>
      <c r="J4509" t="inlineStr">
        <is>
          <t>2033_Maj_W2</t>
        </is>
      </c>
    </row>
    <row r="4510">
      <c r="A4510" s="177" t="n">
        <v>48705</v>
      </c>
      <c r="B4510" s="177" t="n">
        <v>48702</v>
      </c>
      <c r="C4510" s="177" t="n">
        <v>48708</v>
      </c>
      <c r="D4510" t="inlineStr">
        <is>
          <t>BW20330503</t>
        </is>
      </c>
      <c r="E4510" t="n">
        <v>2033</v>
      </c>
      <c r="F4510" t="inlineStr">
        <is>
          <t>Maj</t>
        </is>
      </c>
      <c r="G4510" t="inlineStr">
        <is>
          <t>Pt</t>
        </is>
      </c>
      <c r="H4510">
        <f>'Floor Hours Engine'!$E$5</f>
        <v/>
      </c>
      <c r="I4510" t="inlineStr">
        <is>
          <t>W2</t>
        </is>
      </c>
      <c r="J4510" t="inlineStr">
        <is>
          <t>2033_Maj_W2</t>
        </is>
      </c>
    </row>
    <row r="4511">
      <c r="A4511" s="177" t="n">
        <v>48706</v>
      </c>
      <c r="B4511" s="177" t="n">
        <v>48702</v>
      </c>
      <c r="C4511" s="177" t="n">
        <v>48708</v>
      </c>
      <c r="D4511" t="inlineStr">
        <is>
          <t>BW20330503</t>
        </is>
      </c>
      <c r="E4511" t="n">
        <v>2033</v>
      </c>
      <c r="F4511" t="inlineStr">
        <is>
          <t>Maj</t>
        </is>
      </c>
      <c r="G4511" t="inlineStr">
        <is>
          <t>Sob</t>
        </is>
      </c>
      <c r="H4511">
        <f>'Floor Hours Engine'!$E$5</f>
        <v/>
      </c>
      <c r="I4511" t="inlineStr">
        <is>
          <t>W2</t>
        </is>
      </c>
      <c r="J4511" t="inlineStr">
        <is>
          <t>2033_Maj_W2</t>
        </is>
      </c>
    </row>
    <row r="4512">
      <c r="A4512" s="177" t="n">
        <v>48707</v>
      </c>
      <c r="B4512" s="177" t="n">
        <v>48702</v>
      </c>
      <c r="C4512" s="177" t="n">
        <v>48708</v>
      </c>
      <c r="D4512" t="inlineStr">
        <is>
          <t>BW20330503</t>
        </is>
      </c>
      <c r="E4512" t="n">
        <v>2033</v>
      </c>
      <c r="F4512" t="inlineStr">
        <is>
          <t>Maj</t>
        </is>
      </c>
      <c r="G4512" t="inlineStr">
        <is>
          <t>Nd</t>
        </is>
      </c>
      <c r="H4512">
        <f>'Floor Hours Engine'!$E$6</f>
        <v/>
      </c>
      <c r="I4512" t="inlineStr">
        <is>
          <t>W2</t>
        </is>
      </c>
      <c r="J4512" t="inlineStr">
        <is>
          <t>2033_Maj_W2</t>
        </is>
      </c>
    </row>
    <row r="4513">
      <c r="A4513" s="177" t="n">
        <v>48708</v>
      </c>
      <c r="B4513" s="177" t="n">
        <v>48702</v>
      </c>
      <c r="C4513" s="177" t="n">
        <v>48708</v>
      </c>
      <c r="D4513" t="inlineStr">
        <is>
          <t>BW20330503</t>
        </is>
      </c>
      <c r="E4513" t="n">
        <v>2033</v>
      </c>
      <c r="F4513" t="inlineStr">
        <is>
          <t>Maj</t>
        </is>
      </c>
      <c r="G4513" t="inlineStr">
        <is>
          <t>Pn</t>
        </is>
      </c>
      <c r="H4513">
        <f>'Floor Hours Engine'!$E$4</f>
        <v/>
      </c>
      <c r="I4513" t="inlineStr">
        <is>
          <t>W2</t>
        </is>
      </c>
      <c r="J4513" t="inlineStr">
        <is>
          <t>2033_Maj_W2</t>
        </is>
      </c>
    </row>
    <row r="4514">
      <c r="A4514" s="177" t="n">
        <v>48709</v>
      </c>
      <c r="B4514" s="177" t="n">
        <v>48709</v>
      </c>
      <c r="C4514" s="177" t="n">
        <v>48715</v>
      </c>
      <c r="D4514" t="inlineStr">
        <is>
          <t>BW20330510</t>
        </is>
      </c>
      <c r="E4514" t="n">
        <v>2033</v>
      </c>
      <c r="F4514" t="inlineStr">
        <is>
          <t>Maj</t>
        </is>
      </c>
      <c r="G4514" t="inlineStr">
        <is>
          <t>Wt</t>
        </is>
      </c>
      <c r="H4514">
        <f>'Floor Hours Engine'!$E$4</f>
        <v/>
      </c>
      <c r="I4514" t="inlineStr">
        <is>
          <t>W3</t>
        </is>
      </c>
      <c r="J4514" t="inlineStr">
        <is>
          <t>2033_Maj_W3</t>
        </is>
      </c>
    </row>
    <row r="4515">
      <c r="A4515" s="177" t="n">
        <v>48710</v>
      </c>
      <c r="B4515" s="177" t="n">
        <v>48709</v>
      </c>
      <c r="C4515" s="177" t="n">
        <v>48715</v>
      </c>
      <c r="D4515" t="inlineStr">
        <is>
          <t>BW20330510</t>
        </is>
      </c>
      <c r="E4515" t="n">
        <v>2033</v>
      </c>
      <c r="F4515" t="inlineStr">
        <is>
          <t>Maj</t>
        </is>
      </c>
      <c r="G4515" t="inlineStr">
        <is>
          <t>Śr</t>
        </is>
      </c>
      <c r="H4515">
        <f>'Floor Hours Engine'!$E$4</f>
        <v/>
      </c>
      <c r="I4515" t="inlineStr">
        <is>
          <t>W3</t>
        </is>
      </c>
      <c r="J4515" t="inlineStr">
        <is>
          <t>2033_Maj_W3</t>
        </is>
      </c>
    </row>
    <row r="4516">
      <c r="A4516" s="177" t="n">
        <v>48711</v>
      </c>
      <c r="B4516" s="177" t="n">
        <v>48709</v>
      </c>
      <c r="C4516" s="177" t="n">
        <v>48715</v>
      </c>
      <c r="D4516" t="inlineStr">
        <is>
          <t>BW20330510</t>
        </is>
      </c>
      <c r="E4516" t="n">
        <v>2033</v>
      </c>
      <c r="F4516" t="inlineStr">
        <is>
          <t>Maj</t>
        </is>
      </c>
      <c r="G4516" t="inlineStr">
        <is>
          <t>Czw</t>
        </is>
      </c>
      <c r="H4516">
        <f>'Floor Hours Engine'!$E$4</f>
        <v/>
      </c>
      <c r="I4516" t="inlineStr">
        <is>
          <t>W3</t>
        </is>
      </c>
      <c r="J4516" t="inlineStr">
        <is>
          <t>2033_Maj_W3</t>
        </is>
      </c>
    </row>
    <row r="4517">
      <c r="A4517" s="177" t="n">
        <v>48712</v>
      </c>
      <c r="B4517" s="177" t="n">
        <v>48709</v>
      </c>
      <c r="C4517" s="177" t="n">
        <v>48715</v>
      </c>
      <c r="D4517" t="inlineStr">
        <is>
          <t>BW20330510</t>
        </is>
      </c>
      <c r="E4517" t="n">
        <v>2033</v>
      </c>
      <c r="F4517" t="inlineStr">
        <is>
          <t>Maj</t>
        </is>
      </c>
      <c r="G4517" t="inlineStr">
        <is>
          <t>Pt</t>
        </is>
      </c>
      <c r="H4517">
        <f>'Floor Hours Engine'!$E$5</f>
        <v/>
      </c>
      <c r="I4517" t="inlineStr">
        <is>
          <t>W3</t>
        </is>
      </c>
      <c r="J4517" t="inlineStr">
        <is>
          <t>2033_Maj_W3</t>
        </is>
      </c>
    </row>
    <row r="4518">
      <c r="A4518" s="177" t="n">
        <v>48713</v>
      </c>
      <c r="B4518" s="177" t="n">
        <v>48709</v>
      </c>
      <c r="C4518" s="177" t="n">
        <v>48715</v>
      </c>
      <c r="D4518" t="inlineStr">
        <is>
          <t>BW20330510</t>
        </is>
      </c>
      <c r="E4518" t="n">
        <v>2033</v>
      </c>
      <c r="F4518" t="inlineStr">
        <is>
          <t>Maj</t>
        </is>
      </c>
      <c r="G4518" t="inlineStr">
        <is>
          <t>Sob</t>
        </is>
      </c>
      <c r="H4518">
        <f>'Floor Hours Engine'!$E$5</f>
        <v/>
      </c>
      <c r="I4518" t="inlineStr">
        <is>
          <t>W3</t>
        </is>
      </c>
      <c r="J4518" t="inlineStr">
        <is>
          <t>2033_Maj_W3</t>
        </is>
      </c>
    </row>
    <row r="4519">
      <c r="A4519" s="177" t="n">
        <v>48714</v>
      </c>
      <c r="B4519" s="177" t="n">
        <v>48709</v>
      </c>
      <c r="C4519" s="177" t="n">
        <v>48715</v>
      </c>
      <c r="D4519" t="inlineStr">
        <is>
          <t>BW20330510</t>
        </is>
      </c>
      <c r="E4519" t="n">
        <v>2033</v>
      </c>
      <c r="F4519" t="inlineStr">
        <is>
          <t>Maj</t>
        </is>
      </c>
      <c r="G4519" t="inlineStr">
        <is>
          <t>Nd</t>
        </is>
      </c>
      <c r="H4519">
        <f>'Floor Hours Engine'!$E$6</f>
        <v/>
      </c>
      <c r="I4519" t="inlineStr">
        <is>
          <t>W3</t>
        </is>
      </c>
      <c r="J4519" t="inlineStr">
        <is>
          <t>2033_Maj_W3</t>
        </is>
      </c>
    </row>
    <row r="4520">
      <c r="A4520" s="177" t="n">
        <v>48715</v>
      </c>
      <c r="B4520" s="177" t="n">
        <v>48709</v>
      </c>
      <c r="C4520" s="177" t="n">
        <v>48715</v>
      </c>
      <c r="D4520" t="inlineStr">
        <is>
          <t>BW20330510</t>
        </is>
      </c>
      <c r="E4520" t="n">
        <v>2033</v>
      </c>
      <c r="F4520" t="inlineStr">
        <is>
          <t>Maj</t>
        </is>
      </c>
      <c r="G4520" t="inlineStr">
        <is>
          <t>Pn</t>
        </is>
      </c>
      <c r="H4520">
        <f>'Floor Hours Engine'!$E$4</f>
        <v/>
      </c>
      <c r="I4520" t="inlineStr">
        <is>
          <t>W3</t>
        </is>
      </c>
      <c r="J4520" t="inlineStr">
        <is>
          <t>2033_Maj_W3</t>
        </is>
      </c>
    </row>
    <row r="4521">
      <c r="A4521" s="177" t="n">
        <v>48716</v>
      </c>
      <c r="B4521" s="177" t="n">
        <v>48716</v>
      </c>
      <c r="C4521" s="177" t="n">
        <v>48722</v>
      </c>
      <c r="D4521" t="inlineStr">
        <is>
          <t>BW20330517</t>
        </is>
      </c>
      <c r="E4521" t="n">
        <v>2033</v>
      </c>
      <c r="F4521" t="inlineStr">
        <is>
          <t>Maj</t>
        </is>
      </c>
      <c r="G4521" t="inlineStr">
        <is>
          <t>Wt</t>
        </is>
      </c>
      <c r="H4521">
        <f>'Floor Hours Engine'!$E$4</f>
        <v/>
      </c>
      <c r="I4521" t="inlineStr">
        <is>
          <t>W4</t>
        </is>
      </c>
      <c r="J4521" t="inlineStr">
        <is>
          <t>2033_Maj_W4</t>
        </is>
      </c>
    </row>
    <row r="4522">
      <c r="A4522" s="177" t="n">
        <v>48717</v>
      </c>
      <c r="B4522" s="177" t="n">
        <v>48716</v>
      </c>
      <c r="C4522" s="177" t="n">
        <v>48722</v>
      </c>
      <c r="D4522" t="inlineStr">
        <is>
          <t>BW20330517</t>
        </is>
      </c>
      <c r="E4522" t="n">
        <v>2033</v>
      </c>
      <c r="F4522" t="inlineStr">
        <is>
          <t>Maj</t>
        </is>
      </c>
      <c r="G4522" t="inlineStr">
        <is>
          <t>Śr</t>
        </is>
      </c>
      <c r="H4522">
        <f>'Floor Hours Engine'!$E$4</f>
        <v/>
      </c>
      <c r="I4522" t="inlineStr">
        <is>
          <t>W4</t>
        </is>
      </c>
      <c r="J4522" t="inlineStr">
        <is>
          <t>2033_Maj_W4</t>
        </is>
      </c>
    </row>
    <row r="4523">
      <c r="A4523" s="177" t="n">
        <v>48718</v>
      </c>
      <c r="B4523" s="177" t="n">
        <v>48716</v>
      </c>
      <c r="C4523" s="177" t="n">
        <v>48722</v>
      </c>
      <c r="D4523" t="inlineStr">
        <is>
          <t>BW20330517</t>
        </is>
      </c>
      <c r="E4523" t="n">
        <v>2033</v>
      </c>
      <c r="F4523" t="inlineStr">
        <is>
          <t>Maj</t>
        </is>
      </c>
      <c r="G4523" t="inlineStr">
        <is>
          <t>Czw</t>
        </is>
      </c>
      <c r="H4523">
        <f>'Floor Hours Engine'!$E$4</f>
        <v/>
      </c>
      <c r="I4523" t="inlineStr">
        <is>
          <t>W4</t>
        </is>
      </c>
      <c r="J4523" t="inlineStr">
        <is>
          <t>2033_Maj_W4</t>
        </is>
      </c>
    </row>
    <row r="4524">
      <c r="A4524" s="177" t="n">
        <v>48719</v>
      </c>
      <c r="B4524" s="177" t="n">
        <v>48716</v>
      </c>
      <c r="C4524" s="177" t="n">
        <v>48722</v>
      </c>
      <c r="D4524" t="inlineStr">
        <is>
          <t>BW20330517</t>
        </is>
      </c>
      <c r="E4524" t="n">
        <v>2033</v>
      </c>
      <c r="F4524" t="inlineStr">
        <is>
          <t>Maj</t>
        </is>
      </c>
      <c r="G4524" t="inlineStr">
        <is>
          <t>Pt</t>
        </is>
      </c>
      <c r="H4524">
        <f>'Floor Hours Engine'!$E$5</f>
        <v/>
      </c>
      <c r="I4524" t="inlineStr">
        <is>
          <t>W4</t>
        </is>
      </c>
      <c r="J4524" t="inlineStr">
        <is>
          <t>2033_Maj_W4</t>
        </is>
      </c>
    </row>
    <row r="4525">
      <c r="A4525" s="177" t="n">
        <v>48720</v>
      </c>
      <c r="B4525" s="177" t="n">
        <v>48716</v>
      </c>
      <c r="C4525" s="177" t="n">
        <v>48722</v>
      </c>
      <c r="D4525" t="inlineStr">
        <is>
          <t>BW20330517</t>
        </is>
      </c>
      <c r="E4525" t="n">
        <v>2033</v>
      </c>
      <c r="F4525" t="inlineStr">
        <is>
          <t>Maj</t>
        </is>
      </c>
      <c r="G4525" t="inlineStr">
        <is>
          <t>Sob</t>
        </is>
      </c>
      <c r="H4525">
        <f>'Floor Hours Engine'!$E$5</f>
        <v/>
      </c>
      <c r="I4525" t="inlineStr">
        <is>
          <t>W4</t>
        </is>
      </c>
      <c r="J4525" t="inlineStr">
        <is>
          <t>2033_Maj_W4</t>
        </is>
      </c>
    </row>
    <row r="4526">
      <c r="A4526" s="177" t="n">
        <v>48721</v>
      </c>
      <c r="B4526" s="177" t="n">
        <v>48716</v>
      </c>
      <c r="C4526" s="177" t="n">
        <v>48722</v>
      </c>
      <c r="D4526" t="inlineStr">
        <is>
          <t>BW20330517</t>
        </is>
      </c>
      <c r="E4526" t="n">
        <v>2033</v>
      </c>
      <c r="F4526" t="inlineStr">
        <is>
          <t>Maj</t>
        </is>
      </c>
      <c r="G4526" t="inlineStr">
        <is>
          <t>Nd</t>
        </is>
      </c>
      <c r="H4526">
        <f>'Floor Hours Engine'!$E$6</f>
        <v/>
      </c>
      <c r="I4526" t="inlineStr">
        <is>
          <t>W4</t>
        </is>
      </c>
      <c r="J4526" t="inlineStr">
        <is>
          <t>2033_Maj_W4</t>
        </is>
      </c>
    </row>
    <row r="4527">
      <c r="A4527" s="177" t="n">
        <v>48722</v>
      </c>
      <c r="B4527" s="177" t="n">
        <v>48716</v>
      </c>
      <c r="C4527" s="177" t="n">
        <v>48722</v>
      </c>
      <c r="D4527" t="inlineStr">
        <is>
          <t>BW20330517</t>
        </is>
      </c>
      <c r="E4527" t="n">
        <v>2033</v>
      </c>
      <c r="F4527" t="inlineStr">
        <is>
          <t>Maj</t>
        </is>
      </c>
      <c r="G4527" t="inlineStr">
        <is>
          <t>Pn</t>
        </is>
      </c>
      <c r="H4527">
        <f>'Floor Hours Engine'!$E$4</f>
        <v/>
      </c>
      <c r="I4527" t="inlineStr">
        <is>
          <t>W4</t>
        </is>
      </c>
      <c r="J4527" t="inlineStr">
        <is>
          <t>2033_Maj_W4</t>
        </is>
      </c>
    </row>
    <row r="4528">
      <c r="A4528" s="177" t="n">
        <v>48723</v>
      </c>
      <c r="B4528" s="177" t="n">
        <v>48723</v>
      </c>
      <c r="C4528" s="177" t="n">
        <v>48729</v>
      </c>
      <c r="D4528" t="inlineStr">
        <is>
          <t>BW20330524</t>
        </is>
      </c>
      <c r="E4528" t="n">
        <v>2033</v>
      </c>
      <c r="F4528" t="inlineStr">
        <is>
          <t>Maj</t>
        </is>
      </c>
      <c r="G4528" t="inlineStr">
        <is>
          <t>Wt</t>
        </is>
      </c>
      <c r="H4528">
        <f>'Floor Hours Engine'!$E$4</f>
        <v/>
      </c>
      <c r="I4528" t="inlineStr">
        <is>
          <t>W5</t>
        </is>
      </c>
      <c r="J4528" t="inlineStr">
        <is>
          <t>2033_Maj_W5</t>
        </is>
      </c>
    </row>
    <row r="4529">
      <c r="A4529" s="177" t="n">
        <v>48724</v>
      </c>
      <c r="B4529" s="177" t="n">
        <v>48723</v>
      </c>
      <c r="C4529" s="177" t="n">
        <v>48729</v>
      </c>
      <c r="D4529" t="inlineStr">
        <is>
          <t>BW20330524</t>
        </is>
      </c>
      <c r="E4529" t="n">
        <v>2033</v>
      </c>
      <c r="F4529" t="inlineStr">
        <is>
          <t>Maj</t>
        </is>
      </c>
      <c r="G4529" t="inlineStr">
        <is>
          <t>Śr</t>
        </is>
      </c>
      <c r="H4529">
        <f>'Floor Hours Engine'!$E$4</f>
        <v/>
      </c>
      <c r="I4529" t="inlineStr">
        <is>
          <t>W5</t>
        </is>
      </c>
      <c r="J4529" t="inlineStr">
        <is>
          <t>2033_Maj_W5</t>
        </is>
      </c>
    </row>
    <row r="4530">
      <c r="A4530" s="177" t="n">
        <v>48725</v>
      </c>
      <c r="B4530" s="177" t="n">
        <v>48723</v>
      </c>
      <c r="C4530" s="177" t="n">
        <v>48729</v>
      </c>
      <c r="D4530" t="inlineStr">
        <is>
          <t>BW20330524</t>
        </is>
      </c>
      <c r="E4530" t="n">
        <v>2033</v>
      </c>
      <c r="F4530" t="inlineStr">
        <is>
          <t>Maj</t>
        </is>
      </c>
      <c r="G4530" t="inlineStr">
        <is>
          <t>Czw</t>
        </is>
      </c>
      <c r="H4530">
        <f>'Floor Hours Engine'!$E$4</f>
        <v/>
      </c>
      <c r="I4530" t="inlineStr">
        <is>
          <t>W5</t>
        </is>
      </c>
      <c r="J4530" t="inlineStr">
        <is>
          <t>2033_Maj_W5</t>
        </is>
      </c>
    </row>
    <row r="4531">
      <c r="A4531" s="177" t="n">
        <v>48726</v>
      </c>
      <c r="B4531" s="177" t="n">
        <v>48723</v>
      </c>
      <c r="C4531" s="177" t="n">
        <v>48729</v>
      </c>
      <c r="D4531" t="inlineStr">
        <is>
          <t>BW20330524</t>
        </is>
      </c>
      <c r="E4531" t="n">
        <v>2033</v>
      </c>
      <c r="F4531" t="inlineStr">
        <is>
          <t>Maj</t>
        </is>
      </c>
      <c r="G4531" t="inlineStr">
        <is>
          <t>Pt</t>
        </is>
      </c>
      <c r="H4531">
        <f>'Floor Hours Engine'!$E$5</f>
        <v/>
      </c>
      <c r="I4531" t="inlineStr">
        <is>
          <t>W5</t>
        </is>
      </c>
      <c r="J4531" t="inlineStr">
        <is>
          <t>2033_Maj_W5</t>
        </is>
      </c>
    </row>
    <row r="4532">
      <c r="A4532" s="177" t="n">
        <v>48727</v>
      </c>
      <c r="B4532" s="177" t="n">
        <v>48723</v>
      </c>
      <c r="C4532" s="177" t="n">
        <v>48729</v>
      </c>
      <c r="D4532" t="inlineStr">
        <is>
          <t>BW20330524</t>
        </is>
      </c>
      <c r="E4532" t="n">
        <v>2033</v>
      </c>
      <c r="F4532" t="inlineStr">
        <is>
          <t>Maj</t>
        </is>
      </c>
      <c r="G4532" t="inlineStr">
        <is>
          <t>Sob</t>
        </is>
      </c>
      <c r="H4532">
        <f>'Floor Hours Engine'!$E$5</f>
        <v/>
      </c>
      <c r="I4532" t="inlineStr">
        <is>
          <t>W5</t>
        </is>
      </c>
      <c r="J4532" t="inlineStr">
        <is>
          <t>2033_Maj_W5</t>
        </is>
      </c>
    </row>
    <row r="4533">
      <c r="A4533" s="177" t="n">
        <v>48728</v>
      </c>
      <c r="B4533" s="177" t="n">
        <v>48723</v>
      </c>
      <c r="C4533" s="177" t="n">
        <v>48729</v>
      </c>
      <c r="D4533" t="inlineStr">
        <is>
          <t>BW20330524</t>
        </is>
      </c>
      <c r="E4533" t="n">
        <v>2033</v>
      </c>
      <c r="F4533" t="inlineStr">
        <is>
          <t>Maj</t>
        </is>
      </c>
      <c r="G4533" t="inlineStr">
        <is>
          <t>Nd</t>
        </is>
      </c>
      <c r="H4533">
        <f>'Floor Hours Engine'!$E$6</f>
        <v/>
      </c>
      <c r="I4533" t="inlineStr">
        <is>
          <t>W5</t>
        </is>
      </c>
      <c r="J4533" t="inlineStr">
        <is>
          <t>2033_Maj_W5</t>
        </is>
      </c>
    </row>
    <row r="4534">
      <c r="A4534" s="177" t="n">
        <v>48729</v>
      </c>
      <c r="B4534" s="177" t="n">
        <v>48723</v>
      </c>
      <c r="C4534" s="177" t="n">
        <v>48729</v>
      </c>
      <c r="D4534" t="inlineStr">
        <is>
          <t>BW20330524</t>
        </is>
      </c>
      <c r="E4534" t="n">
        <v>2033</v>
      </c>
      <c r="F4534" t="inlineStr">
        <is>
          <t>Maj</t>
        </is>
      </c>
      <c r="G4534" t="inlineStr">
        <is>
          <t>Pn</t>
        </is>
      </c>
      <c r="H4534">
        <f>'Floor Hours Engine'!$E$4</f>
        <v/>
      </c>
      <c r="I4534" t="inlineStr">
        <is>
          <t>W5</t>
        </is>
      </c>
      <c r="J4534" t="inlineStr">
        <is>
          <t>2033_Maj_W5</t>
        </is>
      </c>
    </row>
    <row r="4535">
      <c r="A4535" s="177" t="n">
        <v>48730</v>
      </c>
      <c r="B4535" s="177" t="n">
        <v>48730</v>
      </c>
      <c r="C4535" s="177" t="n">
        <v>48736</v>
      </c>
      <c r="D4535" t="inlineStr">
        <is>
          <t>BW20330531</t>
        </is>
      </c>
      <c r="E4535" t="n">
        <v>2033</v>
      </c>
      <c r="F4535" t="inlineStr">
        <is>
          <t>Maj</t>
        </is>
      </c>
      <c r="G4535" t="inlineStr">
        <is>
          <t>Wt</t>
        </is>
      </c>
      <c r="H4535">
        <f>'Floor Hours Engine'!$E$4</f>
        <v/>
      </c>
      <c r="I4535" t="inlineStr">
        <is>
          <t>W6</t>
        </is>
      </c>
      <c r="J4535" t="inlineStr">
        <is>
          <t>2033_Maj_W6</t>
        </is>
      </c>
    </row>
    <row r="4536">
      <c r="A4536" s="177" t="n">
        <v>48731</v>
      </c>
      <c r="B4536" s="177" t="n">
        <v>48730</v>
      </c>
      <c r="C4536" s="177" t="n">
        <v>48736</v>
      </c>
      <c r="D4536" t="inlineStr">
        <is>
          <t>BW20330531</t>
        </is>
      </c>
      <c r="E4536" t="n">
        <v>2033</v>
      </c>
      <c r="F4536" t="inlineStr">
        <is>
          <t>Czerwiec</t>
        </is>
      </c>
      <c r="G4536" t="inlineStr">
        <is>
          <t>Śr</t>
        </is>
      </c>
      <c r="H4536">
        <f>'Floor Hours Engine'!$E$4</f>
        <v/>
      </c>
      <c r="I4536" t="inlineStr">
        <is>
          <t>W1</t>
        </is>
      </c>
      <c r="J4536" t="inlineStr">
        <is>
          <t>2033_Czerwiec_W1</t>
        </is>
      </c>
    </row>
    <row r="4537">
      <c r="A4537" s="177" t="n">
        <v>48732</v>
      </c>
      <c r="B4537" s="177" t="n">
        <v>48730</v>
      </c>
      <c r="C4537" s="177" t="n">
        <v>48736</v>
      </c>
      <c r="D4537" t="inlineStr">
        <is>
          <t>BW20330531</t>
        </is>
      </c>
      <c r="E4537" t="n">
        <v>2033</v>
      </c>
      <c r="F4537" t="inlineStr">
        <is>
          <t>Czerwiec</t>
        </is>
      </c>
      <c r="G4537" t="inlineStr">
        <is>
          <t>Czw</t>
        </is>
      </c>
      <c r="H4537">
        <f>'Floor Hours Engine'!$E$4</f>
        <v/>
      </c>
      <c r="I4537" t="inlineStr">
        <is>
          <t>W1</t>
        </is>
      </c>
      <c r="J4537" t="inlineStr">
        <is>
          <t>2033_Czerwiec_W1</t>
        </is>
      </c>
    </row>
    <row r="4538">
      <c r="A4538" s="177" t="n">
        <v>48733</v>
      </c>
      <c r="B4538" s="177" t="n">
        <v>48730</v>
      </c>
      <c r="C4538" s="177" t="n">
        <v>48736</v>
      </c>
      <c r="D4538" t="inlineStr">
        <is>
          <t>BW20330531</t>
        </is>
      </c>
      <c r="E4538" t="n">
        <v>2033</v>
      </c>
      <c r="F4538" t="inlineStr">
        <is>
          <t>Czerwiec</t>
        </is>
      </c>
      <c r="G4538" t="inlineStr">
        <is>
          <t>Pt</t>
        </is>
      </c>
      <c r="H4538">
        <f>'Floor Hours Engine'!$E$5</f>
        <v/>
      </c>
      <c r="I4538" t="inlineStr">
        <is>
          <t>W1</t>
        </is>
      </c>
      <c r="J4538" t="inlineStr">
        <is>
          <t>2033_Czerwiec_W1</t>
        </is>
      </c>
    </row>
    <row r="4539">
      <c r="A4539" s="177" t="n">
        <v>48734</v>
      </c>
      <c r="B4539" s="177" t="n">
        <v>48730</v>
      </c>
      <c r="C4539" s="177" t="n">
        <v>48736</v>
      </c>
      <c r="D4539" t="inlineStr">
        <is>
          <t>BW20330531</t>
        </is>
      </c>
      <c r="E4539" t="n">
        <v>2033</v>
      </c>
      <c r="F4539" t="inlineStr">
        <is>
          <t>Czerwiec</t>
        </is>
      </c>
      <c r="G4539" t="inlineStr">
        <is>
          <t>Sob</t>
        </is>
      </c>
      <c r="H4539">
        <f>'Floor Hours Engine'!$E$5</f>
        <v/>
      </c>
      <c r="I4539" t="inlineStr">
        <is>
          <t>W1</t>
        </is>
      </c>
      <c r="J4539" t="inlineStr">
        <is>
          <t>2033_Czerwiec_W1</t>
        </is>
      </c>
    </row>
    <row r="4540">
      <c r="A4540" s="177" t="n">
        <v>48735</v>
      </c>
      <c r="B4540" s="177" t="n">
        <v>48730</v>
      </c>
      <c r="C4540" s="177" t="n">
        <v>48736</v>
      </c>
      <c r="D4540" t="inlineStr">
        <is>
          <t>BW20330531</t>
        </is>
      </c>
      <c r="E4540" t="n">
        <v>2033</v>
      </c>
      <c r="F4540" t="inlineStr">
        <is>
          <t>Czerwiec</t>
        </is>
      </c>
      <c r="G4540" t="inlineStr">
        <is>
          <t>Nd</t>
        </is>
      </c>
      <c r="H4540">
        <f>'Floor Hours Engine'!$E$6</f>
        <v/>
      </c>
      <c r="I4540" t="inlineStr">
        <is>
          <t>W1</t>
        </is>
      </c>
      <c r="J4540" t="inlineStr">
        <is>
          <t>2033_Czerwiec_W1</t>
        </is>
      </c>
    </row>
    <row r="4541">
      <c r="A4541" s="177" t="n">
        <v>48736</v>
      </c>
      <c r="B4541" s="177" t="n">
        <v>48730</v>
      </c>
      <c r="C4541" s="177" t="n">
        <v>48736</v>
      </c>
      <c r="D4541" t="inlineStr">
        <is>
          <t>BW20330531</t>
        </is>
      </c>
      <c r="E4541" t="n">
        <v>2033</v>
      </c>
      <c r="F4541" t="inlineStr">
        <is>
          <t>Czerwiec</t>
        </is>
      </c>
      <c r="G4541" t="inlineStr">
        <is>
          <t>Pn</t>
        </is>
      </c>
      <c r="H4541">
        <f>'Floor Hours Engine'!$E$4</f>
        <v/>
      </c>
      <c r="I4541" t="inlineStr">
        <is>
          <t>W1</t>
        </is>
      </c>
      <c r="J4541" t="inlineStr">
        <is>
          <t>2033_Czerwiec_W1</t>
        </is>
      </c>
    </row>
    <row r="4542">
      <c r="A4542" s="177" t="n">
        <v>48737</v>
      </c>
      <c r="B4542" s="177" t="n">
        <v>48737</v>
      </c>
      <c r="C4542" s="177" t="n">
        <v>48743</v>
      </c>
      <c r="D4542" t="inlineStr">
        <is>
          <t>BW20330607</t>
        </is>
      </c>
      <c r="E4542" t="n">
        <v>2033</v>
      </c>
      <c r="F4542" t="inlineStr">
        <is>
          <t>Czerwiec</t>
        </is>
      </c>
      <c r="G4542" t="inlineStr">
        <is>
          <t>Wt</t>
        </is>
      </c>
      <c r="H4542">
        <f>'Floor Hours Engine'!$E$4</f>
        <v/>
      </c>
      <c r="I4542" t="inlineStr">
        <is>
          <t>W2</t>
        </is>
      </c>
      <c r="J4542" t="inlineStr">
        <is>
          <t>2033_Czerwiec_W2</t>
        </is>
      </c>
    </row>
    <row r="4543">
      <c r="A4543" s="177" t="n">
        <v>48738</v>
      </c>
      <c r="B4543" s="177" t="n">
        <v>48737</v>
      </c>
      <c r="C4543" s="177" t="n">
        <v>48743</v>
      </c>
      <c r="D4543" t="inlineStr">
        <is>
          <t>BW20330607</t>
        </is>
      </c>
      <c r="E4543" t="n">
        <v>2033</v>
      </c>
      <c r="F4543" t="inlineStr">
        <is>
          <t>Czerwiec</t>
        </is>
      </c>
      <c r="G4543" t="inlineStr">
        <is>
          <t>Śr</t>
        </is>
      </c>
      <c r="H4543">
        <f>'Floor Hours Engine'!$E$4</f>
        <v/>
      </c>
      <c r="I4543" t="inlineStr">
        <is>
          <t>W2</t>
        </is>
      </c>
      <c r="J4543" t="inlineStr">
        <is>
          <t>2033_Czerwiec_W2</t>
        </is>
      </c>
    </row>
    <row r="4544">
      <c r="A4544" s="177" t="n">
        <v>48739</v>
      </c>
      <c r="B4544" s="177" t="n">
        <v>48737</v>
      </c>
      <c r="C4544" s="177" t="n">
        <v>48743</v>
      </c>
      <c r="D4544" t="inlineStr">
        <is>
          <t>BW20330607</t>
        </is>
      </c>
      <c r="E4544" t="n">
        <v>2033</v>
      </c>
      <c r="F4544" t="inlineStr">
        <is>
          <t>Czerwiec</t>
        </is>
      </c>
      <c r="G4544" t="inlineStr">
        <is>
          <t>Czw</t>
        </is>
      </c>
      <c r="H4544">
        <f>'Floor Hours Engine'!$E$4</f>
        <v/>
      </c>
      <c r="I4544" t="inlineStr">
        <is>
          <t>W2</t>
        </is>
      </c>
      <c r="J4544" t="inlineStr">
        <is>
          <t>2033_Czerwiec_W2</t>
        </is>
      </c>
    </row>
    <row r="4545">
      <c r="A4545" s="177" t="n">
        <v>48740</v>
      </c>
      <c r="B4545" s="177" t="n">
        <v>48737</v>
      </c>
      <c r="C4545" s="177" t="n">
        <v>48743</v>
      </c>
      <c r="D4545" t="inlineStr">
        <is>
          <t>BW20330607</t>
        </is>
      </c>
      <c r="E4545" t="n">
        <v>2033</v>
      </c>
      <c r="F4545" t="inlineStr">
        <is>
          <t>Czerwiec</t>
        </is>
      </c>
      <c r="G4545" t="inlineStr">
        <is>
          <t>Pt</t>
        </is>
      </c>
      <c r="H4545">
        <f>'Floor Hours Engine'!$E$5</f>
        <v/>
      </c>
      <c r="I4545" t="inlineStr">
        <is>
          <t>W2</t>
        </is>
      </c>
      <c r="J4545" t="inlineStr">
        <is>
          <t>2033_Czerwiec_W2</t>
        </is>
      </c>
    </row>
    <row r="4546">
      <c r="A4546" s="177" t="n">
        <v>48741</v>
      </c>
      <c r="B4546" s="177" t="n">
        <v>48737</v>
      </c>
      <c r="C4546" s="177" t="n">
        <v>48743</v>
      </c>
      <c r="D4546" t="inlineStr">
        <is>
          <t>BW20330607</t>
        </is>
      </c>
      <c r="E4546" t="n">
        <v>2033</v>
      </c>
      <c r="F4546" t="inlineStr">
        <is>
          <t>Czerwiec</t>
        </is>
      </c>
      <c r="G4546" t="inlineStr">
        <is>
          <t>Sob</t>
        </is>
      </c>
      <c r="H4546">
        <f>'Floor Hours Engine'!$E$5</f>
        <v/>
      </c>
      <c r="I4546" t="inlineStr">
        <is>
          <t>W2</t>
        </is>
      </c>
      <c r="J4546" t="inlineStr">
        <is>
          <t>2033_Czerwiec_W2</t>
        </is>
      </c>
    </row>
    <row r="4547">
      <c r="A4547" s="177" t="n">
        <v>48742</v>
      </c>
      <c r="B4547" s="177" t="n">
        <v>48737</v>
      </c>
      <c r="C4547" s="177" t="n">
        <v>48743</v>
      </c>
      <c r="D4547" t="inlineStr">
        <is>
          <t>BW20330607</t>
        </is>
      </c>
      <c r="E4547" t="n">
        <v>2033</v>
      </c>
      <c r="F4547" t="inlineStr">
        <is>
          <t>Czerwiec</t>
        </is>
      </c>
      <c r="G4547" t="inlineStr">
        <is>
          <t>Nd</t>
        </is>
      </c>
      <c r="H4547">
        <f>'Floor Hours Engine'!$E$6</f>
        <v/>
      </c>
      <c r="I4547" t="inlineStr">
        <is>
          <t>W2</t>
        </is>
      </c>
      <c r="J4547" t="inlineStr">
        <is>
          <t>2033_Czerwiec_W2</t>
        </is>
      </c>
    </row>
    <row r="4548">
      <c r="A4548" s="177" t="n">
        <v>48743</v>
      </c>
      <c r="B4548" s="177" t="n">
        <v>48737</v>
      </c>
      <c r="C4548" s="177" t="n">
        <v>48743</v>
      </c>
      <c r="D4548" t="inlineStr">
        <is>
          <t>BW20330607</t>
        </is>
      </c>
      <c r="E4548" t="n">
        <v>2033</v>
      </c>
      <c r="F4548" t="inlineStr">
        <is>
          <t>Czerwiec</t>
        </is>
      </c>
      <c r="G4548" t="inlineStr">
        <is>
          <t>Pn</t>
        </is>
      </c>
      <c r="H4548">
        <f>'Floor Hours Engine'!$E$4</f>
        <v/>
      </c>
      <c r="I4548" t="inlineStr">
        <is>
          <t>W2</t>
        </is>
      </c>
      <c r="J4548" t="inlineStr">
        <is>
          <t>2033_Czerwiec_W2</t>
        </is>
      </c>
    </row>
    <row r="4549">
      <c r="A4549" s="177" t="n">
        <v>48744</v>
      </c>
      <c r="B4549" s="177" t="n">
        <v>48744</v>
      </c>
      <c r="C4549" s="177" t="n">
        <v>48750</v>
      </c>
      <c r="D4549" t="inlineStr">
        <is>
          <t>BW20330614</t>
        </is>
      </c>
      <c r="E4549" t="n">
        <v>2033</v>
      </c>
      <c r="F4549" t="inlineStr">
        <is>
          <t>Czerwiec</t>
        </is>
      </c>
      <c r="G4549" t="inlineStr">
        <is>
          <t>Wt</t>
        </is>
      </c>
      <c r="H4549">
        <f>'Floor Hours Engine'!$E$4</f>
        <v/>
      </c>
      <c r="I4549" t="inlineStr">
        <is>
          <t>W3</t>
        </is>
      </c>
      <c r="J4549" t="inlineStr">
        <is>
          <t>2033_Czerwiec_W3</t>
        </is>
      </c>
    </row>
    <row r="4550">
      <c r="A4550" s="177" t="n">
        <v>48745</v>
      </c>
      <c r="B4550" s="177" t="n">
        <v>48744</v>
      </c>
      <c r="C4550" s="177" t="n">
        <v>48750</v>
      </c>
      <c r="D4550" t="inlineStr">
        <is>
          <t>BW20330614</t>
        </is>
      </c>
      <c r="E4550" t="n">
        <v>2033</v>
      </c>
      <c r="F4550" t="inlineStr">
        <is>
          <t>Czerwiec</t>
        </is>
      </c>
      <c r="G4550" t="inlineStr">
        <is>
          <t>Śr</t>
        </is>
      </c>
      <c r="H4550">
        <f>'Floor Hours Engine'!$E$4</f>
        <v/>
      </c>
      <c r="I4550" t="inlineStr">
        <is>
          <t>W3</t>
        </is>
      </c>
      <c r="J4550" t="inlineStr">
        <is>
          <t>2033_Czerwiec_W3</t>
        </is>
      </c>
    </row>
    <row r="4551">
      <c r="A4551" s="177" t="n">
        <v>48746</v>
      </c>
      <c r="B4551" s="177" t="n">
        <v>48744</v>
      </c>
      <c r="C4551" s="177" t="n">
        <v>48750</v>
      </c>
      <c r="D4551" t="inlineStr">
        <is>
          <t>BW20330614</t>
        </is>
      </c>
      <c r="E4551" t="n">
        <v>2033</v>
      </c>
      <c r="F4551" t="inlineStr">
        <is>
          <t>Czerwiec</t>
        </is>
      </c>
      <c r="G4551" t="inlineStr">
        <is>
          <t>Czw</t>
        </is>
      </c>
      <c r="H4551">
        <f>'Floor Hours Engine'!$E$4</f>
        <v/>
      </c>
      <c r="I4551" t="inlineStr">
        <is>
          <t>W3</t>
        </is>
      </c>
      <c r="J4551" t="inlineStr">
        <is>
          <t>2033_Czerwiec_W3</t>
        </is>
      </c>
    </row>
    <row r="4552">
      <c r="A4552" s="177" t="n">
        <v>48747</v>
      </c>
      <c r="B4552" s="177" t="n">
        <v>48744</v>
      </c>
      <c r="C4552" s="177" t="n">
        <v>48750</v>
      </c>
      <c r="D4552" t="inlineStr">
        <is>
          <t>BW20330614</t>
        </is>
      </c>
      <c r="E4552" t="n">
        <v>2033</v>
      </c>
      <c r="F4552" t="inlineStr">
        <is>
          <t>Czerwiec</t>
        </is>
      </c>
      <c r="G4552" t="inlineStr">
        <is>
          <t>Pt</t>
        </is>
      </c>
      <c r="H4552">
        <f>'Floor Hours Engine'!$E$5</f>
        <v/>
      </c>
      <c r="I4552" t="inlineStr">
        <is>
          <t>W3</t>
        </is>
      </c>
      <c r="J4552" t="inlineStr">
        <is>
          <t>2033_Czerwiec_W3</t>
        </is>
      </c>
    </row>
    <row r="4553">
      <c r="A4553" s="177" t="n">
        <v>48748</v>
      </c>
      <c r="B4553" s="177" t="n">
        <v>48744</v>
      </c>
      <c r="C4553" s="177" t="n">
        <v>48750</v>
      </c>
      <c r="D4553" t="inlineStr">
        <is>
          <t>BW20330614</t>
        </is>
      </c>
      <c r="E4553" t="n">
        <v>2033</v>
      </c>
      <c r="F4553" t="inlineStr">
        <is>
          <t>Czerwiec</t>
        </is>
      </c>
      <c r="G4553" t="inlineStr">
        <is>
          <t>Sob</t>
        </is>
      </c>
      <c r="H4553">
        <f>'Floor Hours Engine'!$E$5</f>
        <v/>
      </c>
      <c r="I4553" t="inlineStr">
        <is>
          <t>W3</t>
        </is>
      </c>
      <c r="J4553" t="inlineStr">
        <is>
          <t>2033_Czerwiec_W3</t>
        </is>
      </c>
    </row>
    <row r="4554">
      <c r="A4554" s="177" t="n">
        <v>48749</v>
      </c>
      <c r="B4554" s="177" t="n">
        <v>48744</v>
      </c>
      <c r="C4554" s="177" t="n">
        <v>48750</v>
      </c>
      <c r="D4554" t="inlineStr">
        <is>
          <t>BW20330614</t>
        </is>
      </c>
      <c r="E4554" t="n">
        <v>2033</v>
      </c>
      <c r="F4554" t="inlineStr">
        <is>
          <t>Czerwiec</t>
        </is>
      </c>
      <c r="G4554" t="inlineStr">
        <is>
          <t>Nd</t>
        </is>
      </c>
      <c r="H4554">
        <f>'Floor Hours Engine'!$E$6</f>
        <v/>
      </c>
      <c r="I4554" t="inlineStr">
        <is>
          <t>W3</t>
        </is>
      </c>
      <c r="J4554" t="inlineStr">
        <is>
          <t>2033_Czerwiec_W3</t>
        </is>
      </c>
    </row>
    <row r="4555">
      <c r="A4555" s="177" t="n">
        <v>48750</v>
      </c>
      <c r="B4555" s="177" t="n">
        <v>48744</v>
      </c>
      <c r="C4555" s="177" t="n">
        <v>48750</v>
      </c>
      <c r="D4555" t="inlineStr">
        <is>
          <t>BW20330614</t>
        </is>
      </c>
      <c r="E4555" t="n">
        <v>2033</v>
      </c>
      <c r="F4555" t="inlineStr">
        <is>
          <t>Czerwiec</t>
        </is>
      </c>
      <c r="G4555" t="inlineStr">
        <is>
          <t>Pn</t>
        </is>
      </c>
      <c r="H4555">
        <f>'Floor Hours Engine'!$E$4</f>
        <v/>
      </c>
      <c r="I4555" t="inlineStr">
        <is>
          <t>W3</t>
        </is>
      </c>
      <c r="J4555" t="inlineStr">
        <is>
          <t>2033_Czerwiec_W3</t>
        </is>
      </c>
    </row>
    <row r="4556">
      <c r="A4556" s="177" t="n">
        <v>48751</v>
      </c>
      <c r="B4556" s="177" t="n">
        <v>48751</v>
      </c>
      <c r="C4556" s="177" t="n">
        <v>48757</v>
      </c>
      <c r="D4556" t="inlineStr">
        <is>
          <t>BW20330621</t>
        </is>
      </c>
      <c r="E4556" t="n">
        <v>2033</v>
      </c>
      <c r="F4556" t="inlineStr">
        <is>
          <t>Czerwiec</t>
        </is>
      </c>
      <c r="G4556" t="inlineStr">
        <is>
          <t>Wt</t>
        </is>
      </c>
      <c r="H4556">
        <f>'Floor Hours Engine'!$E$4</f>
        <v/>
      </c>
      <c r="I4556" t="inlineStr">
        <is>
          <t>W4</t>
        </is>
      </c>
      <c r="J4556" t="inlineStr">
        <is>
          <t>2033_Czerwiec_W4</t>
        </is>
      </c>
    </row>
    <row r="4557">
      <c r="A4557" s="177" t="n">
        <v>48752</v>
      </c>
      <c r="B4557" s="177" t="n">
        <v>48751</v>
      </c>
      <c r="C4557" s="177" t="n">
        <v>48757</v>
      </c>
      <c r="D4557" t="inlineStr">
        <is>
          <t>BW20330621</t>
        </is>
      </c>
      <c r="E4557" t="n">
        <v>2033</v>
      </c>
      <c r="F4557" t="inlineStr">
        <is>
          <t>Czerwiec</t>
        </is>
      </c>
      <c r="G4557" t="inlineStr">
        <is>
          <t>Śr</t>
        </is>
      </c>
      <c r="H4557">
        <f>'Floor Hours Engine'!$E$4</f>
        <v/>
      </c>
      <c r="I4557" t="inlineStr">
        <is>
          <t>W4</t>
        </is>
      </c>
      <c r="J4557" t="inlineStr">
        <is>
          <t>2033_Czerwiec_W4</t>
        </is>
      </c>
    </row>
    <row r="4558">
      <c r="A4558" s="177" t="n">
        <v>48753</v>
      </c>
      <c r="B4558" s="177" t="n">
        <v>48751</v>
      </c>
      <c r="C4558" s="177" t="n">
        <v>48757</v>
      </c>
      <c r="D4558" t="inlineStr">
        <is>
          <t>BW20330621</t>
        </is>
      </c>
      <c r="E4558" t="n">
        <v>2033</v>
      </c>
      <c r="F4558" t="inlineStr">
        <is>
          <t>Czerwiec</t>
        </is>
      </c>
      <c r="G4558" t="inlineStr">
        <is>
          <t>Czw</t>
        </is>
      </c>
      <c r="H4558">
        <f>'Floor Hours Engine'!$E$4</f>
        <v/>
      </c>
      <c r="I4558" t="inlineStr">
        <is>
          <t>W4</t>
        </is>
      </c>
      <c r="J4558" t="inlineStr">
        <is>
          <t>2033_Czerwiec_W4</t>
        </is>
      </c>
    </row>
    <row r="4559">
      <c r="A4559" s="177" t="n">
        <v>48754</v>
      </c>
      <c r="B4559" s="177" t="n">
        <v>48751</v>
      </c>
      <c r="C4559" s="177" t="n">
        <v>48757</v>
      </c>
      <c r="D4559" t="inlineStr">
        <is>
          <t>BW20330621</t>
        </is>
      </c>
      <c r="E4559" t="n">
        <v>2033</v>
      </c>
      <c r="F4559" t="inlineStr">
        <is>
          <t>Czerwiec</t>
        </is>
      </c>
      <c r="G4559" t="inlineStr">
        <is>
          <t>Pt</t>
        </is>
      </c>
      <c r="H4559">
        <f>'Floor Hours Engine'!$E$5</f>
        <v/>
      </c>
      <c r="I4559" t="inlineStr">
        <is>
          <t>W4</t>
        </is>
      </c>
      <c r="J4559" t="inlineStr">
        <is>
          <t>2033_Czerwiec_W4</t>
        </is>
      </c>
    </row>
    <row r="4560">
      <c r="A4560" s="177" t="n">
        <v>48755</v>
      </c>
      <c r="B4560" s="177" t="n">
        <v>48751</v>
      </c>
      <c r="C4560" s="177" t="n">
        <v>48757</v>
      </c>
      <c r="D4560" t="inlineStr">
        <is>
          <t>BW20330621</t>
        </is>
      </c>
      <c r="E4560" t="n">
        <v>2033</v>
      </c>
      <c r="F4560" t="inlineStr">
        <is>
          <t>Czerwiec</t>
        </is>
      </c>
      <c r="G4560" t="inlineStr">
        <is>
          <t>Sob</t>
        </is>
      </c>
      <c r="H4560">
        <f>'Floor Hours Engine'!$E$5</f>
        <v/>
      </c>
      <c r="I4560" t="inlineStr">
        <is>
          <t>W4</t>
        </is>
      </c>
      <c r="J4560" t="inlineStr">
        <is>
          <t>2033_Czerwiec_W4</t>
        </is>
      </c>
    </row>
    <row r="4561">
      <c r="A4561" s="177" t="n">
        <v>48756</v>
      </c>
      <c r="B4561" s="177" t="n">
        <v>48751</v>
      </c>
      <c r="C4561" s="177" t="n">
        <v>48757</v>
      </c>
      <c r="D4561" t="inlineStr">
        <is>
          <t>BW20330621</t>
        </is>
      </c>
      <c r="E4561" t="n">
        <v>2033</v>
      </c>
      <c r="F4561" t="inlineStr">
        <is>
          <t>Czerwiec</t>
        </is>
      </c>
      <c r="G4561" t="inlineStr">
        <is>
          <t>Nd</t>
        </is>
      </c>
      <c r="H4561">
        <f>'Floor Hours Engine'!$E$6</f>
        <v/>
      </c>
      <c r="I4561" t="inlineStr">
        <is>
          <t>W4</t>
        </is>
      </c>
      <c r="J4561" t="inlineStr">
        <is>
          <t>2033_Czerwiec_W4</t>
        </is>
      </c>
    </row>
    <row r="4562">
      <c r="A4562" s="177" t="n">
        <v>48757</v>
      </c>
      <c r="B4562" s="177" t="n">
        <v>48751</v>
      </c>
      <c r="C4562" s="177" t="n">
        <v>48757</v>
      </c>
      <c r="D4562" t="inlineStr">
        <is>
          <t>BW20330621</t>
        </is>
      </c>
      <c r="E4562" t="n">
        <v>2033</v>
      </c>
      <c r="F4562" t="inlineStr">
        <is>
          <t>Czerwiec</t>
        </is>
      </c>
      <c r="G4562" t="inlineStr">
        <is>
          <t>Pn</t>
        </is>
      </c>
      <c r="H4562">
        <f>'Floor Hours Engine'!$E$4</f>
        <v/>
      </c>
      <c r="I4562" t="inlineStr">
        <is>
          <t>W4</t>
        </is>
      </c>
      <c r="J4562" t="inlineStr">
        <is>
          <t>2033_Czerwiec_W4</t>
        </is>
      </c>
    </row>
    <row r="4563">
      <c r="A4563" s="177" t="n">
        <v>48758</v>
      </c>
      <c r="B4563" s="177" t="n">
        <v>48758</v>
      </c>
      <c r="C4563" s="177" t="n">
        <v>48764</v>
      </c>
      <c r="D4563" t="inlineStr">
        <is>
          <t>BW20330628</t>
        </is>
      </c>
      <c r="E4563" t="n">
        <v>2033</v>
      </c>
      <c r="F4563" t="inlineStr">
        <is>
          <t>Czerwiec</t>
        </is>
      </c>
      <c r="G4563" t="inlineStr">
        <is>
          <t>Wt</t>
        </is>
      </c>
      <c r="H4563">
        <f>'Floor Hours Engine'!$E$4</f>
        <v/>
      </c>
      <c r="I4563" t="inlineStr">
        <is>
          <t>W5</t>
        </is>
      </c>
      <c r="J4563" t="inlineStr">
        <is>
          <t>2033_Czerwiec_W5</t>
        </is>
      </c>
    </row>
    <row r="4564">
      <c r="A4564" s="177" t="n">
        <v>48759</v>
      </c>
      <c r="B4564" s="177" t="n">
        <v>48758</v>
      </c>
      <c r="C4564" s="177" t="n">
        <v>48764</v>
      </c>
      <c r="D4564" t="inlineStr">
        <is>
          <t>BW20330628</t>
        </is>
      </c>
      <c r="E4564" t="n">
        <v>2033</v>
      </c>
      <c r="F4564" t="inlineStr">
        <is>
          <t>Czerwiec</t>
        </is>
      </c>
      <c r="G4564" t="inlineStr">
        <is>
          <t>Śr</t>
        </is>
      </c>
      <c r="H4564">
        <f>'Floor Hours Engine'!$E$4</f>
        <v/>
      </c>
      <c r="I4564" t="inlineStr">
        <is>
          <t>W5</t>
        </is>
      </c>
      <c r="J4564" t="inlineStr">
        <is>
          <t>2033_Czerwiec_W5</t>
        </is>
      </c>
    </row>
    <row r="4565">
      <c r="A4565" s="177" t="n">
        <v>48760</v>
      </c>
      <c r="B4565" s="177" t="n">
        <v>48758</v>
      </c>
      <c r="C4565" s="177" t="n">
        <v>48764</v>
      </c>
      <c r="D4565" t="inlineStr">
        <is>
          <t>BW20330628</t>
        </is>
      </c>
      <c r="E4565" t="n">
        <v>2033</v>
      </c>
      <c r="F4565" t="inlineStr">
        <is>
          <t>Czerwiec</t>
        </is>
      </c>
      <c r="G4565" t="inlineStr">
        <is>
          <t>Czw</t>
        </is>
      </c>
      <c r="H4565">
        <f>'Floor Hours Engine'!$E$4</f>
        <v/>
      </c>
      <c r="I4565" t="inlineStr">
        <is>
          <t>W5</t>
        </is>
      </c>
      <c r="J4565" t="inlineStr">
        <is>
          <t>2033_Czerwiec_W5</t>
        </is>
      </c>
    </row>
    <row r="4566">
      <c r="A4566" s="177" t="n">
        <v>48761</v>
      </c>
      <c r="B4566" s="177" t="n">
        <v>48758</v>
      </c>
      <c r="C4566" s="177" t="n">
        <v>48764</v>
      </c>
      <c r="D4566" t="inlineStr">
        <is>
          <t>BW20330628</t>
        </is>
      </c>
      <c r="E4566" t="n">
        <v>2033</v>
      </c>
      <c r="F4566" t="inlineStr">
        <is>
          <t>Lipiec</t>
        </is>
      </c>
      <c r="G4566" t="inlineStr">
        <is>
          <t>Pt</t>
        </is>
      </c>
      <c r="H4566">
        <f>'Floor Hours Engine'!$E$5</f>
        <v/>
      </c>
      <c r="I4566" t="inlineStr">
        <is>
          <t>W1</t>
        </is>
      </c>
      <c r="J4566" t="inlineStr">
        <is>
          <t>2033_Lipiec_W1</t>
        </is>
      </c>
    </row>
    <row r="4567">
      <c r="A4567" s="177" t="n">
        <v>48762</v>
      </c>
      <c r="B4567" s="177" t="n">
        <v>48758</v>
      </c>
      <c r="C4567" s="177" t="n">
        <v>48764</v>
      </c>
      <c r="D4567" t="inlineStr">
        <is>
          <t>BW20330628</t>
        </is>
      </c>
      <c r="E4567" t="n">
        <v>2033</v>
      </c>
      <c r="F4567" t="inlineStr">
        <is>
          <t>Lipiec</t>
        </is>
      </c>
      <c r="G4567" t="inlineStr">
        <is>
          <t>Sob</t>
        </is>
      </c>
      <c r="H4567">
        <f>'Floor Hours Engine'!$E$5</f>
        <v/>
      </c>
      <c r="I4567" t="inlineStr">
        <is>
          <t>W1</t>
        </is>
      </c>
      <c r="J4567" t="inlineStr">
        <is>
          <t>2033_Lipiec_W1</t>
        </is>
      </c>
    </row>
    <row r="4568">
      <c r="A4568" s="177" t="n">
        <v>48763</v>
      </c>
      <c r="B4568" s="177" t="n">
        <v>48758</v>
      </c>
      <c r="C4568" s="177" t="n">
        <v>48764</v>
      </c>
      <c r="D4568" t="inlineStr">
        <is>
          <t>BW20330628</t>
        </is>
      </c>
      <c r="E4568" t="n">
        <v>2033</v>
      </c>
      <c r="F4568" t="inlineStr">
        <is>
          <t>Lipiec</t>
        </is>
      </c>
      <c r="G4568" t="inlineStr">
        <is>
          <t>Nd</t>
        </is>
      </c>
      <c r="H4568">
        <f>'Floor Hours Engine'!$E$6</f>
        <v/>
      </c>
      <c r="I4568" t="inlineStr">
        <is>
          <t>W1</t>
        </is>
      </c>
      <c r="J4568" t="inlineStr">
        <is>
          <t>2033_Lipiec_W1</t>
        </is>
      </c>
    </row>
    <row r="4569">
      <c r="A4569" s="177" t="n">
        <v>48764</v>
      </c>
      <c r="B4569" s="177" t="n">
        <v>48758</v>
      </c>
      <c r="C4569" s="177" t="n">
        <v>48764</v>
      </c>
      <c r="D4569" t="inlineStr">
        <is>
          <t>BW20330628</t>
        </is>
      </c>
      <c r="E4569" t="n">
        <v>2033</v>
      </c>
      <c r="F4569" t="inlineStr">
        <is>
          <t>Lipiec</t>
        </is>
      </c>
      <c r="G4569" t="inlineStr">
        <is>
          <t>Pn</t>
        </is>
      </c>
      <c r="H4569">
        <f>'Floor Hours Engine'!$E$4</f>
        <v/>
      </c>
      <c r="I4569" t="inlineStr">
        <is>
          <t>W1</t>
        </is>
      </c>
      <c r="J4569" t="inlineStr">
        <is>
          <t>2033_Lipiec_W1</t>
        </is>
      </c>
    </row>
    <row r="4570">
      <c r="A4570" s="177" t="n">
        <v>48765</v>
      </c>
      <c r="B4570" s="177" t="n">
        <v>48765</v>
      </c>
      <c r="C4570" s="177" t="n">
        <v>48771</v>
      </c>
      <c r="D4570" t="inlineStr">
        <is>
          <t>BW20330705</t>
        </is>
      </c>
      <c r="E4570" t="n">
        <v>2033</v>
      </c>
      <c r="F4570" t="inlineStr">
        <is>
          <t>Lipiec</t>
        </is>
      </c>
      <c r="G4570" t="inlineStr">
        <is>
          <t>Wt</t>
        </is>
      </c>
      <c r="H4570">
        <f>'Floor Hours Engine'!$E$4</f>
        <v/>
      </c>
      <c r="I4570" t="inlineStr">
        <is>
          <t>W2</t>
        </is>
      </c>
      <c r="J4570" t="inlineStr">
        <is>
          <t>2033_Lipiec_W2</t>
        </is>
      </c>
    </row>
    <row r="4571">
      <c r="A4571" s="177" t="n">
        <v>48766</v>
      </c>
      <c r="B4571" s="177" t="n">
        <v>48765</v>
      </c>
      <c r="C4571" s="177" t="n">
        <v>48771</v>
      </c>
      <c r="D4571" t="inlineStr">
        <is>
          <t>BW20330705</t>
        </is>
      </c>
      <c r="E4571" t="n">
        <v>2033</v>
      </c>
      <c r="F4571" t="inlineStr">
        <is>
          <t>Lipiec</t>
        </is>
      </c>
      <c r="G4571" t="inlineStr">
        <is>
          <t>Śr</t>
        </is>
      </c>
      <c r="H4571">
        <f>'Floor Hours Engine'!$E$4</f>
        <v/>
      </c>
      <c r="I4571" t="inlineStr">
        <is>
          <t>W2</t>
        </is>
      </c>
      <c r="J4571" t="inlineStr">
        <is>
          <t>2033_Lipiec_W2</t>
        </is>
      </c>
    </row>
    <row r="4572">
      <c r="A4572" s="177" t="n">
        <v>48767</v>
      </c>
      <c r="B4572" s="177" t="n">
        <v>48765</v>
      </c>
      <c r="C4572" s="177" t="n">
        <v>48771</v>
      </c>
      <c r="D4572" t="inlineStr">
        <is>
          <t>BW20330705</t>
        </is>
      </c>
      <c r="E4572" t="n">
        <v>2033</v>
      </c>
      <c r="F4572" t="inlineStr">
        <is>
          <t>Lipiec</t>
        </is>
      </c>
      <c r="G4572" t="inlineStr">
        <is>
          <t>Czw</t>
        </is>
      </c>
      <c r="H4572">
        <f>'Floor Hours Engine'!$E$4</f>
        <v/>
      </c>
      <c r="I4572" t="inlineStr">
        <is>
          <t>W2</t>
        </is>
      </c>
      <c r="J4572" t="inlineStr">
        <is>
          <t>2033_Lipiec_W2</t>
        </is>
      </c>
    </row>
    <row r="4573">
      <c r="A4573" s="177" t="n">
        <v>48768</v>
      </c>
      <c r="B4573" s="177" t="n">
        <v>48765</v>
      </c>
      <c r="C4573" s="177" t="n">
        <v>48771</v>
      </c>
      <c r="D4573" t="inlineStr">
        <is>
          <t>BW20330705</t>
        </is>
      </c>
      <c r="E4573" t="n">
        <v>2033</v>
      </c>
      <c r="F4573" t="inlineStr">
        <is>
          <t>Lipiec</t>
        </is>
      </c>
      <c r="G4573" t="inlineStr">
        <is>
          <t>Pt</t>
        </is>
      </c>
      <c r="H4573">
        <f>'Floor Hours Engine'!$E$5</f>
        <v/>
      </c>
      <c r="I4573" t="inlineStr">
        <is>
          <t>W2</t>
        </is>
      </c>
      <c r="J4573" t="inlineStr">
        <is>
          <t>2033_Lipiec_W2</t>
        </is>
      </c>
    </row>
    <row r="4574">
      <c r="A4574" s="177" t="n">
        <v>48769</v>
      </c>
      <c r="B4574" s="177" t="n">
        <v>48765</v>
      </c>
      <c r="C4574" s="177" t="n">
        <v>48771</v>
      </c>
      <c r="D4574" t="inlineStr">
        <is>
          <t>BW20330705</t>
        </is>
      </c>
      <c r="E4574" t="n">
        <v>2033</v>
      </c>
      <c r="F4574" t="inlineStr">
        <is>
          <t>Lipiec</t>
        </is>
      </c>
      <c r="G4574" t="inlineStr">
        <is>
          <t>Sob</t>
        </is>
      </c>
      <c r="H4574">
        <f>'Floor Hours Engine'!$E$5</f>
        <v/>
      </c>
      <c r="I4574" t="inlineStr">
        <is>
          <t>W2</t>
        </is>
      </c>
      <c r="J4574" t="inlineStr">
        <is>
          <t>2033_Lipiec_W2</t>
        </is>
      </c>
    </row>
    <row r="4575">
      <c r="A4575" s="177" t="n">
        <v>48770</v>
      </c>
      <c r="B4575" s="177" t="n">
        <v>48765</v>
      </c>
      <c r="C4575" s="177" t="n">
        <v>48771</v>
      </c>
      <c r="D4575" t="inlineStr">
        <is>
          <t>BW20330705</t>
        </is>
      </c>
      <c r="E4575" t="n">
        <v>2033</v>
      </c>
      <c r="F4575" t="inlineStr">
        <is>
          <t>Lipiec</t>
        </is>
      </c>
      <c r="G4575" t="inlineStr">
        <is>
          <t>Nd</t>
        </is>
      </c>
      <c r="H4575">
        <f>'Floor Hours Engine'!$E$6</f>
        <v/>
      </c>
      <c r="I4575" t="inlineStr">
        <is>
          <t>W2</t>
        </is>
      </c>
      <c r="J4575" t="inlineStr">
        <is>
          <t>2033_Lipiec_W2</t>
        </is>
      </c>
    </row>
    <row r="4576">
      <c r="A4576" s="177" t="n">
        <v>48771</v>
      </c>
      <c r="B4576" s="177" t="n">
        <v>48765</v>
      </c>
      <c r="C4576" s="177" t="n">
        <v>48771</v>
      </c>
      <c r="D4576" t="inlineStr">
        <is>
          <t>BW20330705</t>
        </is>
      </c>
      <c r="E4576" t="n">
        <v>2033</v>
      </c>
      <c r="F4576" t="inlineStr">
        <is>
          <t>Lipiec</t>
        </is>
      </c>
      <c r="G4576" t="inlineStr">
        <is>
          <t>Pn</t>
        </is>
      </c>
      <c r="H4576">
        <f>'Floor Hours Engine'!$E$4</f>
        <v/>
      </c>
      <c r="I4576" t="inlineStr">
        <is>
          <t>W2</t>
        </is>
      </c>
      <c r="J4576" t="inlineStr">
        <is>
          <t>2033_Lipiec_W2</t>
        </is>
      </c>
    </row>
    <row r="4577">
      <c r="A4577" s="177" t="n">
        <v>48772</v>
      </c>
      <c r="B4577" s="177" t="n">
        <v>48772</v>
      </c>
      <c r="C4577" s="177" t="n">
        <v>48778</v>
      </c>
      <c r="D4577" t="inlineStr">
        <is>
          <t>BW20330712</t>
        </is>
      </c>
      <c r="E4577" t="n">
        <v>2033</v>
      </c>
      <c r="F4577" t="inlineStr">
        <is>
          <t>Lipiec</t>
        </is>
      </c>
      <c r="G4577" t="inlineStr">
        <is>
          <t>Wt</t>
        </is>
      </c>
      <c r="H4577">
        <f>'Floor Hours Engine'!$E$4</f>
        <v/>
      </c>
      <c r="I4577" t="inlineStr">
        <is>
          <t>W3</t>
        </is>
      </c>
      <c r="J4577" t="inlineStr">
        <is>
          <t>2033_Lipiec_W3</t>
        </is>
      </c>
    </row>
    <row r="4578">
      <c r="A4578" s="177" t="n">
        <v>48773</v>
      </c>
      <c r="B4578" s="177" t="n">
        <v>48772</v>
      </c>
      <c r="C4578" s="177" t="n">
        <v>48778</v>
      </c>
      <c r="D4578" t="inlineStr">
        <is>
          <t>BW20330712</t>
        </is>
      </c>
      <c r="E4578" t="n">
        <v>2033</v>
      </c>
      <c r="F4578" t="inlineStr">
        <is>
          <t>Lipiec</t>
        </is>
      </c>
      <c r="G4578" t="inlineStr">
        <is>
          <t>Śr</t>
        </is>
      </c>
      <c r="H4578">
        <f>'Floor Hours Engine'!$E$4</f>
        <v/>
      </c>
      <c r="I4578" t="inlineStr">
        <is>
          <t>W3</t>
        </is>
      </c>
      <c r="J4578" t="inlineStr">
        <is>
          <t>2033_Lipiec_W3</t>
        </is>
      </c>
    </row>
    <row r="4579">
      <c r="A4579" s="177" t="n">
        <v>48774</v>
      </c>
      <c r="B4579" s="177" t="n">
        <v>48772</v>
      </c>
      <c r="C4579" s="177" t="n">
        <v>48778</v>
      </c>
      <c r="D4579" t="inlineStr">
        <is>
          <t>BW20330712</t>
        </is>
      </c>
      <c r="E4579" t="n">
        <v>2033</v>
      </c>
      <c r="F4579" t="inlineStr">
        <is>
          <t>Lipiec</t>
        </is>
      </c>
      <c r="G4579" t="inlineStr">
        <is>
          <t>Czw</t>
        </is>
      </c>
      <c r="H4579">
        <f>'Floor Hours Engine'!$E$4</f>
        <v/>
      </c>
      <c r="I4579" t="inlineStr">
        <is>
          <t>W3</t>
        </is>
      </c>
      <c r="J4579" t="inlineStr">
        <is>
          <t>2033_Lipiec_W3</t>
        </is>
      </c>
    </row>
    <row r="4580">
      <c r="A4580" s="177" t="n">
        <v>48775</v>
      </c>
      <c r="B4580" s="177" t="n">
        <v>48772</v>
      </c>
      <c r="C4580" s="177" t="n">
        <v>48778</v>
      </c>
      <c r="D4580" t="inlineStr">
        <is>
          <t>BW20330712</t>
        </is>
      </c>
      <c r="E4580" t="n">
        <v>2033</v>
      </c>
      <c r="F4580" t="inlineStr">
        <is>
          <t>Lipiec</t>
        </is>
      </c>
      <c r="G4580" t="inlineStr">
        <is>
          <t>Pt</t>
        </is>
      </c>
      <c r="H4580">
        <f>'Floor Hours Engine'!$E$5</f>
        <v/>
      </c>
      <c r="I4580" t="inlineStr">
        <is>
          <t>W3</t>
        </is>
      </c>
      <c r="J4580" t="inlineStr">
        <is>
          <t>2033_Lipiec_W3</t>
        </is>
      </c>
    </row>
    <row r="4581">
      <c r="A4581" s="177" t="n">
        <v>48776</v>
      </c>
      <c r="B4581" s="177" t="n">
        <v>48772</v>
      </c>
      <c r="C4581" s="177" t="n">
        <v>48778</v>
      </c>
      <c r="D4581" t="inlineStr">
        <is>
          <t>BW20330712</t>
        </is>
      </c>
      <c r="E4581" t="n">
        <v>2033</v>
      </c>
      <c r="F4581" t="inlineStr">
        <is>
          <t>Lipiec</t>
        </is>
      </c>
      <c r="G4581" t="inlineStr">
        <is>
          <t>Sob</t>
        </is>
      </c>
      <c r="H4581">
        <f>'Floor Hours Engine'!$E$5</f>
        <v/>
      </c>
      <c r="I4581" t="inlineStr">
        <is>
          <t>W3</t>
        </is>
      </c>
      <c r="J4581" t="inlineStr">
        <is>
          <t>2033_Lipiec_W3</t>
        </is>
      </c>
    </row>
    <row r="4582">
      <c r="A4582" s="177" t="n">
        <v>48777</v>
      </c>
      <c r="B4582" s="177" t="n">
        <v>48772</v>
      </c>
      <c r="C4582" s="177" t="n">
        <v>48778</v>
      </c>
      <c r="D4582" t="inlineStr">
        <is>
          <t>BW20330712</t>
        </is>
      </c>
      <c r="E4582" t="n">
        <v>2033</v>
      </c>
      <c r="F4582" t="inlineStr">
        <is>
          <t>Lipiec</t>
        </is>
      </c>
      <c r="G4582" t="inlineStr">
        <is>
          <t>Nd</t>
        </is>
      </c>
      <c r="H4582">
        <f>'Floor Hours Engine'!$E$6</f>
        <v/>
      </c>
      <c r="I4582" t="inlineStr">
        <is>
          <t>W3</t>
        </is>
      </c>
      <c r="J4582" t="inlineStr">
        <is>
          <t>2033_Lipiec_W3</t>
        </is>
      </c>
    </row>
    <row r="4583">
      <c r="A4583" s="177" t="n">
        <v>48778</v>
      </c>
      <c r="B4583" s="177" t="n">
        <v>48772</v>
      </c>
      <c r="C4583" s="177" t="n">
        <v>48778</v>
      </c>
      <c r="D4583" t="inlineStr">
        <is>
          <t>BW20330712</t>
        </is>
      </c>
      <c r="E4583" t="n">
        <v>2033</v>
      </c>
      <c r="F4583" t="inlineStr">
        <is>
          <t>Lipiec</t>
        </is>
      </c>
      <c r="G4583" t="inlineStr">
        <is>
          <t>Pn</t>
        </is>
      </c>
      <c r="H4583">
        <f>'Floor Hours Engine'!$E$4</f>
        <v/>
      </c>
      <c r="I4583" t="inlineStr">
        <is>
          <t>W3</t>
        </is>
      </c>
      <c r="J4583" t="inlineStr">
        <is>
          <t>2033_Lipiec_W3</t>
        </is>
      </c>
    </row>
    <row r="4584">
      <c r="A4584" s="177" t="n">
        <v>48779</v>
      </c>
      <c r="B4584" s="177" t="n">
        <v>48779</v>
      </c>
      <c r="C4584" s="177" t="n">
        <v>48785</v>
      </c>
      <c r="D4584" t="inlineStr">
        <is>
          <t>BW20330719</t>
        </is>
      </c>
      <c r="E4584" t="n">
        <v>2033</v>
      </c>
      <c r="F4584" t="inlineStr">
        <is>
          <t>Lipiec</t>
        </is>
      </c>
      <c r="G4584" t="inlineStr">
        <is>
          <t>Wt</t>
        </is>
      </c>
      <c r="H4584">
        <f>'Floor Hours Engine'!$E$4</f>
        <v/>
      </c>
      <c r="I4584" t="inlineStr">
        <is>
          <t>W4</t>
        </is>
      </c>
      <c r="J4584" t="inlineStr">
        <is>
          <t>2033_Lipiec_W4</t>
        </is>
      </c>
    </row>
    <row r="4585">
      <c r="A4585" s="177" t="n">
        <v>48780</v>
      </c>
      <c r="B4585" s="177" t="n">
        <v>48779</v>
      </c>
      <c r="C4585" s="177" t="n">
        <v>48785</v>
      </c>
      <c r="D4585" t="inlineStr">
        <is>
          <t>BW20330719</t>
        </is>
      </c>
      <c r="E4585" t="n">
        <v>2033</v>
      </c>
      <c r="F4585" t="inlineStr">
        <is>
          <t>Lipiec</t>
        </is>
      </c>
      <c r="G4585" t="inlineStr">
        <is>
          <t>Śr</t>
        </is>
      </c>
      <c r="H4585">
        <f>'Floor Hours Engine'!$E$4</f>
        <v/>
      </c>
      <c r="I4585" t="inlineStr">
        <is>
          <t>W4</t>
        </is>
      </c>
      <c r="J4585" t="inlineStr">
        <is>
          <t>2033_Lipiec_W4</t>
        </is>
      </c>
    </row>
    <row r="4586">
      <c r="A4586" s="177" t="n">
        <v>48781</v>
      </c>
      <c r="B4586" s="177" t="n">
        <v>48779</v>
      </c>
      <c r="C4586" s="177" t="n">
        <v>48785</v>
      </c>
      <c r="D4586" t="inlineStr">
        <is>
          <t>BW20330719</t>
        </is>
      </c>
      <c r="E4586" t="n">
        <v>2033</v>
      </c>
      <c r="F4586" t="inlineStr">
        <is>
          <t>Lipiec</t>
        </is>
      </c>
      <c r="G4586" t="inlineStr">
        <is>
          <t>Czw</t>
        </is>
      </c>
      <c r="H4586">
        <f>'Floor Hours Engine'!$E$4</f>
        <v/>
      </c>
      <c r="I4586" t="inlineStr">
        <is>
          <t>W4</t>
        </is>
      </c>
      <c r="J4586" t="inlineStr">
        <is>
          <t>2033_Lipiec_W4</t>
        </is>
      </c>
    </row>
    <row r="4587">
      <c r="A4587" s="177" t="n">
        <v>48782</v>
      </c>
      <c r="B4587" s="177" t="n">
        <v>48779</v>
      </c>
      <c r="C4587" s="177" t="n">
        <v>48785</v>
      </c>
      <c r="D4587" t="inlineStr">
        <is>
          <t>BW20330719</t>
        </is>
      </c>
      <c r="E4587" t="n">
        <v>2033</v>
      </c>
      <c r="F4587" t="inlineStr">
        <is>
          <t>Lipiec</t>
        </is>
      </c>
      <c r="G4587" t="inlineStr">
        <is>
          <t>Pt</t>
        </is>
      </c>
      <c r="H4587">
        <f>'Floor Hours Engine'!$E$5</f>
        <v/>
      </c>
      <c r="I4587" t="inlineStr">
        <is>
          <t>W4</t>
        </is>
      </c>
      <c r="J4587" t="inlineStr">
        <is>
          <t>2033_Lipiec_W4</t>
        </is>
      </c>
    </row>
    <row r="4588">
      <c r="A4588" s="177" t="n">
        <v>48783</v>
      </c>
      <c r="B4588" s="177" t="n">
        <v>48779</v>
      </c>
      <c r="C4588" s="177" t="n">
        <v>48785</v>
      </c>
      <c r="D4588" t="inlineStr">
        <is>
          <t>BW20330719</t>
        </is>
      </c>
      <c r="E4588" t="n">
        <v>2033</v>
      </c>
      <c r="F4588" t="inlineStr">
        <is>
          <t>Lipiec</t>
        </is>
      </c>
      <c r="G4588" t="inlineStr">
        <is>
          <t>Sob</t>
        </is>
      </c>
      <c r="H4588">
        <f>'Floor Hours Engine'!$E$5</f>
        <v/>
      </c>
      <c r="I4588" t="inlineStr">
        <is>
          <t>W4</t>
        </is>
      </c>
      <c r="J4588" t="inlineStr">
        <is>
          <t>2033_Lipiec_W4</t>
        </is>
      </c>
    </row>
    <row r="4589">
      <c r="A4589" s="177" t="n">
        <v>48784</v>
      </c>
      <c r="B4589" s="177" t="n">
        <v>48779</v>
      </c>
      <c r="C4589" s="177" t="n">
        <v>48785</v>
      </c>
      <c r="D4589" t="inlineStr">
        <is>
          <t>BW20330719</t>
        </is>
      </c>
      <c r="E4589" t="n">
        <v>2033</v>
      </c>
      <c r="F4589" t="inlineStr">
        <is>
          <t>Lipiec</t>
        </is>
      </c>
      <c r="G4589" t="inlineStr">
        <is>
          <t>Nd</t>
        </is>
      </c>
      <c r="H4589">
        <f>'Floor Hours Engine'!$E$6</f>
        <v/>
      </c>
      <c r="I4589" t="inlineStr">
        <is>
          <t>W4</t>
        </is>
      </c>
      <c r="J4589" t="inlineStr">
        <is>
          <t>2033_Lipiec_W4</t>
        </is>
      </c>
    </row>
    <row r="4590">
      <c r="A4590" s="177" t="n">
        <v>48785</v>
      </c>
      <c r="B4590" s="177" t="n">
        <v>48779</v>
      </c>
      <c r="C4590" s="177" t="n">
        <v>48785</v>
      </c>
      <c r="D4590" t="inlineStr">
        <is>
          <t>BW20330719</t>
        </is>
      </c>
      <c r="E4590" t="n">
        <v>2033</v>
      </c>
      <c r="F4590" t="inlineStr">
        <is>
          <t>Lipiec</t>
        </is>
      </c>
      <c r="G4590" t="inlineStr">
        <is>
          <t>Pn</t>
        </is>
      </c>
      <c r="H4590">
        <f>'Floor Hours Engine'!$E$4</f>
        <v/>
      </c>
      <c r="I4590" t="inlineStr">
        <is>
          <t>W4</t>
        </is>
      </c>
      <c r="J4590" t="inlineStr">
        <is>
          <t>2033_Lipiec_W4</t>
        </is>
      </c>
    </row>
    <row r="4591">
      <c r="A4591" s="177" t="n">
        <v>48786</v>
      </c>
      <c r="B4591" s="177" t="n">
        <v>48786</v>
      </c>
      <c r="C4591" s="177" t="n">
        <v>48792</v>
      </c>
      <c r="D4591" t="inlineStr">
        <is>
          <t>BW20330726</t>
        </is>
      </c>
      <c r="E4591" t="n">
        <v>2033</v>
      </c>
      <c r="F4591" t="inlineStr">
        <is>
          <t>Lipiec</t>
        </is>
      </c>
      <c r="G4591" t="inlineStr">
        <is>
          <t>Wt</t>
        </is>
      </c>
      <c r="H4591">
        <f>'Floor Hours Engine'!$E$4</f>
        <v/>
      </c>
      <c r="I4591" t="inlineStr">
        <is>
          <t>W5</t>
        </is>
      </c>
      <c r="J4591" t="inlineStr">
        <is>
          <t>2033_Lipiec_W5</t>
        </is>
      </c>
    </row>
    <row r="4592">
      <c r="A4592" s="177" t="n">
        <v>48787</v>
      </c>
      <c r="B4592" s="177" t="n">
        <v>48786</v>
      </c>
      <c r="C4592" s="177" t="n">
        <v>48792</v>
      </c>
      <c r="D4592" t="inlineStr">
        <is>
          <t>BW20330726</t>
        </is>
      </c>
      <c r="E4592" t="n">
        <v>2033</v>
      </c>
      <c r="F4592" t="inlineStr">
        <is>
          <t>Lipiec</t>
        </is>
      </c>
      <c r="G4592" t="inlineStr">
        <is>
          <t>Śr</t>
        </is>
      </c>
      <c r="H4592">
        <f>'Floor Hours Engine'!$E$4</f>
        <v/>
      </c>
      <c r="I4592" t="inlineStr">
        <is>
          <t>W5</t>
        </is>
      </c>
      <c r="J4592" t="inlineStr">
        <is>
          <t>2033_Lipiec_W5</t>
        </is>
      </c>
    </row>
    <row r="4593">
      <c r="A4593" s="177" t="n">
        <v>48788</v>
      </c>
      <c r="B4593" s="177" t="n">
        <v>48786</v>
      </c>
      <c r="C4593" s="177" t="n">
        <v>48792</v>
      </c>
      <c r="D4593" t="inlineStr">
        <is>
          <t>BW20330726</t>
        </is>
      </c>
      <c r="E4593" t="n">
        <v>2033</v>
      </c>
      <c r="F4593" t="inlineStr">
        <is>
          <t>Lipiec</t>
        </is>
      </c>
      <c r="G4593" t="inlineStr">
        <is>
          <t>Czw</t>
        </is>
      </c>
      <c r="H4593">
        <f>'Floor Hours Engine'!$E$4</f>
        <v/>
      </c>
      <c r="I4593" t="inlineStr">
        <is>
          <t>W5</t>
        </is>
      </c>
      <c r="J4593" t="inlineStr">
        <is>
          <t>2033_Lipiec_W5</t>
        </is>
      </c>
    </row>
    <row r="4594">
      <c r="A4594" s="177" t="n">
        <v>48789</v>
      </c>
      <c r="B4594" s="177" t="n">
        <v>48786</v>
      </c>
      <c r="C4594" s="177" t="n">
        <v>48792</v>
      </c>
      <c r="D4594" t="inlineStr">
        <is>
          <t>BW20330726</t>
        </is>
      </c>
      <c r="E4594" t="n">
        <v>2033</v>
      </c>
      <c r="F4594" t="inlineStr">
        <is>
          <t>Lipiec</t>
        </is>
      </c>
      <c r="G4594" t="inlineStr">
        <is>
          <t>Pt</t>
        </is>
      </c>
      <c r="H4594">
        <f>'Floor Hours Engine'!$E$5</f>
        <v/>
      </c>
      <c r="I4594" t="inlineStr">
        <is>
          <t>W5</t>
        </is>
      </c>
      <c r="J4594" t="inlineStr">
        <is>
          <t>2033_Lipiec_W5</t>
        </is>
      </c>
    </row>
    <row r="4595">
      <c r="A4595" s="177" t="n">
        <v>48790</v>
      </c>
      <c r="B4595" s="177" t="n">
        <v>48786</v>
      </c>
      <c r="C4595" s="177" t="n">
        <v>48792</v>
      </c>
      <c r="D4595" t="inlineStr">
        <is>
          <t>BW20330726</t>
        </is>
      </c>
      <c r="E4595" t="n">
        <v>2033</v>
      </c>
      <c r="F4595" t="inlineStr">
        <is>
          <t>Lipiec</t>
        </is>
      </c>
      <c r="G4595" t="inlineStr">
        <is>
          <t>Sob</t>
        </is>
      </c>
      <c r="H4595">
        <f>'Floor Hours Engine'!$E$5</f>
        <v/>
      </c>
      <c r="I4595" t="inlineStr">
        <is>
          <t>W5</t>
        </is>
      </c>
      <c r="J4595" t="inlineStr">
        <is>
          <t>2033_Lipiec_W5</t>
        </is>
      </c>
    </row>
    <row r="4596">
      <c r="A4596" s="177" t="n">
        <v>48791</v>
      </c>
      <c r="B4596" s="177" t="n">
        <v>48786</v>
      </c>
      <c r="C4596" s="177" t="n">
        <v>48792</v>
      </c>
      <c r="D4596" t="inlineStr">
        <is>
          <t>BW20330726</t>
        </is>
      </c>
      <c r="E4596" t="n">
        <v>2033</v>
      </c>
      <c r="F4596" t="inlineStr">
        <is>
          <t>Lipiec</t>
        </is>
      </c>
      <c r="G4596" t="inlineStr">
        <is>
          <t>Nd</t>
        </is>
      </c>
      <c r="H4596">
        <f>'Floor Hours Engine'!$E$6</f>
        <v/>
      </c>
      <c r="I4596" t="inlineStr">
        <is>
          <t>W5</t>
        </is>
      </c>
      <c r="J4596" t="inlineStr">
        <is>
          <t>2033_Lipiec_W5</t>
        </is>
      </c>
    </row>
    <row r="4597">
      <c r="A4597" s="177" t="n">
        <v>48792</v>
      </c>
      <c r="B4597" s="177" t="n">
        <v>48786</v>
      </c>
      <c r="C4597" s="177" t="n">
        <v>48792</v>
      </c>
      <c r="D4597" t="inlineStr">
        <is>
          <t>BW20330726</t>
        </is>
      </c>
      <c r="E4597" t="n">
        <v>2033</v>
      </c>
      <c r="F4597" t="inlineStr">
        <is>
          <t>Sierpień</t>
        </is>
      </c>
      <c r="G4597" t="inlineStr">
        <is>
          <t>Pn</t>
        </is>
      </c>
      <c r="H4597">
        <f>'Floor Hours Engine'!$E$4</f>
        <v/>
      </c>
      <c r="I4597" t="inlineStr">
        <is>
          <t>W1</t>
        </is>
      </c>
      <c r="J4597" t="inlineStr">
        <is>
          <t>2033_Sierpień_W1</t>
        </is>
      </c>
    </row>
    <row r="4598">
      <c r="A4598" s="177" t="n">
        <v>48793</v>
      </c>
      <c r="B4598" s="177" t="n">
        <v>48793</v>
      </c>
      <c r="C4598" s="177" t="n">
        <v>48799</v>
      </c>
      <c r="D4598" t="inlineStr">
        <is>
          <t>BW20330802</t>
        </is>
      </c>
      <c r="E4598" t="n">
        <v>2033</v>
      </c>
      <c r="F4598" t="inlineStr">
        <is>
          <t>Sierpień</t>
        </is>
      </c>
      <c r="G4598" t="inlineStr">
        <is>
          <t>Wt</t>
        </is>
      </c>
      <c r="H4598">
        <f>'Floor Hours Engine'!$E$4</f>
        <v/>
      </c>
      <c r="I4598" t="inlineStr">
        <is>
          <t>W2</t>
        </is>
      </c>
      <c r="J4598" t="inlineStr">
        <is>
          <t>2033_Sierpień_W2</t>
        </is>
      </c>
    </row>
    <row r="4599">
      <c r="A4599" s="177" t="n">
        <v>48794</v>
      </c>
      <c r="B4599" s="177" t="n">
        <v>48793</v>
      </c>
      <c r="C4599" s="177" t="n">
        <v>48799</v>
      </c>
      <c r="D4599" t="inlineStr">
        <is>
          <t>BW20330802</t>
        </is>
      </c>
      <c r="E4599" t="n">
        <v>2033</v>
      </c>
      <c r="F4599" t="inlineStr">
        <is>
          <t>Sierpień</t>
        </is>
      </c>
      <c r="G4599" t="inlineStr">
        <is>
          <t>Śr</t>
        </is>
      </c>
      <c r="H4599">
        <f>'Floor Hours Engine'!$E$4</f>
        <v/>
      </c>
      <c r="I4599" t="inlineStr">
        <is>
          <t>W2</t>
        </is>
      </c>
      <c r="J4599" t="inlineStr">
        <is>
          <t>2033_Sierpień_W2</t>
        </is>
      </c>
    </row>
    <row r="4600">
      <c r="A4600" s="177" t="n">
        <v>48795</v>
      </c>
      <c r="B4600" s="177" t="n">
        <v>48793</v>
      </c>
      <c r="C4600" s="177" t="n">
        <v>48799</v>
      </c>
      <c r="D4600" t="inlineStr">
        <is>
          <t>BW20330802</t>
        </is>
      </c>
      <c r="E4600" t="n">
        <v>2033</v>
      </c>
      <c r="F4600" t="inlineStr">
        <is>
          <t>Sierpień</t>
        </is>
      </c>
      <c r="G4600" t="inlineStr">
        <is>
          <t>Czw</t>
        </is>
      </c>
      <c r="H4600">
        <f>'Floor Hours Engine'!$E$4</f>
        <v/>
      </c>
      <c r="I4600" t="inlineStr">
        <is>
          <t>W2</t>
        </is>
      </c>
      <c r="J4600" t="inlineStr">
        <is>
          <t>2033_Sierpień_W2</t>
        </is>
      </c>
    </row>
    <row r="4601">
      <c r="A4601" s="177" t="n">
        <v>48796</v>
      </c>
      <c r="B4601" s="177" t="n">
        <v>48793</v>
      </c>
      <c r="C4601" s="177" t="n">
        <v>48799</v>
      </c>
      <c r="D4601" t="inlineStr">
        <is>
          <t>BW20330802</t>
        </is>
      </c>
      <c r="E4601" t="n">
        <v>2033</v>
      </c>
      <c r="F4601" t="inlineStr">
        <is>
          <t>Sierpień</t>
        </is>
      </c>
      <c r="G4601" t="inlineStr">
        <is>
          <t>Pt</t>
        </is>
      </c>
      <c r="H4601">
        <f>'Floor Hours Engine'!$E$5</f>
        <v/>
      </c>
      <c r="I4601" t="inlineStr">
        <is>
          <t>W2</t>
        </is>
      </c>
      <c r="J4601" t="inlineStr">
        <is>
          <t>2033_Sierpień_W2</t>
        </is>
      </c>
    </row>
    <row r="4602">
      <c r="A4602" s="177" t="n">
        <v>48797</v>
      </c>
      <c r="B4602" s="177" t="n">
        <v>48793</v>
      </c>
      <c r="C4602" s="177" t="n">
        <v>48799</v>
      </c>
      <c r="D4602" t="inlineStr">
        <is>
          <t>BW20330802</t>
        </is>
      </c>
      <c r="E4602" t="n">
        <v>2033</v>
      </c>
      <c r="F4602" t="inlineStr">
        <is>
          <t>Sierpień</t>
        </is>
      </c>
      <c r="G4602" t="inlineStr">
        <is>
          <t>Sob</t>
        </is>
      </c>
      <c r="H4602">
        <f>'Floor Hours Engine'!$E$5</f>
        <v/>
      </c>
      <c r="I4602" t="inlineStr">
        <is>
          <t>W2</t>
        </is>
      </c>
      <c r="J4602" t="inlineStr">
        <is>
          <t>2033_Sierpień_W2</t>
        </is>
      </c>
    </row>
    <row r="4603">
      <c r="A4603" s="177" t="n">
        <v>48798</v>
      </c>
      <c r="B4603" s="177" t="n">
        <v>48793</v>
      </c>
      <c r="C4603" s="177" t="n">
        <v>48799</v>
      </c>
      <c r="D4603" t="inlineStr">
        <is>
          <t>BW20330802</t>
        </is>
      </c>
      <c r="E4603" t="n">
        <v>2033</v>
      </c>
      <c r="F4603" t="inlineStr">
        <is>
          <t>Sierpień</t>
        </is>
      </c>
      <c r="G4603" t="inlineStr">
        <is>
          <t>Nd</t>
        </is>
      </c>
      <c r="H4603">
        <f>'Floor Hours Engine'!$E$6</f>
        <v/>
      </c>
      <c r="I4603" t="inlineStr">
        <is>
          <t>W2</t>
        </is>
      </c>
      <c r="J4603" t="inlineStr">
        <is>
          <t>2033_Sierpień_W2</t>
        </is>
      </c>
    </row>
    <row r="4604">
      <c r="A4604" s="177" t="n">
        <v>48799</v>
      </c>
      <c r="B4604" s="177" t="n">
        <v>48793</v>
      </c>
      <c r="C4604" s="177" t="n">
        <v>48799</v>
      </c>
      <c r="D4604" t="inlineStr">
        <is>
          <t>BW20330802</t>
        </is>
      </c>
      <c r="E4604" t="n">
        <v>2033</v>
      </c>
      <c r="F4604" t="inlineStr">
        <is>
          <t>Sierpień</t>
        </is>
      </c>
      <c r="G4604" t="inlineStr">
        <is>
          <t>Pn</t>
        </is>
      </c>
      <c r="H4604">
        <f>'Floor Hours Engine'!$E$4</f>
        <v/>
      </c>
      <c r="I4604" t="inlineStr">
        <is>
          <t>W2</t>
        </is>
      </c>
      <c r="J4604" t="inlineStr">
        <is>
          <t>2033_Sierpień_W2</t>
        </is>
      </c>
    </row>
    <row r="4605">
      <c r="A4605" s="177" t="n">
        <v>48800</v>
      </c>
      <c r="B4605" s="177" t="n">
        <v>48800</v>
      </c>
      <c r="C4605" s="177" t="n">
        <v>48806</v>
      </c>
      <c r="D4605" t="inlineStr">
        <is>
          <t>BW20330809</t>
        </is>
      </c>
      <c r="E4605" t="n">
        <v>2033</v>
      </c>
      <c r="F4605" t="inlineStr">
        <is>
          <t>Sierpień</t>
        </is>
      </c>
      <c r="G4605" t="inlineStr">
        <is>
          <t>Wt</t>
        </is>
      </c>
      <c r="H4605">
        <f>'Floor Hours Engine'!$E$4</f>
        <v/>
      </c>
      <c r="I4605" t="inlineStr">
        <is>
          <t>W3</t>
        </is>
      </c>
      <c r="J4605" t="inlineStr">
        <is>
          <t>2033_Sierpień_W3</t>
        </is>
      </c>
    </row>
    <row r="4606">
      <c r="A4606" s="177" t="n">
        <v>48801</v>
      </c>
      <c r="B4606" s="177" t="n">
        <v>48800</v>
      </c>
      <c r="C4606" s="177" t="n">
        <v>48806</v>
      </c>
      <c r="D4606" t="inlineStr">
        <is>
          <t>BW20330809</t>
        </is>
      </c>
      <c r="E4606" t="n">
        <v>2033</v>
      </c>
      <c r="F4606" t="inlineStr">
        <is>
          <t>Sierpień</t>
        </is>
      </c>
      <c r="G4606" t="inlineStr">
        <is>
          <t>Śr</t>
        </is>
      </c>
      <c r="H4606">
        <f>'Floor Hours Engine'!$E$4</f>
        <v/>
      </c>
      <c r="I4606" t="inlineStr">
        <is>
          <t>W3</t>
        </is>
      </c>
      <c r="J4606" t="inlineStr">
        <is>
          <t>2033_Sierpień_W3</t>
        </is>
      </c>
    </row>
    <row r="4607">
      <c r="A4607" s="177" t="n">
        <v>48802</v>
      </c>
      <c r="B4607" s="177" t="n">
        <v>48800</v>
      </c>
      <c r="C4607" s="177" t="n">
        <v>48806</v>
      </c>
      <c r="D4607" t="inlineStr">
        <is>
          <t>BW20330809</t>
        </is>
      </c>
      <c r="E4607" t="n">
        <v>2033</v>
      </c>
      <c r="F4607" t="inlineStr">
        <is>
          <t>Sierpień</t>
        </is>
      </c>
      <c r="G4607" t="inlineStr">
        <is>
          <t>Czw</t>
        </is>
      </c>
      <c r="H4607">
        <f>'Floor Hours Engine'!$E$4</f>
        <v/>
      </c>
      <c r="I4607" t="inlineStr">
        <is>
          <t>W3</t>
        </is>
      </c>
      <c r="J4607" t="inlineStr">
        <is>
          <t>2033_Sierpień_W3</t>
        </is>
      </c>
    </row>
    <row r="4608">
      <c r="A4608" s="177" t="n">
        <v>48803</v>
      </c>
      <c r="B4608" s="177" t="n">
        <v>48800</v>
      </c>
      <c r="C4608" s="177" t="n">
        <v>48806</v>
      </c>
      <c r="D4608" t="inlineStr">
        <is>
          <t>BW20330809</t>
        </is>
      </c>
      <c r="E4608" t="n">
        <v>2033</v>
      </c>
      <c r="F4608" t="inlineStr">
        <is>
          <t>Sierpień</t>
        </is>
      </c>
      <c r="G4608" t="inlineStr">
        <is>
          <t>Pt</t>
        </is>
      </c>
      <c r="H4608">
        <f>'Floor Hours Engine'!$E$5</f>
        <v/>
      </c>
      <c r="I4608" t="inlineStr">
        <is>
          <t>W3</t>
        </is>
      </c>
      <c r="J4608" t="inlineStr">
        <is>
          <t>2033_Sierpień_W3</t>
        </is>
      </c>
    </row>
    <row r="4609">
      <c r="A4609" s="177" t="n">
        <v>48804</v>
      </c>
      <c r="B4609" s="177" t="n">
        <v>48800</v>
      </c>
      <c r="C4609" s="177" t="n">
        <v>48806</v>
      </c>
      <c r="D4609" t="inlineStr">
        <is>
          <t>BW20330809</t>
        </is>
      </c>
      <c r="E4609" t="n">
        <v>2033</v>
      </c>
      <c r="F4609" t="inlineStr">
        <is>
          <t>Sierpień</t>
        </is>
      </c>
      <c r="G4609" t="inlineStr">
        <is>
          <t>Sob</t>
        </is>
      </c>
      <c r="H4609">
        <f>'Floor Hours Engine'!$E$5</f>
        <v/>
      </c>
      <c r="I4609" t="inlineStr">
        <is>
          <t>W3</t>
        </is>
      </c>
      <c r="J4609" t="inlineStr">
        <is>
          <t>2033_Sierpień_W3</t>
        </is>
      </c>
    </row>
    <row r="4610">
      <c r="A4610" s="177" t="n">
        <v>48805</v>
      </c>
      <c r="B4610" s="177" t="n">
        <v>48800</v>
      </c>
      <c r="C4610" s="177" t="n">
        <v>48806</v>
      </c>
      <c r="D4610" t="inlineStr">
        <is>
          <t>BW20330809</t>
        </is>
      </c>
      <c r="E4610" t="n">
        <v>2033</v>
      </c>
      <c r="F4610" t="inlineStr">
        <is>
          <t>Sierpień</t>
        </is>
      </c>
      <c r="G4610" t="inlineStr">
        <is>
          <t>Nd</t>
        </is>
      </c>
      <c r="H4610">
        <f>'Floor Hours Engine'!$E$6</f>
        <v/>
      </c>
      <c r="I4610" t="inlineStr">
        <is>
          <t>W3</t>
        </is>
      </c>
      <c r="J4610" t="inlineStr">
        <is>
          <t>2033_Sierpień_W3</t>
        </is>
      </c>
    </row>
    <row r="4611">
      <c r="A4611" s="177" t="n">
        <v>48806</v>
      </c>
      <c r="B4611" s="177" t="n">
        <v>48800</v>
      </c>
      <c r="C4611" s="177" t="n">
        <v>48806</v>
      </c>
      <c r="D4611" t="inlineStr">
        <is>
          <t>BW20330809</t>
        </is>
      </c>
      <c r="E4611" t="n">
        <v>2033</v>
      </c>
      <c r="F4611" t="inlineStr">
        <is>
          <t>Sierpień</t>
        </is>
      </c>
      <c r="G4611" t="inlineStr">
        <is>
          <t>Pn</t>
        </is>
      </c>
      <c r="H4611">
        <f>'Floor Hours Engine'!$E$4</f>
        <v/>
      </c>
      <c r="I4611" t="inlineStr">
        <is>
          <t>W3</t>
        </is>
      </c>
      <c r="J4611" t="inlineStr">
        <is>
          <t>2033_Sierpień_W3</t>
        </is>
      </c>
    </row>
    <row r="4612">
      <c r="A4612" s="177" t="n">
        <v>48807</v>
      </c>
      <c r="B4612" s="177" t="n">
        <v>48807</v>
      </c>
      <c r="C4612" s="177" t="n">
        <v>48813</v>
      </c>
      <c r="D4612" t="inlineStr">
        <is>
          <t>BW20330816</t>
        </is>
      </c>
      <c r="E4612" t="n">
        <v>2033</v>
      </c>
      <c r="F4612" t="inlineStr">
        <is>
          <t>Sierpień</t>
        </is>
      </c>
      <c r="G4612" t="inlineStr">
        <is>
          <t>Wt</t>
        </is>
      </c>
      <c r="H4612">
        <f>'Floor Hours Engine'!$E$4</f>
        <v/>
      </c>
      <c r="I4612" t="inlineStr">
        <is>
          <t>W4</t>
        </is>
      </c>
      <c r="J4612" t="inlineStr">
        <is>
          <t>2033_Sierpień_W4</t>
        </is>
      </c>
    </row>
    <row r="4613">
      <c r="A4613" s="177" t="n">
        <v>48808</v>
      </c>
      <c r="B4613" s="177" t="n">
        <v>48807</v>
      </c>
      <c r="C4613" s="177" t="n">
        <v>48813</v>
      </c>
      <c r="D4613" t="inlineStr">
        <is>
          <t>BW20330816</t>
        </is>
      </c>
      <c r="E4613" t="n">
        <v>2033</v>
      </c>
      <c r="F4613" t="inlineStr">
        <is>
          <t>Sierpień</t>
        </is>
      </c>
      <c r="G4613" t="inlineStr">
        <is>
          <t>Śr</t>
        </is>
      </c>
      <c r="H4613">
        <f>'Floor Hours Engine'!$E$4</f>
        <v/>
      </c>
      <c r="I4613" t="inlineStr">
        <is>
          <t>W4</t>
        </is>
      </c>
      <c r="J4613" t="inlineStr">
        <is>
          <t>2033_Sierpień_W4</t>
        </is>
      </c>
    </row>
    <row r="4614">
      <c r="A4614" s="177" t="n">
        <v>48809</v>
      </c>
      <c r="B4614" s="177" t="n">
        <v>48807</v>
      </c>
      <c r="C4614" s="177" t="n">
        <v>48813</v>
      </c>
      <c r="D4614" t="inlineStr">
        <is>
          <t>BW20330816</t>
        </is>
      </c>
      <c r="E4614" t="n">
        <v>2033</v>
      </c>
      <c r="F4614" t="inlineStr">
        <is>
          <t>Sierpień</t>
        </is>
      </c>
      <c r="G4614" t="inlineStr">
        <is>
          <t>Czw</t>
        </is>
      </c>
      <c r="H4614">
        <f>'Floor Hours Engine'!$E$4</f>
        <v/>
      </c>
      <c r="I4614" t="inlineStr">
        <is>
          <t>W4</t>
        </is>
      </c>
      <c r="J4614" t="inlineStr">
        <is>
          <t>2033_Sierpień_W4</t>
        </is>
      </c>
    </row>
    <row r="4615">
      <c r="A4615" s="177" t="n">
        <v>48810</v>
      </c>
      <c r="B4615" s="177" t="n">
        <v>48807</v>
      </c>
      <c r="C4615" s="177" t="n">
        <v>48813</v>
      </c>
      <c r="D4615" t="inlineStr">
        <is>
          <t>BW20330816</t>
        </is>
      </c>
      <c r="E4615" t="n">
        <v>2033</v>
      </c>
      <c r="F4615" t="inlineStr">
        <is>
          <t>Sierpień</t>
        </is>
      </c>
      <c r="G4615" t="inlineStr">
        <is>
          <t>Pt</t>
        </is>
      </c>
      <c r="H4615">
        <f>'Floor Hours Engine'!$E$5</f>
        <v/>
      </c>
      <c r="I4615" t="inlineStr">
        <is>
          <t>W4</t>
        </is>
      </c>
      <c r="J4615" t="inlineStr">
        <is>
          <t>2033_Sierpień_W4</t>
        </is>
      </c>
    </row>
    <row r="4616">
      <c r="A4616" s="177" t="n">
        <v>48811</v>
      </c>
      <c r="B4616" s="177" t="n">
        <v>48807</v>
      </c>
      <c r="C4616" s="177" t="n">
        <v>48813</v>
      </c>
      <c r="D4616" t="inlineStr">
        <is>
          <t>BW20330816</t>
        </is>
      </c>
      <c r="E4616" t="n">
        <v>2033</v>
      </c>
      <c r="F4616" t="inlineStr">
        <is>
          <t>Sierpień</t>
        </is>
      </c>
      <c r="G4616" t="inlineStr">
        <is>
          <t>Sob</t>
        </is>
      </c>
      <c r="H4616">
        <f>'Floor Hours Engine'!$E$5</f>
        <v/>
      </c>
      <c r="I4616" t="inlineStr">
        <is>
          <t>W4</t>
        </is>
      </c>
      <c r="J4616" t="inlineStr">
        <is>
          <t>2033_Sierpień_W4</t>
        </is>
      </c>
    </row>
    <row r="4617">
      <c r="A4617" s="177" t="n">
        <v>48812</v>
      </c>
      <c r="B4617" s="177" t="n">
        <v>48807</v>
      </c>
      <c r="C4617" s="177" t="n">
        <v>48813</v>
      </c>
      <c r="D4617" t="inlineStr">
        <is>
          <t>BW20330816</t>
        </is>
      </c>
      <c r="E4617" t="n">
        <v>2033</v>
      </c>
      <c r="F4617" t="inlineStr">
        <is>
          <t>Sierpień</t>
        </is>
      </c>
      <c r="G4617" t="inlineStr">
        <is>
          <t>Nd</t>
        </is>
      </c>
      <c r="H4617">
        <f>'Floor Hours Engine'!$E$6</f>
        <v/>
      </c>
      <c r="I4617" t="inlineStr">
        <is>
          <t>W4</t>
        </is>
      </c>
      <c r="J4617" t="inlineStr">
        <is>
          <t>2033_Sierpień_W4</t>
        </is>
      </c>
    </row>
    <row r="4618">
      <c r="A4618" s="177" t="n">
        <v>48813</v>
      </c>
      <c r="B4618" s="177" t="n">
        <v>48807</v>
      </c>
      <c r="C4618" s="177" t="n">
        <v>48813</v>
      </c>
      <c r="D4618" t="inlineStr">
        <is>
          <t>BW20330816</t>
        </is>
      </c>
      <c r="E4618" t="n">
        <v>2033</v>
      </c>
      <c r="F4618" t="inlineStr">
        <is>
          <t>Sierpień</t>
        </is>
      </c>
      <c r="G4618" t="inlineStr">
        <is>
          <t>Pn</t>
        </is>
      </c>
      <c r="H4618">
        <f>'Floor Hours Engine'!$E$4</f>
        <v/>
      </c>
      <c r="I4618" t="inlineStr">
        <is>
          <t>W4</t>
        </is>
      </c>
      <c r="J4618" t="inlineStr">
        <is>
          <t>2033_Sierpień_W4</t>
        </is>
      </c>
    </row>
    <row r="4619">
      <c r="A4619" s="177" t="n">
        <v>48814</v>
      </c>
      <c r="B4619" s="177" t="n">
        <v>48814</v>
      </c>
      <c r="C4619" s="177" t="n">
        <v>48820</v>
      </c>
      <c r="D4619" t="inlineStr">
        <is>
          <t>BW20330823</t>
        </is>
      </c>
      <c r="E4619" t="n">
        <v>2033</v>
      </c>
      <c r="F4619" t="inlineStr">
        <is>
          <t>Sierpień</t>
        </is>
      </c>
      <c r="G4619" t="inlineStr">
        <is>
          <t>Wt</t>
        </is>
      </c>
      <c r="H4619">
        <f>'Floor Hours Engine'!$E$4</f>
        <v/>
      </c>
      <c r="I4619" t="inlineStr">
        <is>
          <t>W5</t>
        </is>
      </c>
      <c r="J4619" t="inlineStr">
        <is>
          <t>2033_Sierpień_W5</t>
        </is>
      </c>
    </row>
    <row r="4620">
      <c r="A4620" s="177" t="n">
        <v>48815</v>
      </c>
      <c r="B4620" s="177" t="n">
        <v>48814</v>
      </c>
      <c r="C4620" s="177" t="n">
        <v>48820</v>
      </c>
      <c r="D4620" t="inlineStr">
        <is>
          <t>BW20330823</t>
        </is>
      </c>
      <c r="E4620" t="n">
        <v>2033</v>
      </c>
      <c r="F4620" t="inlineStr">
        <is>
          <t>Sierpień</t>
        </is>
      </c>
      <c r="G4620" t="inlineStr">
        <is>
          <t>Śr</t>
        </is>
      </c>
      <c r="H4620">
        <f>'Floor Hours Engine'!$E$4</f>
        <v/>
      </c>
      <c r="I4620" t="inlineStr">
        <is>
          <t>W5</t>
        </is>
      </c>
      <c r="J4620" t="inlineStr">
        <is>
          <t>2033_Sierpień_W5</t>
        </is>
      </c>
    </row>
    <row r="4621">
      <c r="A4621" s="177" t="n">
        <v>48816</v>
      </c>
      <c r="B4621" s="177" t="n">
        <v>48814</v>
      </c>
      <c r="C4621" s="177" t="n">
        <v>48820</v>
      </c>
      <c r="D4621" t="inlineStr">
        <is>
          <t>BW20330823</t>
        </is>
      </c>
      <c r="E4621" t="n">
        <v>2033</v>
      </c>
      <c r="F4621" t="inlineStr">
        <is>
          <t>Sierpień</t>
        </is>
      </c>
      <c r="G4621" t="inlineStr">
        <is>
          <t>Czw</t>
        </is>
      </c>
      <c r="H4621">
        <f>'Floor Hours Engine'!$E$4</f>
        <v/>
      </c>
      <c r="I4621" t="inlineStr">
        <is>
          <t>W5</t>
        </is>
      </c>
      <c r="J4621" t="inlineStr">
        <is>
          <t>2033_Sierpień_W5</t>
        </is>
      </c>
    </row>
    <row r="4622">
      <c r="A4622" s="177" t="n">
        <v>48817</v>
      </c>
      <c r="B4622" s="177" t="n">
        <v>48814</v>
      </c>
      <c r="C4622" s="177" t="n">
        <v>48820</v>
      </c>
      <c r="D4622" t="inlineStr">
        <is>
          <t>BW20330823</t>
        </is>
      </c>
      <c r="E4622" t="n">
        <v>2033</v>
      </c>
      <c r="F4622" t="inlineStr">
        <is>
          <t>Sierpień</t>
        </is>
      </c>
      <c r="G4622" t="inlineStr">
        <is>
          <t>Pt</t>
        </is>
      </c>
      <c r="H4622">
        <f>'Floor Hours Engine'!$E$5</f>
        <v/>
      </c>
      <c r="I4622" t="inlineStr">
        <is>
          <t>W5</t>
        </is>
      </c>
      <c r="J4622" t="inlineStr">
        <is>
          <t>2033_Sierpień_W5</t>
        </is>
      </c>
    </row>
    <row r="4623">
      <c r="A4623" s="177" t="n">
        <v>48818</v>
      </c>
      <c r="B4623" s="177" t="n">
        <v>48814</v>
      </c>
      <c r="C4623" s="177" t="n">
        <v>48820</v>
      </c>
      <c r="D4623" t="inlineStr">
        <is>
          <t>BW20330823</t>
        </is>
      </c>
      <c r="E4623" t="n">
        <v>2033</v>
      </c>
      <c r="F4623" t="inlineStr">
        <is>
          <t>Sierpień</t>
        </is>
      </c>
      <c r="G4623" t="inlineStr">
        <is>
          <t>Sob</t>
        </is>
      </c>
      <c r="H4623">
        <f>'Floor Hours Engine'!$E$5</f>
        <v/>
      </c>
      <c r="I4623" t="inlineStr">
        <is>
          <t>W5</t>
        </is>
      </c>
      <c r="J4623" t="inlineStr">
        <is>
          <t>2033_Sierpień_W5</t>
        </is>
      </c>
    </row>
    <row r="4624">
      <c r="A4624" s="177" t="n">
        <v>48819</v>
      </c>
      <c r="B4624" s="177" t="n">
        <v>48814</v>
      </c>
      <c r="C4624" s="177" t="n">
        <v>48820</v>
      </c>
      <c r="D4624" t="inlineStr">
        <is>
          <t>BW20330823</t>
        </is>
      </c>
      <c r="E4624" t="n">
        <v>2033</v>
      </c>
      <c r="F4624" t="inlineStr">
        <is>
          <t>Sierpień</t>
        </is>
      </c>
      <c r="G4624" t="inlineStr">
        <is>
          <t>Nd</t>
        </is>
      </c>
      <c r="H4624">
        <f>'Floor Hours Engine'!$E$6</f>
        <v/>
      </c>
      <c r="I4624" t="inlineStr">
        <is>
          <t>W5</t>
        </is>
      </c>
      <c r="J4624" t="inlineStr">
        <is>
          <t>2033_Sierpień_W5</t>
        </is>
      </c>
    </row>
    <row r="4625">
      <c r="A4625" s="177" t="n">
        <v>48820</v>
      </c>
      <c r="B4625" s="177" t="n">
        <v>48814</v>
      </c>
      <c r="C4625" s="177" t="n">
        <v>48820</v>
      </c>
      <c r="D4625" t="inlineStr">
        <is>
          <t>BW20330823</t>
        </is>
      </c>
      <c r="E4625" t="n">
        <v>2033</v>
      </c>
      <c r="F4625" t="inlineStr">
        <is>
          <t>Sierpień</t>
        </is>
      </c>
      <c r="G4625" t="inlineStr">
        <is>
          <t>Pn</t>
        </is>
      </c>
      <c r="H4625">
        <f>'Floor Hours Engine'!$E$4</f>
        <v/>
      </c>
      <c r="I4625" t="inlineStr">
        <is>
          <t>W5</t>
        </is>
      </c>
      <c r="J4625" t="inlineStr">
        <is>
          <t>2033_Sierpień_W5</t>
        </is>
      </c>
    </row>
    <row r="4626">
      <c r="A4626" s="177" t="n">
        <v>48821</v>
      </c>
      <c r="B4626" s="177" t="n">
        <v>48821</v>
      </c>
      <c r="C4626" s="177" t="n">
        <v>48827</v>
      </c>
      <c r="D4626" t="inlineStr">
        <is>
          <t>BW20330830</t>
        </is>
      </c>
      <c r="E4626" t="n">
        <v>2033</v>
      </c>
      <c r="F4626" t="inlineStr">
        <is>
          <t>Sierpień</t>
        </is>
      </c>
      <c r="G4626" t="inlineStr">
        <is>
          <t>Wt</t>
        </is>
      </c>
      <c r="H4626">
        <f>'Floor Hours Engine'!$E$4</f>
        <v/>
      </c>
      <c r="I4626" t="inlineStr">
        <is>
          <t>W6</t>
        </is>
      </c>
      <c r="J4626" t="inlineStr">
        <is>
          <t>2033_Sierpień_W6</t>
        </is>
      </c>
    </row>
    <row r="4627">
      <c r="A4627" s="177" t="n">
        <v>48822</v>
      </c>
      <c r="B4627" s="177" t="n">
        <v>48821</v>
      </c>
      <c r="C4627" s="177" t="n">
        <v>48827</v>
      </c>
      <c r="D4627" t="inlineStr">
        <is>
          <t>BW20330830</t>
        </is>
      </c>
      <c r="E4627" t="n">
        <v>2033</v>
      </c>
      <c r="F4627" t="inlineStr">
        <is>
          <t>Sierpień</t>
        </is>
      </c>
      <c r="G4627" t="inlineStr">
        <is>
          <t>Śr</t>
        </is>
      </c>
      <c r="H4627">
        <f>'Floor Hours Engine'!$E$4</f>
        <v/>
      </c>
      <c r="I4627" t="inlineStr">
        <is>
          <t>W6</t>
        </is>
      </c>
      <c r="J4627" t="inlineStr">
        <is>
          <t>2033_Sierpień_W6</t>
        </is>
      </c>
    </row>
    <row r="4628">
      <c r="A4628" s="177" t="n">
        <v>48823</v>
      </c>
      <c r="B4628" s="177" t="n">
        <v>48821</v>
      </c>
      <c r="C4628" s="177" t="n">
        <v>48827</v>
      </c>
      <c r="D4628" t="inlineStr">
        <is>
          <t>BW20330830</t>
        </is>
      </c>
      <c r="E4628" t="n">
        <v>2033</v>
      </c>
      <c r="F4628" t="inlineStr">
        <is>
          <t>Wrzesień</t>
        </is>
      </c>
      <c r="G4628" t="inlineStr">
        <is>
          <t>Czw</t>
        </is>
      </c>
      <c r="H4628">
        <f>'Floor Hours Engine'!$E$4</f>
        <v/>
      </c>
      <c r="I4628" t="inlineStr">
        <is>
          <t>W1</t>
        </is>
      </c>
      <c r="J4628" t="inlineStr">
        <is>
          <t>2033_Wrzesień_W1</t>
        </is>
      </c>
    </row>
    <row r="4629">
      <c r="A4629" s="177" t="n">
        <v>48824</v>
      </c>
      <c r="B4629" s="177" t="n">
        <v>48821</v>
      </c>
      <c r="C4629" s="177" t="n">
        <v>48827</v>
      </c>
      <c r="D4629" t="inlineStr">
        <is>
          <t>BW20330830</t>
        </is>
      </c>
      <c r="E4629" t="n">
        <v>2033</v>
      </c>
      <c r="F4629" t="inlineStr">
        <is>
          <t>Wrzesień</t>
        </is>
      </c>
      <c r="G4629" t="inlineStr">
        <is>
          <t>Pt</t>
        </is>
      </c>
      <c r="H4629">
        <f>'Floor Hours Engine'!$E$5</f>
        <v/>
      </c>
      <c r="I4629" t="inlineStr">
        <is>
          <t>W1</t>
        </is>
      </c>
      <c r="J4629" t="inlineStr">
        <is>
          <t>2033_Wrzesień_W1</t>
        </is>
      </c>
    </row>
    <row r="4630">
      <c r="A4630" s="177" t="n">
        <v>48825</v>
      </c>
      <c r="B4630" s="177" t="n">
        <v>48821</v>
      </c>
      <c r="C4630" s="177" t="n">
        <v>48827</v>
      </c>
      <c r="D4630" t="inlineStr">
        <is>
          <t>BW20330830</t>
        </is>
      </c>
      <c r="E4630" t="n">
        <v>2033</v>
      </c>
      <c r="F4630" t="inlineStr">
        <is>
          <t>Wrzesień</t>
        </is>
      </c>
      <c r="G4630" t="inlineStr">
        <is>
          <t>Sob</t>
        </is>
      </c>
      <c r="H4630">
        <f>'Floor Hours Engine'!$E$5</f>
        <v/>
      </c>
      <c r="I4630" t="inlineStr">
        <is>
          <t>W1</t>
        </is>
      </c>
      <c r="J4630" t="inlineStr">
        <is>
          <t>2033_Wrzesień_W1</t>
        </is>
      </c>
    </row>
    <row r="4631">
      <c r="A4631" s="177" t="n">
        <v>48826</v>
      </c>
      <c r="B4631" s="177" t="n">
        <v>48821</v>
      </c>
      <c r="C4631" s="177" t="n">
        <v>48827</v>
      </c>
      <c r="D4631" t="inlineStr">
        <is>
          <t>BW20330830</t>
        </is>
      </c>
      <c r="E4631" t="n">
        <v>2033</v>
      </c>
      <c r="F4631" t="inlineStr">
        <is>
          <t>Wrzesień</t>
        </is>
      </c>
      <c r="G4631" t="inlineStr">
        <is>
          <t>Nd</t>
        </is>
      </c>
      <c r="H4631">
        <f>'Floor Hours Engine'!$E$6</f>
        <v/>
      </c>
      <c r="I4631" t="inlineStr">
        <is>
          <t>W1</t>
        </is>
      </c>
      <c r="J4631" t="inlineStr">
        <is>
          <t>2033_Wrzesień_W1</t>
        </is>
      </c>
    </row>
    <row r="4632">
      <c r="A4632" s="177" t="n">
        <v>48827</v>
      </c>
      <c r="B4632" s="177" t="n">
        <v>48821</v>
      </c>
      <c r="C4632" s="177" t="n">
        <v>48827</v>
      </c>
      <c r="D4632" t="inlineStr">
        <is>
          <t>BW20330830</t>
        </is>
      </c>
      <c r="E4632" t="n">
        <v>2033</v>
      </c>
      <c r="F4632" t="inlineStr">
        <is>
          <t>Wrzesień</t>
        </is>
      </c>
      <c r="G4632" t="inlineStr">
        <is>
          <t>Pn</t>
        </is>
      </c>
      <c r="H4632">
        <f>'Floor Hours Engine'!$E$4</f>
        <v/>
      </c>
      <c r="I4632" t="inlineStr">
        <is>
          <t>W1</t>
        </is>
      </c>
      <c r="J4632" t="inlineStr">
        <is>
          <t>2033_Wrzesień_W1</t>
        </is>
      </c>
    </row>
    <row r="4633">
      <c r="A4633" s="177" t="n">
        <v>48828</v>
      </c>
      <c r="B4633" s="177" t="n">
        <v>48828</v>
      </c>
      <c r="C4633" s="177" t="n">
        <v>48834</v>
      </c>
      <c r="D4633" t="inlineStr">
        <is>
          <t>BW20330906</t>
        </is>
      </c>
      <c r="E4633" t="n">
        <v>2033</v>
      </c>
      <c r="F4633" t="inlineStr">
        <is>
          <t>Wrzesień</t>
        </is>
      </c>
      <c r="G4633" t="inlineStr">
        <is>
          <t>Wt</t>
        </is>
      </c>
      <c r="H4633">
        <f>'Floor Hours Engine'!$E$4</f>
        <v/>
      </c>
      <c r="I4633" t="inlineStr">
        <is>
          <t>W2</t>
        </is>
      </c>
      <c r="J4633" t="inlineStr">
        <is>
          <t>2033_Wrzesień_W2</t>
        </is>
      </c>
    </row>
    <row r="4634">
      <c r="A4634" s="177" t="n">
        <v>48829</v>
      </c>
      <c r="B4634" s="177" t="n">
        <v>48828</v>
      </c>
      <c r="C4634" s="177" t="n">
        <v>48834</v>
      </c>
      <c r="D4634" t="inlineStr">
        <is>
          <t>BW20330906</t>
        </is>
      </c>
      <c r="E4634" t="n">
        <v>2033</v>
      </c>
      <c r="F4634" t="inlineStr">
        <is>
          <t>Wrzesień</t>
        </is>
      </c>
      <c r="G4634" t="inlineStr">
        <is>
          <t>Śr</t>
        </is>
      </c>
      <c r="H4634">
        <f>'Floor Hours Engine'!$E$4</f>
        <v/>
      </c>
      <c r="I4634" t="inlineStr">
        <is>
          <t>W2</t>
        </is>
      </c>
      <c r="J4634" t="inlineStr">
        <is>
          <t>2033_Wrzesień_W2</t>
        </is>
      </c>
    </row>
    <row r="4635">
      <c r="A4635" s="177" t="n">
        <v>48830</v>
      </c>
      <c r="B4635" s="177" t="n">
        <v>48828</v>
      </c>
      <c r="C4635" s="177" t="n">
        <v>48834</v>
      </c>
      <c r="D4635" t="inlineStr">
        <is>
          <t>BW20330906</t>
        </is>
      </c>
      <c r="E4635" t="n">
        <v>2033</v>
      </c>
      <c r="F4635" t="inlineStr">
        <is>
          <t>Wrzesień</t>
        </is>
      </c>
      <c r="G4635" t="inlineStr">
        <is>
          <t>Czw</t>
        </is>
      </c>
      <c r="H4635">
        <f>'Floor Hours Engine'!$E$4</f>
        <v/>
      </c>
      <c r="I4635" t="inlineStr">
        <is>
          <t>W2</t>
        </is>
      </c>
      <c r="J4635" t="inlineStr">
        <is>
          <t>2033_Wrzesień_W2</t>
        </is>
      </c>
    </row>
    <row r="4636">
      <c r="A4636" s="177" t="n">
        <v>48831</v>
      </c>
      <c r="B4636" s="177" t="n">
        <v>48828</v>
      </c>
      <c r="C4636" s="177" t="n">
        <v>48834</v>
      </c>
      <c r="D4636" t="inlineStr">
        <is>
          <t>BW20330906</t>
        </is>
      </c>
      <c r="E4636" t="n">
        <v>2033</v>
      </c>
      <c r="F4636" t="inlineStr">
        <is>
          <t>Wrzesień</t>
        </is>
      </c>
      <c r="G4636" t="inlineStr">
        <is>
          <t>Pt</t>
        </is>
      </c>
      <c r="H4636">
        <f>'Floor Hours Engine'!$E$5</f>
        <v/>
      </c>
      <c r="I4636" t="inlineStr">
        <is>
          <t>W2</t>
        </is>
      </c>
      <c r="J4636" t="inlineStr">
        <is>
          <t>2033_Wrzesień_W2</t>
        </is>
      </c>
    </row>
    <row r="4637">
      <c r="A4637" s="177" t="n">
        <v>48832</v>
      </c>
      <c r="B4637" s="177" t="n">
        <v>48828</v>
      </c>
      <c r="C4637" s="177" t="n">
        <v>48834</v>
      </c>
      <c r="D4637" t="inlineStr">
        <is>
          <t>BW20330906</t>
        </is>
      </c>
      <c r="E4637" t="n">
        <v>2033</v>
      </c>
      <c r="F4637" t="inlineStr">
        <is>
          <t>Wrzesień</t>
        </is>
      </c>
      <c r="G4637" t="inlineStr">
        <is>
          <t>Sob</t>
        </is>
      </c>
      <c r="H4637">
        <f>'Floor Hours Engine'!$E$5</f>
        <v/>
      </c>
      <c r="I4637" t="inlineStr">
        <is>
          <t>W2</t>
        </is>
      </c>
      <c r="J4637" t="inlineStr">
        <is>
          <t>2033_Wrzesień_W2</t>
        </is>
      </c>
    </row>
    <row r="4638">
      <c r="A4638" s="177" t="n">
        <v>48833</v>
      </c>
      <c r="B4638" s="177" t="n">
        <v>48828</v>
      </c>
      <c r="C4638" s="177" t="n">
        <v>48834</v>
      </c>
      <c r="D4638" t="inlineStr">
        <is>
          <t>BW20330906</t>
        </is>
      </c>
      <c r="E4638" t="n">
        <v>2033</v>
      </c>
      <c r="F4638" t="inlineStr">
        <is>
          <t>Wrzesień</t>
        </is>
      </c>
      <c r="G4638" t="inlineStr">
        <is>
          <t>Nd</t>
        </is>
      </c>
      <c r="H4638">
        <f>'Floor Hours Engine'!$E$6</f>
        <v/>
      </c>
      <c r="I4638" t="inlineStr">
        <is>
          <t>W2</t>
        </is>
      </c>
      <c r="J4638" t="inlineStr">
        <is>
          <t>2033_Wrzesień_W2</t>
        </is>
      </c>
    </row>
    <row r="4639">
      <c r="A4639" s="177" t="n">
        <v>48834</v>
      </c>
      <c r="B4639" s="177" t="n">
        <v>48828</v>
      </c>
      <c r="C4639" s="177" t="n">
        <v>48834</v>
      </c>
      <c r="D4639" t="inlineStr">
        <is>
          <t>BW20330906</t>
        </is>
      </c>
      <c r="E4639" t="n">
        <v>2033</v>
      </c>
      <c r="F4639" t="inlineStr">
        <is>
          <t>Wrzesień</t>
        </is>
      </c>
      <c r="G4639" t="inlineStr">
        <is>
          <t>Pn</t>
        </is>
      </c>
      <c r="H4639">
        <f>'Floor Hours Engine'!$E$4</f>
        <v/>
      </c>
      <c r="I4639" t="inlineStr">
        <is>
          <t>W2</t>
        </is>
      </c>
      <c r="J4639" t="inlineStr">
        <is>
          <t>2033_Wrzesień_W2</t>
        </is>
      </c>
    </row>
    <row r="4640">
      <c r="A4640" s="177" t="n">
        <v>48835</v>
      </c>
      <c r="B4640" s="177" t="n">
        <v>48835</v>
      </c>
      <c r="C4640" s="177" t="n">
        <v>48841</v>
      </c>
      <c r="D4640" t="inlineStr">
        <is>
          <t>BW20330913</t>
        </is>
      </c>
      <c r="E4640" t="n">
        <v>2033</v>
      </c>
      <c r="F4640" t="inlineStr">
        <is>
          <t>Wrzesień</t>
        </is>
      </c>
      <c r="G4640" t="inlineStr">
        <is>
          <t>Wt</t>
        </is>
      </c>
      <c r="H4640">
        <f>'Floor Hours Engine'!$E$4</f>
        <v/>
      </c>
      <c r="I4640" t="inlineStr">
        <is>
          <t>W3</t>
        </is>
      </c>
      <c r="J4640" t="inlineStr">
        <is>
          <t>2033_Wrzesień_W3</t>
        </is>
      </c>
    </row>
    <row r="4641">
      <c r="A4641" s="177" t="n">
        <v>48836</v>
      </c>
      <c r="B4641" s="177" t="n">
        <v>48835</v>
      </c>
      <c r="C4641" s="177" t="n">
        <v>48841</v>
      </c>
      <c r="D4641" t="inlineStr">
        <is>
          <t>BW20330913</t>
        </is>
      </c>
      <c r="E4641" t="n">
        <v>2033</v>
      </c>
      <c r="F4641" t="inlineStr">
        <is>
          <t>Wrzesień</t>
        </is>
      </c>
      <c r="G4641" t="inlineStr">
        <is>
          <t>Śr</t>
        </is>
      </c>
      <c r="H4641">
        <f>'Floor Hours Engine'!$E$4</f>
        <v/>
      </c>
      <c r="I4641" t="inlineStr">
        <is>
          <t>W3</t>
        </is>
      </c>
      <c r="J4641" t="inlineStr">
        <is>
          <t>2033_Wrzesień_W3</t>
        </is>
      </c>
    </row>
    <row r="4642">
      <c r="A4642" s="177" t="n">
        <v>48837</v>
      </c>
      <c r="B4642" s="177" t="n">
        <v>48835</v>
      </c>
      <c r="C4642" s="177" t="n">
        <v>48841</v>
      </c>
      <c r="D4642" t="inlineStr">
        <is>
          <t>BW20330913</t>
        </is>
      </c>
      <c r="E4642" t="n">
        <v>2033</v>
      </c>
      <c r="F4642" t="inlineStr">
        <is>
          <t>Wrzesień</t>
        </is>
      </c>
      <c r="G4642" t="inlineStr">
        <is>
          <t>Czw</t>
        </is>
      </c>
      <c r="H4642">
        <f>'Floor Hours Engine'!$E$4</f>
        <v/>
      </c>
      <c r="I4642" t="inlineStr">
        <is>
          <t>W3</t>
        </is>
      </c>
      <c r="J4642" t="inlineStr">
        <is>
          <t>2033_Wrzesień_W3</t>
        </is>
      </c>
    </row>
    <row r="4643">
      <c r="A4643" s="177" t="n">
        <v>48838</v>
      </c>
      <c r="B4643" s="177" t="n">
        <v>48835</v>
      </c>
      <c r="C4643" s="177" t="n">
        <v>48841</v>
      </c>
      <c r="D4643" t="inlineStr">
        <is>
          <t>BW20330913</t>
        </is>
      </c>
      <c r="E4643" t="n">
        <v>2033</v>
      </c>
      <c r="F4643" t="inlineStr">
        <is>
          <t>Wrzesień</t>
        </is>
      </c>
      <c r="G4643" t="inlineStr">
        <is>
          <t>Pt</t>
        </is>
      </c>
      <c r="H4643">
        <f>'Floor Hours Engine'!$E$5</f>
        <v/>
      </c>
      <c r="I4643" t="inlineStr">
        <is>
          <t>W3</t>
        </is>
      </c>
      <c r="J4643" t="inlineStr">
        <is>
          <t>2033_Wrzesień_W3</t>
        </is>
      </c>
    </row>
    <row r="4644">
      <c r="A4644" s="177" t="n">
        <v>48839</v>
      </c>
      <c r="B4644" s="177" t="n">
        <v>48835</v>
      </c>
      <c r="C4644" s="177" t="n">
        <v>48841</v>
      </c>
      <c r="D4644" t="inlineStr">
        <is>
          <t>BW20330913</t>
        </is>
      </c>
      <c r="E4644" t="n">
        <v>2033</v>
      </c>
      <c r="F4644" t="inlineStr">
        <is>
          <t>Wrzesień</t>
        </is>
      </c>
      <c r="G4644" t="inlineStr">
        <is>
          <t>Sob</t>
        </is>
      </c>
      <c r="H4644">
        <f>'Floor Hours Engine'!$E$5</f>
        <v/>
      </c>
      <c r="I4644" t="inlineStr">
        <is>
          <t>W3</t>
        </is>
      </c>
      <c r="J4644" t="inlineStr">
        <is>
          <t>2033_Wrzesień_W3</t>
        </is>
      </c>
    </row>
    <row r="4645">
      <c r="A4645" s="177" t="n">
        <v>48840</v>
      </c>
      <c r="B4645" s="177" t="n">
        <v>48835</v>
      </c>
      <c r="C4645" s="177" t="n">
        <v>48841</v>
      </c>
      <c r="D4645" t="inlineStr">
        <is>
          <t>BW20330913</t>
        </is>
      </c>
      <c r="E4645" t="n">
        <v>2033</v>
      </c>
      <c r="F4645" t="inlineStr">
        <is>
          <t>Wrzesień</t>
        </is>
      </c>
      <c r="G4645" t="inlineStr">
        <is>
          <t>Nd</t>
        </is>
      </c>
      <c r="H4645">
        <f>'Floor Hours Engine'!$E$6</f>
        <v/>
      </c>
      <c r="I4645" t="inlineStr">
        <is>
          <t>W3</t>
        </is>
      </c>
      <c r="J4645" t="inlineStr">
        <is>
          <t>2033_Wrzesień_W3</t>
        </is>
      </c>
    </row>
    <row r="4646">
      <c r="A4646" s="177" t="n">
        <v>48841</v>
      </c>
      <c r="B4646" s="177" t="n">
        <v>48835</v>
      </c>
      <c r="C4646" s="177" t="n">
        <v>48841</v>
      </c>
      <c r="D4646" t="inlineStr">
        <is>
          <t>BW20330913</t>
        </is>
      </c>
      <c r="E4646" t="n">
        <v>2033</v>
      </c>
      <c r="F4646" t="inlineStr">
        <is>
          <t>Wrzesień</t>
        </is>
      </c>
      <c r="G4646" t="inlineStr">
        <is>
          <t>Pn</t>
        </is>
      </c>
      <c r="H4646">
        <f>'Floor Hours Engine'!$E$4</f>
        <v/>
      </c>
      <c r="I4646" t="inlineStr">
        <is>
          <t>W3</t>
        </is>
      </c>
      <c r="J4646" t="inlineStr">
        <is>
          <t>2033_Wrzesień_W3</t>
        </is>
      </c>
    </row>
    <row r="4647">
      <c r="A4647" s="177" t="n">
        <v>48842</v>
      </c>
      <c r="B4647" s="177" t="n">
        <v>48842</v>
      </c>
      <c r="C4647" s="177" t="n">
        <v>48848</v>
      </c>
      <c r="D4647" t="inlineStr">
        <is>
          <t>BW20330920</t>
        </is>
      </c>
      <c r="E4647" t="n">
        <v>2033</v>
      </c>
      <c r="F4647" t="inlineStr">
        <is>
          <t>Wrzesień</t>
        </is>
      </c>
      <c r="G4647" t="inlineStr">
        <is>
          <t>Wt</t>
        </is>
      </c>
      <c r="H4647">
        <f>'Floor Hours Engine'!$E$4</f>
        <v/>
      </c>
      <c r="I4647" t="inlineStr">
        <is>
          <t>W4</t>
        </is>
      </c>
      <c r="J4647" t="inlineStr">
        <is>
          <t>2033_Wrzesień_W4</t>
        </is>
      </c>
    </row>
    <row r="4648">
      <c r="A4648" s="177" t="n">
        <v>48843</v>
      </c>
      <c r="B4648" s="177" t="n">
        <v>48842</v>
      </c>
      <c r="C4648" s="177" t="n">
        <v>48848</v>
      </c>
      <c r="D4648" t="inlineStr">
        <is>
          <t>BW20330920</t>
        </is>
      </c>
      <c r="E4648" t="n">
        <v>2033</v>
      </c>
      <c r="F4648" t="inlineStr">
        <is>
          <t>Wrzesień</t>
        </is>
      </c>
      <c r="G4648" t="inlineStr">
        <is>
          <t>Śr</t>
        </is>
      </c>
      <c r="H4648">
        <f>'Floor Hours Engine'!$E$4</f>
        <v/>
      </c>
      <c r="I4648" t="inlineStr">
        <is>
          <t>W4</t>
        </is>
      </c>
      <c r="J4648" t="inlineStr">
        <is>
          <t>2033_Wrzesień_W4</t>
        </is>
      </c>
    </row>
    <row r="4649">
      <c r="A4649" s="177" t="n">
        <v>48844</v>
      </c>
      <c r="B4649" s="177" t="n">
        <v>48842</v>
      </c>
      <c r="C4649" s="177" t="n">
        <v>48848</v>
      </c>
      <c r="D4649" t="inlineStr">
        <is>
          <t>BW20330920</t>
        </is>
      </c>
      <c r="E4649" t="n">
        <v>2033</v>
      </c>
      <c r="F4649" t="inlineStr">
        <is>
          <t>Wrzesień</t>
        </is>
      </c>
      <c r="G4649" t="inlineStr">
        <is>
          <t>Czw</t>
        </is>
      </c>
      <c r="H4649">
        <f>'Floor Hours Engine'!$E$4</f>
        <v/>
      </c>
      <c r="I4649" t="inlineStr">
        <is>
          <t>W4</t>
        </is>
      </c>
      <c r="J4649" t="inlineStr">
        <is>
          <t>2033_Wrzesień_W4</t>
        </is>
      </c>
    </row>
    <row r="4650">
      <c r="A4650" s="177" t="n">
        <v>48845</v>
      </c>
      <c r="B4650" s="177" t="n">
        <v>48842</v>
      </c>
      <c r="C4650" s="177" t="n">
        <v>48848</v>
      </c>
      <c r="D4650" t="inlineStr">
        <is>
          <t>BW20330920</t>
        </is>
      </c>
      <c r="E4650" t="n">
        <v>2033</v>
      </c>
      <c r="F4650" t="inlineStr">
        <is>
          <t>Wrzesień</t>
        </is>
      </c>
      <c r="G4650" t="inlineStr">
        <is>
          <t>Pt</t>
        </is>
      </c>
      <c r="H4650">
        <f>'Floor Hours Engine'!$E$5</f>
        <v/>
      </c>
      <c r="I4650" t="inlineStr">
        <is>
          <t>W4</t>
        </is>
      </c>
      <c r="J4650" t="inlineStr">
        <is>
          <t>2033_Wrzesień_W4</t>
        </is>
      </c>
    </row>
    <row r="4651">
      <c r="A4651" s="177" t="n">
        <v>48846</v>
      </c>
      <c r="B4651" s="177" t="n">
        <v>48842</v>
      </c>
      <c r="C4651" s="177" t="n">
        <v>48848</v>
      </c>
      <c r="D4651" t="inlineStr">
        <is>
          <t>BW20330920</t>
        </is>
      </c>
      <c r="E4651" t="n">
        <v>2033</v>
      </c>
      <c r="F4651" t="inlineStr">
        <is>
          <t>Wrzesień</t>
        </is>
      </c>
      <c r="G4651" t="inlineStr">
        <is>
          <t>Sob</t>
        </is>
      </c>
      <c r="H4651">
        <f>'Floor Hours Engine'!$E$5</f>
        <v/>
      </c>
      <c r="I4651" t="inlineStr">
        <is>
          <t>W4</t>
        </is>
      </c>
      <c r="J4651" t="inlineStr">
        <is>
          <t>2033_Wrzesień_W4</t>
        </is>
      </c>
    </row>
    <row r="4652">
      <c r="A4652" s="177" t="n">
        <v>48847</v>
      </c>
      <c r="B4652" s="177" t="n">
        <v>48842</v>
      </c>
      <c r="C4652" s="177" t="n">
        <v>48848</v>
      </c>
      <c r="D4652" t="inlineStr">
        <is>
          <t>BW20330920</t>
        </is>
      </c>
      <c r="E4652" t="n">
        <v>2033</v>
      </c>
      <c r="F4652" t="inlineStr">
        <is>
          <t>Wrzesień</t>
        </is>
      </c>
      <c r="G4652" t="inlineStr">
        <is>
          <t>Nd</t>
        </is>
      </c>
      <c r="H4652">
        <f>'Floor Hours Engine'!$E$6</f>
        <v/>
      </c>
      <c r="I4652" t="inlineStr">
        <is>
          <t>W4</t>
        </is>
      </c>
      <c r="J4652" t="inlineStr">
        <is>
          <t>2033_Wrzesień_W4</t>
        </is>
      </c>
    </row>
    <row r="4653">
      <c r="A4653" s="177" t="n">
        <v>48848</v>
      </c>
      <c r="B4653" s="177" t="n">
        <v>48842</v>
      </c>
      <c r="C4653" s="177" t="n">
        <v>48848</v>
      </c>
      <c r="D4653" t="inlineStr">
        <is>
          <t>BW20330920</t>
        </is>
      </c>
      <c r="E4653" t="n">
        <v>2033</v>
      </c>
      <c r="F4653" t="inlineStr">
        <is>
          <t>Wrzesień</t>
        </is>
      </c>
      <c r="G4653" t="inlineStr">
        <is>
          <t>Pn</t>
        </is>
      </c>
      <c r="H4653">
        <f>'Floor Hours Engine'!$E$4</f>
        <v/>
      </c>
      <c r="I4653" t="inlineStr">
        <is>
          <t>W4</t>
        </is>
      </c>
      <c r="J4653" t="inlineStr">
        <is>
          <t>2033_Wrzesień_W4</t>
        </is>
      </c>
    </row>
    <row r="4654">
      <c r="A4654" s="177" t="n">
        <v>48849</v>
      </c>
      <c r="B4654" s="177" t="n">
        <v>48849</v>
      </c>
      <c r="C4654" s="177" t="n">
        <v>48855</v>
      </c>
      <c r="D4654" t="inlineStr">
        <is>
          <t>BW20330927</t>
        </is>
      </c>
      <c r="E4654" t="n">
        <v>2033</v>
      </c>
      <c r="F4654" t="inlineStr">
        <is>
          <t>Wrzesień</t>
        </is>
      </c>
      <c r="G4654" t="inlineStr">
        <is>
          <t>Wt</t>
        </is>
      </c>
      <c r="H4654">
        <f>'Floor Hours Engine'!$E$4</f>
        <v/>
      </c>
      <c r="I4654" t="inlineStr">
        <is>
          <t>W5</t>
        </is>
      </c>
      <c r="J4654" t="inlineStr">
        <is>
          <t>2033_Wrzesień_W5</t>
        </is>
      </c>
    </row>
    <row r="4655">
      <c r="A4655" s="177" t="n">
        <v>48850</v>
      </c>
      <c r="B4655" s="177" t="n">
        <v>48849</v>
      </c>
      <c r="C4655" s="177" t="n">
        <v>48855</v>
      </c>
      <c r="D4655" t="inlineStr">
        <is>
          <t>BW20330927</t>
        </is>
      </c>
      <c r="E4655" t="n">
        <v>2033</v>
      </c>
      <c r="F4655" t="inlineStr">
        <is>
          <t>Wrzesień</t>
        </is>
      </c>
      <c r="G4655" t="inlineStr">
        <is>
          <t>Śr</t>
        </is>
      </c>
      <c r="H4655">
        <f>'Floor Hours Engine'!$E$4</f>
        <v/>
      </c>
      <c r="I4655" t="inlineStr">
        <is>
          <t>W5</t>
        </is>
      </c>
      <c r="J4655" t="inlineStr">
        <is>
          <t>2033_Wrzesień_W5</t>
        </is>
      </c>
    </row>
    <row r="4656">
      <c r="A4656" s="177" t="n">
        <v>48851</v>
      </c>
      <c r="B4656" s="177" t="n">
        <v>48849</v>
      </c>
      <c r="C4656" s="177" t="n">
        <v>48855</v>
      </c>
      <c r="D4656" t="inlineStr">
        <is>
          <t>BW20330927</t>
        </is>
      </c>
      <c r="E4656" t="n">
        <v>2033</v>
      </c>
      <c r="F4656" t="inlineStr">
        <is>
          <t>Wrzesień</t>
        </is>
      </c>
      <c r="G4656" t="inlineStr">
        <is>
          <t>Czw</t>
        </is>
      </c>
      <c r="H4656">
        <f>'Floor Hours Engine'!$E$4</f>
        <v/>
      </c>
      <c r="I4656" t="inlineStr">
        <is>
          <t>W5</t>
        </is>
      </c>
      <c r="J4656" t="inlineStr">
        <is>
          <t>2033_Wrzesień_W5</t>
        </is>
      </c>
    </row>
    <row r="4657">
      <c r="A4657" s="177" t="n">
        <v>48852</v>
      </c>
      <c r="B4657" s="177" t="n">
        <v>48849</v>
      </c>
      <c r="C4657" s="177" t="n">
        <v>48855</v>
      </c>
      <c r="D4657" t="inlineStr">
        <is>
          <t>BW20330927</t>
        </is>
      </c>
      <c r="E4657" t="n">
        <v>2033</v>
      </c>
      <c r="F4657" t="inlineStr">
        <is>
          <t>Wrzesień</t>
        </is>
      </c>
      <c r="G4657" t="inlineStr">
        <is>
          <t>Pt</t>
        </is>
      </c>
      <c r="H4657">
        <f>'Floor Hours Engine'!$E$5</f>
        <v/>
      </c>
      <c r="I4657" t="inlineStr">
        <is>
          <t>W5</t>
        </is>
      </c>
      <c r="J4657" t="inlineStr">
        <is>
          <t>2033_Wrzesień_W5</t>
        </is>
      </c>
    </row>
    <row r="4658">
      <c r="A4658" s="177" t="n">
        <v>48853</v>
      </c>
      <c r="B4658" s="177" t="n">
        <v>48849</v>
      </c>
      <c r="C4658" s="177" t="n">
        <v>48855</v>
      </c>
      <c r="D4658" t="inlineStr">
        <is>
          <t>BW20330927</t>
        </is>
      </c>
      <c r="E4658" t="n">
        <v>2033</v>
      </c>
      <c r="F4658" t="inlineStr">
        <is>
          <t>Październik</t>
        </is>
      </c>
      <c r="G4658" t="inlineStr">
        <is>
          <t>Sob</t>
        </is>
      </c>
      <c r="H4658">
        <f>'Floor Hours Engine'!$E$5</f>
        <v/>
      </c>
      <c r="I4658" t="inlineStr">
        <is>
          <t>W1</t>
        </is>
      </c>
      <c r="J4658" t="inlineStr">
        <is>
          <t>2033_Październik_W1</t>
        </is>
      </c>
    </row>
    <row r="4659">
      <c r="A4659" s="177" t="n">
        <v>48854</v>
      </c>
      <c r="B4659" s="177" t="n">
        <v>48849</v>
      </c>
      <c r="C4659" s="177" t="n">
        <v>48855</v>
      </c>
      <c r="D4659" t="inlineStr">
        <is>
          <t>BW20330927</t>
        </is>
      </c>
      <c r="E4659" t="n">
        <v>2033</v>
      </c>
      <c r="F4659" t="inlineStr">
        <is>
          <t>Październik</t>
        </is>
      </c>
      <c r="G4659" t="inlineStr">
        <is>
          <t>Nd</t>
        </is>
      </c>
      <c r="H4659">
        <f>'Floor Hours Engine'!$E$6</f>
        <v/>
      </c>
      <c r="I4659" t="inlineStr">
        <is>
          <t>W1</t>
        </is>
      </c>
      <c r="J4659" t="inlineStr">
        <is>
          <t>2033_Październik_W1</t>
        </is>
      </c>
    </row>
    <row r="4660">
      <c r="A4660" s="177" t="n">
        <v>48855</v>
      </c>
      <c r="B4660" s="177" t="n">
        <v>48849</v>
      </c>
      <c r="C4660" s="177" t="n">
        <v>48855</v>
      </c>
      <c r="D4660" t="inlineStr">
        <is>
          <t>BW20330927</t>
        </is>
      </c>
      <c r="E4660" t="n">
        <v>2033</v>
      </c>
      <c r="F4660" t="inlineStr">
        <is>
          <t>Październik</t>
        </is>
      </c>
      <c r="G4660" t="inlineStr">
        <is>
          <t>Pn</t>
        </is>
      </c>
      <c r="H4660">
        <f>'Floor Hours Engine'!$E$4</f>
        <v/>
      </c>
      <c r="I4660" t="inlineStr">
        <is>
          <t>W1</t>
        </is>
      </c>
      <c r="J4660" t="inlineStr">
        <is>
          <t>2033_Październik_W1</t>
        </is>
      </c>
    </row>
    <row r="4661">
      <c r="A4661" s="177" t="n">
        <v>48856</v>
      </c>
      <c r="B4661" s="177" t="n">
        <v>48856</v>
      </c>
      <c r="C4661" s="177" t="n">
        <v>48862</v>
      </c>
      <c r="D4661" t="inlineStr">
        <is>
          <t>BW20331004</t>
        </is>
      </c>
      <c r="E4661" t="n">
        <v>2033</v>
      </c>
      <c r="F4661" t="inlineStr">
        <is>
          <t>Październik</t>
        </is>
      </c>
      <c r="G4661" t="inlineStr">
        <is>
          <t>Wt</t>
        </is>
      </c>
      <c r="H4661">
        <f>'Floor Hours Engine'!$E$4</f>
        <v/>
      </c>
      <c r="I4661" t="inlineStr">
        <is>
          <t>W2</t>
        </is>
      </c>
      <c r="J4661" t="inlineStr">
        <is>
          <t>2033_Październik_W2</t>
        </is>
      </c>
    </row>
    <row r="4662">
      <c r="A4662" s="177" t="n">
        <v>48857</v>
      </c>
      <c r="B4662" s="177" t="n">
        <v>48856</v>
      </c>
      <c r="C4662" s="177" t="n">
        <v>48862</v>
      </c>
      <c r="D4662" t="inlineStr">
        <is>
          <t>BW20331004</t>
        </is>
      </c>
      <c r="E4662" t="n">
        <v>2033</v>
      </c>
      <c r="F4662" t="inlineStr">
        <is>
          <t>Październik</t>
        </is>
      </c>
      <c r="G4662" t="inlineStr">
        <is>
          <t>Śr</t>
        </is>
      </c>
      <c r="H4662">
        <f>'Floor Hours Engine'!$E$4</f>
        <v/>
      </c>
      <c r="I4662" t="inlineStr">
        <is>
          <t>W2</t>
        </is>
      </c>
      <c r="J4662" t="inlineStr">
        <is>
          <t>2033_Październik_W2</t>
        </is>
      </c>
    </row>
    <row r="4663">
      <c r="A4663" s="177" t="n">
        <v>48858</v>
      </c>
      <c r="B4663" s="177" t="n">
        <v>48856</v>
      </c>
      <c r="C4663" s="177" t="n">
        <v>48862</v>
      </c>
      <c r="D4663" t="inlineStr">
        <is>
          <t>BW20331004</t>
        </is>
      </c>
      <c r="E4663" t="n">
        <v>2033</v>
      </c>
      <c r="F4663" t="inlineStr">
        <is>
          <t>Październik</t>
        </is>
      </c>
      <c r="G4663" t="inlineStr">
        <is>
          <t>Czw</t>
        </is>
      </c>
      <c r="H4663">
        <f>'Floor Hours Engine'!$E$4</f>
        <v/>
      </c>
      <c r="I4663" t="inlineStr">
        <is>
          <t>W2</t>
        </is>
      </c>
      <c r="J4663" t="inlineStr">
        <is>
          <t>2033_Październik_W2</t>
        </is>
      </c>
    </row>
    <row r="4664">
      <c r="A4664" s="177" t="n">
        <v>48859</v>
      </c>
      <c r="B4664" s="177" t="n">
        <v>48856</v>
      </c>
      <c r="C4664" s="177" t="n">
        <v>48862</v>
      </c>
      <c r="D4664" t="inlineStr">
        <is>
          <t>BW20331004</t>
        </is>
      </c>
      <c r="E4664" t="n">
        <v>2033</v>
      </c>
      <c r="F4664" t="inlineStr">
        <is>
          <t>Październik</t>
        </is>
      </c>
      <c r="G4664" t="inlineStr">
        <is>
          <t>Pt</t>
        </is>
      </c>
      <c r="H4664">
        <f>'Floor Hours Engine'!$E$5</f>
        <v/>
      </c>
      <c r="I4664" t="inlineStr">
        <is>
          <t>W2</t>
        </is>
      </c>
      <c r="J4664" t="inlineStr">
        <is>
          <t>2033_Październik_W2</t>
        </is>
      </c>
    </row>
    <row r="4665">
      <c r="A4665" s="177" t="n">
        <v>48860</v>
      </c>
      <c r="B4665" s="177" t="n">
        <v>48856</v>
      </c>
      <c r="C4665" s="177" t="n">
        <v>48862</v>
      </c>
      <c r="D4665" t="inlineStr">
        <is>
          <t>BW20331004</t>
        </is>
      </c>
      <c r="E4665" t="n">
        <v>2033</v>
      </c>
      <c r="F4665" t="inlineStr">
        <is>
          <t>Październik</t>
        </is>
      </c>
      <c r="G4665" t="inlineStr">
        <is>
          <t>Sob</t>
        </is>
      </c>
      <c r="H4665">
        <f>'Floor Hours Engine'!$E$5</f>
        <v/>
      </c>
      <c r="I4665" t="inlineStr">
        <is>
          <t>W2</t>
        </is>
      </c>
      <c r="J4665" t="inlineStr">
        <is>
          <t>2033_Październik_W2</t>
        </is>
      </c>
    </row>
    <row r="4666">
      <c r="A4666" s="177" t="n">
        <v>48861</v>
      </c>
      <c r="B4666" s="177" t="n">
        <v>48856</v>
      </c>
      <c r="C4666" s="177" t="n">
        <v>48862</v>
      </c>
      <c r="D4666" t="inlineStr">
        <is>
          <t>BW20331004</t>
        </is>
      </c>
      <c r="E4666" t="n">
        <v>2033</v>
      </c>
      <c r="F4666" t="inlineStr">
        <is>
          <t>Październik</t>
        </is>
      </c>
      <c r="G4666" t="inlineStr">
        <is>
          <t>Nd</t>
        </is>
      </c>
      <c r="H4666">
        <f>'Floor Hours Engine'!$E$6</f>
        <v/>
      </c>
      <c r="I4666" t="inlineStr">
        <is>
          <t>W2</t>
        </is>
      </c>
      <c r="J4666" t="inlineStr">
        <is>
          <t>2033_Październik_W2</t>
        </is>
      </c>
    </row>
    <row r="4667">
      <c r="A4667" s="177" t="n">
        <v>48862</v>
      </c>
      <c r="B4667" s="177" t="n">
        <v>48856</v>
      </c>
      <c r="C4667" s="177" t="n">
        <v>48862</v>
      </c>
      <c r="D4667" t="inlineStr">
        <is>
          <t>BW20331004</t>
        </is>
      </c>
      <c r="E4667" t="n">
        <v>2033</v>
      </c>
      <c r="F4667" t="inlineStr">
        <is>
          <t>Październik</t>
        </is>
      </c>
      <c r="G4667" t="inlineStr">
        <is>
          <t>Pn</t>
        </is>
      </c>
      <c r="H4667">
        <f>'Floor Hours Engine'!$E$4</f>
        <v/>
      </c>
      <c r="I4667" t="inlineStr">
        <is>
          <t>W2</t>
        </is>
      </c>
      <c r="J4667" t="inlineStr">
        <is>
          <t>2033_Październik_W2</t>
        </is>
      </c>
    </row>
    <row r="4668">
      <c r="A4668" s="177" t="n">
        <v>48863</v>
      </c>
      <c r="B4668" s="177" t="n">
        <v>48863</v>
      </c>
      <c r="C4668" s="177" t="n">
        <v>48869</v>
      </c>
      <c r="D4668" t="inlineStr">
        <is>
          <t>BW20331011</t>
        </is>
      </c>
      <c r="E4668" t="n">
        <v>2033</v>
      </c>
      <c r="F4668" t="inlineStr">
        <is>
          <t>Październik</t>
        </is>
      </c>
      <c r="G4668" t="inlineStr">
        <is>
          <t>Wt</t>
        </is>
      </c>
      <c r="H4668">
        <f>'Floor Hours Engine'!$E$4</f>
        <v/>
      </c>
      <c r="I4668" t="inlineStr">
        <is>
          <t>W3</t>
        </is>
      </c>
      <c r="J4668" t="inlineStr">
        <is>
          <t>2033_Październik_W3</t>
        </is>
      </c>
    </row>
    <row r="4669">
      <c r="A4669" s="177" t="n">
        <v>48864</v>
      </c>
      <c r="B4669" s="177" t="n">
        <v>48863</v>
      </c>
      <c r="C4669" s="177" t="n">
        <v>48869</v>
      </c>
      <c r="D4669" t="inlineStr">
        <is>
          <t>BW20331011</t>
        </is>
      </c>
      <c r="E4669" t="n">
        <v>2033</v>
      </c>
      <c r="F4669" t="inlineStr">
        <is>
          <t>Październik</t>
        </is>
      </c>
      <c r="G4669" t="inlineStr">
        <is>
          <t>Śr</t>
        </is>
      </c>
      <c r="H4669">
        <f>'Floor Hours Engine'!$E$4</f>
        <v/>
      </c>
      <c r="I4669" t="inlineStr">
        <is>
          <t>W3</t>
        </is>
      </c>
      <c r="J4669" t="inlineStr">
        <is>
          <t>2033_Październik_W3</t>
        </is>
      </c>
    </row>
    <row r="4670">
      <c r="A4670" s="177" t="n">
        <v>48865</v>
      </c>
      <c r="B4670" s="177" t="n">
        <v>48863</v>
      </c>
      <c r="C4670" s="177" t="n">
        <v>48869</v>
      </c>
      <c r="D4670" t="inlineStr">
        <is>
          <t>BW20331011</t>
        </is>
      </c>
      <c r="E4670" t="n">
        <v>2033</v>
      </c>
      <c r="F4670" t="inlineStr">
        <is>
          <t>Październik</t>
        </is>
      </c>
      <c r="G4670" t="inlineStr">
        <is>
          <t>Czw</t>
        </is>
      </c>
      <c r="H4670">
        <f>'Floor Hours Engine'!$E$4</f>
        <v/>
      </c>
      <c r="I4670" t="inlineStr">
        <is>
          <t>W3</t>
        </is>
      </c>
      <c r="J4670" t="inlineStr">
        <is>
          <t>2033_Październik_W3</t>
        </is>
      </c>
    </row>
    <row r="4671">
      <c r="A4671" s="177" t="n">
        <v>48866</v>
      </c>
      <c r="B4671" s="177" t="n">
        <v>48863</v>
      </c>
      <c r="C4671" s="177" t="n">
        <v>48869</v>
      </c>
      <c r="D4671" t="inlineStr">
        <is>
          <t>BW20331011</t>
        </is>
      </c>
      <c r="E4671" t="n">
        <v>2033</v>
      </c>
      <c r="F4671" t="inlineStr">
        <is>
          <t>Październik</t>
        </is>
      </c>
      <c r="G4671" t="inlineStr">
        <is>
          <t>Pt</t>
        </is>
      </c>
      <c r="H4671">
        <f>'Floor Hours Engine'!$E$5</f>
        <v/>
      </c>
      <c r="I4671" t="inlineStr">
        <is>
          <t>W3</t>
        </is>
      </c>
      <c r="J4671" t="inlineStr">
        <is>
          <t>2033_Październik_W3</t>
        </is>
      </c>
    </row>
    <row r="4672">
      <c r="A4672" s="177" t="n">
        <v>48867</v>
      </c>
      <c r="B4672" s="177" t="n">
        <v>48863</v>
      </c>
      <c r="C4672" s="177" t="n">
        <v>48869</v>
      </c>
      <c r="D4672" t="inlineStr">
        <is>
          <t>BW20331011</t>
        </is>
      </c>
      <c r="E4672" t="n">
        <v>2033</v>
      </c>
      <c r="F4672" t="inlineStr">
        <is>
          <t>Październik</t>
        </is>
      </c>
      <c r="G4672" t="inlineStr">
        <is>
          <t>Sob</t>
        </is>
      </c>
      <c r="H4672">
        <f>'Floor Hours Engine'!$E$5</f>
        <v/>
      </c>
      <c r="I4672" t="inlineStr">
        <is>
          <t>W3</t>
        </is>
      </c>
      <c r="J4672" t="inlineStr">
        <is>
          <t>2033_Październik_W3</t>
        </is>
      </c>
    </row>
    <row r="4673">
      <c r="A4673" s="177" t="n">
        <v>48868</v>
      </c>
      <c r="B4673" s="177" t="n">
        <v>48863</v>
      </c>
      <c r="C4673" s="177" t="n">
        <v>48869</v>
      </c>
      <c r="D4673" t="inlineStr">
        <is>
          <t>BW20331011</t>
        </is>
      </c>
      <c r="E4673" t="n">
        <v>2033</v>
      </c>
      <c r="F4673" t="inlineStr">
        <is>
          <t>Październik</t>
        </is>
      </c>
      <c r="G4673" t="inlineStr">
        <is>
          <t>Nd</t>
        </is>
      </c>
      <c r="H4673">
        <f>'Floor Hours Engine'!$E$6</f>
        <v/>
      </c>
      <c r="I4673" t="inlineStr">
        <is>
          <t>W3</t>
        </is>
      </c>
      <c r="J4673" t="inlineStr">
        <is>
          <t>2033_Październik_W3</t>
        </is>
      </c>
    </row>
    <row r="4674">
      <c r="A4674" s="177" t="n">
        <v>48869</v>
      </c>
      <c r="B4674" s="177" t="n">
        <v>48863</v>
      </c>
      <c r="C4674" s="177" t="n">
        <v>48869</v>
      </c>
      <c r="D4674" t="inlineStr">
        <is>
          <t>BW20331011</t>
        </is>
      </c>
      <c r="E4674" t="n">
        <v>2033</v>
      </c>
      <c r="F4674" t="inlineStr">
        <is>
          <t>Październik</t>
        </is>
      </c>
      <c r="G4674" t="inlineStr">
        <is>
          <t>Pn</t>
        </is>
      </c>
      <c r="H4674">
        <f>'Floor Hours Engine'!$E$4</f>
        <v/>
      </c>
      <c r="I4674" t="inlineStr">
        <is>
          <t>W3</t>
        </is>
      </c>
      <c r="J4674" t="inlineStr">
        <is>
          <t>2033_Październik_W3</t>
        </is>
      </c>
    </row>
    <row r="4675">
      <c r="A4675" s="177" t="n">
        <v>48870</v>
      </c>
      <c r="B4675" s="177" t="n">
        <v>48870</v>
      </c>
      <c r="C4675" s="177" t="n">
        <v>48876</v>
      </c>
      <c r="D4675" t="inlineStr">
        <is>
          <t>BW20331018</t>
        </is>
      </c>
      <c r="E4675" t="n">
        <v>2033</v>
      </c>
      <c r="F4675" t="inlineStr">
        <is>
          <t>Październik</t>
        </is>
      </c>
      <c r="G4675" t="inlineStr">
        <is>
          <t>Wt</t>
        </is>
      </c>
      <c r="H4675">
        <f>'Floor Hours Engine'!$E$4</f>
        <v/>
      </c>
      <c r="I4675" t="inlineStr">
        <is>
          <t>W4</t>
        </is>
      </c>
      <c r="J4675" t="inlineStr">
        <is>
          <t>2033_Październik_W4</t>
        </is>
      </c>
    </row>
    <row r="4676">
      <c r="A4676" s="177" t="n">
        <v>48871</v>
      </c>
      <c r="B4676" s="177" t="n">
        <v>48870</v>
      </c>
      <c r="C4676" s="177" t="n">
        <v>48876</v>
      </c>
      <c r="D4676" t="inlineStr">
        <is>
          <t>BW20331018</t>
        </is>
      </c>
      <c r="E4676" t="n">
        <v>2033</v>
      </c>
      <c r="F4676" t="inlineStr">
        <is>
          <t>Październik</t>
        </is>
      </c>
      <c r="G4676" t="inlineStr">
        <is>
          <t>Śr</t>
        </is>
      </c>
      <c r="H4676">
        <f>'Floor Hours Engine'!$E$4</f>
        <v/>
      </c>
      <c r="I4676" t="inlineStr">
        <is>
          <t>W4</t>
        </is>
      </c>
      <c r="J4676" t="inlineStr">
        <is>
          <t>2033_Październik_W4</t>
        </is>
      </c>
    </row>
    <row r="4677">
      <c r="A4677" s="177" t="n">
        <v>48872</v>
      </c>
      <c r="B4677" s="177" t="n">
        <v>48870</v>
      </c>
      <c r="C4677" s="177" t="n">
        <v>48876</v>
      </c>
      <c r="D4677" t="inlineStr">
        <is>
          <t>BW20331018</t>
        </is>
      </c>
      <c r="E4677" t="n">
        <v>2033</v>
      </c>
      <c r="F4677" t="inlineStr">
        <is>
          <t>Październik</t>
        </is>
      </c>
      <c r="G4677" t="inlineStr">
        <is>
          <t>Czw</t>
        </is>
      </c>
      <c r="H4677">
        <f>'Floor Hours Engine'!$E$4</f>
        <v/>
      </c>
      <c r="I4677" t="inlineStr">
        <is>
          <t>W4</t>
        </is>
      </c>
      <c r="J4677" t="inlineStr">
        <is>
          <t>2033_Październik_W4</t>
        </is>
      </c>
    </row>
    <row r="4678">
      <c r="A4678" s="177" t="n">
        <v>48873</v>
      </c>
      <c r="B4678" s="177" t="n">
        <v>48870</v>
      </c>
      <c r="C4678" s="177" t="n">
        <v>48876</v>
      </c>
      <c r="D4678" t="inlineStr">
        <is>
          <t>BW20331018</t>
        </is>
      </c>
      <c r="E4678" t="n">
        <v>2033</v>
      </c>
      <c r="F4678" t="inlineStr">
        <is>
          <t>Październik</t>
        </is>
      </c>
      <c r="G4678" t="inlineStr">
        <is>
          <t>Pt</t>
        </is>
      </c>
      <c r="H4678">
        <f>'Floor Hours Engine'!$E$5</f>
        <v/>
      </c>
      <c r="I4678" t="inlineStr">
        <is>
          <t>W4</t>
        </is>
      </c>
      <c r="J4678" t="inlineStr">
        <is>
          <t>2033_Październik_W4</t>
        </is>
      </c>
    </row>
    <row r="4679">
      <c r="A4679" s="177" t="n">
        <v>48874</v>
      </c>
      <c r="B4679" s="177" t="n">
        <v>48870</v>
      </c>
      <c r="C4679" s="177" t="n">
        <v>48876</v>
      </c>
      <c r="D4679" t="inlineStr">
        <is>
          <t>BW20331018</t>
        </is>
      </c>
      <c r="E4679" t="n">
        <v>2033</v>
      </c>
      <c r="F4679" t="inlineStr">
        <is>
          <t>Październik</t>
        </is>
      </c>
      <c r="G4679" t="inlineStr">
        <is>
          <t>Sob</t>
        </is>
      </c>
      <c r="H4679">
        <f>'Floor Hours Engine'!$E$5</f>
        <v/>
      </c>
      <c r="I4679" t="inlineStr">
        <is>
          <t>W4</t>
        </is>
      </c>
      <c r="J4679" t="inlineStr">
        <is>
          <t>2033_Październik_W4</t>
        </is>
      </c>
    </row>
    <row r="4680">
      <c r="A4680" s="177" t="n">
        <v>48875</v>
      </c>
      <c r="B4680" s="177" t="n">
        <v>48870</v>
      </c>
      <c r="C4680" s="177" t="n">
        <v>48876</v>
      </c>
      <c r="D4680" t="inlineStr">
        <is>
          <t>BW20331018</t>
        </is>
      </c>
      <c r="E4680" t="n">
        <v>2033</v>
      </c>
      <c r="F4680" t="inlineStr">
        <is>
          <t>Październik</t>
        </is>
      </c>
      <c r="G4680" t="inlineStr">
        <is>
          <t>Nd</t>
        </is>
      </c>
      <c r="H4680">
        <f>'Floor Hours Engine'!$E$6</f>
        <v/>
      </c>
      <c r="I4680" t="inlineStr">
        <is>
          <t>W4</t>
        </is>
      </c>
      <c r="J4680" t="inlineStr">
        <is>
          <t>2033_Październik_W4</t>
        </is>
      </c>
    </row>
    <row r="4681">
      <c r="A4681" s="177" t="n">
        <v>48876</v>
      </c>
      <c r="B4681" s="177" t="n">
        <v>48870</v>
      </c>
      <c r="C4681" s="177" t="n">
        <v>48876</v>
      </c>
      <c r="D4681" t="inlineStr">
        <is>
          <t>BW20331018</t>
        </is>
      </c>
      <c r="E4681" t="n">
        <v>2033</v>
      </c>
      <c r="F4681" t="inlineStr">
        <is>
          <t>Październik</t>
        </is>
      </c>
      <c r="G4681" t="inlineStr">
        <is>
          <t>Pn</t>
        </is>
      </c>
      <c r="H4681">
        <f>'Floor Hours Engine'!$E$4</f>
        <v/>
      </c>
      <c r="I4681" t="inlineStr">
        <is>
          <t>W4</t>
        </is>
      </c>
      <c r="J4681" t="inlineStr">
        <is>
          <t>2033_Październik_W4</t>
        </is>
      </c>
    </row>
    <row r="4682">
      <c r="A4682" s="177" t="n">
        <v>48877</v>
      </c>
      <c r="B4682" s="177" t="n">
        <v>48877</v>
      </c>
      <c r="C4682" s="177" t="n">
        <v>48883</v>
      </c>
      <c r="D4682" t="inlineStr">
        <is>
          <t>BW20331025</t>
        </is>
      </c>
      <c r="E4682" t="n">
        <v>2033</v>
      </c>
      <c r="F4682" t="inlineStr">
        <is>
          <t>Październik</t>
        </is>
      </c>
      <c r="G4682" t="inlineStr">
        <is>
          <t>Wt</t>
        </is>
      </c>
      <c r="H4682">
        <f>'Floor Hours Engine'!$E$4</f>
        <v/>
      </c>
      <c r="I4682" t="inlineStr">
        <is>
          <t>W5</t>
        </is>
      </c>
      <c r="J4682" t="inlineStr">
        <is>
          <t>2033_Październik_W5</t>
        </is>
      </c>
    </row>
    <row r="4683">
      <c r="A4683" s="177" t="n">
        <v>48878</v>
      </c>
      <c r="B4683" s="177" t="n">
        <v>48877</v>
      </c>
      <c r="C4683" s="177" t="n">
        <v>48883</v>
      </c>
      <c r="D4683" t="inlineStr">
        <is>
          <t>BW20331025</t>
        </is>
      </c>
      <c r="E4683" t="n">
        <v>2033</v>
      </c>
      <c r="F4683" t="inlineStr">
        <is>
          <t>Październik</t>
        </is>
      </c>
      <c r="G4683" t="inlineStr">
        <is>
          <t>Śr</t>
        </is>
      </c>
      <c r="H4683">
        <f>'Floor Hours Engine'!$E$4</f>
        <v/>
      </c>
      <c r="I4683" t="inlineStr">
        <is>
          <t>W5</t>
        </is>
      </c>
      <c r="J4683" t="inlineStr">
        <is>
          <t>2033_Październik_W5</t>
        </is>
      </c>
    </row>
    <row r="4684">
      <c r="A4684" s="177" t="n">
        <v>48879</v>
      </c>
      <c r="B4684" s="177" t="n">
        <v>48877</v>
      </c>
      <c r="C4684" s="177" t="n">
        <v>48883</v>
      </c>
      <c r="D4684" t="inlineStr">
        <is>
          <t>BW20331025</t>
        </is>
      </c>
      <c r="E4684" t="n">
        <v>2033</v>
      </c>
      <c r="F4684" t="inlineStr">
        <is>
          <t>Październik</t>
        </is>
      </c>
      <c r="G4684" t="inlineStr">
        <is>
          <t>Czw</t>
        </is>
      </c>
      <c r="H4684">
        <f>'Floor Hours Engine'!$E$4</f>
        <v/>
      </c>
      <c r="I4684" t="inlineStr">
        <is>
          <t>W5</t>
        </is>
      </c>
      <c r="J4684" t="inlineStr">
        <is>
          <t>2033_Październik_W5</t>
        </is>
      </c>
    </row>
    <row r="4685">
      <c r="A4685" s="177" t="n">
        <v>48880</v>
      </c>
      <c r="B4685" s="177" t="n">
        <v>48877</v>
      </c>
      <c r="C4685" s="177" t="n">
        <v>48883</v>
      </c>
      <c r="D4685" t="inlineStr">
        <is>
          <t>BW20331025</t>
        </is>
      </c>
      <c r="E4685" t="n">
        <v>2033</v>
      </c>
      <c r="F4685" t="inlineStr">
        <is>
          <t>Październik</t>
        </is>
      </c>
      <c r="G4685" t="inlineStr">
        <is>
          <t>Pt</t>
        </is>
      </c>
      <c r="H4685">
        <f>'Floor Hours Engine'!$E$5</f>
        <v/>
      </c>
      <c r="I4685" t="inlineStr">
        <is>
          <t>W5</t>
        </is>
      </c>
      <c r="J4685" t="inlineStr">
        <is>
          <t>2033_Październik_W5</t>
        </is>
      </c>
    </row>
    <row r="4686">
      <c r="A4686" s="177" t="n">
        <v>48881</v>
      </c>
      <c r="B4686" s="177" t="n">
        <v>48877</v>
      </c>
      <c r="C4686" s="177" t="n">
        <v>48883</v>
      </c>
      <c r="D4686" t="inlineStr">
        <is>
          <t>BW20331025</t>
        </is>
      </c>
      <c r="E4686" t="n">
        <v>2033</v>
      </c>
      <c r="F4686" t="inlineStr">
        <is>
          <t>Październik</t>
        </is>
      </c>
      <c r="G4686" t="inlineStr">
        <is>
          <t>Sob</t>
        </is>
      </c>
      <c r="H4686">
        <f>'Floor Hours Engine'!$E$5</f>
        <v/>
      </c>
      <c r="I4686" t="inlineStr">
        <is>
          <t>W5</t>
        </is>
      </c>
      <c r="J4686" t="inlineStr">
        <is>
          <t>2033_Październik_W5</t>
        </is>
      </c>
    </row>
    <row r="4687">
      <c r="A4687" s="177" t="n">
        <v>48882</v>
      </c>
      <c r="B4687" s="177" t="n">
        <v>48877</v>
      </c>
      <c r="C4687" s="177" t="n">
        <v>48883</v>
      </c>
      <c r="D4687" t="inlineStr">
        <is>
          <t>BW20331025</t>
        </is>
      </c>
      <c r="E4687" t="n">
        <v>2033</v>
      </c>
      <c r="F4687" t="inlineStr">
        <is>
          <t>Październik</t>
        </is>
      </c>
      <c r="G4687" t="inlineStr">
        <is>
          <t>Nd</t>
        </is>
      </c>
      <c r="H4687">
        <f>'Floor Hours Engine'!$E$6</f>
        <v/>
      </c>
      <c r="I4687" t="inlineStr">
        <is>
          <t>W5</t>
        </is>
      </c>
      <c r="J4687" t="inlineStr">
        <is>
          <t>2033_Październik_W5</t>
        </is>
      </c>
    </row>
    <row r="4688">
      <c r="A4688" s="177" t="n">
        <v>48883</v>
      </c>
      <c r="B4688" s="177" t="n">
        <v>48877</v>
      </c>
      <c r="C4688" s="177" t="n">
        <v>48883</v>
      </c>
      <c r="D4688" t="inlineStr">
        <is>
          <t>BW20331025</t>
        </is>
      </c>
      <c r="E4688" t="n">
        <v>2033</v>
      </c>
      <c r="F4688" t="inlineStr">
        <is>
          <t>Październik</t>
        </is>
      </c>
      <c r="G4688" t="inlineStr">
        <is>
          <t>Pn</t>
        </is>
      </c>
      <c r="H4688">
        <f>'Floor Hours Engine'!$E$4</f>
        <v/>
      </c>
      <c r="I4688" t="inlineStr">
        <is>
          <t>W5</t>
        </is>
      </c>
      <c r="J4688" t="inlineStr">
        <is>
          <t>2033_Październik_W5</t>
        </is>
      </c>
    </row>
    <row r="4689">
      <c r="A4689" s="177" t="n">
        <v>48884</v>
      </c>
      <c r="B4689" s="177" t="n">
        <v>48884</v>
      </c>
      <c r="C4689" s="177" t="n">
        <v>48890</v>
      </c>
      <c r="D4689" t="inlineStr">
        <is>
          <t>BW20331101</t>
        </is>
      </c>
      <c r="E4689" t="n">
        <v>2033</v>
      </c>
      <c r="F4689" t="inlineStr">
        <is>
          <t>Listopad</t>
        </is>
      </c>
      <c r="G4689" t="inlineStr">
        <is>
          <t>Wt</t>
        </is>
      </c>
      <c r="H4689">
        <f>'Floor Hours Engine'!$E$4</f>
        <v/>
      </c>
      <c r="I4689" t="inlineStr">
        <is>
          <t>W1</t>
        </is>
      </c>
      <c r="J4689" t="inlineStr">
        <is>
          <t>2033_Listopad_W1</t>
        </is>
      </c>
    </row>
    <row r="4690">
      <c r="A4690" s="177" t="n">
        <v>48885</v>
      </c>
      <c r="B4690" s="177" t="n">
        <v>48884</v>
      </c>
      <c r="C4690" s="177" t="n">
        <v>48890</v>
      </c>
      <c r="D4690" t="inlineStr">
        <is>
          <t>BW20331101</t>
        </is>
      </c>
      <c r="E4690" t="n">
        <v>2033</v>
      </c>
      <c r="F4690" t="inlineStr">
        <is>
          <t>Listopad</t>
        </is>
      </c>
      <c r="G4690" t="inlineStr">
        <is>
          <t>Śr</t>
        </is>
      </c>
      <c r="H4690">
        <f>'Floor Hours Engine'!$E$4</f>
        <v/>
      </c>
      <c r="I4690" t="inlineStr">
        <is>
          <t>W1</t>
        </is>
      </c>
      <c r="J4690" t="inlineStr">
        <is>
          <t>2033_Listopad_W1</t>
        </is>
      </c>
    </row>
    <row r="4691">
      <c r="A4691" s="177" t="n">
        <v>48886</v>
      </c>
      <c r="B4691" s="177" t="n">
        <v>48884</v>
      </c>
      <c r="C4691" s="177" t="n">
        <v>48890</v>
      </c>
      <c r="D4691" t="inlineStr">
        <is>
          <t>BW20331101</t>
        </is>
      </c>
      <c r="E4691" t="n">
        <v>2033</v>
      </c>
      <c r="F4691" t="inlineStr">
        <is>
          <t>Listopad</t>
        </is>
      </c>
      <c r="G4691" t="inlineStr">
        <is>
          <t>Czw</t>
        </is>
      </c>
      <c r="H4691">
        <f>'Floor Hours Engine'!$E$4</f>
        <v/>
      </c>
      <c r="I4691" t="inlineStr">
        <is>
          <t>W1</t>
        </is>
      </c>
      <c r="J4691" t="inlineStr">
        <is>
          <t>2033_Listopad_W1</t>
        </is>
      </c>
    </row>
    <row r="4692">
      <c r="A4692" s="177" t="n">
        <v>48887</v>
      </c>
      <c r="B4692" s="177" t="n">
        <v>48884</v>
      </c>
      <c r="C4692" s="177" t="n">
        <v>48890</v>
      </c>
      <c r="D4692" t="inlineStr">
        <is>
          <t>BW20331101</t>
        </is>
      </c>
      <c r="E4692" t="n">
        <v>2033</v>
      </c>
      <c r="F4692" t="inlineStr">
        <is>
          <t>Listopad</t>
        </is>
      </c>
      <c r="G4692" t="inlineStr">
        <is>
          <t>Pt</t>
        </is>
      </c>
      <c r="H4692">
        <f>'Floor Hours Engine'!$E$5</f>
        <v/>
      </c>
      <c r="I4692" t="inlineStr">
        <is>
          <t>W1</t>
        </is>
      </c>
      <c r="J4692" t="inlineStr">
        <is>
          <t>2033_Listopad_W1</t>
        </is>
      </c>
    </row>
    <row r="4693">
      <c r="A4693" s="177" t="n">
        <v>48888</v>
      </c>
      <c r="B4693" s="177" t="n">
        <v>48884</v>
      </c>
      <c r="C4693" s="177" t="n">
        <v>48890</v>
      </c>
      <c r="D4693" t="inlineStr">
        <is>
          <t>BW20331101</t>
        </is>
      </c>
      <c r="E4693" t="n">
        <v>2033</v>
      </c>
      <c r="F4693" t="inlineStr">
        <is>
          <t>Listopad</t>
        </is>
      </c>
      <c r="G4693" t="inlineStr">
        <is>
          <t>Sob</t>
        </is>
      </c>
      <c r="H4693">
        <f>'Floor Hours Engine'!$E$5</f>
        <v/>
      </c>
      <c r="I4693" t="inlineStr">
        <is>
          <t>W1</t>
        </is>
      </c>
      <c r="J4693" t="inlineStr">
        <is>
          <t>2033_Listopad_W1</t>
        </is>
      </c>
    </row>
    <row r="4694">
      <c r="A4694" s="177" t="n">
        <v>48889</v>
      </c>
      <c r="B4694" s="177" t="n">
        <v>48884</v>
      </c>
      <c r="C4694" s="177" t="n">
        <v>48890</v>
      </c>
      <c r="D4694" t="inlineStr">
        <is>
          <t>BW20331101</t>
        </is>
      </c>
      <c r="E4694" t="n">
        <v>2033</v>
      </c>
      <c r="F4694" t="inlineStr">
        <is>
          <t>Listopad</t>
        </is>
      </c>
      <c r="G4694" t="inlineStr">
        <is>
          <t>Nd</t>
        </is>
      </c>
      <c r="H4694">
        <f>'Floor Hours Engine'!$E$6</f>
        <v/>
      </c>
      <c r="I4694" t="inlineStr">
        <is>
          <t>W1</t>
        </is>
      </c>
      <c r="J4694" t="inlineStr">
        <is>
          <t>2033_Listopad_W1</t>
        </is>
      </c>
    </row>
    <row r="4695">
      <c r="A4695" s="177" t="n">
        <v>48890</v>
      </c>
      <c r="B4695" s="177" t="n">
        <v>48884</v>
      </c>
      <c r="C4695" s="177" t="n">
        <v>48890</v>
      </c>
      <c r="D4695" t="inlineStr">
        <is>
          <t>BW20331101</t>
        </is>
      </c>
      <c r="E4695" t="n">
        <v>2033</v>
      </c>
      <c r="F4695" t="inlineStr">
        <is>
          <t>Listopad</t>
        </is>
      </c>
      <c r="G4695" t="inlineStr">
        <is>
          <t>Pn</t>
        </is>
      </c>
      <c r="H4695">
        <f>'Floor Hours Engine'!$E$4</f>
        <v/>
      </c>
      <c r="I4695" t="inlineStr">
        <is>
          <t>W1</t>
        </is>
      </c>
      <c r="J4695" t="inlineStr">
        <is>
          <t>2033_Listopad_W1</t>
        </is>
      </c>
    </row>
    <row r="4696">
      <c r="A4696" s="177" t="n">
        <v>48891</v>
      </c>
      <c r="B4696" s="177" t="n">
        <v>48891</v>
      </c>
      <c r="C4696" s="177" t="n">
        <v>48897</v>
      </c>
      <c r="D4696" t="inlineStr">
        <is>
          <t>BW20331108</t>
        </is>
      </c>
      <c r="E4696" t="n">
        <v>2033</v>
      </c>
      <c r="F4696" t="inlineStr">
        <is>
          <t>Listopad</t>
        </is>
      </c>
      <c r="G4696" t="inlineStr">
        <is>
          <t>Wt</t>
        </is>
      </c>
      <c r="H4696">
        <f>'Floor Hours Engine'!$E$4</f>
        <v/>
      </c>
      <c r="I4696" t="inlineStr">
        <is>
          <t>W2</t>
        </is>
      </c>
      <c r="J4696" t="inlineStr">
        <is>
          <t>2033_Listopad_W2</t>
        </is>
      </c>
    </row>
    <row r="4697">
      <c r="A4697" s="177" t="n">
        <v>48892</v>
      </c>
      <c r="B4697" s="177" t="n">
        <v>48891</v>
      </c>
      <c r="C4697" s="177" t="n">
        <v>48897</v>
      </c>
      <c r="D4697" t="inlineStr">
        <is>
          <t>BW20331108</t>
        </is>
      </c>
      <c r="E4697" t="n">
        <v>2033</v>
      </c>
      <c r="F4697" t="inlineStr">
        <is>
          <t>Listopad</t>
        </is>
      </c>
      <c r="G4697" t="inlineStr">
        <is>
          <t>Śr</t>
        </is>
      </c>
      <c r="H4697">
        <f>'Floor Hours Engine'!$E$4</f>
        <v/>
      </c>
      <c r="I4697" t="inlineStr">
        <is>
          <t>W2</t>
        </is>
      </c>
      <c r="J4697" t="inlineStr">
        <is>
          <t>2033_Listopad_W2</t>
        </is>
      </c>
    </row>
    <row r="4698">
      <c r="A4698" s="177" t="n">
        <v>48893</v>
      </c>
      <c r="B4698" s="177" t="n">
        <v>48891</v>
      </c>
      <c r="C4698" s="177" t="n">
        <v>48897</v>
      </c>
      <c r="D4698" t="inlineStr">
        <is>
          <t>BW20331108</t>
        </is>
      </c>
      <c r="E4698" t="n">
        <v>2033</v>
      </c>
      <c r="F4698" t="inlineStr">
        <is>
          <t>Listopad</t>
        </is>
      </c>
      <c r="G4698" t="inlineStr">
        <is>
          <t>Czw</t>
        </is>
      </c>
      <c r="H4698">
        <f>'Floor Hours Engine'!$E$4</f>
        <v/>
      </c>
      <c r="I4698" t="inlineStr">
        <is>
          <t>W2</t>
        </is>
      </c>
      <c r="J4698" t="inlineStr">
        <is>
          <t>2033_Listopad_W2</t>
        </is>
      </c>
    </row>
    <row r="4699">
      <c r="A4699" s="177" t="n">
        <v>48894</v>
      </c>
      <c r="B4699" s="177" t="n">
        <v>48891</v>
      </c>
      <c r="C4699" s="177" t="n">
        <v>48897</v>
      </c>
      <c r="D4699" t="inlineStr">
        <is>
          <t>BW20331108</t>
        </is>
      </c>
      <c r="E4699" t="n">
        <v>2033</v>
      </c>
      <c r="F4699" t="inlineStr">
        <is>
          <t>Listopad</t>
        </is>
      </c>
      <c r="G4699" t="inlineStr">
        <is>
          <t>Pt</t>
        </is>
      </c>
      <c r="H4699">
        <f>'Floor Hours Engine'!$E$5</f>
        <v/>
      </c>
      <c r="I4699" t="inlineStr">
        <is>
          <t>W2</t>
        </is>
      </c>
      <c r="J4699" t="inlineStr">
        <is>
          <t>2033_Listopad_W2</t>
        </is>
      </c>
    </row>
    <row r="4700">
      <c r="A4700" s="177" t="n">
        <v>48895</v>
      </c>
      <c r="B4700" s="177" t="n">
        <v>48891</v>
      </c>
      <c r="C4700" s="177" t="n">
        <v>48897</v>
      </c>
      <c r="D4700" t="inlineStr">
        <is>
          <t>BW20331108</t>
        </is>
      </c>
      <c r="E4700" t="n">
        <v>2033</v>
      </c>
      <c r="F4700" t="inlineStr">
        <is>
          <t>Listopad</t>
        </is>
      </c>
      <c r="G4700" t="inlineStr">
        <is>
          <t>Sob</t>
        </is>
      </c>
      <c r="H4700">
        <f>'Floor Hours Engine'!$E$5</f>
        <v/>
      </c>
      <c r="I4700" t="inlineStr">
        <is>
          <t>W2</t>
        </is>
      </c>
      <c r="J4700" t="inlineStr">
        <is>
          <t>2033_Listopad_W2</t>
        </is>
      </c>
    </row>
    <row r="4701">
      <c r="A4701" s="177" t="n">
        <v>48896</v>
      </c>
      <c r="B4701" s="177" t="n">
        <v>48891</v>
      </c>
      <c r="C4701" s="177" t="n">
        <v>48897</v>
      </c>
      <c r="D4701" t="inlineStr">
        <is>
          <t>BW20331108</t>
        </is>
      </c>
      <c r="E4701" t="n">
        <v>2033</v>
      </c>
      <c r="F4701" t="inlineStr">
        <is>
          <t>Listopad</t>
        </is>
      </c>
      <c r="G4701" t="inlineStr">
        <is>
          <t>Nd</t>
        </is>
      </c>
      <c r="H4701">
        <f>'Floor Hours Engine'!$E$6</f>
        <v/>
      </c>
      <c r="I4701" t="inlineStr">
        <is>
          <t>W2</t>
        </is>
      </c>
      <c r="J4701" t="inlineStr">
        <is>
          <t>2033_Listopad_W2</t>
        </is>
      </c>
    </row>
    <row r="4702">
      <c r="A4702" s="177" t="n">
        <v>48897</v>
      </c>
      <c r="B4702" s="177" t="n">
        <v>48891</v>
      </c>
      <c r="C4702" s="177" t="n">
        <v>48897</v>
      </c>
      <c r="D4702" t="inlineStr">
        <is>
          <t>BW20331108</t>
        </is>
      </c>
      <c r="E4702" t="n">
        <v>2033</v>
      </c>
      <c r="F4702" t="inlineStr">
        <is>
          <t>Listopad</t>
        </is>
      </c>
      <c r="G4702" t="inlineStr">
        <is>
          <t>Pn</t>
        </is>
      </c>
      <c r="H4702">
        <f>'Floor Hours Engine'!$E$4</f>
        <v/>
      </c>
      <c r="I4702" t="inlineStr">
        <is>
          <t>W2</t>
        </is>
      </c>
      <c r="J4702" t="inlineStr">
        <is>
          <t>2033_Listopad_W2</t>
        </is>
      </c>
    </row>
    <row r="4703">
      <c r="A4703" s="177" t="n">
        <v>48898</v>
      </c>
      <c r="B4703" s="177" t="n">
        <v>48898</v>
      </c>
      <c r="C4703" s="177" t="n">
        <v>48904</v>
      </c>
      <c r="D4703" t="inlineStr">
        <is>
          <t>BW20331115</t>
        </is>
      </c>
      <c r="E4703" t="n">
        <v>2033</v>
      </c>
      <c r="F4703" t="inlineStr">
        <is>
          <t>Listopad</t>
        </is>
      </c>
      <c r="G4703" t="inlineStr">
        <is>
          <t>Wt</t>
        </is>
      </c>
      <c r="H4703">
        <f>'Floor Hours Engine'!$E$4</f>
        <v/>
      </c>
      <c r="I4703" t="inlineStr">
        <is>
          <t>W3</t>
        </is>
      </c>
      <c r="J4703" t="inlineStr">
        <is>
          <t>2033_Listopad_W3</t>
        </is>
      </c>
    </row>
    <row r="4704">
      <c r="A4704" s="177" t="n">
        <v>48899</v>
      </c>
      <c r="B4704" s="177" t="n">
        <v>48898</v>
      </c>
      <c r="C4704" s="177" t="n">
        <v>48904</v>
      </c>
      <c r="D4704" t="inlineStr">
        <is>
          <t>BW20331115</t>
        </is>
      </c>
      <c r="E4704" t="n">
        <v>2033</v>
      </c>
      <c r="F4704" t="inlineStr">
        <is>
          <t>Listopad</t>
        </is>
      </c>
      <c r="G4704" t="inlineStr">
        <is>
          <t>Śr</t>
        </is>
      </c>
      <c r="H4704">
        <f>'Floor Hours Engine'!$E$4</f>
        <v/>
      </c>
      <c r="I4704" t="inlineStr">
        <is>
          <t>W3</t>
        </is>
      </c>
      <c r="J4704" t="inlineStr">
        <is>
          <t>2033_Listopad_W3</t>
        </is>
      </c>
    </row>
    <row r="4705">
      <c r="A4705" s="177" t="n">
        <v>48900</v>
      </c>
      <c r="B4705" s="177" t="n">
        <v>48898</v>
      </c>
      <c r="C4705" s="177" t="n">
        <v>48904</v>
      </c>
      <c r="D4705" t="inlineStr">
        <is>
          <t>BW20331115</t>
        </is>
      </c>
      <c r="E4705" t="n">
        <v>2033</v>
      </c>
      <c r="F4705" t="inlineStr">
        <is>
          <t>Listopad</t>
        </is>
      </c>
      <c r="G4705" t="inlineStr">
        <is>
          <t>Czw</t>
        </is>
      </c>
      <c r="H4705">
        <f>'Floor Hours Engine'!$E$4</f>
        <v/>
      </c>
      <c r="I4705" t="inlineStr">
        <is>
          <t>W3</t>
        </is>
      </c>
      <c r="J4705" t="inlineStr">
        <is>
          <t>2033_Listopad_W3</t>
        </is>
      </c>
    </row>
    <row r="4706">
      <c r="A4706" s="177" t="n">
        <v>48901</v>
      </c>
      <c r="B4706" s="177" t="n">
        <v>48898</v>
      </c>
      <c r="C4706" s="177" t="n">
        <v>48904</v>
      </c>
      <c r="D4706" t="inlineStr">
        <is>
          <t>BW20331115</t>
        </is>
      </c>
      <c r="E4706" t="n">
        <v>2033</v>
      </c>
      <c r="F4706" t="inlineStr">
        <is>
          <t>Listopad</t>
        </is>
      </c>
      <c r="G4706" t="inlineStr">
        <is>
          <t>Pt</t>
        </is>
      </c>
      <c r="H4706">
        <f>'Floor Hours Engine'!$E$5</f>
        <v/>
      </c>
      <c r="I4706" t="inlineStr">
        <is>
          <t>W3</t>
        </is>
      </c>
      <c r="J4706" t="inlineStr">
        <is>
          <t>2033_Listopad_W3</t>
        </is>
      </c>
    </row>
    <row r="4707">
      <c r="A4707" s="177" t="n">
        <v>48902</v>
      </c>
      <c r="B4707" s="177" t="n">
        <v>48898</v>
      </c>
      <c r="C4707" s="177" t="n">
        <v>48904</v>
      </c>
      <c r="D4707" t="inlineStr">
        <is>
          <t>BW20331115</t>
        </is>
      </c>
      <c r="E4707" t="n">
        <v>2033</v>
      </c>
      <c r="F4707" t="inlineStr">
        <is>
          <t>Listopad</t>
        </is>
      </c>
      <c r="G4707" t="inlineStr">
        <is>
          <t>Sob</t>
        </is>
      </c>
      <c r="H4707">
        <f>'Floor Hours Engine'!$E$5</f>
        <v/>
      </c>
      <c r="I4707" t="inlineStr">
        <is>
          <t>W3</t>
        </is>
      </c>
      <c r="J4707" t="inlineStr">
        <is>
          <t>2033_Listopad_W3</t>
        </is>
      </c>
    </row>
    <row r="4708">
      <c r="A4708" s="177" t="n">
        <v>48903</v>
      </c>
      <c r="B4708" s="177" t="n">
        <v>48898</v>
      </c>
      <c r="C4708" s="177" t="n">
        <v>48904</v>
      </c>
      <c r="D4708" t="inlineStr">
        <is>
          <t>BW20331115</t>
        </is>
      </c>
      <c r="E4708" t="n">
        <v>2033</v>
      </c>
      <c r="F4708" t="inlineStr">
        <is>
          <t>Listopad</t>
        </is>
      </c>
      <c r="G4708" t="inlineStr">
        <is>
          <t>Nd</t>
        </is>
      </c>
      <c r="H4708">
        <f>'Floor Hours Engine'!$E$6</f>
        <v/>
      </c>
      <c r="I4708" t="inlineStr">
        <is>
          <t>W3</t>
        </is>
      </c>
      <c r="J4708" t="inlineStr">
        <is>
          <t>2033_Listopad_W3</t>
        </is>
      </c>
    </row>
    <row r="4709">
      <c r="A4709" s="177" t="n">
        <v>48904</v>
      </c>
      <c r="B4709" s="177" t="n">
        <v>48898</v>
      </c>
      <c r="C4709" s="177" t="n">
        <v>48904</v>
      </c>
      <c r="D4709" t="inlineStr">
        <is>
          <t>BW20331115</t>
        </is>
      </c>
      <c r="E4709" t="n">
        <v>2033</v>
      </c>
      <c r="F4709" t="inlineStr">
        <is>
          <t>Listopad</t>
        </is>
      </c>
      <c r="G4709" t="inlineStr">
        <is>
          <t>Pn</t>
        </is>
      </c>
      <c r="H4709">
        <f>'Floor Hours Engine'!$E$4</f>
        <v/>
      </c>
      <c r="I4709" t="inlineStr">
        <is>
          <t>W3</t>
        </is>
      </c>
      <c r="J4709" t="inlineStr">
        <is>
          <t>2033_Listopad_W3</t>
        </is>
      </c>
    </row>
    <row r="4710">
      <c r="A4710" s="177" t="n">
        <v>48905</v>
      </c>
      <c r="B4710" s="177" t="n">
        <v>48905</v>
      </c>
      <c r="C4710" s="177" t="n">
        <v>48911</v>
      </c>
      <c r="D4710" t="inlineStr">
        <is>
          <t>BW20331122</t>
        </is>
      </c>
      <c r="E4710" t="n">
        <v>2033</v>
      </c>
      <c r="F4710" t="inlineStr">
        <is>
          <t>Listopad</t>
        </is>
      </c>
      <c r="G4710" t="inlineStr">
        <is>
          <t>Wt</t>
        </is>
      </c>
      <c r="H4710">
        <f>'Floor Hours Engine'!$E$4</f>
        <v/>
      </c>
      <c r="I4710" t="inlineStr">
        <is>
          <t>W4</t>
        </is>
      </c>
      <c r="J4710" t="inlineStr">
        <is>
          <t>2033_Listopad_W4</t>
        </is>
      </c>
    </row>
    <row r="4711">
      <c r="A4711" s="177" t="n">
        <v>48906</v>
      </c>
      <c r="B4711" s="177" t="n">
        <v>48905</v>
      </c>
      <c r="C4711" s="177" t="n">
        <v>48911</v>
      </c>
      <c r="D4711" t="inlineStr">
        <is>
          <t>BW20331122</t>
        </is>
      </c>
      <c r="E4711" t="n">
        <v>2033</v>
      </c>
      <c r="F4711" t="inlineStr">
        <is>
          <t>Listopad</t>
        </is>
      </c>
      <c r="G4711" t="inlineStr">
        <is>
          <t>Śr</t>
        </is>
      </c>
      <c r="H4711">
        <f>'Floor Hours Engine'!$E$4</f>
        <v/>
      </c>
      <c r="I4711" t="inlineStr">
        <is>
          <t>W4</t>
        </is>
      </c>
      <c r="J4711" t="inlineStr">
        <is>
          <t>2033_Listopad_W4</t>
        </is>
      </c>
    </row>
    <row r="4712">
      <c r="A4712" s="177" t="n">
        <v>48907</v>
      </c>
      <c r="B4712" s="177" t="n">
        <v>48905</v>
      </c>
      <c r="C4712" s="177" t="n">
        <v>48911</v>
      </c>
      <c r="D4712" t="inlineStr">
        <is>
          <t>BW20331122</t>
        </is>
      </c>
      <c r="E4712" t="n">
        <v>2033</v>
      </c>
      <c r="F4712" t="inlineStr">
        <is>
          <t>Listopad</t>
        </is>
      </c>
      <c r="G4712" t="inlineStr">
        <is>
          <t>Czw</t>
        </is>
      </c>
      <c r="H4712">
        <f>'Floor Hours Engine'!$E$4</f>
        <v/>
      </c>
      <c r="I4712" t="inlineStr">
        <is>
          <t>W4</t>
        </is>
      </c>
      <c r="J4712" t="inlineStr">
        <is>
          <t>2033_Listopad_W4</t>
        </is>
      </c>
    </row>
    <row r="4713">
      <c r="A4713" s="177" t="n">
        <v>48908</v>
      </c>
      <c r="B4713" s="177" t="n">
        <v>48905</v>
      </c>
      <c r="C4713" s="177" t="n">
        <v>48911</v>
      </c>
      <c r="D4713" t="inlineStr">
        <is>
          <t>BW20331122</t>
        </is>
      </c>
      <c r="E4713" t="n">
        <v>2033</v>
      </c>
      <c r="F4713" t="inlineStr">
        <is>
          <t>Listopad</t>
        </is>
      </c>
      <c r="G4713" t="inlineStr">
        <is>
          <t>Pt</t>
        </is>
      </c>
      <c r="H4713">
        <f>'Floor Hours Engine'!$E$5</f>
        <v/>
      </c>
      <c r="I4713" t="inlineStr">
        <is>
          <t>W4</t>
        </is>
      </c>
      <c r="J4713" t="inlineStr">
        <is>
          <t>2033_Listopad_W4</t>
        </is>
      </c>
    </row>
    <row r="4714">
      <c r="A4714" s="177" t="n">
        <v>48909</v>
      </c>
      <c r="B4714" s="177" t="n">
        <v>48905</v>
      </c>
      <c r="C4714" s="177" t="n">
        <v>48911</v>
      </c>
      <c r="D4714" t="inlineStr">
        <is>
          <t>BW20331122</t>
        </is>
      </c>
      <c r="E4714" t="n">
        <v>2033</v>
      </c>
      <c r="F4714" t="inlineStr">
        <is>
          <t>Listopad</t>
        </is>
      </c>
      <c r="G4714" t="inlineStr">
        <is>
          <t>Sob</t>
        </is>
      </c>
      <c r="H4714">
        <f>'Floor Hours Engine'!$E$5</f>
        <v/>
      </c>
      <c r="I4714" t="inlineStr">
        <is>
          <t>W4</t>
        </is>
      </c>
      <c r="J4714" t="inlineStr">
        <is>
          <t>2033_Listopad_W4</t>
        </is>
      </c>
    </row>
    <row r="4715">
      <c r="A4715" s="177" t="n">
        <v>48910</v>
      </c>
      <c r="B4715" s="177" t="n">
        <v>48905</v>
      </c>
      <c r="C4715" s="177" t="n">
        <v>48911</v>
      </c>
      <c r="D4715" t="inlineStr">
        <is>
          <t>BW20331122</t>
        </is>
      </c>
      <c r="E4715" t="n">
        <v>2033</v>
      </c>
      <c r="F4715" t="inlineStr">
        <is>
          <t>Listopad</t>
        </is>
      </c>
      <c r="G4715" t="inlineStr">
        <is>
          <t>Nd</t>
        </is>
      </c>
      <c r="H4715">
        <f>'Floor Hours Engine'!$E$6</f>
        <v/>
      </c>
      <c r="I4715" t="inlineStr">
        <is>
          <t>W4</t>
        </is>
      </c>
      <c r="J4715" t="inlineStr">
        <is>
          <t>2033_Listopad_W4</t>
        </is>
      </c>
    </row>
    <row r="4716">
      <c r="A4716" s="177" t="n">
        <v>48911</v>
      </c>
      <c r="B4716" s="177" t="n">
        <v>48905</v>
      </c>
      <c r="C4716" s="177" t="n">
        <v>48911</v>
      </c>
      <c r="D4716" t="inlineStr">
        <is>
          <t>BW20331122</t>
        </is>
      </c>
      <c r="E4716" t="n">
        <v>2033</v>
      </c>
      <c r="F4716" t="inlineStr">
        <is>
          <t>Listopad</t>
        </is>
      </c>
      <c r="G4716" t="inlineStr">
        <is>
          <t>Pn</t>
        </is>
      </c>
      <c r="H4716">
        <f>'Floor Hours Engine'!$E$4</f>
        <v/>
      </c>
      <c r="I4716" t="inlineStr">
        <is>
          <t>W4</t>
        </is>
      </c>
      <c r="J4716" t="inlineStr">
        <is>
          <t>2033_Listopad_W4</t>
        </is>
      </c>
    </row>
    <row r="4717">
      <c r="A4717" s="177" t="n">
        <v>48912</v>
      </c>
      <c r="B4717" s="177" t="n">
        <v>48912</v>
      </c>
      <c r="C4717" s="177" t="n">
        <v>48918</v>
      </c>
      <c r="D4717" t="inlineStr">
        <is>
          <t>BW20331129</t>
        </is>
      </c>
      <c r="E4717" t="n">
        <v>2033</v>
      </c>
      <c r="F4717" t="inlineStr">
        <is>
          <t>Listopad</t>
        </is>
      </c>
      <c r="G4717" t="inlineStr">
        <is>
          <t>Wt</t>
        </is>
      </c>
      <c r="H4717">
        <f>'Floor Hours Engine'!$E$4</f>
        <v/>
      </c>
      <c r="I4717" t="inlineStr">
        <is>
          <t>W5</t>
        </is>
      </c>
      <c r="J4717" t="inlineStr">
        <is>
          <t>2033_Listopad_W5</t>
        </is>
      </c>
    </row>
    <row r="4718">
      <c r="A4718" s="177" t="n">
        <v>48913</v>
      </c>
      <c r="B4718" s="177" t="n">
        <v>48912</v>
      </c>
      <c r="C4718" s="177" t="n">
        <v>48918</v>
      </c>
      <c r="D4718" t="inlineStr">
        <is>
          <t>BW20331129</t>
        </is>
      </c>
      <c r="E4718" t="n">
        <v>2033</v>
      </c>
      <c r="F4718" t="inlineStr">
        <is>
          <t>Listopad</t>
        </is>
      </c>
      <c r="G4718" t="inlineStr">
        <is>
          <t>Śr</t>
        </is>
      </c>
      <c r="H4718">
        <f>'Floor Hours Engine'!$E$4</f>
        <v/>
      </c>
      <c r="I4718" t="inlineStr">
        <is>
          <t>W5</t>
        </is>
      </c>
      <c r="J4718" t="inlineStr">
        <is>
          <t>2033_Listopad_W5</t>
        </is>
      </c>
    </row>
    <row r="4719">
      <c r="A4719" s="177" t="n">
        <v>48914</v>
      </c>
      <c r="B4719" s="177" t="n">
        <v>48912</v>
      </c>
      <c r="C4719" s="177" t="n">
        <v>48918</v>
      </c>
      <c r="D4719" t="inlineStr">
        <is>
          <t>BW20331129</t>
        </is>
      </c>
      <c r="E4719" t="n">
        <v>2033</v>
      </c>
      <c r="F4719" t="inlineStr">
        <is>
          <t>Grudzień</t>
        </is>
      </c>
      <c r="G4719" t="inlineStr">
        <is>
          <t>Czw</t>
        </is>
      </c>
      <c r="H4719">
        <f>'Floor Hours Engine'!$E$4</f>
        <v/>
      </c>
      <c r="I4719" t="inlineStr">
        <is>
          <t>W1</t>
        </is>
      </c>
      <c r="J4719" t="inlineStr">
        <is>
          <t>2033_Grudzień_W1</t>
        </is>
      </c>
    </row>
    <row r="4720">
      <c r="A4720" s="177" t="n">
        <v>48915</v>
      </c>
      <c r="B4720" s="177" t="n">
        <v>48912</v>
      </c>
      <c r="C4720" s="177" t="n">
        <v>48918</v>
      </c>
      <c r="D4720" t="inlineStr">
        <is>
          <t>BW20331129</t>
        </is>
      </c>
      <c r="E4720" t="n">
        <v>2033</v>
      </c>
      <c r="F4720" t="inlineStr">
        <is>
          <t>Grudzień</t>
        </is>
      </c>
      <c r="G4720" t="inlineStr">
        <is>
          <t>Pt</t>
        </is>
      </c>
      <c r="H4720">
        <f>'Floor Hours Engine'!$E$5</f>
        <v/>
      </c>
      <c r="I4720" t="inlineStr">
        <is>
          <t>W1</t>
        </is>
      </c>
      <c r="J4720" t="inlineStr">
        <is>
          <t>2033_Grudzień_W1</t>
        </is>
      </c>
    </row>
    <row r="4721">
      <c r="A4721" s="177" t="n">
        <v>48916</v>
      </c>
      <c r="B4721" s="177" t="n">
        <v>48912</v>
      </c>
      <c r="C4721" s="177" t="n">
        <v>48918</v>
      </c>
      <c r="D4721" t="inlineStr">
        <is>
          <t>BW20331129</t>
        </is>
      </c>
      <c r="E4721" t="n">
        <v>2033</v>
      </c>
      <c r="F4721" t="inlineStr">
        <is>
          <t>Grudzień</t>
        </is>
      </c>
      <c r="G4721" t="inlineStr">
        <is>
          <t>Sob</t>
        </is>
      </c>
      <c r="H4721">
        <f>'Floor Hours Engine'!$E$5</f>
        <v/>
      </c>
      <c r="I4721" t="inlineStr">
        <is>
          <t>W1</t>
        </is>
      </c>
      <c r="J4721" t="inlineStr">
        <is>
          <t>2033_Grudzień_W1</t>
        </is>
      </c>
    </row>
    <row r="4722">
      <c r="A4722" s="177" t="n">
        <v>48917</v>
      </c>
      <c r="B4722" s="177" t="n">
        <v>48912</v>
      </c>
      <c r="C4722" s="177" t="n">
        <v>48918</v>
      </c>
      <c r="D4722" t="inlineStr">
        <is>
          <t>BW20331129</t>
        </is>
      </c>
      <c r="E4722" t="n">
        <v>2033</v>
      </c>
      <c r="F4722" t="inlineStr">
        <is>
          <t>Grudzień</t>
        </is>
      </c>
      <c r="G4722" t="inlineStr">
        <is>
          <t>Nd</t>
        </is>
      </c>
      <c r="H4722">
        <f>'Floor Hours Engine'!$E$6</f>
        <v/>
      </c>
      <c r="I4722" t="inlineStr">
        <is>
          <t>W1</t>
        </is>
      </c>
      <c r="J4722" t="inlineStr">
        <is>
          <t>2033_Grudzień_W1</t>
        </is>
      </c>
    </row>
    <row r="4723">
      <c r="A4723" s="177" t="n">
        <v>48918</v>
      </c>
      <c r="B4723" s="177" t="n">
        <v>48912</v>
      </c>
      <c r="C4723" s="177" t="n">
        <v>48918</v>
      </c>
      <c r="D4723" t="inlineStr">
        <is>
          <t>BW20331129</t>
        </is>
      </c>
      <c r="E4723" t="n">
        <v>2033</v>
      </c>
      <c r="F4723" t="inlineStr">
        <is>
          <t>Grudzień</t>
        </is>
      </c>
      <c r="G4723" t="inlineStr">
        <is>
          <t>Pn</t>
        </is>
      </c>
      <c r="H4723">
        <f>'Floor Hours Engine'!$E$4</f>
        <v/>
      </c>
      <c r="I4723" t="inlineStr">
        <is>
          <t>W1</t>
        </is>
      </c>
      <c r="J4723" t="inlineStr">
        <is>
          <t>2033_Grudzień_W1</t>
        </is>
      </c>
    </row>
    <row r="4724">
      <c r="A4724" s="177" t="n">
        <v>48919</v>
      </c>
      <c r="B4724" s="177" t="n">
        <v>48919</v>
      </c>
      <c r="C4724" s="177" t="n">
        <v>48925</v>
      </c>
      <c r="D4724" t="inlineStr">
        <is>
          <t>BW20331206</t>
        </is>
      </c>
      <c r="E4724" t="n">
        <v>2033</v>
      </c>
      <c r="F4724" t="inlineStr">
        <is>
          <t>Grudzień</t>
        </is>
      </c>
      <c r="G4724" t="inlineStr">
        <is>
          <t>Wt</t>
        </is>
      </c>
      <c r="H4724">
        <f>'Floor Hours Engine'!$E$4</f>
        <v/>
      </c>
      <c r="I4724" t="inlineStr">
        <is>
          <t>W2</t>
        </is>
      </c>
      <c r="J4724" t="inlineStr">
        <is>
          <t>2033_Grudzień_W2</t>
        </is>
      </c>
    </row>
    <row r="4725">
      <c r="A4725" s="177" t="n">
        <v>48920</v>
      </c>
      <c r="B4725" s="177" t="n">
        <v>48919</v>
      </c>
      <c r="C4725" s="177" t="n">
        <v>48925</v>
      </c>
      <c r="D4725" t="inlineStr">
        <is>
          <t>BW20331206</t>
        </is>
      </c>
      <c r="E4725" t="n">
        <v>2033</v>
      </c>
      <c r="F4725" t="inlineStr">
        <is>
          <t>Grudzień</t>
        </is>
      </c>
      <c r="G4725" t="inlineStr">
        <is>
          <t>Śr</t>
        </is>
      </c>
      <c r="H4725">
        <f>'Floor Hours Engine'!$E$4</f>
        <v/>
      </c>
      <c r="I4725" t="inlineStr">
        <is>
          <t>W2</t>
        </is>
      </c>
      <c r="J4725" t="inlineStr">
        <is>
          <t>2033_Grudzień_W2</t>
        </is>
      </c>
    </row>
    <row r="4726">
      <c r="A4726" s="177" t="n">
        <v>48921</v>
      </c>
      <c r="B4726" s="177" t="n">
        <v>48919</v>
      </c>
      <c r="C4726" s="177" t="n">
        <v>48925</v>
      </c>
      <c r="D4726" t="inlineStr">
        <is>
          <t>BW20331206</t>
        </is>
      </c>
      <c r="E4726" t="n">
        <v>2033</v>
      </c>
      <c r="F4726" t="inlineStr">
        <is>
          <t>Grudzień</t>
        </is>
      </c>
      <c r="G4726" t="inlineStr">
        <is>
          <t>Czw</t>
        </is>
      </c>
      <c r="H4726">
        <f>'Floor Hours Engine'!$E$4</f>
        <v/>
      </c>
      <c r="I4726" t="inlineStr">
        <is>
          <t>W2</t>
        </is>
      </c>
      <c r="J4726" t="inlineStr">
        <is>
          <t>2033_Grudzień_W2</t>
        </is>
      </c>
    </row>
    <row r="4727">
      <c r="A4727" s="177" t="n">
        <v>48922</v>
      </c>
      <c r="B4727" s="177" t="n">
        <v>48919</v>
      </c>
      <c r="C4727" s="177" t="n">
        <v>48925</v>
      </c>
      <c r="D4727" t="inlineStr">
        <is>
          <t>BW20331206</t>
        </is>
      </c>
      <c r="E4727" t="n">
        <v>2033</v>
      </c>
      <c r="F4727" t="inlineStr">
        <is>
          <t>Grudzień</t>
        </is>
      </c>
      <c r="G4727" t="inlineStr">
        <is>
          <t>Pt</t>
        </is>
      </c>
      <c r="H4727">
        <f>'Floor Hours Engine'!$E$5</f>
        <v/>
      </c>
      <c r="I4727" t="inlineStr">
        <is>
          <t>W2</t>
        </is>
      </c>
      <c r="J4727" t="inlineStr">
        <is>
          <t>2033_Grudzień_W2</t>
        </is>
      </c>
    </row>
    <row r="4728">
      <c r="A4728" s="177" t="n">
        <v>48923</v>
      </c>
      <c r="B4728" s="177" t="n">
        <v>48919</v>
      </c>
      <c r="C4728" s="177" t="n">
        <v>48925</v>
      </c>
      <c r="D4728" t="inlineStr">
        <is>
          <t>BW20331206</t>
        </is>
      </c>
      <c r="E4728" t="n">
        <v>2033</v>
      </c>
      <c r="F4728" t="inlineStr">
        <is>
          <t>Grudzień</t>
        </is>
      </c>
      <c r="G4728" t="inlineStr">
        <is>
          <t>Sob</t>
        </is>
      </c>
      <c r="H4728">
        <f>'Floor Hours Engine'!$E$5</f>
        <v/>
      </c>
      <c r="I4728" t="inlineStr">
        <is>
          <t>W2</t>
        </is>
      </c>
      <c r="J4728" t="inlineStr">
        <is>
          <t>2033_Grudzień_W2</t>
        </is>
      </c>
    </row>
    <row r="4729">
      <c r="A4729" s="177" t="n">
        <v>48924</v>
      </c>
      <c r="B4729" s="177" t="n">
        <v>48919</v>
      </c>
      <c r="C4729" s="177" t="n">
        <v>48925</v>
      </c>
      <c r="D4729" t="inlineStr">
        <is>
          <t>BW20331206</t>
        </is>
      </c>
      <c r="E4729" t="n">
        <v>2033</v>
      </c>
      <c r="F4729" t="inlineStr">
        <is>
          <t>Grudzień</t>
        </is>
      </c>
      <c r="G4729" t="inlineStr">
        <is>
          <t>Nd</t>
        </is>
      </c>
      <c r="H4729">
        <f>'Floor Hours Engine'!$E$6</f>
        <v/>
      </c>
      <c r="I4729" t="inlineStr">
        <is>
          <t>W2</t>
        </is>
      </c>
      <c r="J4729" t="inlineStr">
        <is>
          <t>2033_Grudzień_W2</t>
        </is>
      </c>
    </row>
    <row r="4730">
      <c r="A4730" s="177" t="n">
        <v>48925</v>
      </c>
      <c r="B4730" s="177" t="n">
        <v>48919</v>
      </c>
      <c r="C4730" s="177" t="n">
        <v>48925</v>
      </c>
      <c r="D4730" t="inlineStr">
        <is>
          <t>BW20331206</t>
        </is>
      </c>
      <c r="E4730" t="n">
        <v>2033</v>
      </c>
      <c r="F4730" t="inlineStr">
        <is>
          <t>Grudzień</t>
        </is>
      </c>
      <c r="G4730" t="inlineStr">
        <is>
          <t>Pn</t>
        </is>
      </c>
      <c r="H4730">
        <f>'Floor Hours Engine'!$E$4</f>
        <v/>
      </c>
      <c r="I4730" t="inlineStr">
        <is>
          <t>W2</t>
        </is>
      </c>
      <c r="J4730" t="inlineStr">
        <is>
          <t>2033_Grudzień_W2</t>
        </is>
      </c>
    </row>
    <row r="4731">
      <c r="A4731" s="177" t="n">
        <v>48926</v>
      </c>
      <c r="B4731" s="177" t="n">
        <v>48926</v>
      </c>
      <c r="C4731" s="177" t="n">
        <v>48932</v>
      </c>
      <c r="D4731" t="inlineStr">
        <is>
          <t>BW20331213</t>
        </is>
      </c>
      <c r="E4731" t="n">
        <v>2033</v>
      </c>
      <c r="F4731" t="inlineStr">
        <is>
          <t>Grudzień</t>
        </is>
      </c>
      <c r="G4731" t="inlineStr">
        <is>
          <t>Wt</t>
        </is>
      </c>
      <c r="H4731">
        <f>'Floor Hours Engine'!$E$4</f>
        <v/>
      </c>
      <c r="I4731" t="inlineStr">
        <is>
          <t>W3</t>
        </is>
      </c>
      <c r="J4731" t="inlineStr">
        <is>
          <t>2033_Grudzień_W3</t>
        </is>
      </c>
    </row>
    <row r="4732">
      <c r="A4732" s="177" t="n">
        <v>48927</v>
      </c>
      <c r="B4732" s="177" t="n">
        <v>48926</v>
      </c>
      <c r="C4732" s="177" t="n">
        <v>48932</v>
      </c>
      <c r="D4732" t="inlineStr">
        <is>
          <t>BW20331213</t>
        </is>
      </c>
      <c r="E4732" t="n">
        <v>2033</v>
      </c>
      <c r="F4732" t="inlineStr">
        <is>
          <t>Grudzień</t>
        </is>
      </c>
      <c r="G4732" t="inlineStr">
        <is>
          <t>Śr</t>
        </is>
      </c>
      <c r="H4732">
        <f>'Floor Hours Engine'!$E$4</f>
        <v/>
      </c>
      <c r="I4732" t="inlineStr">
        <is>
          <t>W3</t>
        </is>
      </c>
      <c r="J4732" t="inlineStr">
        <is>
          <t>2033_Grudzień_W3</t>
        </is>
      </c>
    </row>
    <row r="4733">
      <c r="A4733" s="177" t="n">
        <v>48928</v>
      </c>
      <c r="B4733" s="177" t="n">
        <v>48926</v>
      </c>
      <c r="C4733" s="177" t="n">
        <v>48932</v>
      </c>
      <c r="D4733" t="inlineStr">
        <is>
          <t>BW20331213</t>
        </is>
      </c>
      <c r="E4733" t="n">
        <v>2033</v>
      </c>
      <c r="F4733" t="inlineStr">
        <is>
          <t>Grudzień</t>
        </is>
      </c>
      <c r="G4733" t="inlineStr">
        <is>
          <t>Czw</t>
        </is>
      </c>
      <c r="H4733">
        <f>'Floor Hours Engine'!$E$4</f>
        <v/>
      </c>
      <c r="I4733" t="inlineStr">
        <is>
          <t>W3</t>
        </is>
      </c>
      <c r="J4733" t="inlineStr">
        <is>
          <t>2033_Grudzień_W3</t>
        </is>
      </c>
    </row>
    <row r="4734">
      <c r="A4734" s="177" t="n">
        <v>48929</v>
      </c>
      <c r="B4734" s="177" t="n">
        <v>48926</v>
      </c>
      <c r="C4734" s="177" t="n">
        <v>48932</v>
      </c>
      <c r="D4734" t="inlineStr">
        <is>
          <t>BW20331213</t>
        </is>
      </c>
      <c r="E4734" t="n">
        <v>2033</v>
      </c>
      <c r="F4734" t="inlineStr">
        <is>
          <t>Grudzień</t>
        </is>
      </c>
      <c r="G4734" t="inlineStr">
        <is>
          <t>Pt</t>
        </is>
      </c>
      <c r="H4734">
        <f>'Floor Hours Engine'!$E$5</f>
        <v/>
      </c>
      <c r="I4734" t="inlineStr">
        <is>
          <t>W3</t>
        </is>
      </c>
      <c r="J4734" t="inlineStr">
        <is>
          <t>2033_Grudzień_W3</t>
        </is>
      </c>
    </row>
    <row r="4735">
      <c r="A4735" s="177" t="n">
        <v>48930</v>
      </c>
      <c r="B4735" s="177" t="n">
        <v>48926</v>
      </c>
      <c r="C4735" s="177" t="n">
        <v>48932</v>
      </c>
      <c r="D4735" t="inlineStr">
        <is>
          <t>BW20331213</t>
        </is>
      </c>
      <c r="E4735" t="n">
        <v>2033</v>
      </c>
      <c r="F4735" t="inlineStr">
        <is>
          <t>Grudzień</t>
        </is>
      </c>
      <c r="G4735" t="inlineStr">
        <is>
          <t>Sob</t>
        </is>
      </c>
      <c r="H4735">
        <f>'Floor Hours Engine'!$E$5</f>
        <v/>
      </c>
      <c r="I4735" t="inlineStr">
        <is>
          <t>W3</t>
        </is>
      </c>
      <c r="J4735" t="inlineStr">
        <is>
          <t>2033_Grudzień_W3</t>
        </is>
      </c>
    </row>
    <row r="4736">
      <c r="A4736" s="177" t="n">
        <v>48931</v>
      </c>
      <c r="B4736" s="177" t="n">
        <v>48926</v>
      </c>
      <c r="C4736" s="177" t="n">
        <v>48932</v>
      </c>
      <c r="D4736" t="inlineStr">
        <is>
          <t>BW20331213</t>
        </is>
      </c>
      <c r="E4736" t="n">
        <v>2033</v>
      </c>
      <c r="F4736" t="inlineStr">
        <is>
          <t>Grudzień</t>
        </is>
      </c>
      <c r="G4736" t="inlineStr">
        <is>
          <t>Nd</t>
        </is>
      </c>
      <c r="H4736">
        <f>'Floor Hours Engine'!$E$6</f>
        <v/>
      </c>
      <c r="I4736" t="inlineStr">
        <is>
          <t>W3</t>
        </is>
      </c>
      <c r="J4736" t="inlineStr">
        <is>
          <t>2033_Grudzień_W3</t>
        </is>
      </c>
    </row>
    <row r="4737">
      <c r="A4737" s="177" t="n">
        <v>48932</v>
      </c>
      <c r="B4737" s="177" t="n">
        <v>48926</v>
      </c>
      <c r="C4737" s="177" t="n">
        <v>48932</v>
      </c>
      <c r="D4737" t="inlineStr">
        <is>
          <t>BW20331213</t>
        </is>
      </c>
      <c r="E4737" t="n">
        <v>2033</v>
      </c>
      <c r="F4737" t="inlineStr">
        <is>
          <t>Grudzień</t>
        </is>
      </c>
      <c r="G4737" t="inlineStr">
        <is>
          <t>Pn</t>
        </is>
      </c>
      <c r="H4737">
        <f>'Floor Hours Engine'!$E$4</f>
        <v/>
      </c>
      <c r="I4737" t="inlineStr">
        <is>
          <t>W3</t>
        </is>
      </c>
      <c r="J4737" t="inlineStr">
        <is>
          <t>2033_Grudzień_W3</t>
        </is>
      </c>
    </row>
    <row r="4738">
      <c r="A4738" s="177" t="n">
        <v>48933</v>
      </c>
      <c r="B4738" s="177" t="n">
        <v>48933</v>
      </c>
      <c r="C4738" s="177" t="n">
        <v>48939</v>
      </c>
      <c r="D4738" t="inlineStr">
        <is>
          <t>BW20331220</t>
        </is>
      </c>
      <c r="E4738" t="n">
        <v>2033</v>
      </c>
      <c r="F4738" t="inlineStr">
        <is>
          <t>Grudzień</t>
        </is>
      </c>
      <c r="G4738" t="inlineStr">
        <is>
          <t>Wt</t>
        </is>
      </c>
      <c r="H4738">
        <f>'Floor Hours Engine'!$E$4</f>
        <v/>
      </c>
      <c r="I4738" t="inlineStr">
        <is>
          <t>W4</t>
        </is>
      </c>
      <c r="J4738" t="inlineStr">
        <is>
          <t>2033_Grudzień_W4</t>
        </is>
      </c>
    </row>
    <row r="4739">
      <c r="A4739" s="177" t="n">
        <v>48934</v>
      </c>
      <c r="B4739" s="177" t="n">
        <v>48933</v>
      </c>
      <c r="C4739" s="177" t="n">
        <v>48939</v>
      </c>
      <c r="D4739" t="inlineStr">
        <is>
          <t>BW20331220</t>
        </is>
      </c>
      <c r="E4739" t="n">
        <v>2033</v>
      </c>
      <c r="F4739" t="inlineStr">
        <is>
          <t>Grudzień</t>
        </is>
      </c>
      <c r="G4739" t="inlineStr">
        <is>
          <t>Śr</t>
        </is>
      </c>
      <c r="H4739">
        <f>'Floor Hours Engine'!$E$4</f>
        <v/>
      </c>
      <c r="I4739" t="inlineStr">
        <is>
          <t>W4</t>
        </is>
      </c>
      <c r="J4739" t="inlineStr">
        <is>
          <t>2033_Grudzień_W4</t>
        </is>
      </c>
    </row>
    <row r="4740">
      <c r="A4740" s="177" t="n">
        <v>48935</v>
      </c>
      <c r="B4740" s="177" t="n">
        <v>48933</v>
      </c>
      <c r="C4740" s="177" t="n">
        <v>48939</v>
      </c>
      <c r="D4740" t="inlineStr">
        <is>
          <t>BW20331220</t>
        </is>
      </c>
      <c r="E4740" t="n">
        <v>2033</v>
      </c>
      <c r="F4740" t="inlineStr">
        <is>
          <t>Grudzień</t>
        </is>
      </c>
      <c r="G4740" t="inlineStr">
        <is>
          <t>Czw</t>
        </is>
      </c>
      <c r="H4740">
        <f>'Floor Hours Engine'!$E$4</f>
        <v/>
      </c>
      <c r="I4740" t="inlineStr">
        <is>
          <t>W4</t>
        </is>
      </c>
      <c r="J4740" t="inlineStr">
        <is>
          <t>2033_Grudzień_W4</t>
        </is>
      </c>
    </row>
    <row r="4741">
      <c r="A4741" s="177" t="n">
        <v>48936</v>
      </c>
      <c r="B4741" s="177" t="n">
        <v>48933</v>
      </c>
      <c r="C4741" s="177" t="n">
        <v>48939</v>
      </c>
      <c r="D4741" t="inlineStr">
        <is>
          <t>BW20331220</t>
        </is>
      </c>
      <c r="E4741" t="n">
        <v>2033</v>
      </c>
      <c r="F4741" t="inlineStr">
        <is>
          <t>Grudzień</t>
        </is>
      </c>
      <c r="G4741" t="inlineStr">
        <is>
          <t>Pt</t>
        </is>
      </c>
      <c r="H4741">
        <f>'Floor Hours Engine'!$E$5</f>
        <v/>
      </c>
      <c r="I4741" t="inlineStr">
        <is>
          <t>W4</t>
        </is>
      </c>
      <c r="J4741" t="inlineStr">
        <is>
          <t>2033_Grudzień_W4</t>
        </is>
      </c>
    </row>
    <row r="4742">
      <c r="A4742" s="177" t="n">
        <v>48937</v>
      </c>
      <c r="B4742" s="177" t="n">
        <v>48933</v>
      </c>
      <c r="C4742" s="177" t="n">
        <v>48939</v>
      </c>
      <c r="D4742" t="inlineStr">
        <is>
          <t>BW20331220</t>
        </is>
      </c>
      <c r="E4742" t="n">
        <v>2033</v>
      </c>
      <c r="F4742" t="inlineStr">
        <is>
          <t>Grudzień</t>
        </is>
      </c>
      <c r="G4742" t="inlineStr">
        <is>
          <t>Sob</t>
        </is>
      </c>
      <c r="H4742">
        <f>'Floor Hours Engine'!$E$5</f>
        <v/>
      </c>
      <c r="I4742" t="inlineStr">
        <is>
          <t>W4</t>
        </is>
      </c>
      <c r="J4742" t="inlineStr">
        <is>
          <t>2033_Grudzień_W4</t>
        </is>
      </c>
    </row>
    <row r="4743">
      <c r="A4743" s="177" t="n">
        <v>48938</v>
      </c>
      <c r="B4743" s="177" t="n">
        <v>48933</v>
      </c>
      <c r="C4743" s="177" t="n">
        <v>48939</v>
      </c>
      <c r="D4743" t="inlineStr">
        <is>
          <t>BW20331220</t>
        </is>
      </c>
      <c r="E4743" t="n">
        <v>2033</v>
      </c>
      <c r="F4743" t="inlineStr">
        <is>
          <t>Grudzień</t>
        </is>
      </c>
      <c r="G4743" t="inlineStr">
        <is>
          <t>Nd</t>
        </is>
      </c>
      <c r="H4743">
        <f>'Floor Hours Engine'!$E$6</f>
        <v/>
      </c>
      <c r="I4743" t="inlineStr">
        <is>
          <t>W4</t>
        </is>
      </c>
      <c r="J4743" t="inlineStr">
        <is>
          <t>2033_Grudzień_W4</t>
        </is>
      </c>
    </row>
    <row r="4744">
      <c r="A4744" s="177" t="n">
        <v>48939</v>
      </c>
      <c r="B4744" s="177" t="n">
        <v>48933</v>
      </c>
      <c r="C4744" s="177" t="n">
        <v>48939</v>
      </c>
      <c r="D4744" t="inlineStr">
        <is>
          <t>BW20331220</t>
        </is>
      </c>
      <c r="E4744" t="n">
        <v>2033</v>
      </c>
      <c r="F4744" t="inlineStr">
        <is>
          <t>Grudzień</t>
        </is>
      </c>
      <c r="G4744" t="inlineStr">
        <is>
          <t>Pn</t>
        </is>
      </c>
      <c r="H4744">
        <f>'Floor Hours Engine'!$E$4</f>
        <v/>
      </c>
      <c r="I4744" t="inlineStr">
        <is>
          <t>W4</t>
        </is>
      </c>
      <c r="J4744" t="inlineStr">
        <is>
          <t>2033_Grudzień_W4</t>
        </is>
      </c>
    </row>
    <row r="4745">
      <c r="A4745" s="177" t="n">
        <v>48940</v>
      </c>
      <c r="B4745" s="177" t="n">
        <v>48940</v>
      </c>
      <c r="C4745" s="177" t="n">
        <v>48946</v>
      </c>
      <c r="D4745" t="inlineStr">
        <is>
          <t>BW20331227</t>
        </is>
      </c>
      <c r="E4745" t="n">
        <v>2033</v>
      </c>
      <c r="F4745" t="inlineStr">
        <is>
          <t>Grudzień</t>
        </is>
      </c>
      <c r="G4745" t="inlineStr">
        <is>
          <t>Wt</t>
        </is>
      </c>
      <c r="H4745">
        <f>'Floor Hours Engine'!$E$4</f>
        <v/>
      </c>
      <c r="I4745" t="inlineStr">
        <is>
          <t>W5</t>
        </is>
      </c>
      <c r="J4745" t="inlineStr">
        <is>
          <t>2033_Grudzień_W5</t>
        </is>
      </c>
    </row>
    <row r="4746">
      <c r="A4746" s="177" t="n">
        <v>48941</v>
      </c>
      <c r="B4746" s="177" t="n">
        <v>48940</v>
      </c>
      <c r="C4746" s="177" t="n">
        <v>48946</v>
      </c>
      <c r="D4746" t="inlineStr">
        <is>
          <t>BW20331227</t>
        </is>
      </c>
      <c r="E4746" t="n">
        <v>2033</v>
      </c>
      <c r="F4746" t="inlineStr">
        <is>
          <t>Grudzień</t>
        </is>
      </c>
      <c r="G4746" t="inlineStr">
        <is>
          <t>Śr</t>
        </is>
      </c>
      <c r="H4746">
        <f>'Floor Hours Engine'!$E$4</f>
        <v/>
      </c>
      <c r="I4746" t="inlineStr">
        <is>
          <t>W5</t>
        </is>
      </c>
      <c r="J4746" t="inlineStr">
        <is>
          <t>2033_Grudzień_W5</t>
        </is>
      </c>
    </row>
    <row r="4747">
      <c r="A4747" s="177" t="n">
        <v>48942</v>
      </c>
      <c r="B4747" s="177" t="n">
        <v>48940</v>
      </c>
      <c r="C4747" s="177" t="n">
        <v>48946</v>
      </c>
      <c r="D4747" t="inlineStr">
        <is>
          <t>BW20331227</t>
        </is>
      </c>
      <c r="E4747" t="n">
        <v>2033</v>
      </c>
      <c r="F4747" t="inlineStr">
        <is>
          <t>Grudzień</t>
        </is>
      </c>
      <c r="G4747" t="inlineStr">
        <is>
          <t>Czw</t>
        </is>
      </c>
      <c r="H4747">
        <f>'Floor Hours Engine'!$E$4</f>
        <v/>
      </c>
      <c r="I4747" t="inlineStr">
        <is>
          <t>W5</t>
        </is>
      </c>
      <c r="J4747" t="inlineStr">
        <is>
          <t>2033_Grudzień_W5</t>
        </is>
      </c>
    </row>
    <row r="4748">
      <c r="A4748" s="177" t="n">
        <v>48943</v>
      </c>
      <c r="B4748" s="177" t="n">
        <v>48940</v>
      </c>
      <c r="C4748" s="177" t="n">
        <v>48946</v>
      </c>
      <c r="D4748" t="inlineStr">
        <is>
          <t>BW20331227</t>
        </is>
      </c>
      <c r="E4748" t="n">
        <v>2033</v>
      </c>
      <c r="F4748" t="inlineStr">
        <is>
          <t>Grudzień</t>
        </is>
      </c>
      <c r="G4748" t="inlineStr">
        <is>
          <t>Pt</t>
        </is>
      </c>
      <c r="H4748">
        <f>'Floor Hours Engine'!$E$5</f>
        <v/>
      </c>
      <c r="I4748" t="inlineStr">
        <is>
          <t>W5</t>
        </is>
      </c>
      <c r="J4748" t="inlineStr">
        <is>
          <t>2033_Grudzień_W5</t>
        </is>
      </c>
    </row>
    <row r="4749">
      <c r="A4749" s="177" t="n">
        <v>48944</v>
      </c>
      <c r="B4749" s="177" t="n">
        <v>48940</v>
      </c>
      <c r="C4749" s="177" t="n">
        <v>48946</v>
      </c>
      <c r="D4749" t="inlineStr">
        <is>
          <t>BW20331227</t>
        </is>
      </c>
      <c r="E4749" t="n">
        <v>2033</v>
      </c>
      <c r="F4749" t="inlineStr">
        <is>
          <t>Grudzień</t>
        </is>
      </c>
      <c r="G4749" t="inlineStr">
        <is>
          <t>Sob</t>
        </is>
      </c>
      <c r="H4749">
        <f>'Floor Hours Engine'!$E$5</f>
        <v/>
      </c>
      <c r="I4749" t="inlineStr">
        <is>
          <t>W5</t>
        </is>
      </c>
      <c r="J4749" t="inlineStr">
        <is>
          <t>2033_Grudzień_W5</t>
        </is>
      </c>
    </row>
    <row r="4750">
      <c r="A4750" s="177" t="n">
        <v>48945</v>
      </c>
      <c r="B4750" s="177" t="n">
        <v>48940</v>
      </c>
      <c r="C4750" s="177" t="n">
        <v>48946</v>
      </c>
      <c r="D4750" t="inlineStr">
        <is>
          <t>BW20331227</t>
        </is>
      </c>
      <c r="E4750" t="n">
        <v>2034</v>
      </c>
      <c r="F4750" t="inlineStr">
        <is>
          <t>Styczeń</t>
        </is>
      </c>
      <c r="G4750" t="inlineStr">
        <is>
          <t>Nd</t>
        </is>
      </c>
      <c r="H4750">
        <f>'Floor Hours Engine'!$E$6</f>
        <v/>
      </c>
      <c r="I4750" t="inlineStr">
        <is>
          <t>W1</t>
        </is>
      </c>
      <c r="J4750" t="inlineStr">
        <is>
          <t>2034_Styczeń_W1</t>
        </is>
      </c>
    </row>
    <row r="4751">
      <c r="A4751" s="177" t="n">
        <v>48946</v>
      </c>
      <c r="B4751" s="177" t="n">
        <v>48940</v>
      </c>
      <c r="C4751" s="177" t="n">
        <v>48946</v>
      </c>
      <c r="D4751" t="inlineStr">
        <is>
          <t>BW20331227</t>
        </is>
      </c>
      <c r="E4751" t="n">
        <v>2034</v>
      </c>
      <c r="F4751" t="inlineStr">
        <is>
          <t>Styczeń</t>
        </is>
      </c>
      <c r="G4751" t="inlineStr">
        <is>
          <t>Pn</t>
        </is>
      </c>
      <c r="H4751">
        <f>'Floor Hours Engine'!$E$4</f>
        <v/>
      </c>
      <c r="I4751" t="inlineStr">
        <is>
          <t>W1</t>
        </is>
      </c>
      <c r="J4751" t="inlineStr">
        <is>
          <t>2034_Styczeń_W1</t>
        </is>
      </c>
    </row>
    <row r="4752">
      <c r="A4752" s="177" t="n">
        <v>48947</v>
      </c>
      <c r="B4752" s="177" t="n">
        <v>48947</v>
      </c>
      <c r="C4752" s="177" t="n">
        <v>48953</v>
      </c>
      <c r="D4752" t="inlineStr">
        <is>
          <t>BW20340103</t>
        </is>
      </c>
      <c r="E4752" t="n">
        <v>2034</v>
      </c>
      <c r="F4752" t="inlineStr">
        <is>
          <t>Styczeń</t>
        </is>
      </c>
      <c r="G4752" t="inlineStr">
        <is>
          <t>Wt</t>
        </is>
      </c>
      <c r="H4752">
        <f>'Floor Hours Engine'!$E$4</f>
        <v/>
      </c>
      <c r="I4752" t="inlineStr">
        <is>
          <t>W2</t>
        </is>
      </c>
      <c r="J4752" t="inlineStr">
        <is>
          <t>2034_Styczeń_W2</t>
        </is>
      </c>
    </row>
    <row r="4753">
      <c r="A4753" s="177" t="n">
        <v>48948</v>
      </c>
      <c r="B4753" s="177" t="n">
        <v>48947</v>
      </c>
      <c r="C4753" s="177" t="n">
        <v>48953</v>
      </c>
      <c r="D4753" t="inlineStr">
        <is>
          <t>BW20340103</t>
        </is>
      </c>
      <c r="E4753" t="n">
        <v>2034</v>
      </c>
      <c r="F4753" t="inlineStr">
        <is>
          <t>Styczeń</t>
        </is>
      </c>
      <c r="G4753" t="inlineStr">
        <is>
          <t>Śr</t>
        </is>
      </c>
      <c r="H4753">
        <f>'Floor Hours Engine'!$E$4</f>
        <v/>
      </c>
      <c r="I4753" t="inlineStr">
        <is>
          <t>W2</t>
        </is>
      </c>
      <c r="J4753" t="inlineStr">
        <is>
          <t>2034_Styczeń_W2</t>
        </is>
      </c>
    </row>
    <row r="4754">
      <c r="A4754" s="177" t="n">
        <v>48949</v>
      </c>
      <c r="B4754" s="177" t="n">
        <v>48947</v>
      </c>
      <c r="C4754" s="177" t="n">
        <v>48953</v>
      </c>
      <c r="D4754" t="inlineStr">
        <is>
          <t>BW20340103</t>
        </is>
      </c>
      <c r="E4754" t="n">
        <v>2034</v>
      </c>
      <c r="F4754" t="inlineStr">
        <is>
          <t>Styczeń</t>
        </is>
      </c>
      <c r="G4754" t="inlineStr">
        <is>
          <t>Czw</t>
        </is>
      </c>
      <c r="H4754">
        <f>'Floor Hours Engine'!$E$4</f>
        <v/>
      </c>
      <c r="I4754" t="inlineStr">
        <is>
          <t>W2</t>
        </is>
      </c>
      <c r="J4754" t="inlineStr">
        <is>
          <t>2034_Styczeń_W2</t>
        </is>
      </c>
    </row>
    <row r="4755">
      <c r="A4755" s="177" t="n">
        <v>48950</v>
      </c>
      <c r="B4755" s="177" t="n">
        <v>48947</v>
      </c>
      <c r="C4755" s="177" t="n">
        <v>48953</v>
      </c>
      <c r="D4755" t="inlineStr">
        <is>
          <t>BW20340103</t>
        </is>
      </c>
      <c r="E4755" t="n">
        <v>2034</v>
      </c>
      <c r="F4755" t="inlineStr">
        <is>
          <t>Styczeń</t>
        </is>
      </c>
      <c r="G4755" t="inlineStr">
        <is>
          <t>Pt</t>
        </is>
      </c>
      <c r="H4755">
        <f>'Floor Hours Engine'!$E$5</f>
        <v/>
      </c>
      <c r="I4755" t="inlineStr">
        <is>
          <t>W2</t>
        </is>
      </c>
      <c r="J4755" t="inlineStr">
        <is>
          <t>2034_Styczeń_W2</t>
        </is>
      </c>
    </row>
    <row r="4756">
      <c r="A4756" s="177" t="n">
        <v>48951</v>
      </c>
      <c r="B4756" s="177" t="n">
        <v>48947</v>
      </c>
      <c r="C4756" s="177" t="n">
        <v>48953</v>
      </c>
      <c r="D4756" t="inlineStr">
        <is>
          <t>BW20340103</t>
        </is>
      </c>
      <c r="E4756" t="n">
        <v>2034</v>
      </c>
      <c r="F4756" t="inlineStr">
        <is>
          <t>Styczeń</t>
        </is>
      </c>
      <c r="G4756" t="inlineStr">
        <is>
          <t>Sob</t>
        </is>
      </c>
      <c r="H4756">
        <f>'Floor Hours Engine'!$E$5</f>
        <v/>
      </c>
      <c r="I4756" t="inlineStr">
        <is>
          <t>W2</t>
        </is>
      </c>
      <c r="J4756" t="inlineStr">
        <is>
          <t>2034_Styczeń_W2</t>
        </is>
      </c>
    </row>
    <row r="4757">
      <c r="A4757" s="177" t="n">
        <v>48952</v>
      </c>
      <c r="B4757" s="177" t="n">
        <v>48947</v>
      </c>
      <c r="C4757" s="177" t="n">
        <v>48953</v>
      </c>
      <c r="D4757" t="inlineStr">
        <is>
          <t>BW20340103</t>
        </is>
      </c>
      <c r="E4757" t="n">
        <v>2034</v>
      </c>
      <c r="F4757" t="inlineStr">
        <is>
          <t>Styczeń</t>
        </is>
      </c>
      <c r="G4757" t="inlineStr">
        <is>
          <t>Nd</t>
        </is>
      </c>
      <c r="H4757">
        <f>'Floor Hours Engine'!$E$6</f>
        <v/>
      </c>
      <c r="I4757" t="inlineStr">
        <is>
          <t>W2</t>
        </is>
      </c>
      <c r="J4757" t="inlineStr">
        <is>
          <t>2034_Styczeń_W2</t>
        </is>
      </c>
    </row>
    <row r="4758">
      <c r="A4758" s="177" t="n">
        <v>48953</v>
      </c>
      <c r="B4758" s="177" t="n">
        <v>48947</v>
      </c>
      <c r="C4758" s="177" t="n">
        <v>48953</v>
      </c>
      <c r="D4758" t="inlineStr">
        <is>
          <t>BW20340103</t>
        </is>
      </c>
      <c r="E4758" t="n">
        <v>2034</v>
      </c>
      <c r="F4758" t="inlineStr">
        <is>
          <t>Styczeń</t>
        </is>
      </c>
      <c r="G4758" t="inlineStr">
        <is>
          <t>Pn</t>
        </is>
      </c>
      <c r="H4758">
        <f>'Floor Hours Engine'!$E$4</f>
        <v/>
      </c>
      <c r="I4758" t="inlineStr">
        <is>
          <t>W2</t>
        </is>
      </c>
      <c r="J4758" t="inlineStr">
        <is>
          <t>2034_Styczeń_W2</t>
        </is>
      </c>
    </row>
    <row r="4759">
      <c r="A4759" s="177" t="n">
        <v>48954</v>
      </c>
      <c r="B4759" s="177" t="n">
        <v>48954</v>
      </c>
      <c r="C4759" s="177" t="n">
        <v>48960</v>
      </c>
      <c r="D4759" t="inlineStr">
        <is>
          <t>BW20340110</t>
        </is>
      </c>
      <c r="E4759" t="n">
        <v>2034</v>
      </c>
      <c r="F4759" t="inlineStr">
        <is>
          <t>Styczeń</t>
        </is>
      </c>
      <c r="G4759" t="inlineStr">
        <is>
          <t>Wt</t>
        </is>
      </c>
      <c r="H4759">
        <f>'Floor Hours Engine'!$E$4</f>
        <v/>
      </c>
      <c r="I4759" t="inlineStr">
        <is>
          <t>W3</t>
        </is>
      </c>
      <c r="J4759" t="inlineStr">
        <is>
          <t>2034_Styczeń_W3</t>
        </is>
      </c>
    </row>
    <row r="4760">
      <c r="A4760" s="177" t="n">
        <v>48955</v>
      </c>
      <c r="B4760" s="177" t="n">
        <v>48954</v>
      </c>
      <c r="C4760" s="177" t="n">
        <v>48960</v>
      </c>
      <c r="D4760" t="inlineStr">
        <is>
          <t>BW20340110</t>
        </is>
      </c>
      <c r="E4760" t="n">
        <v>2034</v>
      </c>
      <c r="F4760" t="inlineStr">
        <is>
          <t>Styczeń</t>
        </is>
      </c>
      <c r="G4760" t="inlineStr">
        <is>
          <t>Śr</t>
        </is>
      </c>
      <c r="H4760">
        <f>'Floor Hours Engine'!$E$4</f>
        <v/>
      </c>
      <c r="I4760" t="inlineStr">
        <is>
          <t>W3</t>
        </is>
      </c>
      <c r="J4760" t="inlineStr">
        <is>
          <t>2034_Styczeń_W3</t>
        </is>
      </c>
    </row>
    <row r="4761">
      <c r="A4761" s="177" t="n">
        <v>48956</v>
      </c>
      <c r="B4761" s="177" t="n">
        <v>48954</v>
      </c>
      <c r="C4761" s="177" t="n">
        <v>48960</v>
      </c>
      <c r="D4761" t="inlineStr">
        <is>
          <t>BW20340110</t>
        </is>
      </c>
      <c r="E4761" t="n">
        <v>2034</v>
      </c>
      <c r="F4761" t="inlineStr">
        <is>
          <t>Styczeń</t>
        </is>
      </c>
      <c r="G4761" t="inlineStr">
        <is>
          <t>Czw</t>
        </is>
      </c>
      <c r="H4761">
        <f>'Floor Hours Engine'!$E$4</f>
        <v/>
      </c>
      <c r="I4761" t="inlineStr">
        <is>
          <t>W3</t>
        </is>
      </c>
      <c r="J4761" t="inlineStr">
        <is>
          <t>2034_Styczeń_W3</t>
        </is>
      </c>
    </row>
    <row r="4762">
      <c r="A4762" s="177" t="n">
        <v>48957</v>
      </c>
      <c r="B4762" s="177" t="n">
        <v>48954</v>
      </c>
      <c r="C4762" s="177" t="n">
        <v>48960</v>
      </c>
      <c r="D4762" t="inlineStr">
        <is>
          <t>BW20340110</t>
        </is>
      </c>
      <c r="E4762" t="n">
        <v>2034</v>
      </c>
      <c r="F4762" t="inlineStr">
        <is>
          <t>Styczeń</t>
        </is>
      </c>
      <c r="G4762" t="inlineStr">
        <is>
          <t>Pt</t>
        </is>
      </c>
      <c r="H4762">
        <f>'Floor Hours Engine'!$E$5</f>
        <v/>
      </c>
      <c r="I4762" t="inlineStr">
        <is>
          <t>W3</t>
        </is>
      </c>
      <c r="J4762" t="inlineStr">
        <is>
          <t>2034_Styczeń_W3</t>
        </is>
      </c>
    </row>
    <row r="4763">
      <c r="A4763" s="177" t="n">
        <v>48958</v>
      </c>
      <c r="B4763" s="177" t="n">
        <v>48954</v>
      </c>
      <c r="C4763" s="177" t="n">
        <v>48960</v>
      </c>
      <c r="D4763" t="inlineStr">
        <is>
          <t>BW20340110</t>
        </is>
      </c>
      <c r="E4763" t="n">
        <v>2034</v>
      </c>
      <c r="F4763" t="inlineStr">
        <is>
          <t>Styczeń</t>
        </is>
      </c>
      <c r="G4763" t="inlineStr">
        <is>
          <t>Sob</t>
        </is>
      </c>
      <c r="H4763">
        <f>'Floor Hours Engine'!$E$5</f>
        <v/>
      </c>
      <c r="I4763" t="inlineStr">
        <is>
          <t>W3</t>
        </is>
      </c>
      <c r="J4763" t="inlineStr">
        <is>
          <t>2034_Styczeń_W3</t>
        </is>
      </c>
    </row>
    <row r="4764">
      <c r="A4764" s="177" t="n">
        <v>48959</v>
      </c>
      <c r="B4764" s="177" t="n">
        <v>48954</v>
      </c>
      <c r="C4764" s="177" t="n">
        <v>48960</v>
      </c>
      <c r="D4764" t="inlineStr">
        <is>
          <t>BW20340110</t>
        </is>
      </c>
      <c r="E4764" t="n">
        <v>2034</v>
      </c>
      <c r="F4764" t="inlineStr">
        <is>
          <t>Styczeń</t>
        </is>
      </c>
      <c r="G4764" t="inlineStr">
        <is>
          <t>Nd</t>
        </is>
      </c>
      <c r="H4764">
        <f>'Floor Hours Engine'!$E$6</f>
        <v/>
      </c>
      <c r="I4764" t="inlineStr">
        <is>
          <t>W3</t>
        </is>
      </c>
      <c r="J4764" t="inlineStr">
        <is>
          <t>2034_Styczeń_W3</t>
        </is>
      </c>
    </row>
    <row r="4765">
      <c r="A4765" s="177" t="n">
        <v>48960</v>
      </c>
      <c r="B4765" s="177" t="n">
        <v>48954</v>
      </c>
      <c r="C4765" s="177" t="n">
        <v>48960</v>
      </c>
      <c r="D4765" t="inlineStr">
        <is>
          <t>BW20340110</t>
        </is>
      </c>
      <c r="E4765" t="n">
        <v>2034</v>
      </c>
      <c r="F4765" t="inlineStr">
        <is>
          <t>Styczeń</t>
        </is>
      </c>
      <c r="G4765" t="inlineStr">
        <is>
          <t>Pn</t>
        </is>
      </c>
      <c r="H4765">
        <f>'Floor Hours Engine'!$E$4</f>
        <v/>
      </c>
      <c r="I4765" t="inlineStr">
        <is>
          <t>W3</t>
        </is>
      </c>
      <c r="J4765" t="inlineStr">
        <is>
          <t>2034_Styczeń_W3</t>
        </is>
      </c>
    </row>
    <row r="4766">
      <c r="A4766" s="177" t="n">
        <v>48961</v>
      </c>
      <c r="B4766" s="177" t="n">
        <v>48961</v>
      </c>
      <c r="C4766" s="177" t="n">
        <v>48967</v>
      </c>
      <c r="D4766" t="inlineStr">
        <is>
          <t>BW20340117</t>
        </is>
      </c>
      <c r="E4766" t="n">
        <v>2034</v>
      </c>
      <c r="F4766" t="inlineStr">
        <is>
          <t>Styczeń</t>
        </is>
      </c>
      <c r="G4766" t="inlineStr">
        <is>
          <t>Wt</t>
        </is>
      </c>
      <c r="H4766">
        <f>'Floor Hours Engine'!$E$4</f>
        <v/>
      </c>
      <c r="I4766" t="inlineStr">
        <is>
          <t>W4</t>
        </is>
      </c>
      <c r="J4766" t="inlineStr">
        <is>
          <t>2034_Styczeń_W4</t>
        </is>
      </c>
    </row>
    <row r="4767">
      <c r="A4767" s="177" t="n">
        <v>48962</v>
      </c>
      <c r="B4767" s="177" t="n">
        <v>48961</v>
      </c>
      <c r="C4767" s="177" t="n">
        <v>48967</v>
      </c>
      <c r="D4767" t="inlineStr">
        <is>
          <t>BW20340117</t>
        </is>
      </c>
      <c r="E4767" t="n">
        <v>2034</v>
      </c>
      <c r="F4767" t="inlineStr">
        <is>
          <t>Styczeń</t>
        </is>
      </c>
      <c r="G4767" t="inlineStr">
        <is>
          <t>Śr</t>
        </is>
      </c>
      <c r="H4767">
        <f>'Floor Hours Engine'!$E$4</f>
        <v/>
      </c>
      <c r="I4767" t="inlineStr">
        <is>
          <t>W4</t>
        </is>
      </c>
      <c r="J4767" t="inlineStr">
        <is>
          <t>2034_Styczeń_W4</t>
        </is>
      </c>
    </row>
    <row r="4768">
      <c r="A4768" s="177" t="n">
        <v>48963</v>
      </c>
      <c r="B4768" s="177" t="n">
        <v>48961</v>
      </c>
      <c r="C4768" s="177" t="n">
        <v>48967</v>
      </c>
      <c r="D4768" t="inlineStr">
        <is>
          <t>BW20340117</t>
        </is>
      </c>
      <c r="E4768" t="n">
        <v>2034</v>
      </c>
      <c r="F4768" t="inlineStr">
        <is>
          <t>Styczeń</t>
        </is>
      </c>
      <c r="G4768" t="inlineStr">
        <is>
          <t>Czw</t>
        </is>
      </c>
      <c r="H4768">
        <f>'Floor Hours Engine'!$E$4</f>
        <v/>
      </c>
      <c r="I4768" t="inlineStr">
        <is>
          <t>W4</t>
        </is>
      </c>
      <c r="J4768" t="inlineStr">
        <is>
          <t>2034_Styczeń_W4</t>
        </is>
      </c>
    </row>
    <row r="4769">
      <c r="A4769" s="177" t="n">
        <v>48964</v>
      </c>
      <c r="B4769" s="177" t="n">
        <v>48961</v>
      </c>
      <c r="C4769" s="177" t="n">
        <v>48967</v>
      </c>
      <c r="D4769" t="inlineStr">
        <is>
          <t>BW20340117</t>
        </is>
      </c>
      <c r="E4769" t="n">
        <v>2034</v>
      </c>
      <c r="F4769" t="inlineStr">
        <is>
          <t>Styczeń</t>
        </is>
      </c>
      <c r="G4769" t="inlineStr">
        <is>
          <t>Pt</t>
        </is>
      </c>
      <c r="H4769">
        <f>'Floor Hours Engine'!$E$5</f>
        <v/>
      </c>
      <c r="I4769" t="inlineStr">
        <is>
          <t>W4</t>
        </is>
      </c>
      <c r="J4769" t="inlineStr">
        <is>
          <t>2034_Styczeń_W4</t>
        </is>
      </c>
    </row>
    <row r="4770">
      <c r="A4770" s="177" t="n">
        <v>48965</v>
      </c>
      <c r="B4770" s="177" t="n">
        <v>48961</v>
      </c>
      <c r="C4770" s="177" t="n">
        <v>48967</v>
      </c>
      <c r="D4770" t="inlineStr">
        <is>
          <t>BW20340117</t>
        </is>
      </c>
      <c r="E4770" t="n">
        <v>2034</v>
      </c>
      <c r="F4770" t="inlineStr">
        <is>
          <t>Styczeń</t>
        </is>
      </c>
      <c r="G4770" t="inlineStr">
        <is>
          <t>Sob</t>
        </is>
      </c>
      <c r="H4770">
        <f>'Floor Hours Engine'!$E$5</f>
        <v/>
      </c>
      <c r="I4770" t="inlineStr">
        <is>
          <t>W4</t>
        </is>
      </c>
      <c r="J4770" t="inlineStr">
        <is>
          <t>2034_Styczeń_W4</t>
        </is>
      </c>
    </row>
    <row r="4771">
      <c r="A4771" s="177" t="n">
        <v>48966</v>
      </c>
      <c r="B4771" s="177" t="n">
        <v>48961</v>
      </c>
      <c r="C4771" s="177" t="n">
        <v>48967</v>
      </c>
      <c r="D4771" t="inlineStr">
        <is>
          <t>BW20340117</t>
        </is>
      </c>
      <c r="E4771" t="n">
        <v>2034</v>
      </c>
      <c r="F4771" t="inlineStr">
        <is>
          <t>Styczeń</t>
        </is>
      </c>
      <c r="G4771" t="inlineStr">
        <is>
          <t>Nd</t>
        </is>
      </c>
      <c r="H4771">
        <f>'Floor Hours Engine'!$E$6</f>
        <v/>
      </c>
      <c r="I4771" t="inlineStr">
        <is>
          <t>W4</t>
        </is>
      </c>
      <c r="J4771" t="inlineStr">
        <is>
          <t>2034_Styczeń_W4</t>
        </is>
      </c>
    </row>
    <row r="4772">
      <c r="A4772" s="177" t="n">
        <v>48967</v>
      </c>
      <c r="B4772" s="177" t="n">
        <v>48961</v>
      </c>
      <c r="C4772" s="177" t="n">
        <v>48967</v>
      </c>
      <c r="D4772" t="inlineStr">
        <is>
          <t>BW20340117</t>
        </is>
      </c>
      <c r="E4772" t="n">
        <v>2034</v>
      </c>
      <c r="F4772" t="inlineStr">
        <is>
          <t>Styczeń</t>
        </is>
      </c>
      <c r="G4772" t="inlineStr">
        <is>
          <t>Pn</t>
        </is>
      </c>
      <c r="H4772">
        <f>'Floor Hours Engine'!$E$4</f>
        <v/>
      </c>
      <c r="I4772" t="inlineStr">
        <is>
          <t>W4</t>
        </is>
      </c>
      <c r="J4772" t="inlineStr">
        <is>
          <t>2034_Styczeń_W4</t>
        </is>
      </c>
    </row>
    <row r="4773">
      <c r="A4773" s="177" t="n">
        <v>48968</v>
      </c>
      <c r="B4773" s="177" t="n">
        <v>48968</v>
      </c>
      <c r="C4773" s="177" t="n">
        <v>48974</v>
      </c>
      <c r="D4773" t="inlineStr">
        <is>
          <t>BW20340124</t>
        </is>
      </c>
      <c r="E4773" t="n">
        <v>2034</v>
      </c>
      <c r="F4773" t="inlineStr">
        <is>
          <t>Styczeń</t>
        </is>
      </c>
      <c r="G4773" t="inlineStr">
        <is>
          <t>Wt</t>
        </is>
      </c>
      <c r="H4773">
        <f>'Floor Hours Engine'!$E$4</f>
        <v/>
      </c>
      <c r="I4773" t="inlineStr">
        <is>
          <t>W5</t>
        </is>
      </c>
      <c r="J4773" t="inlineStr">
        <is>
          <t>2034_Styczeń_W5</t>
        </is>
      </c>
    </row>
    <row r="4774">
      <c r="A4774" s="177" t="n">
        <v>48969</v>
      </c>
      <c r="B4774" s="177" t="n">
        <v>48968</v>
      </c>
      <c r="C4774" s="177" t="n">
        <v>48974</v>
      </c>
      <c r="D4774" t="inlineStr">
        <is>
          <t>BW20340124</t>
        </is>
      </c>
      <c r="E4774" t="n">
        <v>2034</v>
      </c>
      <c r="F4774" t="inlineStr">
        <is>
          <t>Styczeń</t>
        </is>
      </c>
      <c r="G4774" t="inlineStr">
        <is>
          <t>Śr</t>
        </is>
      </c>
      <c r="H4774">
        <f>'Floor Hours Engine'!$E$4</f>
        <v/>
      </c>
      <c r="I4774" t="inlineStr">
        <is>
          <t>W5</t>
        </is>
      </c>
      <c r="J4774" t="inlineStr">
        <is>
          <t>2034_Styczeń_W5</t>
        </is>
      </c>
    </row>
    <row r="4775">
      <c r="A4775" s="177" t="n">
        <v>48970</v>
      </c>
      <c r="B4775" s="177" t="n">
        <v>48968</v>
      </c>
      <c r="C4775" s="177" t="n">
        <v>48974</v>
      </c>
      <c r="D4775" t="inlineStr">
        <is>
          <t>BW20340124</t>
        </is>
      </c>
      <c r="E4775" t="n">
        <v>2034</v>
      </c>
      <c r="F4775" t="inlineStr">
        <is>
          <t>Styczeń</t>
        </is>
      </c>
      <c r="G4775" t="inlineStr">
        <is>
          <t>Czw</t>
        </is>
      </c>
      <c r="H4775">
        <f>'Floor Hours Engine'!$E$4</f>
        <v/>
      </c>
      <c r="I4775" t="inlineStr">
        <is>
          <t>W5</t>
        </is>
      </c>
      <c r="J4775" t="inlineStr">
        <is>
          <t>2034_Styczeń_W5</t>
        </is>
      </c>
    </row>
    <row r="4776">
      <c r="A4776" s="177" t="n">
        <v>48971</v>
      </c>
      <c r="B4776" s="177" t="n">
        <v>48968</v>
      </c>
      <c r="C4776" s="177" t="n">
        <v>48974</v>
      </c>
      <c r="D4776" t="inlineStr">
        <is>
          <t>BW20340124</t>
        </is>
      </c>
      <c r="E4776" t="n">
        <v>2034</v>
      </c>
      <c r="F4776" t="inlineStr">
        <is>
          <t>Styczeń</t>
        </is>
      </c>
      <c r="G4776" t="inlineStr">
        <is>
          <t>Pt</t>
        </is>
      </c>
      <c r="H4776">
        <f>'Floor Hours Engine'!$E$5</f>
        <v/>
      </c>
      <c r="I4776" t="inlineStr">
        <is>
          <t>W5</t>
        </is>
      </c>
      <c r="J4776" t="inlineStr">
        <is>
          <t>2034_Styczeń_W5</t>
        </is>
      </c>
    </row>
    <row r="4777">
      <c r="A4777" s="177" t="n">
        <v>48972</v>
      </c>
      <c r="B4777" s="177" t="n">
        <v>48968</v>
      </c>
      <c r="C4777" s="177" t="n">
        <v>48974</v>
      </c>
      <c r="D4777" t="inlineStr">
        <is>
          <t>BW20340124</t>
        </is>
      </c>
      <c r="E4777" t="n">
        <v>2034</v>
      </c>
      <c r="F4777" t="inlineStr">
        <is>
          <t>Styczeń</t>
        </is>
      </c>
      <c r="G4777" t="inlineStr">
        <is>
          <t>Sob</t>
        </is>
      </c>
      <c r="H4777">
        <f>'Floor Hours Engine'!$E$5</f>
        <v/>
      </c>
      <c r="I4777" t="inlineStr">
        <is>
          <t>W5</t>
        </is>
      </c>
      <c r="J4777" t="inlineStr">
        <is>
          <t>2034_Styczeń_W5</t>
        </is>
      </c>
    </row>
    <row r="4778">
      <c r="A4778" s="177" t="n">
        <v>48973</v>
      </c>
      <c r="B4778" s="177" t="n">
        <v>48968</v>
      </c>
      <c r="C4778" s="177" t="n">
        <v>48974</v>
      </c>
      <c r="D4778" t="inlineStr">
        <is>
          <t>BW20340124</t>
        </is>
      </c>
      <c r="E4778" t="n">
        <v>2034</v>
      </c>
      <c r="F4778" t="inlineStr">
        <is>
          <t>Styczeń</t>
        </is>
      </c>
      <c r="G4778" t="inlineStr">
        <is>
          <t>Nd</t>
        </is>
      </c>
      <c r="H4778">
        <f>'Floor Hours Engine'!$E$6</f>
        <v/>
      </c>
      <c r="I4778" t="inlineStr">
        <is>
          <t>W5</t>
        </is>
      </c>
      <c r="J4778" t="inlineStr">
        <is>
          <t>2034_Styczeń_W5</t>
        </is>
      </c>
    </row>
    <row r="4779">
      <c r="A4779" s="177" t="n">
        <v>48974</v>
      </c>
      <c r="B4779" s="177" t="n">
        <v>48968</v>
      </c>
      <c r="C4779" s="177" t="n">
        <v>48974</v>
      </c>
      <c r="D4779" t="inlineStr">
        <is>
          <t>BW20340124</t>
        </is>
      </c>
      <c r="E4779" t="n">
        <v>2034</v>
      </c>
      <c r="F4779" t="inlineStr">
        <is>
          <t>Styczeń</t>
        </is>
      </c>
      <c r="G4779" t="inlineStr">
        <is>
          <t>Pn</t>
        </is>
      </c>
      <c r="H4779">
        <f>'Floor Hours Engine'!$E$4</f>
        <v/>
      </c>
      <c r="I4779" t="inlineStr">
        <is>
          <t>W5</t>
        </is>
      </c>
      <c r="J4779" t="inlineStr">
        <is>
          <t>2034_Styczeń_W5</t>
        </is>
      </c>
    </row>
    <row r="4780">
      <c r="A4780" s="177" t="n">
        <v>48975</v>
      </c>
      <c r="B4780" s="177" t="n">
        <v>48975</v>
      </c>
      <c r="C4780" s="177" t="n">
        <v>48981</v>
      </c>
      <c r="D4780" t="inlineStr">
        <is>
          <t>BW20340131</t>
        </is>
      </c>
      <c r="E4780" t="n">
        <v>2034</v>
      </c>
      <c r="F4780" t="inlineStr">
        <is>
          <t>Styczeń</t>
        </is>
      </c>
      <c r="G4780" t="inlineStr">
        <is>
          <t>Wt</t>
        </is>
      </c>
      <c r="H4780">
        <f>'Floor Hours Engine'!$E$4</f>
        <v/>
      </c>
      <c r="I4780" t="inlineStr">
        <is>
          <t>W6</t>
        </is>
      </c>
      <c r="J4780" t="inlineStr">
        <is>
          <t>2034_Styczeń_W6</t>
        </is>
      </c>
    </row>
    <row r="4781">
      <c r="A4781" s="177" t="n">
        <v>48976</v>
      </c>
      <c r="B4781" s="177" t="n">
        <v>48975</v>
      </c>
      <c r="C4781" s="177" t="n">
        <v>48981</v>
      </c>
      <c r="D4781" t="inlineStr">
        <is>
          <t>BW20340131</t>
        </is>
      </c>
      <c r="E4781" t="n">
        <v>2034</v>
      </c>
      <c r="F4781" t="inlineStr">
        <is>
          <t>Luty</t>
        </is>
      </c>
      <c r="G4781" t="inlineStr">
        <is>
          <t>Śr</t>
        </is>
      </c>
      <c r="H4781">
        <f>'Floor Hours Engine'!$E$4</f>
        <v/>
      </c>
      <c r="I4781" t="inlineStr">
        <is>
          <t>W1</t>
        </is>
      </c>
      <c r="J4781" t="inlineStr">
        <is>
          <t>2034_Luty_W1</t>
        </is>
      </c>
    </row>
    <row r="4782">
      <c r="A4782" s="177" t="n">
        <v>48977</v>
      </c>
      <c r="B4782" s="177" t="n">
        <v>48975</v>
      </c>
      <c r="C4782" s="177" t="n">
        <v>48981</v>
      </c>
      <c r="D4782" t="inlineStr">
        <is>
          <t>BW20340131</t>
        </is>
      </c>
      <c r="E4782" t="n">
        <v>2034</v>
      </c>
      <c r="F4782" t="inlineStr">
        <is>
          <t>Luty</t>
        </is>
      </c>
      <c r="G4782" t="inlineStr">
        <is>
          <t>Czw</t>
        </is>
      </c>
      <c r="H4782">
        <f>'Floor Hours Engine'!$E$4</f>
        <v/>
      </c>
      <c r="I4782" t="inlineStr">
        <is>
          <t>W1</t>
        </is>
      </c>
      <c r="J4782" t="inlineStr">
        <is>
          <t>2034_Luty_W1</t>
        </is>
      </c>
    </row>
    <row r="4783">
      <c r="A4783" s="177" t="n">
        <v>48978</v>
      </c>
      <c r="B4783" s="177" t="n">
        <v>48975</v>
      </c>
      <c r="C4783" s="177" t="n">
        <v>48981</v>
      </c>
      <c r="D4783" t="inlineStr">
        <is>
          <t>BW20340131</t>
        </is>
      </c>
      <c r="E4783" t="n">
        <v>2034</v>
      </c>
      <c r="F4783" t="inlineStr">
        <is>
          <t>Luty</t>
        </is>
      </c>
      <c r="G4783" t="inlineStr">
        <is>
          <t>Pt</t>
        </is>
      </c>
      <c r="H4783">
        <f>'Floor Hours Engine'!$E$5</f>
        <v/>
      </c>
      <c r="I4783" t="inlineStr">
        <is>
          <t>W1</t>
        </is>
      </c>
      <c r="J4783" t="inlineStr">
        <is>
          <t>2034_Luty_W1</t>
        </is>
      </c>
    </row>
    <row r="4784">
      <c r="A4784" s="177" t="n">
        <v>48979</v>
      </c>
      <c r="B4784" s="177" t="n">
        <v>48975</v>
      </c>
      <c r="C4784" s="177" t="n">
        <v>48981</v>
      </c>
      <c r="D4784" t="inlineStr">
        <is>
          <t>BW20340131</t>
        </is>
      </c>
      <c r="E4784" t="n">
        <v>2034</v>
      </c>
      <c r="F4784" t="inlineStr">
        <is>
          <t>Luty</t>
        </is>
      </c>
      <c r="G4784" t="inlineStr">
        <is>
          <t>Sob</t>
        </is>
      </c>
      <c r="H4784">
        <f>'Floor Hours Engine'!$E$5</f>
        <v/>
      </c>
      <c r="I4784" t="inlineStr">
        <is>
          <t>W1</t>
        </is>
      </c>
      <c r="J4784" t="inlineStr">
        <is>
          <t>2034_Luty_W1</t>
        </is>
      </c>
    </row>
    <row r="4785">
      <c r="A4785" s="177" t="n">
        <v>48980</v>
      </c>
      <c r="B4785" s="177" t="n">
        <v>48975</v>
      </c>
      <c r="C4785" s="177" t="n">
        <v>48981</v>
      </c>
      <c r="D4785" t="inlineStr">
        <is>
          <t>BW20340131</t>
        </is>
      </c>
      <c r="E4785" t="n">
        <v>2034</v>
      </c>
      <c r="F4785" t="inlineStr">
        <is>
          <t>Luty</t>
        </is>
      </c>
      <c r="G4785" t="inlineStr">
        <is>
          <t>Nd</t>
        </is>
      </c>
      <c r="H4785">
        <f>'Floor Hours Engine'!$E$6</f>
        <v/>
      </c>
      <c r="I4785" t="inlineStr">
        <is>
          <t>W1</t>
        </is>
      </c>
      <c r="J4785" t="inlineStr">
        <is>
          <t>2034_Luty_W1</t>
        </is>
      </c>
    </row>
    <row r="4786">
      <c r="A4786" s="177" t="n">
        <v>48981</v>
      </c>
      <c r="B4786" s="177" t="n">
        <v>48975</v>
      </c>
      <c r="C4786" s="177" t="n">
        <v>48981</v>
      </c>
      <c r="D4786" t="inlineStr">
        <is>
          <t>BW20340131</t>
        </is>
      </c>
      <c r="E4786" t="n">
        <v>2034</v>
      </c>
      <c r="F4786" t="inlineStr">
        <is>
          <t>Luty</t>
        </is>
      </c>
      <c r="G4786" t="inlineStr">
        <is>
          <t>Pn</t>
        </is>
      </c>
      <c r="H4786">
        <f>'Floor Hours Engine'!$E$4</f>
        <v/>
      </c>
      <c r="I4786" t="inlineStr">
        <is>
          <t>W1</t>
        </is>
      </c>
      <c r="J4786" t="inlineStr">
        <is>
          <t>2034_Luty_W1</t>
        </is>
      </c>
    </row>
    <row r="4787">
      <c r="A4787" s="177" t="n">
        <v>48982</v>
      </c>
      <c r="B4787" s="177" t="n">
        <v>48982</v>
      </c>
      <c r="C4787" s="177" t="n">
        <v>48988</v>
      </c>
      <c r="D4787" t="inlineStr">
        <is>
          <t>BW20340207</t>
        </is>
      </c>
      <c r="E4787" t="n">
        <v>2034</v>
      </c>
      <c r="F4787" t="inlineStr">
        <is>
          <t>Luty</t>
        </is>
      </c>
      <c r="G4787" t="inlineStr">
        <is>
          <t>Wt</t>
        </is>
      </c>
      <c r="H4787">
        <f>'Floor Hours Engine'!$E$4</f>
        <v/>
      </c>
      <c r="I4787" t="inlineStr">
        <is>
          <t>W2</t>
        </is>
      </c>
      <c r="J4787" t="inlineStr">
        <is>
          <t>2034_Luty_W2</t>
        </is>
      </c>
    </row>
    <row r="4788">
      <c r="A4788" s="177" t="n">
        <v>48983</v>
      </c>
      <c r="B4788" s="177" t="n">
        <v>48982</v>
      </c>
      <c r="C4788" s="177" t="n">
        <v>48988</v>
      </c>
      <c r="D4788" t="inlineStr">
        <is>
          <t>BW20340207</t>
        </is>
      </c>
      <c r="E4788" t="n">
        <v>2034</v>
      </c>
      <c r="F4788" t="inlineStr">
        <is>
          <t>Luty</t>
        </is>
      </c>
      <c r="G4788" t="inlineStr">
        <is>
          <t>Śr</t>
        </is>
      </c>
      <c r="H4788">
        <f>'Floor Hours Engine'!$E$4</f>
        <v/>
      </c>
      <c r="I4788" t="inlineStr">
        <is>
          <t>W2</t>
        </is>
      </c>
      <c r="J4788" t="inlineStr">
        <is>
          <t>2034_Luty_W2</t>
        </is>
      </c>
    </row>
    <row r="4789">
      <c r="A4789" s="177" t="n">
        <v>48984</v>
      </c>
      <c r="B4789" s="177" t="n">
        <v>48982</v>
      </c>
      <c r="C4789" s="177" t="n">
        <v>48988</v>
      </c>
      <c r="D4789" t="inlineStr">
        <is>
          <t>BW20340207</t>
        </is>
      </c>
      <c r="E4789" t="n">
        <v>2034</v>
      </c>
      <c r="F4789" t="inlineStr">
        <is>
          <t>Luty</t>
        </is>
      </c>
      <c r="G4789" t="inlineStr">
        <is>
          <t>Czw</t>
        </is>
      </c>
      <c r="H4789">
        <f>'Floor Hours Engine'!$E$4</f>
        <v/>
      </c>
      <c r="I4789" t="inlineStr">
        <is>
          <t>W2</t>
        </is>
      </c>
      <c r="J4789" t="inlineStr">
        <is>
          <t>2034_Luty_W2</t>
        </is>
      </c>
    </row>
    <row r="4790">
      <c r="A4790" s="177" t="n">
        <v>48985</v>
      </c>
      <c r="B4790" s="177" t="n">
        <v>48982</v>
      </c>
      <c r="C4790" s="177" t="n">
        <v>48988</v>
      </c>
      <c r="D4790" t="inlineStr">
        <is>
          <t>BW20340207</t>
        </is>
      </c>
      <c r="E4790" t="n">
        <v>2034</v>
      </c>
      <c r="F4790" t="inlineStr">
        <is>
          <t>Luty</t>
        </is>
      </c>
      <c r="G4790" t="inlineStr">
        <is>
          <t>Pt</t>
        </is>
      </c>
      <c r="H4790">
        <f>'Floor Hours Engine'!$E$5</f>
        <v/>
      </c>
      <c r="I4790" t="inlineStr">
        <is>
          <t>W2</t>
        </is>
      </c>
      <c r="J4790" t="inlineStr">
        <is>
          <t>2034_Luty_W2</t>
        </is>
      </c>
    </row>
    <row r="4791">
      <c r="A4791" s="177" t="n">
        <v>48986</v>
      </c>
      <c r="B4791" s="177" t="n">
        <v>48982</v>
      </c>
      <c r="C4791" s="177" t="n">
        <v>48988</v>
      </c>
      <c r="D4791" t="inlineStr">
        <is>
          <t>BW20340207</t>
        </is>
      </c>
      <c r="E4791" t="n">
        <v>2034</v>
      </c>
      <c r="F4791" t="inlineStr">
        <is>
          <t>Luty</t>
        </is>
      </c>
      <c r="G4791" t="inlineStr">
        <is>
          <t>Sob</t>
        </is>
      </c>
      <c r="H4791">
        <f>'Floor Hours Engine'!$E$5</f>
        <v/>
      </c>
      <c r="I4791" t="inlineStr">
        <is>
          <t>W2</t>
        </is>
      </c>
      <c r="J4791" t="inlineStr">
        <is>
          <t>2034_Luty_W2</t>
        </is>
      </c>
    </row>
    <row r="4792">
      <c r="A4792" s="177" t="n">
        <v>48987</v>
      </c>
      <c r="B4792" s="177" t="n">
        <v>48982</v>
      </c>
      <c r="C4792" s="177" t="n">
        <v>48988</v>
      </c>
      <c r="D4792" t="inlineStr">
        <is>
          <t>BW20340207</t>
        </is>
      </c>
      <c r="E4792" t="n">
        <v>2034</v>
      </c>
      <c r="F4792" t="inlineStr">
        <is>
          <t>Luty</t>
        </is>
      </c>
      <c r="G4792" t="inlineStr">
        <is>
          <t>Nd</t>
        </is>
      </c>
      <c r="H4792">
        <f>'Floor Hours Engine'!$E$6</f>
        <v/>
      </c>
      <c r="I4792" t="inlineStr">
        <is>
          <t>W2</t>
        </is>
      </c>
      <c r="J4792" t="inlineStr">
        <is>
          <t>2034_Luty_W2</t>
        </is>
      </c>
    </row>
    <row r="4793">
      <c r="A4793" s="177" t="n">
        <v>48988</v>
      </c>
      <c r="B4793" s="177" t="n">
        <v>48982</v>
      </c>
      <c r="C4793" s="177" t="n">
        <v>48988</v>
      </c>
      <c r="D4793" t="inlineStr">
        <is>
          <t>BW20340207</t>
        </is>
      </c>
      <c r="E4793" t="n">
        <v>2034</v>
      </c>
      <c r="F4793" t="inlineStr">
        <is>
          <t>Luty</t>
        </is>
      </c>
      <c r="G4793" t="inlineStr">
        <is>
          <t>Pn</t>
        </is>
      </c>
      <c r="H4793">
        <f>'Floor Hours Engine'!$E$4</f>
        <v/>
      </c>
      <c r="I4793" t="inlineStr">
        <is>
          <t>W2</t>
        </is>
      </c>
      <c r="J4793" t="inlineStr">
        <is>
          <t>2034_Luty_W2</t>
        </is>
      </c>
    </row>
    <row r="4794">
      <c r="A4794" s="177" t="n">
        <v>48989</v>
      </c>
      <c r="B4794" s="177" t="n">
        <v>48989</v>
      </c>
      <c r="C4794" s="177" t="n">
        <v>48995</v>
      </c>
      <c r="D4794" t="inlineStr">
        <is>
          <t>BW20340214</t>
        </is>
      </c>
      <c r="E4794" t="n">
        <v>2034</v>
      </c>
      <c r="F4794" t="inlineStr">
        <is>
          <t>Luty</t>
        </is>
      </c>
      <c r="G4794" t="inlineStr">
        <is>
          <t>Wt</t>
        </is>
      </c>
      <c r="H4794">
        <f>'Floor Hours Engine'!$E$4</f>
        <v/>
      </c>
      <c r="I4794" t="inlineStr">
        <is>
          <t>W3</t>
        </is>
      </c>
      <c r="J4794" t="inlineStr">
        <is>
          <t>2034_Luty_W3</t>
        </is>
      </c>
    </row>
    <row r="4795">
      <c r="A4795" s="177" t="n">
        <v>48990</v>
      </c>
      <c r="B4795" s="177" t="n">
        <v>48989</v>
      </c>
      <c r="C4795" s="177" t="n">
        <v>48995</v>
      </c>
      <c r="D4795" t="inlineStr">
        <is>
          <t>BW20340214</t>
        </is>
      </c>
      <c r="E4795" t="n">
        <v>2034</v>
      </c>
      <c r="F4795" t="inlineStr">
        <is>
          <t>Luty</t>
        </is>
      </c>
      <c r="G4795" t="inlineStr">
        <is>
          <t>Śr</t>
        </is>
      </c>
      <c r="H4795">
        <f>'Floor Hours Engine'!$E$4</f>
        <v/>
      </c>
      <c r="I4795" t="inlineStr">
        <is>
          <t>W3</t>
        </is>
      </c>
      <c r="J4795" t="inlineStr">
        <is>
          <t>2034_Luty_W3</t>
        </is>
      </c>
    </row>
    <row r="4796">
      <c r="A4796" s="177" t="n">
        <v>48991</v>
      </c>
      <c r="B4796" s="177" t="n">
        <v>48989</v>
      </c>
      <c r="C4796" s="177" t="n">
        <v>48995</v>
      </c>
      <c r="D4796" t="inlineStr">
        <is>
          <t>BW20340214</t>
        </is>
      </c>
      <c r="E4796" t="n">
        <v>2034</v>
      </c>
      <c r="F4796" t="inlineStr">
        <is>
          <t>Luty</t>
        </is>
      </c>
      <c r="G4796" t="inlineStr">
        <is>
          <t>Czw</t>
        </is>
      </c>
      <c r="H4796">
        <f>'Floor Hours Engine'!$E$4</f>
        <v/>
      </c>
      <c r="I4796" t="inlineStr">
        <is>
          <t>W3</t>
        </is>
      </c>
      <c r="J4796" t="inlineStr">
        <is>
          <t>2034_Luty_W3</t>
        </is>
      </c>
    </row>
    <row r="4797">
      <c r="A4797" s="177" t="n">
        <v>48992</v>
      </c>
      <c r="B4797" s="177" t="n">
        <v>48989</v>
      </c>
      <c r="C4797" s="177" t="n">
        <v>48995</v>
      </c>
      <c r="D4797" t="inlineStr">
        <is>
          <t>BW20340214</t>
        </is>
      </c>
      <c r="E4797" t="n">
        <v>2034</v>
      </c>
      <c r="F4797" t="inlineStr">
        <is>
          <t>Luty</t>
        </is>
      </c>
      <c r="G4797" t="inlineStr">
        <is>
          <t>Pt</t>
        </is>
      </c>
      <c r="H4797">
        <f>'Floor Hours Engine'!$E$5</f>
        <v/>
      </c>
      <c r="I4797" t="inlineStr">
        <is>
          <t>W3</t>
        </is>
      </c>
      <c r="J4797" t="inlineStr">
        <is>
          <t>2034_Luty_W3</t>
        </is>
      </c>
    </row>
    <row r="4798">
      <c r="A4798" s="177" t="n">
        <v>48993</v>
      </c>
      <c r="B4798" s="177" t="n">
        <v>48989</v>
      </c>
      <c r="C4798" s="177" t="n">
        <v>48995</v>
      </c>
      <c r="D4798" t="inlineStr">
        <is>
          <t>BW20340214</t>
        </is>
      </c>
      <c r="E4798" t="n">
        <v>2034</v>
      </c>
      <c r="F4798" t="inlineStr">
        <is>
          <t>Luty</t>
        </is>
      </c>
      <c r="G4798" t="inlineStr">
        <is>
          <t>Sob</t>
        </is>
      </c>
      <c r="H4798">
        <f>'Floor Hours Engine'!$E$5</f>
        <v/>
      </c>
      <c r="I4798" t="inlineStr">
        <is>
          <t>W3</t>
        </is>
      </c>
      <c r="J4798" t="inlineStr">
        <is>
          <t>2034_Luty_W3</t>
        </is>
      </c>
    </row>
    <row r="4799">
      <c r="A4799" s="177" t="n">
        <v>48994</v>
      </c>
      <c r="B4799" s="177" t="n">
        <v>48989</v>
      </c>
      <c r="C4799" s="177" t="n">
        <v>48995</v>
      </c>
      <c r="D4799" t="inlineStr">
        <is>
          <t>BW20340214</t>
        </is>
      </c>
      <c r="E4799" t="n">
        <v>2034</v>
      </c>
      <c r="F4799" t="inlineStr">
        <is>
          <t>Luty</t>
        </is>
      </c>
      <c r="G4799" t="inlineStr">
        <is>
          <t>Nd</t>
        </is>
      </c>
      <c r="H4799">
        <f>'Floor Hours Engine'!$E$6</f>
        <v/>
      </c>
      <c r="I4799" t="inlineStr">
        <is>
          <t>W3</t>
        </is>
      </c>
      <c r="J4799" t="inlineStr">
        <is>
          <t>2034_Luty_W3</t>
        </is>
      </c>
    </row>
    <row r="4800">
      <c r="A4800" s="177" t="n">
        <v>48995</v>
      </c>
      <c r="B4800" s="177" t="n">
        <v>48989</v>
      </c>
      <c r="C4800" s="177" t="n">
        <v>48995</v>
      </c>
      <c r="D4800" t="inlineStr">
        <is>
          <t>BW20340214</t>
        </is>
      </c>
      <c r="E4800" t="n">
        <v>2034</v>
      </c>
      <c r="F4800" t="inlineStr">
        <is>
          <t>Luty</t>
        </is>
      </c>
      <c r="G4800" t="inlineStr">
        <is>
          <t>Pn</t>
        </is>
      </c>
      <c r="H4800">
        <f>'Floor Hours Engine'!$E$4</f>
        <v/>
      </c>
      <c r="I4800" t="inlineStr">
        <is>
          <t>W3</t>
        </is>
      </c>
      <c r="J4800" t="inlineStr">
        <is>
          <t>2034_Luty_W3</t>
        </is>
      </c>
    </row>
    <row r="4801">
      <c r="A4801" s="177" t="n">
        <v>48996</v>
      </c>
      <c r="B4801" s="177" t="n">
        <v>48996</v>
      </c>
      <c r="C4801" s="177" t="n">
        <v>49002</v>
      </c>
      <c r="D4801" t="inlineStr">
        <is>
          <t>BW20340221</t>
        </is>
      </c>
      <c r="E4801" t="n">
        <v>2034</v>
      </c>
      <c r="F4801" t="inlineStr">
        <is>
          <t>Luty</t>
        </is>
      </c>
      <c r="G4801" t="inlineStr">
        <is>
          <t>Wt</t>
        </is>
      </c>
      <c r="H4801">
        <f>'Floor Hours Engine'!$E$4</f>
        <v/>
      </c>
      <c r="I4801" t="inlineStr">
        <is>
          <t>W4</t>
        </is>
      </c>
      <c r="J4801" t="inlineStr">
        <is>
          <t>2034_Luty_W4</t>
        </is>
      </c>
    </row>
    <row r="4802">
      <c r="A4802" s="177" t="n">
        <v>48997</v>
      </c>
      <c r="B4802" s="177" t="n">
        <v>48996</v>
      </c>
      <c r="C4802" s="177" t="n">
        <v>49002</v>
      </c>
      <c r="D4802" t="inlineStr">
        <is>
          <t>BW20340221</t>
        </is>
      </c>
      <c r="E4802" t="n">
        <v>2034</v>
      </c>
      <c r="F4802" t="inlineStr">
        <is>
          <t>Luty</t>
        </is>
      </c>
      <c r="G4802" t="inlineStr">
        <is>
          <t>Śr</t>
        </is>
      </c>
      <c r="H4802">
        <f>'Floor Hours Engine'!$E$4</f>
        <v/>
      </c>
      <c r="I4802" t="inlineStr">
        <is>
          <t>W4</t>
        </is>
      </c>
      <c r="J4802" t="inlineStr">
        <is>
          <t>2034_Luty_W4</t>
        </is>
      </c>
    </row>
    <row r="4803">
      <c r="A4803" s="177" t="n">
        <v>48998</v>
      </c>
      <c r="B4803" s="177" t="n">
        <v>48996</v>
      </c>
      <c r="C4803" s="177" t="n">
        <v>49002</v>
      </c>
      <c r="D4803" t="inlineStr">
        <is>
          <t>BW20340221</t>
        </is>
      </c>
      <c r="E4803" t="n">
        <v>2034</v>
      </c>
      <c r="F4803" t="inlineStr">
        <is>
          <t>Luty</t>
        </is>
      </c>
      <c r="G4803" t="inlineStr">
        <is>
          <t>Czw</t>
        </is>
      </c>
      <c r="H4803">
        <f>'Floor Hours Engine'!$E$4</f>
        <v/>
      </c>
      <c r="I4803" t="inlineStr">
        <is>
          <t>W4</t>
        </is>
      </c>
      <c r="J4803" t="inlineStr">
        <is>
          <t>2034_Luty_W4</t>
        </is>
      </c>
    </row>
    <row r="4804">
      <c r="A4804" s="177" t="n">
        <v>48999</v>
      </c>
      <c r="B4804" s="177" t="n">
        <v>48996</v>
      </c>
      <c r="C4804" s="177" t="n">
        <v>49002</v>
      </c>
      <c r="D4804" t="inlineStr">
        <is>
          <t>BW20340221</t>
        </is>
      </c>
      <c r="E4804" t="n">
        <v>2034</v>
      </c>
      <c r="F4804" t="inlineStr">
        <is>
          <t>Luty</t>
        </is>
      </c>
      <c r="G4804" t="inlineStr">
        <is>
          <t>Pt</t>
        </is>
      </c>
      <c r="H4804">
        <f>'Floor Hours Engine'!$E$5</f>
        <v/>
      </c>
      <c r="I4804" t="inlineStr">
        <is>
          <t>W4</t>
        </is>
      </c>
      <c r="J4804" t="inlineStr">
        <is>
          <t>2034_Luty_W4</t>
        </is>
      </c>
    </row>
    <row r="4805">
      <c r="A4805" s="177" t="n">
        <v>49000</v>
      </c>
      <c r="B4805" s="177" t="n">
        <v>48996</v>
      </c>
      <c r="C4805" s="177" t="n">
        <v>49002</v>
      </c>
      <c r="D4805" t="inlineStr">
        <is>
          <t>BW20340221</t>
        </is>
      </c>
      <c r="E4805" t="n">
        <v>2034</v>
      </c>
      <c r="F4805" t="inlineStr">
        <is>
          <t>Luty</t>
        </is>
      </c>
      <c r="G4805" t="inlineStr">
        <is>
          <t>Sob</t>
        </is>
      </c>
      <c r="H4805">
        <f>'Floor Hours Engine'!$E$5</f>
        <v/>
      </c>
      <c r="I4805" t="inlineStr">
        <is>
          <t>W4</t>
        </is>
      </c>
      <c r="J4805" t="inlineStr">
        <is>
          <t>2034_Luty_W4</t>
        </is>
      </c>
    </row>
    <row r="4806">
      <c r="A4806" s="177" t="n">
        <v>49001</v>
      </c>
      <c r="B4806" s="177" t="n">
        <v>48996</v>
      </c>
      <c r="C4806" s="177" t="n">
        <v>49002</v>
      </c>
      <c r="D4806" t="inlineStr">
        <is>
          <t>BW20340221</t>
        </is>
      </c>
      <c r="E4806" t="n">
        <v>2034</v>
      </c>
      <c r="F4806" t="inlineStr">
        <is>
          <t>Luty</t>
        </is>
      </c>
      <c r="G4806" t="inlineStr">
        <is>
          <t>Nd</t>
        </is>
      </c>
      <c r="H4806">
        <f>'Floor Hours Engine'!$E$6</f>
        <v/>
      </c>
      <c r="I4806" t="inlineStr">
        <is>
          <t>W4</t>
        </is>
      </c>
      <c r="J4806" t="inlineStr">
        <is>
          <t>2034_Luty_W4</t>
        </is>
      </c>
    </row>
    <row r="4807">
      <c r="A4807" s="177" t="n">
        <v>49002</v>
      </c>
      <c r="B4807" s="177" t="n">
        <v>48996</v>
      </c>
      <c r="C4807" s="177" t="n">
        <v>49002</v>
      </c>
      <c r="D4807" t="inlineStr">
        <is>
          <t>BW20340221</t>
        </is>
      </c>
      <c r="E4807" t="n">
        <v>2034</v>
      </c>
      <c r="F4807" t="inlineStr">
        <is>
          <t>Luty</t>
        </is>
      </c>
      <c r="G4807" t="inlineStr">
        <is>
          <t>Pn</t>
        </is>
      </c>
      <c r="H4807">
        <f>'Floor Hours Engine'!$E$4</f>
        <v/>
      </c>
      <c r="I4807" t="inlineStr">
        <is>
          <t>W4</t>
        </is>
      </c>
      <c r="J4807" t="inlineStr">
        <is>
          <t>2034_Luty_W4</t>
        </is>
      </c>
    </row>
    <row r="4808">
      <c r="A4808" s="177" t="n">
        <v>49003</v>
      </c>
      <c r="B4808" s="177" t="n">
        <v>49003</v>
      </c>
      <c r="C4808" s="177" t="n">
        <v>49009</v>
      </c>
      <c r="D4808" t="inlineStr">
        <is>
          <t>BW20340228</t>
        </is>
      </c>
      <c r="E4808" t="n">
        <v>2034</v>
      </c>
      <c r="F4808" t="inlineStr">
        <is>
          <t>Luty</t>
        </is>
      </c>
      <c r="G4808" t="inlineStr">
        <is>
          <t>Wt</t>
        </is>
      </c>
      <c r="H4808">
        <f>'Floor Hours Engine'!$E$4</f>
        <v/>
      </c>
      <c r="I4808" t="inlineStr">
        <is>
          <t>W5</t>
        </is>
      </c>
      <c r="J4808" t="inlineStr">
        <is>
          <t>2034_Luty_W5</t>
        </is>
      </c>
    </row>
    <row r="4809">
      <c r="A4809" s="177" t="n">
        <v>49004</v>
      </c>
      <c r="B4809" s="177" t="n">
        <v>49003</v>
      </c>
      <c r="C4809" s="177" t="n">
        <v>49009</v>
      </c>
      <c r="D4809" t="inlineStr">
        <is>
          <t>BW20340228</t>
        </is>
      </c>
      <c r="E4809" t="n">
        <v>2034</v>
      </c>
      <c r="F4809" t="inlineStr">
        <is>
          <t>Marzec</t>
        </is>
      </c>
      <c r="G4809" t="inlineStr">
        <is>
          <t>Śr</t>
        </is>
      </c>
      <c r="H4809">
        <f>'Floor Hours Engine'!$E$4</f>
        <v/>
      </c>
      <c r="I4809" t="inlineStr">
        <is>
          <t>W1</t>
        </is>
      </c>
      <c r="J4809" t="inlineStr">
        <is>
          <t>2034_Marzec_W1</t>
        </is>
      </c>
    </row>
    <row r="4810">
      <c r="A4810" s="177" t="n">
        <v>49005</v>
      </c>
      <c r="B4810" s="177" t="n">
        <v>49003</v>
      </c>
      <c r="C4810" s="177" t="n">
        <v>49009</v>
      </c>
      <c r="D4810" t="inlineStr">
        <is>
          <t>BW20340228</t>
        </is>
      </c>
      <c r="E4810" t="n">
        <v>2034</v>
      </c>
      <c r="F4810" t="inlineStr">
        <is>
          <t>Marzec</t>
        </is>
      </c>
      <c r="G4810" t="inlineStr">
        <is>
          <t>Czw</t>
        </is>
      </c>
      <c r="H4810">
        <f>'Floor Hours Engine'!$E$4</f>
        <v/>
      </c>
      <c r="I4810" t="inlineStr">
        <is>
          <t>W1</t>
        </is>
      </c>
      <c r="J4810" t="inlineStr">
        <is>
          <t>2034_Marzec_W1</t>
        </is>
      </c>
    </row>
    <row r="4811">
      <c r="A4811" s="177" t="n">
        <v>49006</v>
      </c>
      <c r="B4811" s="177" t="n">
        <v>49003</v>
      </c>
      <c r="C4811" s="177" t="n">
        <v>49009</v>
      </c>
      <c r="D4811" t="inlineStr">
        <is>
          <t>BW20340228</t>
        </is>
      </c>
      <c r="E4811" t="n">
        <v>2034</v>
      </c>
      <c r="F4811" t="inlineStr">
        <is>
          <t>Marzec</t>
        </is>
      </c>
      <c r="G4811" t="inlineStr">
        <is>
          <t>Pt</t>
        </is>
      </c>
      <c r="H4811">
        <f>'Floor Hours Engine'!$E$5</f>
        <v/>
      </c>
      <c r="I4811" t="inlineStr">
        <is>
          <t>W1</t>
        </is>
      </c>
      <c r="J4811" t="inlineStr">
        <is>
          <t>2034_Marzec_W1</t>
        </is>
      </c>
    </row>
    <row r="4812">
      <c r="A4812" s="177" t="n">
        <v>49007</v>
      </c>
      <c r="B4812" s="177" t="n">
        <v>49003</v>
      </c>
      <c r="C4812" s="177" t="n">
        <v>49009</v>
      </c>
      <c r="D4812" t="inlineStr">
        <is>
          <t>BW20340228</t>
        </is>
      </c>
      <c r="E4812" t="n">
        <v>2034</v>
      </c>
      <c r="F4812" t="inlineStr">
        <is>
          <t>Marzec</t>
        </is>
      </c>
      <c r="G4812" t="inlineStr">
        <is>
          <t>Sob</t>
        </is>
      </c>
      <c r="H4812">
        <f>'Floor Hours Engine'!$E$5</f>
        <v/>
      </c>
      <c r="I4812" t="inlineStr">
        <is>
          <t>W1</t>
        </is>
      </c>
      <c r="J4812" t="inlineStr">
        <is>
          <t>2034_Marzec_W1</t>
        </is>
      </c>
    </row>
    <row r="4813">
      <c r="A4813" s="177" t="n">
        <v>49008</v>
      </c>
      <c r="B4813" s="177" t="n">
        <v>49003</v>
      </c>
      <c r="C4813" s="177" t="n">
        <v>49009</v>
      </c>
      <c r="D4813" t="inlineStr">
        <is>
          <t>BW20340228</t>
        </is>
      </c>
      <c r="E4813" t="n">
        <v>2034</v>
      </c>
      <c r="F4813" t="inlineStr">
        <is>
          <t>Marzec</t>
        </is>
      </c>
      <c r="G4813" t="inlineStr">
        <is>
          <t>Nd</t>
        </is>
      </c>
      <c r="H4813">
        <f>'Floor Hours Engine'!$E$6</f>
        <v/>
      </c>
      <c r="I4813" t="inlineStr">
        <is>
          <t>W1</t>
        </is>
      </c>
      <c r="J4813" t="inlineStr">
        <is>
          <t>2034_Marzec_W1</t>
        </is>
      </c>
    </row>
    <row r="4814">
      <c r="A4814" s="177" t="n">
        <v>49009</v>
      </c>
      <c r="B4814" s="177" t="n">
        <v>49003</v>
      </c>
      <c r="C4814" s="177" t="n">
        <v>49009</v>
      </c>
      <c r="D4814" t="inlineStr">
        <is>
          <t>BW20340228</t>
        </is>
      </c>
      <c r="E4814" t="n">
        <v>2034</v>
      </c>
      <c r="F4814" t="inlineStr">
        <is>
          <t>Marzec</t>
        </is>
      </c>
      <c r="G4814" t="inlineStr">
        <is>
          <t>Pn</t>
        </is>
      </c>
      <c r="H4814">
        <f>'Floor Hours Engine'!$E$4</f>
        <v/>
      </c>
      <c r="I4814" t="inlineStr">
        <is>
          <t>W1</t>
        </is>
      </c>
      <c r="J4814" t="inlineStr">
        <is>
          <t>2034_Marzec_W1</t>
        </is>
      </c>
    </row>
    <row r="4815">
      <c r="A4815" s="177" t="n">
        <v>49010</v>
      </c>
      <c r="B4815" s="177" t="n">
        <v>49010</v>
      </c>
      <c r="C4815" s="177" t="n">
        <v>49016</v>
      </c>
      <c r="D4815" t="inlineStr">
        <is>
          <t>BW20340307</t>
        </is>
      </c>
      <c r="E4815" t="n">
        <v>2034</v>
      </c>
      <c r="F4815" t="inlineStr">
        <is>
          <t>Marzec</t>
        </is>
      </c>
      <c r="G4815" t="inlineStr">
        <is>
          <t>Wt</t>
        </is>
      </c>
      <c r="H4815">
        <f>'Floor Hours Engine'!$E$4</f>
        <v/>
      </c>
      <c r="I4815" t="inlineStr">
        <is>
          <t>W2</t>
        </is>
      </c>
      <c r="J4815" t="inlineStr">
        <is>
          <t>2034_Marzec_W2</t>
        </is>
      </c>
    </row>
    <row r="4816">
      <c r="A4816" s="177" t="n">
        <v>49011</v>
      </c>
      <c r="B4816" s="177" t="n">
        <v>49010</v>
      </c>
      <c r="C4816" s="177" t="n">
        <v>49016</v>
      </c>
      <c r="D4816" t="inlineStr">
        <is>
          <t>BW20340307</t>
        </is>
      </c>
      <c r="E4816" t="n">
        <v>2034</v>
      </c>
      <c r="F4816" t="inlineStr">
        <is>
          <t>Marzec</t>
        </is>
      </c>
      <c r="G4816" t="inlineStr">
        <is>
          <t>Śr</t>
        </is>
      </c>
      <c r="H4816">
        <f>'Floor Hours Engine'!$E$4</f>
        <v/>
      </c>
      <c r="I4816" t="inlineStr">
        <is>
          <t>W2</t>
        </is>
      </c>
      <c r="J4816" t="inlineStr">
        <is>
          <t>2034_Marzec_W2</t>
        </is>
      </c>
    </row>
    <row r="4817">
      <c r="A4817" s="177" t="n">
        <v>49012</v>
      </c>
      <c r="B4817" s="177" t="n">
        <v>49010</v>
      </c>
      <c r="C4817" s="177" t="n">
        <v>49016</v>
      </c>
      <c r="D4817" t="inlineStr">
        <is>
          <t>BW20340307</t>
        </is>
      </c>
      <c r="E4817" t="n">
        <v>2034</v>
      </c>
      <c r="F4817" t="inlineStr">
        <is>
          <t>Marzec</t>
        </is>
      </c>
      <c r="G4817" t="inlineStr">
        <is>
          <t>Czw</t>
        </is>
      </c>
      <c r="H4817">
        <f>'Floor Hours Engine'!$E$4</f>
        <v/>
      </c>
      <c r="I4817" t="inlineStr">
        <is>
          <t>W2</t>
        </is>
      </c>
      <c r="J4817" t="inlineStr">
        <is>
          <t>2034_Marzec_W2</t>
        </is>
      </c>
    </row>
    <row r="4818">
      <c r="A4818" s="177" t="n">
        <v>49013</v>
      </c>
      <c r="B4818" s="177" t="n">
        <v>49010</v>
      </c>
      <c r="C4818" s="177" t="n">
        <v>49016</v>
      </c>
      <c r="D4818" t="inlineStr">
        <is>
          <t>BW20340307</t>
        </is>
      </c>
      <c r="E4818" t="n">
        <v>2034</v>
      </c>
      <c r="F4818" t="inlineStr">
        <is>
          <t>Marzec</t>
        </is>
      </c>
      <c r="G4818" t="inlineStr">
        <is>
          <t>Pt</t>
        </is>
      </c>
      <c r="H4818">
        <f>'Floor Hours Engine'!$E$5</f>
        <v/>
      </c>
      <c r="I4818" t="inlineStr">
        <is>
          <t>W2</t>
        </is>
      </c>
      <c r="J4818" t="inlineStr">
        <is>
          <t>2034_Marzec_W2</t>
        </is>
      </c>
    </row>
    <row r="4819">
      <c r="A4819" s="177" t="n">
        <v>49014</v>
      </c>
      <c r="B4819" s="177" t="n">
        <v>49010</v>
      </c>
      <c r="C4819" s="177" t="n">
        <v>49016</v>
      </c>
      <c r="D4819" t="inlineStr">
        <is>
          <t>BW20340307</t>
        </is>
      </c>
      <c r="E4819" t="n">
        <v>2034</v>
      </c>
      <c r="F4819" t="inlineStr">
        <is>
          <t>Marzec</t>
        </is>
      </c>
      <c r="G4819" t="inlineStr">
        <is>
          <t>Sob</t>
        </is>
      </c>
      <c r="H4819">
        <f>'Floor Hours Engine'!$E$5</f>
        <v/>
      </c>
      <c r="I4819" t="inlineStr">
        <is>
          <t>W2</t>
        </is>
      </c>
      <c r="J4819" t="inlineStr">
        <is>
          <t>2034_Marzec_W2</t>
        </is>
      </c>
    </row>
    <row r="4820">
      <c r="A4820" s="177" t="n">
        <v>49015</v>
      </c>
      <c r="B4820" s="177" t="n">
        <v>49010</v>
      </c>
      <c r="C4820" s="177" t="n">
        <v>49016</v>
      </c>
      <c r="D4820" t="inlineStr">
        <is>
          <t>BW20340307</t>
        </is>
      </c>
      <c r="E4820" t="n">
        <v>2034</v>
      </c>
      <c r="F4820" t="inlineStr">
        <is>
          <t>Marzec</t>
        </is>
      </c>
      <c r="G4820" t="inlineStr">
        <is>
          <t>Nd</t>
        </is>
      </c>
      <c r="H4820">
        <f>'Floor Hours Engine'!$E$6</f>
        <v/>
      </c>
      <c r="I4820" t="inlineStr">
        <is>
          <t>W2</t>
        </is>
      </c>
      <c r="J4820" t="inlineStr">
        <is>
          <t>2034_Marzec_W2</t>
        </is>
      </c>
    </row>
    <row r="4821">
      <c r="A4821" s="177" t="n">
        <v>49016</v>
      </c>
      <c r="B4821" s="177" t="n">
        <v>49010</v>
      </c>
      <c r="C4821" s="177" t="n">
        <v>49016</v>
      </c>
      <c r="D4821" t="inlineStr">
        <is>
          <t>BW20340307</t>
        </is>
      </c>
      <c r="E4821" t="n">
        <v>2034</v>
      </c>
      <c r="F4821" t="inlineStr">
        <is>
          <t>Marzec</t>
        </is>
      </c>
      <c r="G4821" t="inlineStr">
        <is>
          <t>Pn</t>
        </is>
      </c>
      <c r="H4821">
        <f>'Floor Hours Engine'!$E$4</f>
        <v/>
      </c>
      <c r="I4821" t="inlineStr">
        <is>
          <t>W2</t>
        </is>
      </c>
      <c r="J4821" t="inlineStr">
        <is>
          <t>2034_Marzec_W2</t>
        </is>
      </c>
    </row>
    <row r="4822">
      <c r="A4822" s="177" t="n">
        <v>49017</v>
      </c>
      <c r="B4822" s="177" t="n">
        <v>49017</v>
      </c>
      <c r="C4822" s="177" t="n">
        <v>49023</v>
      </c>
      <c r="D4822" t="inlineStr">
        <is>
          <t>BW20340314</t>
        </is>
      </c>
      <c r="E4822" t="n">
        <v>2034</v>
      </c>
      <c r="F4822" t="inlineStr">
        <is>
          <t>Marzec</t>
        </is>
      </c>
      <c r="G4822" t="inlineStr">
        <is>
          <t>Wt</t>
        </is>
      </c>
      <c r="H4822">
        <f>'Floor Hours Engine'!$E$4</f>
        <v/>
      </c>
      <c r="I4822" t="inlineStr">
        <is>
          <t>W3</t>
        </is>
      </c>
      <c r="J4822" t="inlineStr">
        <is>
          <t>2034_Marzec_W3</t>
        </is>
      </c>
    </row>
    <row r="4823">
      <c r="A4823" s="177" t="n">
        <v>49018</v>
      </c>
      <c r="B4823" s="177" t="n">
        <v>49017</v>
      </c>
      <c r="C4823" s="177" t="n">
        <v>49023</v>
      </c>
      <c r="D4823" t="inlineStr">
        <is>
          <t>BW20340314</t>
        </is>
      </c>
      <c r="E4823" t="n">
        <v>2034</v>
      </c>
      <c r="F4823" t="inlineStr">
        <is>
          <t>Marzec</t>
        </is>
      </c>
      <c r="G4823" t="inlineStr">
        <is>
          <t>Śr</t>
        </is>
      </c>
      <c r="H4823">
        <f>'Floor Hours Engine'!$E$4</f>
        <v/>
      </c>
      <c r="I4823" t="inlineStr">
        <is>
          <t>W3</t>
        </is>
      </c>
      <c r="J4823" t="inlineStr">
        <is>
          <t>2034_Marzec_W3</t>
        </is>
      </c>
    </row>
    <row r="4824">
      <c r="A4824" s="177" t="n">
        <v>49019</v>
      </c>
      <c r="B4824" s="177" t="n">
        <v>49017</v>
      </c>
      <c r="C4824" s="177" t="n">
        <v>49023</v>
      </c>
      <c r="D4824" t="inlineStr">
        <is>
          <t>BW20340314</t>
        </is>
      </c>
      <c r="E4824" t="n">
        <v>2034</v>
      </c>
      <c r="F4824" t="inlineStr">
        <is>
          <t>Marzec</t>
        </is>
      </c>
      <c r="G4824" t="inlineStr">
        <is>
          <t>Czw</t>
        </is>
      </c>
      <c r="H4824">
        <f>'Floor Hours Engine'!$E$4</f>
        <v/>
      </c>
      <c r="I4824" t="inlineStr">
        <is>
          <t>W3</t>
        </is>
      </c>
      <c r="J4824" t="inlineStr">
        <is>
          <t>2034_Marzec_W3</t>
        </is>
      </c>
    </row>
    <row r="4825">
      <c r="A4825" s="177" t="n">
        <v>49020</v>
      </c>
      <c r="B4825" s="177" t="n">
        <v>49017</v>
      </c>
      <c r="C4825" s="177" t="n">
        <v>49023</v>
      </c>
      <c r="D4825" t="inlineStr">
        <is>
          <t>BW20340314</t>
        </is>
      </c>
      <c r="E4825" t="n">
        <v>2034</v>
      </c>
      <c r="F4825" t="inlineStr">
        <is>
          <t>Marzec</t>
        </is>
      </c>
      <c r="G4825" t="inlineStr">
        <is>
          <t>Pt</t>
        </is>
      </c>
      <c r="H4825">
        <f>'Floor Hours Engine'!$E$5</f>
        <v/>
      </c>
      <c r="I4825" t="inlineStr">
        <is>
          <t>W3</t>
        </is>
      </c>
      <c r="J4825" t="inlineStr">
        <is>
          <t>2034_Marzec_W3</t>
        </is>
      </c>
    </row>
    <row r="4826">
      <c r="A4826" s="177" t="n">
        <v>49021</v>
      </c>
      <c r="B4826" s="177" t="n">
        <v>49017</v>
      </c>
      <c r="C4826" s="177" t="n">
        <v>49023</v>
      </c>
      <c r="D4826" t="inlineStr">
        <is>
          <t>BW20340314</t>
        </is>
      </c>
      <c r="E4826" t="n">
        <v>2034</v>
      </c>
      <c r="F4826" t="inlineStr">
        <is>
          <t>Marzec</t>
        </is>
      </c>
      <c r="G4826" t="inlineStr">
        <is>
          <t>Sob</t>
        </is>
      </c>
      <c r="H4826">
        <f>'Floor Hours Engine'!$E$5</f>
        <v/>
      </c>
      <c r="I4826" t="inlineStr">
        <is>
          <t>W3</t>
        </is>
      </c>
      <c r="J4826" t="inlineStr">
        <is>
          <t>2034_Marzec_W3</t>
        </is>
      </c>
    </row>
    <row r="4827">
      <c r="A4827" s="177" t="n">
        <v>49022</v>
      </c>
      <c r="B4827" s="177" t="n">
        <v>49017</v>
      </c>
      <c r="C4827" s="177" t="n">
        <v>49023</v>
      </c>
      <c r="D4827" t="inlineStr">
        <is>
          <t>BW20340314</t>
        </is>
      </c>
      <c r="E4827" t="n">
        <v>2034</v>
      </c>
      <c r="F4827" t="inlineStr">
        <is>
          <t>Marzec</t>
        </is>
      </c>
      <c r="G4827" t="inlineStr">
        <is>
          <t>Nd</t>
        </is>
      </c>
      <c r="H4827">
        <f>'Floor Hours Engine'!$E$6</f>
        <v/>
      </c>
      <c r="I4827" t="inlineStr">
        <is>
          <t>W3</t>
        </is>
      </c>
      <c r="J4827" t="inlineStr">
        <is>
          <t>2034_Marzec_W3</t>
        </is>
      </c>
    </row>
    <row r="4828">
      <c r="A4828" s="177" t="n">
        <v>49023</v>
      </c>
      <c r="B4828" s="177" t="n">
        <v>49017</v>
      </c>
      <c r="C4828" s="177" t="n">
        <v>49023</v>
      </c>
      <c r="D4828" t="inlineStr">
        <is>
          <t>BW20340314</t>
        </is>
      </c>
      <c r="E4828" t="n">
        <v>2034</v>
      </c>
      <c r="F4828" t="inlineStr">
        <is>
          <t>Marzec</t>
        </is>
      </c>
      <c r="G4828" t="inlineStr">
        <is>
          <t>Pn</t>
        </is>
      </c>
      <c r="H4828">
        <f>'Floor Hours Engine'!$E$4</f>
        <v/>
      </c>
      <c r="I4828" t="inlineStr">
        <is>
          <t>W3</t>
        </is>
      </c>
      <c r="J4828" t="inlineStr">
        <is>
          <t>2034_Marzec_W3</t>
        </is>
      </c>
    </row>
    <row r="4829">
      <c r="A4829" s="177" t="n">
        <v>49024</v>
      </c>
      <c r="B4829" s="177" t="n">
        <v>49024</v>
      </c>
      <c r="C4829" s="177" t="n">
        <v>49030</v>
      </c>
      <c r="D4829" t="inlineStr">
        <is>
          <t>BW20340321</t>
        </is>
      </c>
      <c r="E4829" t="n">
        <v>2034</v>
      </c>
      <c r="F4829" t="inlineStr">
        <is>
          <t>Marzec</t>
        </is>
      </c>
      <c r="G4829" t="inlineStr">
        <is>
          <t>Wt</t>
        </is>
      </c>
      <c r="H4829">
        <f>'Floor Hours Engine'!$E$4</f>
        <v/>
      </c>
      <c r="I4829" t="inlineStr">
        <is>
          <t>W4</t>
        </is>
      </c>
      <c r="J4829" t="inlineStr">
        <is>
          <t>2034_Marzec_W4</t>
        </is>
      </c>
    </row>
    <row r="4830">
      <c r="A4830" s="177" t="n">
        <v>49025</v>
      </c>
      <c r="B4830" s="177" t="n">
        <v>49024</v>
      </c>
      <c r="C4830" s="177" t="n">
        <v>49030</v>
      </c>
      <c r="D4830" t="inlineStr">
        <is>
          <t>BW20340321</t>
        </is>
      </c>
      <c r="E4830" t="n">
        <v>2034</v>
      </c>
      <c r="F4830" t="inlineStr">
        <is>
          <t>Marzec</t>
        </is>
      </c>
      <c r="G4830" t="inlineStr">
        <is>
          <t>Śr</t>
        </is>
      </c>
      <c r="H4830">
        <f>'Floor Hours Engine'!$E$4</f>
        <v/>
      </c>
      <c r="I4830" t="inlineStr">
        <is>
          <t>W4</t>
        </is>
      </c>
      <c r="J4830" t="inlineStr">
        <is>
          <t>2034_Marzec_W4</t>
        </is>
      </c>
    </row>
    <row r="4831">
      <c r="A4831" s="177" t="n">
        <v>49026</v>
      </c>
      <c r="B4831" s="177" t="n">
        <v>49024</v>
      </c>
      <c r="C4831" s="177" t="n">
        <v>49030</v>
      </c>
      <c r="D4831" t="inlineStr">
        <is>
          <t>BW20340321</t>
        </is>
      </c>
      <c r="E4831" t="n">
        <v>2034</v>
      </c>
      <c r="F4831" t="inlineStr">
        <is>
          <t>Marzec</t>
        </is>
      </c>
      <c r="G4831" t="inlineStr">
        <is>
          <t>Czw</t>
        </is>
      </c>
      <c r="H4831">
        <f>'Floor Hours Engine'!$E$4</f>
        <v/>
      </c>
      <c r="I4831" t="inlineStr">
        <is>
          <t>W4</t>
        </is>
      </c>
      <c r="J4831" t="inlineStr">
        <is>
          <t>2034_Marzec_W4</t>
        </is>
      </c>
    </row>
    <row r="4832">
      <c r="A4832" s="177" t="n">
        <v>49027</v>
      </c>
      <c r="B4832" s="177" t="n">
        <v>49024</v>
      </c>
      <c r="C4832" s="177" t="n">
        <v>49030</v>
      </c>
      <c r="D4832" t="inlineStr">
        <is>
          <t>BW20340321</t>
        </is>
      </c>
      <c r="E4832" t="n">
        <v>2034</v>
      </c>
      <c r="F4832" t="inlineStr">
        <is>
          <t>Marzec</t>
        </is>
      </c>
      <c r="G4832" t="inlineStr">
        <is>
          <t>Pt</t>
        </is>
      </c>
      <c r="H4832">
        <f>'Floor Hours Engine'!$E$5</f>
        <v/>
      </c>
      <c r="I4832" t="inlineStr">
        <is>
          <t>W4</t>
        </is>
      </c>
      <c r="J4832" t="inlineStr">
        <is>
          <t>2034_Marzec_W4</t>
        </is>
      </c>
    </row>
    <row r="4833">
      <c r="A4833" s="177" t="n">
        <v>49028</v>
      </c>
      <c r="B4833" s="177" t="n">
        <v>49024</v>
      </c>
      <c r="C4833" s="177" t="n">
        <v>49030</v>
      </c>
      <c r="D4833" t="inlineStr">
        <is>
          <t>BW20340321</t>
        </is>
      </c>
      <c r="E4833" t="n">
        <v>2034</v>
      </c>
      <c r="F4833" t="inlineStr">
        <is>
          <t>Marzec</t>
        </is>
      </c>
      <c r="G4833" t="inlineStr">
        <is>
          <t>Sob</t>
        </is>
      </c>
      <c r="H4833">
        <f>'Floor Hours Engine'!$E$5</f>
        <v/>
      </c>
      <c r="I4833" t="inlineStr">
        <is>
          <t>W4</t>
        </is>
      </c>
      <c r="J4833" t="inlineStr">
        <is>
          <t>2034_Marzec_W4</t>
        </is>
      </c>
    </row>
    <row r="4834">
      <c r="A4834" s="177" t="n">
        <v>49029</v>
      </c>
      <c r="B4834" s="177" t="n">
        <v>49024</v>
      </c>
      <c r="C4834" s="177" t="n">
        <v>49030</v>
      </c>
      <c r="D4834" t="inlineStr">
        <is>
          <t>BW20340321</t>
        </is>
      </c>
      <c r="E4834" t="n">
        <v>2034</v>
      </c>
      <c r="F4834" t="inlineStr">
        <is>
          <t>Marzec</t>
        </is>
      </c>
      <c r="G4834" t="inlineStr">
        <is>
          <t>Nd</t>
        </is>
      </c>
      <c r="H4834">
        <f>'Floor Hours Engine'!$E$6</f>
        <v/>
      </c>
      <c r="I4834" t="inlineStr">
        <is>
          <t>W4</t>
        </is>
      </c>
      <c r="J4834" t="inlineStr">
        <is>
          <t>2034_Marzec_W4</t>
        </is>
      </c>
    </row>
    <row r="4835">
      <c r="A4835" s="177" t="n">
        <v>49030</v>
      </c>
      <c r="B4835" s="177" t="n">
        <v>49024</v>
      </c>
      <c r="C4835" s="177" t="n">
        <v>49030</v>
      </c>
      <c r="D4835" t="inlineStr">
        <is>
          <t>BW20340321</t>
        </is>
      </c>
      <c r="E4835" t="n">
        <v>2034</v>
      </c>
      <c r="F4835" t="inlineStr">
        <is>
          <t>Marzec</t>
        </is>
      </c>
      <c r="G4835" t="inlineStr">
        <is>
          <t>Pn</t>
        </is>
      </c>
      <c r="H4835">
        <f>'Floor Hours Engine'!$E$4</f>
        <v/>
      </c>
      <c r="I4835" t="inlineStr">
        <is>
          <t>W4</t>
        </is>
      </c>
      <c r="J4835" t="inlineStr">
        <is>
          <t>2034_Marzec_W4</t>
        </is>
      </c>
    </row>
    <row r="4836">
      <c r="A4836" s="177" t="n">
        <v>49031</v>
      </c>
      <c r="B4836" s="177" t="n">
        <v>49031</v>
      </c>
      <c r="C4836" s="177" t="n">
        <v>49037</v>
      </c>
      <c r="D4836" t="inlineStr">
        <is>
          <t>BW20340328</t>
        </is>
      </c>
      <c r="E4836" t="n">
        <v>2034</v>
      </c>
      <c r="F4836" t="inlineStr">
        <is>
          <t>Marzec</t>
        </is>
      </c>
      <c r="G4836" t="inlineStr">
        <is>
          <t>Wt</t>
        </is>
      </c>
      <c r="H4836">
        <f>'Floor Hours Engine'!$E$4</f>
        <v/>
      </c>
      <c r="I4836" t="inlineStr">
        <is>
          <t>W5</t>
        </is>
      </c>
      <c r="J4836" t="inlineStr">
        <is>
          <t>2034_Marzec_W5</t>
        </is>
      </c>
    </row>
    <row r="4837">
      <c r="A4837" s="177" t="n">
        <v>49032</v>
      </c>
      <c r="B4837" s="177" t="n">
        <v>49031</v>
      </c>
      <c r="C4837" s="177" t="n">
        <v>49037</v>
      </c>
      <c r="D4837" t="inlineStr">
        <is>
          <t>BW20340328</t>
        </is>
      </c>
      <c r="E4837" t="n">
        <v>2034</v>
      </c>
      <c r="F4837" t="inlineStr">
        <is>
          <t>Marzec</t>
        </is>
      </c>
      <c r="G4837" t="inlineStr">
        <is>
          <t>Śr</t>
        </is>
      </c>
      <c r="H4837">
        <f>'Floor Hours Engine'!$E$4</f>
        <v/>
      </c>
      <c r="I4837" t="inlineStr">
        <is>
          <t>W5</t>
        </is>
      </c>
      <c r="J4837" t="inlineStr">
        <is>
          <t>2034_Marzec_W5</t>
        </is>
      </c>
    </row>
    <row r="4838">
      <c r="A4838" s="177" t="n">
        <v>49033</v>
      </c>
      <c r="B4838" s="177" t="n">
        <v>49031</v>
      </c>
      <c r="C4838" s="177" t="n">
        <v>49037</v>
      </c>
      <c r="D4838" t="inlineStr">
        <is>
          <t>BW20340328</t>
        </is>
      </c>
      <c r="E4838" t="n">
        <v>2034</v>
      </c>
      <c r="F4838" t="inlineStr">
        <is>
          <t>Marzec</t>
        </is>
      </c>
      <c r="G4838" t="inlineStr">
        <is>
          <t>Czw</t>
        </is>
      </c>
      <c r="H4838">
        <f>'Floor Hours Engine'!$E$4</f>
        <v/>
      </c>
      <c r="I4838" t="inlineStr">
        <is>
          <t>W5</t>
        </is>
      </c>
      <c r="J4838" t="inlineStr">
        <is>
          <t>2034_Marzec_W5</t>
        </is>
      </c>
    </row>
    <row r="4839">
      <c r="A4839" s="177" t="n">
        <v>49034</v>
      </c>
      <c r="B4839" s="177" t="n">
        <v>49031</v>
      </c>
      <c r="C4839" s="177" t="n">
        <v>49037</v>
      </c>
      <c r="D4839" t="inlineStr">
        <is>
          <t>BW20340328</t>
        </is>
      </c>
      <c r="E4839" t="n">
        <v>2034</v>
      </c>
      <c r="F4839" t="inlineStr">
        <is>
          <t>Marzec</t>
        </is>
      </c>
      <c r="G4839" t="inlineStr">
        <is>
          <t>Pt</t>
        </is>
      </c>
      <c r="H4839">
        <f>'Floor Hours Engine'!$E$5</f>
        <v/>
      </c>
      <c r="I4839" t="inlineStr">
        <is>
          <t>W5</t>
        </is>
      </c>
      <c r="J4839" t="inlineStr">
        <is>
          <t>2034_Marzec_W5</t>
        </is>
      </c>
    </row>
    <row r="4840">
      <c r="A4840" s="177" t="n">
        <v>49035</v>
      </c>
      <c r="B4840" s="177" t="n">
        <v>49031</v>
      </c>
      <c r="C4840" s="177" t="n">
        <v>49037</v>
      </c>
      <c r="D4840" t="inlineStr">
        <is>
          <t>BW20340328</t>
        </is>
      </c>
      <c r="E4840" t="n">
        <v>2034</v>
      </c>
      <c r="F4840" t="inlineStr">
        <is>
          <t>Kwiecień</t>
        </is>
      </c>
      <c r="G4840" t="inlineStr">
        <is>
          <t>Sob</t>
        </is>
      </c>
      <c r="H4840">
        <f>'Floor Hours Engine'!$E$5</f>
        <v/>
      </c>
      <c r="I4840" t="inlineStr">
        <is>
          <t>W1</t>
        </is>
      </c>
      <c r="J4840" t="inlineStr">
        <is>
          <t>2034_Kwiecień_W1</t>
        </is>
      </c>
    </row>
    <row r="4841">
      <c r="A4841" s="177" t="n">
        <v>49036</v>
      </c>
      <c r="B4841" s="177" t="n">
        <v>49031</v>
      </c>
      <c r="C4841" s="177" t="n">
        <v>49037</v>
      </c>
      <c r="D4841" t="inlineStr">
        <is>
          <t>BW20340328</t>
        </is>
      </c>
      <c r="E4841" t="n">
        <v>2034</v>
      </c>
      <c r="F4841" t="inlineStr">
        <is>
          <t>Kwiecień</t>
        </is>
      </c>
      <c r="G4841" t="inlineStr">
        <is>
          <t>Nd</t>
        </is>
      </c>
      <c r="H4841">
        <f>'Floor Hours Engine'!$E$6</f>
        <v/>
      </c>
      <c r="I4841" t="inlineStr">
        <is>
          <t>W1</t>
        </is>
      </c>
      <c r="J4841" t="inlineStr">
        <is>
          <t>2034_Kwiecień_W1</t>
        </is>
      </c>
    </row>
    <row r="4842">
      <c r="A4842" s="177" t="n">
        <v>49037</v>
      </c>
      <c r="B4842" s="177" t="n">
        <v>49031</v>
      </c>
      <c r="C4842" s="177" t="n">
        <v>49037</v>
      </c>
      <c r="D4842" t="inlineStr">
        <is>
          <t>BW20340328</t>
        </is>
      </c>
      <c r="E4842" t="n">
        <v>2034</v>
      </c>
      <c r="F4842" t="inlineStr">
        <is>
          <t>Kwiecień</t>
        </is>
      </c>
      <c r="G4842" t="inlineStr">
        <is>
          <t>Pn</t>
        </is>
      </c>
      <c r="H4842">
        <f>'Floor Hours Engine'!$E$4</f>
        <v/>
      </c>
      <c r="I4842" t="inlineStr">
        <is>
          <t>W1</t>
        </is>
      </c>
      <c r="J4842" t="inlineStr">
        <is>
          <t>2034_Kwiecień_W1</t>
        </is>
      </c>
    </row>
    <row r="4843">
      <c r="A4843" s="177" t="n">
        <v>49038</v>
      </c>
      <c r="B4843" s="177" t="n">
        <v>49038</v>
      </c>
      <c r="C4843" s="177" t="n">
        <v>49044</v>
      </c>
      <c r="D4843" t="inlineStr">
        <is>
          <t>BW20340404</t>
        </is>
      </c>
      <c r="E4843" t="n">
        <v>2034</v>
      </c>
      <c r="F4843" t="inlineStr">
        <is>
          <t>Kwiecień</t>
        </is>
      </c>
      <c r="G4843" t="inlineStr">
        <is>
          <t>Wt</t>
        </is>
      </c>
      <c r="H4843">
        <f>'Floor Hours Engine'!$E$4</f>
        <v/>
      </c>
      <c r="I4843" t="inlineStr">
        <is>
          <t>W2</t>
        </is>
      </c>
      <c r="J4843" t="inlineStr">
        <is>
          <t>2034_Kwiecień_W2</t>
        </is>
      </c>
    </row>
    <row r="4844">
      <c r="A4844" s="177" t="n">
        <v>49039</v>
      </c>
      <c r="B4844" s="177" t="n">
        <v>49038</v>
      </c>
      <c r="C4844" s="177" t="n">
        <v>49044</v>
      </c>
      <c r="D4844" t="inlineStr">
        <is>
          <t>BW20340404</t>
        </is>
      </c>
      <c r="E4844" t="n">
        <v>2034</v>
      </c>
      <c r="F4844" t="inlineStr">
        <is>
          <t>Kwiecień</t>
        </is>
      </c>
      <c r="G4844" t="inlineStr">
        <is>
          <t>Śr</t>
        </is>
      </c>
      <c r="H4844">
        <f>'Floor Hours Engine'!$E$4</f>
        <v/>
      </c>
      <c r="I4844" t="inlineStr">
        <is>
          <t>W2</t>
        </is>
      </c>
      <c r="J4844" t="inlineStr">
        <is>
          <t>2034_Kwiecień_W2</t>
        </is>
      </c>
    </row>
    <row r="4845">
      <c r="A4845" s="177" t="n">
        <v>49040</v>
      </c>
      <c r="B4845" s="177" t="n">
        <v>49038</v>
      </c>
      <c r="C4845" s="177" t="n">
        <v>49044</v>
      </c>
      <c r="D4845" t="inlineStr">
        <is>
          <t>BW20340404</t>
        </is>
      </c>
      <c r="E4845" t="n">
        <v>2034</v>
      </c>
      <c r="F4845" t="inlineStr">
        <is>
          <t>Kwiecień</t>
        </is>
      </c>
      <c r="G4845" t="inlineStr">
        <is>
          <t>Czw</t>
        </is>
      </c>
      <c r="H4845">
        <f>'Floor Hours Engine'!$E$4</f>
        <v/>
      </c>
      <c r="I4845" t="inlineStr">
        <is>
          <t>W2</t>
        </is>
      </c>
      <c r="J4845" t="inlineStr">
        <is>
          <t>2034_Kwiecień_W2</t>
        </is>
      </c>
    </row>
    <row r="4846">
      <c r="A4846" s="177" t="n">
        <v>49041</v>
      </c>
      <c r="B4846" s="177" t="n">
        <v>49038</v>
      </c>
      <c r="C4846" s="177" t="n">
        <v>49044</v>
      </c>
      <c r="D4846" t="inlineStr">
        <is>
          <t>BW20340404</t>
        </is>
      </c>
      <c r="E4846" t="n">
        <v>2034</v>
      </c>
      <c r="F4846" t="inlineStr">
        <is>
          <t>Kwiecień</t>
        </is>
      </c>
      <c r="G4846" t="inlineStr">
        <is>
          <t>Pt</t>
        </is>
      </c>
      <c r="H4846">
        <f>'Floor Hours Engine'!$E$5</f>
        <v/>
      </c>
      <c r="I4846" t="inlineStr">
        <is>
          <t>W2</t>
        </is>
      </c>
      <c r="J4846" t="inlineStr">
        <is>
          <t>2034_Kwiecień_W2</t>
        </is>
      </c>
    </row>
    <row r="4847">
      <c r="A4847" s="177" t="n">
        <v>49042</v>
      </c>
      <c r="B4847" s="177" t="n">
        <v>49038</v>
      </c>
      <c r="C4847" s="177" t="n">
        <v>49044</v>
      </c>
      <c r="D4847" t="inlineStr">
        <is>
          <t>BW20340404</t>
        </is>
      </c>
      <c r="E4847" t="n">
        <v>2034</v>
      </c>
      <c r="F4847" t="inlineStr">
        <is>
          <t>Kwiecień</t>
        </is>
      </c>
      <c r="G4847" t="inlineStr">
        <is>
          <t>Sob</t>
        </is>
      </c>
      <c r="H4847">
        <f>'Floor Hours Engine'!$E$5</f>
        <v/>
      </c>
      <c r="I4847" t="inlineStr">
        <is>
          <t>W2</t>
        </is>
      </c>
      <c r="J4847" t="inlineStr">
        <is>
          <t>2034_Kwiecień_W2</t>
        </is>
      </c>
    </row>
    <row r="4848">
      <c r="A4848" s="177" t="n">
        <v>49043</v>
      </c>
      <c r="B4848" s="177" t="n">
        <v>49038</v>
      </c>
      <c r="C4848" s="177" t="n">
        <v>49044</v>
      </c>
      <c r="D4848" t="inlineStr">
        <is>
          <t>BW20340404</t>
        </is>
      </c>
      <c r="E4848" t="n">
        <v>2034</v>
      </c>
      <c r="F4848" t="inlineStr">
        <is>
          <t>Kwiecień</t>
        </is>
      </c>
      <c r="G4848" t="inlineStr">
        <is>
          <t>Nd</t>
        </is>
      </c>
      <c r="H4848">
        <f>'Floor Hours Engine'!$E$6</f>
        <v/>
      </c>
      <c r="I4848" t="inlineStr">
        <is>
          <t>W2</t>
        </is>
      </c>
      <c r="J4848" t="inlineStr">
        <is>
          <t>2034_Kwiecień_W2</t>
        </is>
      </c>
    </row>
    <row r="4849">
      <c r="A4849" s="177" t="n">
        <v>49044</v>
      </c>
      <c r="B4849" s="177" t="n">
        <v>49038</v>
      </c>
      <c r="C4849" s="177" t="n">
        <v>49044</v>
      </c>
      <c r="D4849" t="inlineStr">
        <is>
          <t>BW20340404</t>
        </is>
      </c>
      <c r="E4849" t="n">
        <v>2034</v>
      </c>
      <c r="F4849" t="inlineStr">
        <is>
          <t>Kwiecień</t>
        </is>
      </c>
      <c r="G4849" t="inlineStr">
        <is>
          <t>Pn</t>
        </is>
      </c>
      <c r="H4849">
        <f>'Floor Hours Engine'!$E$4</f>
        <v/>
      </c>
      <c r="I4849" t="inlineStr">
        <is>
          <t>W2</t>
        </is>
      </c>
      <c r="J4849" t="inlineStr">
        <is>
          <t>2034_Kwiecień_W2</t>
        </is>
      </c>
    </row>
    <row r="4850">
      <c r="A4850" s="177" t="n">
        <v>49045</v>
      </c>
      <c r="B4850" s="177" t="n">
        <v>49045</v>
      </c>
      <c r="C4850" s="177" t="n">
        <v>49051</v>
      </c>
      <c r="D4850" t="inlineStr">
        <is>
          <t>BW20340411</t>
        </is>
      </c>
      <c r="E4850" t="n">
        <v>2034</v>
      </c>
      <c r="F4850" t="inlineStr">
        <is>
          <t>Kwiecień</t>
        </is>
      </c>
      <c r="G4850" t="inlineStr">
        <is>
          <t>Wt</t>
        </is>
      </c>
      <c r="H4850">
        <f>'Floor Hours Engine'!$E$4</f>
        <v/>
      </c>
      <c r="I4850" t="inlineStr">
        <is>
          <t>W3</t>
        </is>
      </c>
      <c r="J4850" t="inlineStr">
        <is>
          <t>2034_Kwiecień_W3</t>
        </is>
      </c>
    </row>
    <row r="4851">
      <c r="A4851" s="177" t="n">
        <v>49046</v>
      </c>
      <c r="B4851" s="177" t="n">
        <v>49045</v>
      </c>
      <c r="C4851" s="177" t="n">
        <v>49051</v>
      </c>
      <c r="D4851" t="inlineStr">
        <is>
          <t>BW20340411</t>
        </is>
      </c>
      <c r="E4851" t="n">
        <v>2034</v>
      </c>
      <c r="F4851" t="inlineStr">
        <is>
          <t>Kwiecień</t>
        </is>
      </c>
      <c r="G4851" t="inlineStr">
        <is>
          <t>Śr</t>
        </is>
      </c>
      <c r="H4851">
        <f>'Floor Hours Engine'!$E$4</f>
        <v/>
      </c>
      <c r="I4851" t="inlineStr">
        <is>
          <t>W3</t>
        </is>
      </c>
      <c r="J4851" t="inlineStr">
        <is>
          <t>2034_Kwiecień_W3</t>
        </is>
      </c>
    </row>
    <row r="4852">
      <c r="A4852" s="177" t="n">
        <v>49047</v>
      </c>
      <c r="B4852" s="177" t="n">
        <v>49045</v>
      </c>
      <c r="C4852" s="177" t="n">
        <v>49051</v>
      </c>
      <c r="D4852" t="inlineStr">
        <is>
          <t>BW20340411</t>
        </is>
      </c>
      <c r="E4852" t="n">
        <v>2034</v>
      </c>
      <c r="F4852" t="inlineStr">
        <is>
          <t>Kwiecień</t>
        </is>
      </c>
      <c r="G4852" t="inlineStr">
        <is>
          <t>Czw</t>
        </is>
      </c>
      <c r="H4852">
        <f>'Floor Hours Engine'!$E$4</f>
        <v/>
      </c>
      <c r="I4852" t="inlineStr">
        <is>
          <t>W3</t>
        </is>
      </c>
      <c r="J4852" t="inlineStr">
        <is>
          <t>2034_Kwiecień_W3</t>
        </is>
      </c>
    </row>
    <row r="4853">
      <c r="A4853" s="177" t="n">
        <v>49048</v>
      </c>
      <c r="B4853" s="177" t="n">
        <v>49045</v>
      </c>
      <c r="C4853" s="177" t="n">
        <v>49051</v>
      </c>
      <c r="D4853" t="inlineStr">
        <is>
          <t>BW20340411</t>
        </is>
      </c>
      <c r="E4853" t="n">
        <v>2034</v>
      </c>
      <c r="F4853" t="inlineStr">
        <is>
          <t>Kwiecień</t>
        </is>
      </c>
      <c r="G4853" t="inlineStr">
        <is>
          <t>Pt</t>
        </is>
      </c>
      <c r="H4853">
        <f>'Floor Hours Engine'!$E$5</f>
        <v/>
      </c>
      <c r="I4853" t="inlineStr">
        <is>
          <t>W3</t>
        </is>
      </c>
      <c r="J4853" t="inlineStr">
        <is>
          <t>2034_Kwiecień_W3</t>
        </is>
      </c>
    </row>
    <row r="4854">
      <c r="A4854" s="177" t="n">
        <v>49049</v>
      </c>
      <c r="B4854" s="177" t="n">
        <v>49045</v>
      </c>
      <c r="C4854" s="177" t="n">
        <v>49051</v>
      </c>
      <c r="D4854" t="inlineStr">
        <is>
          <t>BW20340411</t>
        </is>
      </c>
      <c r="E4854" t="n">
        <v>2034</v>
      </c>
      <c r="F4854" t="inlineStr">
        <is>
          <t>Kwiecień</t>
        </is>
      </c>
      <c r="G4854" t="inlineStr">
        <is>
          <t>Sob</t>
        </is>
      </c>
      <c r="H4854">
        <f>'Floor Hours Engine'!$E$5</f>
        <v/>
      </c>
      <c r="I4854" t="inlineStr">
        <is>
          <t>W3</t>
        </is>
      </c>
      <c r="J4854" t="inlineStr">
        <is>
          <t>2034_Kwiecień_W3</t>
        </is>
      </c>
    </row>
    <row r="4855">
      <c r="A4855" s="177" t="n">
        <v>49050</v>
      </c>
      <c r="B4855" s="177" t="n">
        <v>49045</v>
      </c>
      <c r="C4855" s="177" t="n">
        <v>49051</v>
      </c>
      <c r="D4855" t="inlineStr">
        <is>
          <t>BW20340411</t>
        </is>
      </c>
      <c r="E4855" t="n">
        <v>2034</v>
      </c>
      <c r="F4855" t="inlineStr">
        <is>
          <t>Kwiecień</t>
        </is>
      </c>
      <c r="G4855" t="inlineStr">
        <is>
          <t>Nd</t>
        </is>
      </c>
      <c r="H4855">
        <f>'Floor Hours Engine'!$E$6</f>
        <v/>
      </c>
      <c r="I4855" t="inlineStr">
        <is>
          <t>W3</t>
        </is>
      </c>
      <c r="J4855" t="inlineStr">
        <is>
          <t>2034_Kwiecień_W3</t>
        </is>
      </c>
    </row>
    <row r="4856">
      <c r="A4856" s="177" t="n">
        <v>49051</v>
      </c>
      <c r="B4856" s="177" t="n">
        <v>49045</v>
      </c>
      <c r="C4856" s="177" t="n">
        <v>49051</v>
      </c>
      <c r="D4856" t="inlineStr">
        <is>
          <t>BW20340411</t>
        </is>
      </c>
      <c r="E4856" t="n">
        <v>2034</v>
      </c>
      <c r="F4856" t="inlineStr">
        <is>
          <t>Kwiecień</t>
        </is>
      </c>
      <c r="G4856" t="inlineStr">
        <is>
          <t>Pn</t>
        </is>
      </c>
      <c r="H4856">
        <f>'Floor Hours Engine'!$E$4</f>
        <v/>
      </c>
      <c r="I4856" t="inlineStr">
        <is>
          <t>W3</t>
        </is>
      </c>
      <c r="J4856" t="inlineStr">
        <is>
          <t>2034_Kwiecień_W3</t>
        </is>
      </c>
    </row>
    <row r="4857">
      <c r="A4857" s="177" t="n">
        <v>49052</v>
      </c>
      <c r="B4857" s="177" t="n">
        <v>49052</v>
      </c>
      <c r="C4857" s="177" t="n">
        <v>49058</v>
      </c>
      <c r="D4857" t="inlineStr">
        <is>
          <t>BW20340418</t>
        </is>
      </c>
      <c r="E4857" t="n">
        <v>2034</v>
      </c>
      <c r="F4857" t="inlineStr">
        <is>
          <t>Kwiecień</t>
        </is>
      </c>
      <c r="G4857" t="inlineStr">
        <is>
          <t>Wt</t>
        </is>
      </c>
      <c r="H4857">
        <f>'Floor Hours Engine'!$E$4</f>
        <v/>
      </c>
      <c r="I4857" t="inlineStr">
        <is>
          <t>W4</t>
        </is>
      </c>
      <c r="J4857" t="inlineStr">
        <is>
          <t>2034_Kwiecień_W4</t>
        </is>
      </c>
    </row>
    <row r="4858">
      <c r="A4858" s="177" t="n">
        <v>49053</v>
      </c>
      <c r="B4858" s="177" t="n">
        <v>49052</v>
      </c>
      <c r="C4858" s="177" t="n">
        <v>49058</v>
      </c>
      <c r="D4858" t="inlineStr">
        <is>
          <t>BW20340418</t>
        </is>
      </c>
      <c r="E4858" t="n">
        <v>2034</v>
      </c>
      <c r="F4858" t="inlineStr">
        <is>
          <t>Kwiecień</t>
        </is>
      </c>
      <c r="G4858" t="inlineStr">
        <is>
          <t>Śr</t>
        </is>
      </c>
      <c r="H4858">
        <f>'Floor Hours Engine'!$E$4</f>
        <v/>
      </c>
      <c r="I4858" t="inlineStr">
        <is>
          <t>W4</t>
        </is>
      </c>
      <c r="J4858" t="inlineStr">
        <is>
          <t>2034_Kwiecień_W4</t>
        </is>
      </c>
    </row>
    <row r="4859">
      <c r="A4859" s="177" t="n">
        <v>49054</v>
      </c>
      <c r="B4859" s="177" t="n">
        <v>49052</v>
      </c>
      <c r="C4859" s="177" t="n">
        <v>49058</v>
      </c>
      <c r="D4859" t="inlineStr">
        <is>
          <t>BW20340418</t>
        </is>
      </c>
      <c r="E4859" t="n">
        <v>2034</v>
      </c>
      <c r="F4859" t="inlineStr">
        <is>
          <t>Kwiecień</t>
        </is>
      </c>
      <c r="G4859" t="inlineStr">
        <is>
          <t>Czw</t>
        </is>
      </c>
      <c r="H4859">
        <f>'Floor Hours Engine'!$E$4</f>
        <v/>
      </c>
      <c r="I4859" t="inlineStr">
        <is>
          <t>W4</t>
        </is>
      </c>
      <c r="J4859" t="inlineStr">
        <is>
          <t>2034_Kwiecień_W4</t>
        </is>
      </c>
    </row>
    <row r="4860">
      <c r="A4860" s="177" t="n">
        <v>49055</v>
      </c>
      <c r="B4860" s="177" t="n">
        <v>49052</v>
      </c>
      <c r="C4860" s="177" t="n">
        <v>49058</v>
      </c>
      <c r="D4860" t="inlineStr">
        <is>
          <t>BW20340418</t>
        </is>
      </c>
      <c r="E4860" t="n">
        <v>2034</v>
      </c>
      <c r="F4860" t="inlineStr">
        <is>
          <t>Kwiecień</t>
        </is>
      </c>
      <c r="G4860" t="inlineStr">
        <is>
          <t>Pt</t>
        </is>
      </c>
      <c r="H4860">
        <f>'Floor Hours Engine'!$E$5</f>
        <v/>
      </c>
      <c r="I4860" t="inlineStr">
        <is>
          <t>W4</t>
        </is>
      </c>
      <c r="J4860" t="inlineStr">
        <is>
          <t>2034_Kwiecień_W4</t>
        </is>
      </c>
    </row>
    <row r="4861">
      <c r="A4861" s="177" t="n">
        <v>49056</v>
      </c>
      <c r="B4861" s="177" t="n">
        <v>49052</v>
      </c>
      <c r="C4861" s="177" t="n">
        <v>49058</v>
      </c>
      <c r="D4861" t="inlineStr">
        <is>
          <t>BW20340418</t>
        </is>
      </c>
      <c r="E4861" t="n">
        <v>2034</v>
      </c>
      <c r="F4861" t="inlineStr">
        <is>
          <t>Kwiecień</t>
        </is>
      </c>
      <c r="G4861" t="inlineStr">
        <is>
          <t>Sob</t>
        </is>
      </c>
      <c r="H4861">
        <f>'Floor Hours Engine'!$E$5</f>
        <v/>
      </c>
      <c r="I4861" t="inlineStr">
        <is>
          <t>W4</t>
        </is>
      </c>
      <c r="J4861" t="inlineStr">
        <is>
          <t>2034_Kwiecień_W4</t>
        </is>
      </c>
    </row>
    <row r="4862">
      <c r="A4862" s="177" t="n">
        <v>49057</v>
      </c>
      <c r="B4862" s="177" t="n">
        <v>49052</v>
      </c>
      <c r="C4862" s="177" t="n">
        <v>49058</v>
      </c>
      <c r="D4862" t="inlineStr">
        <is>
          <t>BW20340418</t>
        </is>
      </c>
      <c r="E4862" t="n">
        <v>2034</v>
      </c>
      <c r="F4862" t="inlineStr">
        <is>
          <t>Kwiecień</t>
        </is>
      </c>
      <c r="G4862" t="inlineStr">
        <is>
          <t>Nd</t>
        </is>
      </c>
      <c r="H4862">
        <f>'Floor Hours Engine'!$E$6</f>
        <v/>
      </c>
      <c r="I4862" t="inlineStr">
        <is>
          <t>W4</t>
        </is>
      </c>
      <c r="J4862" t="inlineStr">
        <is>
          <t>2034_Kwiecień_W4</t>
        </is>
      </c>
    </row>
    <row r="4863">
      <c r="A4863" s="177" t="n">
        <v>49058</v>
      </c>
      <c r="B4863" s="177" t="n">
        <v>49052</v>
      </c>
      <c r="C4863" s="177" t="n">
        <v>49058</v>
      </c>
      <c r="D4863" t="inlineStr">
        <is>
          <t>BW20340418</t>
        </is>
      </c>
      <c r="E4863" t="n">
        <v>2034</v>
      </c>
      <c r="F4863" t="inlineStr">
        <is>
          <t>Kwiecień</t>
        </is>
      </c>
      <c r="G4863" t="inlineStr">
        <is>
          <t>Pn</t>
        </is>
      </c>
      <c r="H4863">
        <f>'Floor Hours Engine'!$E$4</f>
        <v/>
      </c>
      <c r="I4863" t="inlineStr">
        <is>
          <t>W4</t>
        </is>
      </c>
      <c r="J4863" t="inlineStr">
        <is>
          <t>2034_Kwiecień_W4</t>
        </is>
      </c>
    </row>
    <row r="4864">
      <c r="A4864" s="177" t="n">
        <v>49059</v>
      </c>
      <c r="B4864" s="177" t="n">
        <v>49059</v>
      </c>
      <c r="C4864" s="177" t="n">
        <v>49065</v>
      </c>
      <c r="D4864" t="inlineStr">
        <is>
          <t>BW20340425</t>
        </is>
      </c>
      <c r="E4864" t="n">
        <v>2034</v>
      </c>
      <c r="F4864" t="inlineStr">
        <is>
          <t>Kwiecień</t>
        </is>
      </c>
      <c r="G4864" t="inlineStr">
        <is>
          <t>Wt</t>
        </is>
      </c>
      <c r="H4864">
        <f>'Floor Hours Engine'!$E$4</f>
        <v/>
      </c>
      <c r="I4864" t="inlineStr">
        <is>
          <t>W5</t>
        </is>
      </c>
      <c r="J4864" t="inlineStr">
        <is>
          <t>2034_Kwiecień_W5</t>
        </is>
      </c>
    </row>
    <row r="4865">
      <c r="A4865" s="177" t="n">
        <v>49060</v>
      </c>
      <c r="B4865" s="177" t="n">
        <v>49059</v>
      </c>
      <c r="C4865" s="177" t="n">
        <v>49065</v>
      </c>
      <c r="D4865" t="inlineStr">
        <is>
          <t>BW20340425</t>
        </is>
      </c>
      <c r="E4865" t="n">
        <v>2034</v>
      </c>
      <c r="F4865" t="inlineStr">
        <is>
          <t>Kwiecień</t>
        </is>
      </c>
      <c r="G4865" t="inlineStr">
        <is>
          <t>Śr</t>
        </is>
      </c>
      <c r="H4865">
        <f>'Floor Hours Engine'!$E$4</f>
        <v/>
      </c>
      <c r="I4865" t="inlineStr">
        <is>
          <t>W5</t>
        </is>
      </c>
      <c r="J4865" t="inlineStr">
        <is>
          <t>2034_Kwiecień_W5</t>
        </is>
      </c>
    </row>
    <row r="4866">
      <c r="A4866" s="177" t="n">
        <v>49061</v>
      </c>
      <c r="B4866" s="177" t="n">
        <v>49059</v>
      </c>
      <c r="C4866" s="177" t="n">
        <v>49065</v>
      </c>
      <c r="D4866" t="inlineStr">
        <is>
          <t>BW20340425</t>
        </is>
      </c>
      <c r="E4866" t="n">
        <v>2034</v>
      </c>
      <c r="F4866" t="inlineStr">
        <is>
          <t>Kwiecień</t>
        </is>
      </c>
      <c r="G4866" t="inlineStr">
        <is>
          <t>Czw</t>
        </is>
      </c>
      <c r="H4866">
        <f>'Floor Hours Engine'!$E$4</f>
        <v/>
      </c>
      <c r="I4866" t="inlineStr">
        <is>
          <t>W5</t>
        </is>
      </c>
      <c r="J4866" t="inlineStr">
        <is>
          <t>2034_Kwiecień_W5</t>
        </is>
      </c>
    </row>
    <row r="4867">
      <c r="A4867" s="177" t="n">
        <v>49062</v>
      </c>
      <c r="B4867" s="177" t="n">
        <v>49059</v>
      </c>
      <c r="C4867" s="177" t="n">
        <v>49065</v>
      </c>
      <c r="D4867" t="inlineStr">
        <is>
          <t>BW20340425</t>
        </is>
      </c>
      <c r="E4867" t="n">
        <v>2034</v>
      </c>
      <c r="F4867" t="inlineStr">
        <is>
          <t>Kwiecień</t>
        </is>
      </c>
      <c r="G4867" t="inlineStr">
        <is>
          <t>Pt</t>
        </is>
      </c>
      <c r="H4867">
        <f>'Floor Hours Engine'!$E$5</f>
        <v/>
      </c>
      <c r="I4867" t="inlineStr">
        <is>
          <t>W5</t>
        </is>
      </c>
      <c r="J4867" t="inlineStr">
        <is>
          <t>2034_Kwiecień_W5</t>
        </is>
      </c>
    </row>
    <row r="4868">
      <c r="A4868" s="177" t="n">
        <v>49063</v>
      </c>
      <c r="B4868" s="177" t="n">
        <v>49059</v>
      </c>
      <c r="C4868" s="177" t="n">
        <v>49065</v>
      </c>
      <c r="D4868" t="inlineStr">
        <is>
          <t>BW20340425</t>
        </is>
      </c>
      <c r="E4868" t="n">
        <v>2034</v>
      </c>
      <c r="F4868" t="inlineStr">
        <is>
          <t>Kwiecień</t>
        </is>
      </c>
      <c r="G4868" t="inlineStr">
        <is>
          <t>Sob</t>
        </is>
      </c>
      <c r="H4868">
        <f>'Floor Hours Engine'!$E$5</f>
        <v/>
      </c>
      <c r="I4868" t="inlineStr">
        <is>
          <t>W5</t>
        </is>
      </c>
      <c r="J4868" t="inlineStr">
        <is>
          <t>2034_Kwiecień_W5</t>
        </is>
      </c>
    </row>
    <row r="4869">
      <c r="A4869" s="177" t="n">
        <v>49064</v>
      </c>
      <c r="B4869" s="177" t="n">
        <v>49059</v>
      </c>
      <c r="C4869" s="177" t="n">
        <v>49065</v>
      </c>
      <c r="D4869" t="inlineStr">
        <is>
          <t>BW20340425</t>
        </is>
      </c>
      <c r="E4869" t="n">
        <v>2034</v>
      </c>
      <c r="F4869" t="inlineStr">
        <is>
          <t>Kwiecień</t>
        </is>
      </c>
      <c r="G4869" t="inlineStr">
        <is>
          <t>Nd</t>
        </is>
      </c>
      <c r="H4869">
        <f>'Floor Hours Engine'!$E$6</f>
        <v/>
      </c>
      <c r="I4869" t="inlineStr">
        <is>
          <t>W5</t>
        </is>
      </c>
      <c r="J4869" t="inlineStr">
        <is>
          <t>2034_Kwiecień_W5</t>
        </is>
      </c>
    </row>
    <row r="4870">
      <c r="A4870" s="177" t="n">
        <v>49065</v>
      </c>
      <c r="B4870" s="177" t="n">
        <v>49059</v>
      </c>
      <c r="C4870" s="177" t="n">
        <v>49065</v>
      </c>
      <c r="D4870" t="inlineStr">
        <is>
          <t>BW20340425</t>
        </is>
      </c>
      <c r="E4870" t="n">
        <v>2034</v>
      </c>
      <c r="F4870" t="inlineStr">
        <is>
          <t>Maj</t>
        </is>
      </c>
      <c r="G4870" t="inlineStr">
        <is>
          <t>Pn</t>
        </is>
      </c>
      <c r="H4870">
        <f>'Floor Hours Engine'!$E$4</f>
        <v/>
      </c>
      <c r="I4870" t="inlineStr">
        <is>
          <t>W1</t>
        </is>
      </c>
      <c r="J4870" t="inlineStr">
        <is>
          <t>2034_Maj_W1</t>
        </is>
      </c>
    </row>
    <row r="4871">
      <c r="A4871" s="177" t="n">
        <v>49066</v>
      </c>
      <c r="B4871" s="177" t="n">
        <v>49066</v>
      </c>
      <c r="C4871" s="177" t="n">
        <v>49072</v>
      </c>
      <c r="D4871" t="inlineStr">
        <is>
          <t>BW20340502</t>
        </is>
      </c>
      <c r="E4871" t="n">
        <v>2034</v>
      </c>
      <c r="F4871" t="inlineStr">
        <is>
          <t>Maj</t>
        </is>
      </c>
      <c r="G4871" t="inlineStr">
        <is>
          <t>Wt</t>
        </is>
      </c>
      <c r="H4871">
        <f>'Floor Hours Engine'!$E$4</f>
        <v/>
      </c>
      <c r="I4871" t="inlineStr">
        <is>
          <t>W2</t>
        </is>
      </c>
      <c r="J4871" t="inlineStr">
        <is>
          <t>2034_Maj_W2</t>
        </is>
      </c>
    </row>
    <row r="4872">
      <c r="A4872" s="177" t="n">
        <v>49067</v>
      </c>
      <c r="B4872" s="177" t="n">
        <v>49066</v>
      </c>
      <c r="C4872" s="177" t="n">
        <v>49072</v>
      </c>
      <c r="D4872" t="inlineStr">
        <is>
          <t>BW20340502</t>
        </is>
      </c>
      <c r="E4872" t="n">
        <v>2034</v>
      </c>
      <c r="F4872" t="inlineStr">
        <is>
          <t>Maj</t>
        </is>
      </c>
      <c r="G4872" t="inlineStr">
        <is>
          <t>Śr</t>
        </is>
      </c>
      <c r="H4872">
        <f>'Floor Hours Engine'!$E$4</f>
        <v/>
      </c>
      <c r="I4872" t="inlineStr">
        <is>
          <t>W2</t>
        </is>
      </c>
      <c r="J4872" t="inlineStr">
        <is>
          <t>2034_Maj_W2</t>
        </is>
      </c>
    </row>
    <row r="4873">
      <c r="A4873" s="177" t="n">
        <v>49068</v>
      </c>
      <c r="B4873" s="177" t="n">
        <v>49066</v>
      </c>
      <c r="C4873" s="177" t="n">
        <v>49072</v>
      </c>
      <c r="D4873" t="inlineStr">
        <is>
          <t>BW20340502</t>
        </is>
      </c>
      <c r="E4873" t="n">
        <v>2034</v>
      </c>
      <c r="F4873" t="inlineStr">
        <is>
          <t>Maj</t>
        </is>
      </c>
      <c r="G4873" t="inlineStr">
        <is>
          <t>Czw</t>
        </is>
      </c>
      <c r="H4873">
        <f>'Floor Hours Engine'!$E$4</f>
        <v/>
      </c>
      <c r="I4873" t="inlineStr">
        <is>
          <t>W2</t>
        </is>
      </c>
      <c r="J4873" t="inlineStr">
        <is>
          <t>2034_Maj_W2</t>
        </is>
      </c>
    </row>
    <row r="4874">
      <c r="A4874" s="177" t="n">
        <v>49069</v>
      </c>
      <c r="B4874" s="177" t="n">
        <v>49066</v>
      </c>
      <c r="C4874" s="177" t="n">
        <v>49072</v>
      </c>
      <c r="D4874" t="inlineStr">
        <is>
          <t>BW20340502</t>
        </is>
      </c>
      <c r="E4874" t="n">
        <v>2034</v>
      </c>
      <c r="F4874" t="inlineStr">
        <is>
          <t>Maj</t>
        </is>
      </c>
      <c r="G4874" t="inlineStr">
        <is>
          <t>Pt</t>
        </is>
      </c>
      <c r="H4874">
        <f>'Floor Hours Engine'!$E$5</f>
        <v/>
      </c>
      <c r="I4874" t="inlineStr">
        <is>
          <t>W2</t>
        </is>
      </c>
      <c r="J4874" t="inlineStr">
        <is>
          <t>2034_Maj_W2</t>
        </is>
      </c>
    </row>
    <row r="4875">
      <c r="A4875" s="177" t="n">
        <v>49070</v>
      </c>
      <c r="B4875" s="177" t="n">
        <v>49066</v>
      </c>
      <c r="C4875" s="177" t="n">
        <v>49072</v>
      </c>
      <c r="D4875" t="inlineStr">
        <is>
          <t>BW20340502</t>
        </is>
      </c>
      <c r="E4875" t="n">
        <v>2034</v>
      </c>
      <c r="F4875" t="inlineStr">
        <is>
          <t>Maj</t>
        </is>
      </c>
      <c r="G4875" t="inlineStr">
        <is>
          <t>Sob</t>
        </is>
      </c>
      <c r="H4875">
        <f>'Floor Hours Engine'!$E$5</f>
        <v/>
      </c>
      <c r="I4875" t="inlineStr">
        <is>
          <t>W2</t>
        </is>
      </c>
      <c r="J4875" t="inlineStr">
        <is>
          <t>2034_Maj_W2</t>
        </is>
      </c>
    </row>
    <row r="4876">
      <c r="A4876" s="177" t="n">
        <v>49071</v>
      </c>
      <c r="B4876" s="177" t="n">
        <v>49066</v>
      </c>
      <c r="C4876" s="177" t="n">
        <v>49072</v>
      </c>
      <c r="D4876" t="inlineStr">
        <is>
          <t>BW20340502</t>
        </is>
      </c>
      <c r="E4876" t="n">
        <v>2034</v>
      </c>
      <c r="F4876" t="inlineStr">
        <is>
          <t>Maj</t>
        </is>
      </c>
      <c r="G4876" t="inlineStr">
        <is>
          <t>Nd</t>
        </is>
      </c>
      <c r="H4876">
        <f>'Floor Hours Engine'!$E$6</f>
        <v/>
      </c>
      <c r="I4876" t="inlineStr">
        <is>
          <t>W2</t>
        </is>
      </c>
      <c r="J4876" t="inlineStr">
        <is>
          <t>2034_Maj_W2</t>
        </is>
      </c>
    </row>
    <row r="4877">
      <c r="A4877" s="177" t="n">
        <v>49072</v>
      </c>
      <c r="B4877" s="177" t="n">
        <v>49066</v>
      </c>
      <c r="C4877" s="177" t="n">
        <v>49072</v>
      </c>
      <c r="D4877" t="inlineStr">
        <is>
          <t>BW20340502</t>
        </is>
      </c>
      <c r="E4877" t="n">
        <v>2034</v>
      </c>
      <c r="F4877" t="inlineStr">
        <is>
          <t>Maj</t>
        </is>
      </c>
      <c r="G4877" t="inlineStr">
        <is>
          <t>Pn</t>
        </is>
      </c>
      <c r="H4877">
        <f>'Floor Hours Engine'!$E$4</f>
        <v/>
      </c>
      <c r="I4877" t="inlineStr">
        <is>
          <t>W2</t>
        </is>
      </c>
      <c r="J4877" t="inlineStr">
        <is>
          <t>2034_Maj_W2</t>
        </is>
      </c>
    </row>
    <row r="4878">
      <c r="A4878" s="177" t="n">
        <v>49073</v>
      </c>
      <c r="B4878" s="177" t="n">
        <v>49073</v>
      </c>
      <c r="C4878" s="177" t="n">
        <v>49079</v>
      </c>
      <c r="D4878" t="inlineStr">
        <is>
          <t>BW20340509</t>
        </is>
      </c>
      <c r="E4878" t="n">
        <v>2034</v>
      </c>
      <c r="F4878" t="inlineStr">
        <is>
          <t>Maj</t>
        </is>
      </c>
      <c r="G4878" t="inlineStr">
        <is>
          <t>Wt</t>
        </is>
      </c>
      <c r="H4878">
        <f>'Floor Hours Engine'!$E$4</f>
        <v/>
      </c>
      <c r="I4878" t="inlineStr">
        <is>
          <t>W3</t>
        </is>
      </c>
      <c r="J4878" t="inlineStr">
        <is>
          <t>2034_Maj_W3</t>
        </is>
      </c>
    </row>
    <row r="4879">
      <c r="A4879" s="177" t="n">
        <v>49074</v>
      </c>
      <c r="B4879" s="177" t="n">
        <v>49073</v>
      </c>
      <c r="C4879" s="177" t="n">
        <v>49079</v>
      </c>
      <c r="D4879" t="inlineStr">
        <is>
          <t>BW20340509</t>
        </is>
      </c>
      <c r="E4879" t="n">
        <v>2034</v>
      </c>
      <c r="F4879" t="inlineStr">
        <is>
          <t>Maj</t>
        </is>
      </c>
      <c r="G4879" t="inlineStr">
        <is>
          <t>Śr</t>
        </is>
      </c>
      <c r="H4879">
        <f>'Floor Hours Engine'!$E$4</f>
        <v/>
      </c>
      <c r="I4879" t="inlineStr">
        <is>
          <t>W3</t>
        </is>
      </c>
      <c r="J4879" t="inlineStr">
        <is>
          <t>2034_Maj_W3</t>
        </is>
      </c>
    </row>
    <row r="4880">
      <c r="A4880" s="177" t="n">
        <v>49075</v>
      </c>
      <c r="B4880" s="177" t="n">
        <v>49073</v>
      </c>
      <c r="C4880" s="177" t="n">
        <v>49079</v>
      </c>
      <c r="D4880" t="inlineStr">
        <is>
          <t>BW20340509</t>
        </is>
      </c>
      <c r="E4880" t="n">
        <v>2034</v>
      </c>
      <c r="F4880" t="inlineStr">
        <is>
          <t>Maj</t>
        </is>
      </c>
      <c r="G4880" t="inlineStr">
        <is>
          <t>Czw</t>
        </is>
      </c>
      <c r="H4880">
        <f>'Floor Hours Engine'!$E$4</f>
        <v/>
      </c>
      <c r="I4880" t="inlineStr">
        <is>
          <t>W3</t>
        </is>
      </c>
      <c r="J4880" t="inlineStr">
        <is>
          <t>2034_Maj_W3</t>
        </is>
      </c>
    </row>
    <row r="4881">
      <c r="A4881" s="177" t="n">
        <v>49076</v>
      </c>
      <c r="B4881" s="177" t="n">
        <v>49073</v>
      </c>
      <c r="C4881" s="177" t="n">
        <v>49079</v>
      </c>
      <c r="D4881" t="inlineStr">
        <is>
          <t>BW20340509</t>
        </is>
      </c>
      <c r="E4881" t="n">
        <v>2034</v>
      </c>
      <c r="F4881" t="inlineStr">
        <is>
          <t>Maj</t>
        </is>
      </c>
      <c r="G4881" t="inlineStr">
        <is>
          <t>Pt</t>
        </is>
      </c>
      <c r="H4881">
        <f>'Floor Hours Engine'!$E$5</f>
        <v/>
      </c>
      <c r="I4881" t="inlineStr">
        <is>
          <t>W3</t>
        </is>
      </c>
      <c r="J4881" t="inlineStr">
        <is>
          <t>2034_Maj_W3</t>
        </is>
      </c>
    </row>
    <row r="4882">
      <c r="A4882" s="177" t="n">
        <v>49077</v>
      </c>
      <c r="B4882" s="177" t="n">
        <v>49073</v>
      </c>
      <c r="C4882" s="177" t="n">
        <v>49079</v>
      </c>
      <c r="D4882" t="inlineStr">
        <is>
          <t>BW20340509</t>
        </is>
      </c>
      <c r="E4882" t="n">
        <v>2034</v>
      </c>
      <c r="F4882" t="inlineStr">
        <is>
          <t>Maj</t>
        </is>
      </c>
      <c r="G4882" t="inlineStr">
        <is>
          <t>Sob</t>
        </is>
      </c>
      <c r="H4882">
        <f>'Floor Hours Engine'!$E$5</f>
        <v/>
      </c>
      <c r="I4882" t="inlineStr">
        <is>
          <t>W3</t>
        </is>
      </c>
      <c r="J4882" t="inlineStr">
        <is>
          <t>2034_Maj_W3</t>
        </is>
      </c>
    </row>
    <row r="4883">
      <c r="A4883" s="177" t="n">
        <v>49078</v>
      </c>
      <c r="B4883" s="177" t="n">
        <v>49073</v>
      </c>
      <c r="C4883" s="177" t="n">
        <v>49079</v>
      </c>
      <c r="D4883" t="inlineStr">
        <is>
          <t>BW20340509</t>
        </is>
      </c>
      <c r="E4883" t="n">
        <v>2034</v>
      </c>
      <c r="F4883" t="inlineStr">
        <is>
          <t>Maj</t>
        </is>
      </c>
      <c r="G4883" t="inlineStr">
        <is>
          <t>Nd</t>
        </is>
      </c>
      <c r="H4883">
        <f>'Floor Hours Engine'!$E$6</f>
        <v/>
      </c>
      <c r="I4883" t="inlineStr">
        <is>
          <t>W3</t>
        </is>
      </c>
      <c r="J4883" t="inlineStr">
        <is>
          <t>2034_Maj_W3</t>
        </is>
      </c>
    </row>
    <row r="4884">
      <c r="A4884" s="177" t="n">
        <v>49079</v>
      </c>
      <c r="B4884" s="177" t="n">
        <v>49073</v>
      </c>
      <c r="C4884" s="177" t="n">
        <v>49079</v>
      </c>
      <c r="D4884" t="inlineStr">
        <is>
          <t>BW20340509</t>
        </is>
      </c>
      <c r="E4884" t="n">
        <v>2034</v>
      </c>
      <c r="F4884" t="inlineStr">
        <is>
          <t>Maj</t>
        </is>
      </c>
      <c r="G4884" t="inlineStr">
        <is>
          <t>Pn</t>
        </is>
      </c>
      <c r="H4884">
        <f>'Floor Hours Engine'!$E$4</f>
        <v/>
      </c>
      <c r="I4884" t="inlineStr">
        <is>
          <t>W3</t>
        </is>
      </c>
      <c r="J4884" t="inlineStr">
        <is>
          <t>2034_Maj_W3</t>
        </is>
      </c>
    </row>
    <row r="4885">
      <c r="A4885" s="177" t="n">
        <v>49080</v>
      </c>
      <c r="B4885" s="177" t="n">
        <v>49080</v>
      </c>
      <c r="C4885" s="177" t="n">
        <v>49086</v>
      </c>
      <c r="D4885" t="inlineStr">
        <is>
          <t>BW20340516</t>
        </is>
      </c>
      <c r="E4885" t="n">
        <v>2034</v>
      </c>
      <c r="F4885" t="inlineStr">
        <is>
          <t>Maj</t>
        </is>
      </c>
      <c r="G4885" t="inlineStr">
        <is>
          <t>Wt</t>
        </is>
      </c>
      <c r="H4885">
        <f>'Floor Hours Engine'!$E$4</f>
        <v/>
      </c>
      <c r="I4885" t="inlineStr">
        <is>
          <t>W4</t>
        </is>
      </c>
      <c r="J4885" t="inlineStr">
        <is>
          <t>2034_Maj_W4</t>
        </is>
      </c>
    </row>
    <row r="4886">
      <c r="A4886" s="177" t="n">
        <v>49081</v>
      </c>
      <c r="B4886" s="177" t="n">
        <v>49080</v>
      </c>
      <c r="C4886" s="177" t="n">
        <v>49086</v>
      </c>
      <c r="D4886" t="inlineStr">
        <is>
          <t>BW20340516</t>
        </is>
      </c>
      <c r="E4886" t="n">
        <v>2034</v>
      </c>
      <c r="F4886" t="inlineStr">
        <is>
          <t>Maj</t>
        </is>
      </c>
      <c r="G4886" t="inlineStr">
        <is>
          <t>Śr</t>
        </is>
      </c>
      <c r="H4886">
        <f>'Floor Hours Engine'!$E$4</f>
        <v/>
      </c>
      <c r="I4886" t="inlineStr">
        <is>
          <t>W4</t>
        </is>
      </c>
      <c r="J4886" t="inlineStr">
        <is>
          <t>2034_Maj_W4</t>
        </is>
      </c>
    </row>
    <row r="4887">
      <c r="A4887" s="177" t="n">
        <v>49082</v>
      </c>
      <c r="B4887" s="177" t="n">
        <v>49080</v>
      </c>
      <c r="C4887" s="177" t="n">
        <v>49086</v>
      </c>
      <c r="D4887" t="inlineStr">
        <is>
          <t>BW20340516</t>
        </is>
      </c>
      <c r="E4887" t="n">
        <v>2034</v>
      </c>
      <c r="F4887" t="inlineStr">
        <is>
          <t>Maj</t>
        </is>
      </c>
      <c r="G4887" t="inlineStr">
        <is>
          <t>Czw</t>
        </is>
      </c>
      <c r="H4887">
        <f>'Floor Hours Engine'!$E$4</f>
        <v/>
      </c>
      <c r="I4887" t="inlineStr">
        <is>
          <t>W4</t>
        </is>
      </c>
      <c r="J4887" t="inlineStr">
        <is>
          <t>2034_Maj_W4</t>
        </is>
      </c>
    </row>
    <row r="4888">
      <c r="A4888" s="177" t="n">
        <v>49083</v>
      </c>
      <c r="B4888" s="177" t="n">
        <v>49080</v>
      </c>
      <c r="C4888" s="177" t="n">
        <v>49086</v>
      </c>
      <c r="D4888" t="inlineStr">
        <is>
          <t>BW20340516</t>
        </is>
      </c>
      <c r="E4888" t="n">
        <v>2034</v>
      </c>
      <c r="F4888" t="inlineStr">
        <is>
          <t>Maj</t>
        </is>
      </c>
      <c r="G4888" t="inlineStr">
        <is>
          <t>Pt</t>
        </is>
      </c>
      <c r="H4888">
        <f>'Floor Hours Engine'!$E$5</f>
        <v/>
      </c>
      <c r="I4888" t="inlineStr">
        <is>
          <t>W4</t>
        </is>
      </c>
      <c r="J4888" t="inlineStr">
        <is>
          <t>2034_Maj_W4</t>
        </is>
      </c>
    </row>
    <row r="4889">
      <c r="A4889" s="177" t="n">
        <v>49084</v>
      </c>
      <c r="B4889" s="177" t="n">
        <v>49080</v>
      </c>
      <c r="C4889" s="177" t="n">
        <v>49086</v>
      </c>
      <c r="D4889" t="inlineStr">
        <is>
          <t>BW20340516</t>
        </is>
      </c>
      <c r="E4889" t="n">
        <v>2034</v>
      </c>
      <c r="F4889" t="inlineStr">
        <is>
          <t>Maj</t>
        </is>
      </c>
      <c r="G4889" t="inlineStr">
        <is>
          <t>Sob</t>
        </is>
      </c>
      <c r="H4889">
        <f>'Floor Hours Engine'!$E$5</f>
        <v/>
      </c>
      <c r="I4889" t="inlineStr">
        <is>
          <t>W4</t>
        </is>
      </c>
      <c r="J4889" t="inlineStr">
        <is>
          <t>2034_Maj_W4</t>
        </is>
      </c>
    </row>
    <row r="4890">
      <c r="A4890" s="177" t="n">
        <v>49085</v>
      </c>
      <c r="B4890" s="177" t="n">
        <v>49080</v>
      </c>
      <c r="C4890" s="177" t="n">
        <v>49086</v>
      </c>
      <c r="D4890" t="inlineStr">
        <is>
          <t>BW20340516</t>
        </is>
      </c>
      <c r="E4890" t="n">
        <v>2034</v>
      </c>
      <c r="F4890" t="inlineStr">
        <is>
          <t>Maj</t>
        </is>
      </c>
      <c r="G4890" t="inlineStr">
        <is>
          <t>Nd</t>
        </is>
      </c>
      <c r="H4890">
        <f>'Floor Hours Engine'!$E$6</f>
        <v/>
      </c>
      <c r="I4890" t="inlineStr">
        <is>
          <t>W4</t>
        </is>
      </c>
      <c r="J4890" t="inlineStr">
        <is>
          <t>2034_Maj_W4</t>
        </is>
      </c>
    </row>
    <row r="4891">
      <c r="A4891" s="177" t="n">
        <v>49086</v>
      </c>
      <c r="B4891" s="177" t="n">
        <v>49080</v>
      </c>
      <c r="C4891" s="177" t="n">
        <v>49086</v>
      </c>
      <c r="D4891" t="inlineStr">
        <is>
          <t>BW20340516</t>
        </is>
      </c>
      <c r="E4891" t="n">
        <v>2034</v>
      </c>
      <c r="F4891" t="inlineStr">
        <is>
          <t>Maj</t>
        </is>
      </c>
      <c r="G4891" t="inlineStr">
        <is>
          <t>Pn</t>
        </is>
      </c>
      <c r="H4891">
        <f>'Floor Hours Engine'!$E$4</f>
        <v/>
      </c>
      <c r="I4891" t="inlineStr">
        <is>
          <t>W4</t>
        </is>
      </c>
      <c r="J4891" t="inlineStr">
        <is>
          <t>2034_Maj_W4</t>
        </is>
      </c>
    </row>
    <row r="4892">
      <c r="A4892" s="177" t="n">
        <v>49087</v>
      </c>
      <c r="B4892" s="177" t="n">
        <v>49087</v>
      </c>
      <c r="C4892" s="177" t="n">
        <v>49093</v>
      </c>
      <c r="D4892" t="inlineStr">
        <is>
          <t>BW20340523</t>
        </is>
      </c>
      <c r="E4892" t="n">
        <v>2034</v>
      </c>
      <c r="F4892" t="inlineStr">
        <is>
          <t>Maj</t>
        </is>
      </c>
      <c r="G4892" t="inlineStr">
        <is>
          <t>Wt</t>
        </is>
      </c>
      <c r="H4892">
        <f>'Floor Hours Engine'!$E$4</f>
        <v/>
      </c>
      <c r="I4892" t="inlineStr">
        <is>
          <t>W5</t>
        </is>
      </c>
      <c r="J4892" t="inlineStr">
        <is>
          <t>2034_Maj_W5</t>
        </is>
      </c>
    </row>
    <row r="4893">
      <c r="A4893" s="177" t="n">
        <v>49088</v>
      </c>
      <c r="B4893" s="177" t="n">
        <v>49087</v>
      </c>
      <c r="C4893" s="177" t="n">
        <v>49093</v>
      </c>
      <c r="D4893" t="inlineStr">
        <is>
          <t>BW20340523</t>
        </is>
      </c>
      <c r="E4893" t="n">
        <v>2034</v>
      </c>
      <c r="F4893" t="inlineStr">
        <is>
          <t>Maj</t>
        </is>
      </c>
      <c r="G4893" t="inlineStr">
        <is>
          <t>Śr</t>
        </is>
      </c>
      <c r="H4893">
        <f>'Floor Hours Engine'!$E$4</f>
        <v/>
      </c>
      <c r="I4893" t="inlineStr">
        <is>
          <t>W5</t>
        </is>
      </c>
      <c r="J4893" t="inlineStr">
        <is>
          <t>2034_Maj_W5</t>
        </is>
      </c>
    </row>
    <row r="4894">
      <c r="A4894" s="177" t="n">
        <v>49089</v>
      </c>
      <c r="B4894" s="177" t="n">
        <v>49087</v>
      </c>
      <c r="C4894" s="177" t="n">
        <v>49093</v>
      </c>
      <c r="D4894" t="inlineStr">
        <is>
          <t>BW20340523</t>
        </is>
      </c>
      <c r="E4894" t="n">
        <v>2034</v>
      </c>
      <c r="F4894" t="inlineStr">
        <is>
          <t>Maj</t>
        </is>
      </c>
      <c r="G4894" t="inlineStr">
        <is>
          <t>Czw</t>
        </is>
      </c>
      <c r="H4894">
        <f>'Floor Hours Engine'!$E$4</f>
        <v/>
      </c>
      <c r="I4894" t="inlineStr">
        <is>
          <t>W5</t>
        </is>
      </c>
      <c r="J4894" t="inlineStr">
        <is>
          <t>2034_Maj_W5</t>
        </is>
      </c>
    </row>
    <row r="4895">
      <c r="A4895" s="177" t="n">
        <v>49090</v>
      </c>
      <c r="B4895" s="177" t="n">
        <v>49087</v>
      </c>
      <c r="C4895" s="177" t="n">
        <v>49093</v>
      </c>
      <c r="D4895" t="inlineStr">
        <is>
          <t>BW20340523</t>
        </is>
      </c>
      <c r="E4895" t="n">
        <v>2034</v>
      </c>
      <c r="F4895" t="inlineStr">
        <is>
          <t>Maj</t>
        </is>
      </c>
      <c r="G4895" t="inlineStr">
        <is>
          <t>Pt</t>
        </is>
      </c>
      <c r="H4895">
        <f>'Floor Hours Engine'!$E$5</f>
        <v/>
      </c>
      <c r="I4895" t="inlineStr">
        <is>
          <t>W5</t>
        </is>
      </c>
      <c r="J4895" t="inlineStr">
        <is>
          <t>2034_Maj_W5</t>
        </is>
      </c>
    </row>
    <row r="4896">
      <c r="A4896" s="177" t="n">
        <v>49091</v>
      </c>
      <c r="B4896" s="177" t="n">
        <v>49087</v>
      </c>
      <c r="C4896" s="177" t="n">
        <v>49093</v>
      </c>
      <c r="D4896" t="inlineStr">
        <is>
          <t>BW20340523</t>
        </is>
      </c>
      <c r="E4896" t="n">
        <v>2034</v>
      </c>
      <c r="F4896" t="inlineStr">
        <is>
          <t>Maj</t>
        </is>
      </c>
      <c r="G4896" t="inlineStr">
        <is>
          <t>Sob</t>
        </is>
      </c>
      <c r="H4896">
        <f>'Floor Hours Engine'!$E$5</f>
        <v/>
      </c>
      <c r="I4896" t="inlineStr">
        <is>
          <t>W5</t>
        </is>
      </c>
      <c r="J4896" t="inlineStr">
        <is>
          <t>2034_Maj_W5</t>
        </is>
      </c>
    </row>
    <row r="4897">
      <c r="A4897" s="177" t="n">
        <v>49092</v>
      </c>
      <c r="B4897" s="177" t="n">
        <v>49087</v>
      </c>
      <c r="C4897" s="177" t="n">
        <v>49093</v>
      </c>
      <c r="D4897" t="inlineStr">
        <is>
          <t>BW20340523</t>
        </is>
      </c>
      <c r="E4897" t="n">
        <v>2034</v>
      </c>
      <c r="F4897" t="inlineStr">
        <is>
          <t>Maj</t>
        </is>
      </c>
      <c r="G4897" t="inlineStr">
        <is>
          <t>Nd</t>
        </is>
      </c>
      <c r="H4897">
        <f>'Floor Hours Engine'!$E$6</f>
        <v/>
      </c>
      <c r="I4897" t="inlineStr">
        <is>
          <t>W5</t>
        </is>
      </c>
      <c r="J4897" t="inlineStr">
        <is>
          <t>2034_Maj_W5</t>
        </is>
      </c>
    </row>
    <row r="4898">
      <c r="A4898" s="177" t="n">
        <v>49093</v>
      </c>
      <c r="B4898" s="177" t="n">
        <v>49087</v>
      </c>
      <c r="C4898" s="177" t="n">
        <v>49093</v>
      </c>
      <c r="D4898" t="inlineStr">
        <is>
          <t>BW20340523</t>
        </is>
      </c>
      <c r="E4898" t="n">
        <v>2034</v>
      </c>
      <c r="F4898" t="inlineStr">
        <is>
          <t>Maj</t>
        </is>
      </c>
      <c r="G4898" t="inlineStr">
        <is>
          <t>Pn</t>
        </is>
      </c>
      <c r="H4898">
        <f>'Floor Hours Engine'!$E$4</f>
        <v/>
      </c>
      <c r="I4898" t="inlineStr">
        <is>
          <t>W5</t>
        </is>
      </c>
      <c r="J4898" t="inlineStr">
        <is>
          <t>2034_Maj_W5</t>
        </is>
      </c>
    </row>
    <row r="4899">
      <c r="A4899" s="177" t="n">
        <v>49094</v>
      </c>
      <c r="B4899" s="177" t="n">
        <v>49094</v>
      </c>
      <c r="C4899" s="177" t="n">
        <v>49100</v>
      </c>
      <c r="D4899" t="inlineStr">
        <is>
          <t>BW20340530</t>
        </is>
      </c>
      <c r="E4899" t="n">
        <v>2034</v>
      </c>
      <c r="F4899" t="inlineStr">
        <is>
          <t>Maj</t>
        </is>
      </c>
      <c r="G4899" t="inlineStr">
        <is>
          <t>Wt</t>
        </is>
      </c>
      <c r="H4899">
        <f>'Floor Hours Engine'!$E$4</f>
        <v/>
      </c>
      <c r="I4899" t="inlineStr">
        <is>
          <t>W6</t>
        </is>
      </c>
      <c r="J4899" t="inlineStr">
        <is>
          <t>2034_Maj_W6</t>
        </is>
      </c>
    </row>
    <row r="4900">
      <c r="A4900" s="177" t="n">
        <v>49095</v>
      </c>
      <c r="B4900" s="177" t="n">
        <v>49094</v>
      </c>
      <c r="C4900" s="177" t="n">
        <v>49100</v>
      </c>
      <c r="D4900" t="inlineStr">
        <is>
          <t>BW20340530</t>
        </is>
      </c>
      <c r="E4900" t="n">
        <v>2034</v>
      </c>
      <c r="F4900" t="inlineStr">
        <is>
          <t>Maj</t>
        </is>
      </c>
      <c r="G4900" t="inlineStr">
        <is>
          <t>Śr</t>
        </is>
      </c>
      <c r="H4900">
        <f>'Floor Hours Engine'!$E$4</f>
        <v/>
      </c>
      <c r="I4900" t="inlineStr">
        <is>
          <t>W6</t>
        </is>
      </c>
      <c r="J4900" t="inlineStr">
        <is>
          <t>2034_Maj_W6</t>
        </is>
      </c>
    </row>
    <row r="4901">
      <c r="A4901" s="177" t="n">
        <v>49096</v>
      </c>
      <c r="B4901" s="177" t="n">
        <v>49094</v>
      </c>
      <c r="C4901" s="177" t="n">
        <v>49100</v>
      </c>
      <c r="D4901" t="inlineStr">
        <is>
          <t>BW20340530</t>
        </is>
      </c>
      <c r="E4901" t="n">
        <v>2034</v>
      </c>
      <c r="F4901" t="inlineStr">
        <is>
          <t>Czerwiec</t>
        </is>
      </c>
      <c r="G4901" t="inlineStr">
        <is>
          <t>Czw</t>
        </is>
      </c>
      <c r="H4901">
        <f>'Floor Hours Engine'!$E$4</f>
        <v/>
      </c>
      <c r="I4901" t="inlineStr">
        <is>
          <t>W1</t>
        </is>
      </c>
      <c r="J4901" t="inlineStr">
        <is>
          <t>2034_Czerwiec_W1</t>
        </is>
      </c>
    </row>
    <row r="4902">
      <c r="A4902" s="177" t="n">
        <v>49097</v>
      </c>
      <c r="B4902" s="177" t="n">
        <v>49094</v>
      </c>
      <c r="C4902" s="177" t="n">
        <v>49100</v>
      </c>
      <c r="D4902" t="inlineStr">
        <is>
          <t>BW20340530</t>
        </is>
      </c>
      <c r="E4902" t="n">
        <v>2034</v>
      </c>
      <c r="F4902" t="inlineStr">
        <is>
          <t>Czerwiec</t>
        </is>
      </c>
      <c r="G4902" t="inlineStr">
        <is>
          <t>Pt</t>
        </is>
      </c>
      <c r="H4902">
        <f>'Floor Hours Engine'!$E$5</f>
        <v/>
      </c>
      <c r="I4902" t="inlineStr">
        <is>
          <t>W1</t>
        </is>
      </c>
      <c r="J4902" t="inlineStr">
        <is>
          <t>2034_Czerwiec_W1</t>
        </is>
      </c>
    </row>
    <row r="4903">
      <c r="A4903" s="177" t="n">
        <v>49098</v>
      </c>
      <c r="B4903" s="177" t="n">
        <v>49094</v>
      </c>
      <c r="C4903" s="177" t="n">
        <v>49100</v>
      </c>
      <c r="D4903" t="inlineStr">
        <is>
          <t>BW20340530</t>
        </is>
      </c>
      <c r="E4903" t="n">
        <v>2034</v>
      </c>
      <c r="F4903" t="inlineStr">
        <is>
          <t>Czerwiec</t>
        </is>
      </c>
      <c r="G4903" t="inlineStr">
        <is>
          <t>Sob</t>
        </is>
      </c>
      <c r="H4903">
        <f>'Floor Hours Engine'!$E$5</f>
        <v/>
      </c>
      <c r="I4903" t="inlineStr">
        <is>
          <t>W1</t>
        </is>
      </c>
      <c r="J4903" t="inlineStr">
        <is>
          <t>2034_Czerwiec_W1</t>
        </is>
      </c>
    </row>
    <row r="4904">
      <c r="A4904" s="177" t="n">
        <v>49099</v>
      </c>
      <c r="B4904" s="177" t="n">
        <v>49094</v>
      </c>
      <c r="C4904" s="177" t="n">
        <v>49100</v>
      </c>
      <c r="D4904" t="inlineStr">
        <is>
          <t>BW20340530</t>
        </is>
      </c>
      <c r="E4904" t="n">
        <v>2034</v>
      </c>
      <c r="F4904" t="inlineStr">
        <is>
          <t>Czerwiec</t>
        </is>
      </c>
      <c r="G4904" t="inlineStr">
        <is>
          <t>Nd</t>
        </is>
      </c>
      <c r="H4904">
        <f>'Floor Hours Engine'!$E$6</f>
        <v/>
      </c>
      <c r="I4904" t="inlineStr">
        <is>
          <t>W1</t>
        </is>
      </c>
      <c r="J4904" t="inlineStr">
        <is>
          <t>2034_Czerwiec_W1</t>
        </is>
      </c>
    </row>
    <row r="4905">
      <c r="A4905" s="177" t="n">
        <v>49100</v>
      </c>
      <c r="B4905" s="177" t="n">
        <v>49094</v>
      </c>
      <c r="C4905" s="177" t="n">
        <v>49100</v>
      </c>
      <c r="D4905" t="inlineStr">
        <is>
          <t>BW20340530</t>
        </is>
      </c>
      <c r="E4905" t="n">
        <v>2034</v>
      </c>
      <c r="F4905" t="inlineStr">
        <is>
          <t>Czerwiec</t>
        </is>
      </c>
      <c r="G4905" t="inlineStr">
        <is>
          <t>Pn</t>
        </is>
      </c>
      <c r="H4905">
        <f>'Floor Hours Engine'!$E$4</f>
        <v/>
      </c>
      <c r="I4905" t="inlineStr">
        <is>
          <t>W1</t>
        </is>
      </c>
      <c r="J4905" t="inlineStr">
        <is>
          <t>2034_Czerwiec_W1</t>
        </is>
      </c>
    </row>
    <row r="4906">
      <c r="A4906" s="177" t="n">
        <v>49101</v>
      </c>
      <c r="B4906" s="177" t="n">
        <v>49101</v>
      </c>
      <c r="C4906" s="177" t="n">
        <v>49107</v>
      </c>
      <c r="D4906" t="inlineStr">
        <is>
          <t>BW20340606</t>
        </is>
      </c>
      <c r="E4906" t="n">
        <v>2034</v>
      </c>
      <c r="F4906" t="inlineStr">
        <is>
          <t>Czerwiec</t>
        </is>
      </c>
      <c r="G4906" t="inlineStr">
        <is>
          <t>Wt</t>
        </is>
      </c>
      <c r="H4906">
        <f>'Floor Hours Engine'!$E$4</f>
        <v/>
      </c>
      <c r="I4906" t="inlineStr">
        <is>
          <t>W2</t>
        </is>
      </c>
      <c r="J4906" t="inlineStr">
        <is>
          <t>2034_Czerwiec_W2</t>
        </is>
      </c>
    </row>
    <row r="4907">
      <c r="A4907" s="177" t="n">
        <v>49102</v>
      </c>
      <c r="B4907" s="177" t="n">
        <v>49101</v>
      </c>
      <c r="C4907" s="177" t="n">
        <v>49107</v>
      </c>
      <c r="D4907" t="inlineStr">
        <is>
          <t>BW20340606</t>
        </is>
      </c>
      <c r="E4907" t="n">
        <v>2034</v>
      </c>
      <c r="F4907" t="inlineStr">
        <is>
          <t>Czerwiec</t>
        </is>
      </c>
      <c r="G4907" t="inlineStr">
        <is>
          <t>Śr</t>
        </is>
      </c>
      <c r="H4907">
        <f>'Floor Hours Engine'!$E$4</f>
        <v/>
      </c>
      <c r="I4907" t="inlineStr">
        <is>
          <t>W2</t>
        </is>
      </c>
      <c r="J4907" t="inlineStr">
        <is>
          <t>2034_Czerwiec_W2</t>
        </is>
      </c>
    </row>
    <row r="4908">
      <c r="A4908" s="177" t="n">
        <v>49103</v>
      </c>
      <c r="B4908" s="177" t="n">
        <v>49101</v>
      </c>
      <c r="C4908" s="177" t="n">
        <v>49107</v>
      </c>
      <c r="D4908" t="inlineStr">
        <is>
          <t>BW20340606</t>
        </is>
      </c>
      <c r="E4908" t="n">
        <v>2034</v>
      </c>
      <c r="F4908" t="inlineStr">
        <is>
          <t>Czerwiec</t>
        </is>
      </c>
      <c r="G4908" t="inlineStr">
        <is>
          <t>Czw</t>
        </is>
      </c>
      <c r="H4908">
        <f>'Floor Hours Engine'!$E$4</f>
        <v/>
      </c>
      <c r="I4908" t="inlineStr">
        <is>
          <t>W2</t>
        </is>
      </c>
      <c r="J4908" t="inlineStr">
        <is>
          <t>2034_Czerwiec_W2</t>
        </is>
      </c>
    </row>
    <row r="4909">
      <c r="A4909" s="177" t="n">
        <v>49104</v>
      </c>
      <c r="B4909" s="177" t="n">
        <v>49101</v>
      </c>
      <c r="C4909" s="177" t="n">
        <v>49107</v>
      </c>
      <c r="D4909" t="inlineStr">
        <is>
          <t>BW20340606</t>
        </is>
      </c>
      <c r="E4909" t="n">
        <v>2034</v>
      </c>
      <c r="F4909" t="inlineStr">
        <is>
          <t>Czerwiec</t>
        </is>
      </c>
      <c r="G4909" t="inlineStr">
        <is>
          <t>Pt</t>
        </is>
      </c>
      <c r="H4909">
        <f>'Floor Hours Engine'!$E$5</f>
        <v/>
      </c>
      <c r="I4909" t="inlineStr">
        <is>
          <t>W2</t>
        </is>
      </c>
      <c r="J4909" t="inlineStr">
        <is>
          <t>2034_Czerwiec_W2</t>
        </is>
      </c>
    </row>
    <row r="4910">
      <c r="A4910" s="177" t="n">
        <v>49105</v>
      </c>
      <c r="B4910" s="177" t="n">
        <v>49101</v>
      </c>
      <c r="C4910" s="177" t="n">
        <v>49107</v>
      </c>
      <c r="D4910" t="inlineStr">
        <is>
          <t>BW20340606</t>
        </is>
      </c>
      <c r="E4910" t="n">
        <v>2034</v>
      </c>
      <c r="F4910" t="inlineStr">
        <is>
          <t>Czerwiec</t>
        </is>
      </c>
      <c r="G4910" t="inlineStr">
        <is>
          <t>Sob</t>
        </is>
      </c>
      <c r="H4910">
        <f>'Floor Hours Engine'!$E$5</f>
        <v/>
      </c>
      <c r="I4910" t="inlineStr">
        <is>
          <t>W2</t>
        </is>
      </c>
      <c r="J4910" t="inlineStr">
        <is>
          <t>2034_Czerwiec_W2</t>
        </is>
      </c>
    </row>
    <row r="4911">
      <c r="A4911" s="177" t="n">
        <v>49106</v>
      </c>
      <c r="B4911" s="177" t="n">
        <v>49101</v>
      </c>
      <c r="C4911" s="177" t="n">
        <v>49107</v>
      </c>
      <c r="D4911" t="inlineStr">
        <is>
          <t>BW20340606</t>
        </is>
      </c>
      <c r="E4911" t="n">
        <v>2034</v>
      </c>
      <c r="F4911" t="inlineStr">
        <is>
          <t>Czerwiec</t>
        </is>
      </c>
      <c r="G4911" t="inlineStr">
        <is>
          <t>Nd</t>
        </is>
      </c>
      <c r="H4911">
        <f>'Floor Hours Engine'!$E$6</f>
        <v/>
      </c>
      <c r="I4911" t="inlineStr">
        <is>
          <t>W2</t>
        </is>
      </c>
      <c r="J4911" t="inlineStr">
        <is>
          <t>2034_Czerwiec_W2</t>
        </is>
      </c>
    </row>
    <row r="4912">
      <c r="A4912" s="177" t="n">
        <v>49107</v>
      </c>
      <c r="B4912" s="177" t="n">
        <v>49101</v>
      </c>
      <c r="C4912" s="177" t="n">
        <v>49107</v>
      </c>
      <c r="D4912" t="inlineStr">
        <is>
          <t>BW20340606</t>
        </is>
      </c>
      <c r="E4912" t="n">
        <v>2034</v>
      </c>
      <c r="F4912" t="inlineStr">
        <is>
          <t>Czerwiec</t>
        </is>
      </c>
      <c r="G4912" t="inlineStr">
        <is>
          <t>Pn</t>
        </is>
      </c>
      <c r="H4912">
        <f>'Floor Hours Engine'!$E$4</f>
        <v/>
      </c>
      <c r="I4912" t="inlineStr">
        <is>
          <t>W2</t>
        </is>
      </c>
      <c r="J4912" t="inlineStr">
        <is>
          <t>2034_Czerwiec_W2</t>
        </is>
      </c>
    </row>
    <row r="4913">
      <c r="A4913" s="177" t="n">
        <v>49108</v>
      </c>
      <c r="B4913" s="177" t="n">
        <v>49108</v>
      </c>
      <c r="C4913" s="177" t="n">
        <v>49114</v>
      </c>
      <c r="D4913" t="inlineStr">
        <is>
          <t>BW20340613</t>
        </is>
      </c>
      <c r="E4913" t="n">
        <v>2034</v>
      </c>
      <c r="F4913" t="inlineStr">
        <is>
          <t>Czerwiec</t>
        </is>
      </c>
      <c r="G4913" t="inlineStr">
        <is>
          <t>Wt</t>
        </is>
      </c>
      <c r="H4913">
        <f>'Floor Hours Engine'!$E$4</f>
        <v/>
      </c>
      <c r="I4913" t="inlineStr">
        <is>
          <t>W3</t>
        </is>
      </c>
      <c r="J4913" t="inlineStr">
        <is>
          <t>2034_Czerwiec_W3</t>
        </is>
      </c>
    </row>
    <row r="4914">
      <c r="A4914" s="177" t="n">
        <v>49109</v>
      </c>
      <c r="B4914" s="177" t="n">
        <v>49108</v>
      </c>
      <c r="C4914" s="177" t="n">
        <v>49114</v>
      </c>
      <c r="D4914" t="inlineStr">
        <is>
          <t>BW20340613</t>
        </is>
      </c>
      <c r="E4914" t="n">
        <v>2034</v>
      </c>
      <c r="F4914" t="inlineStr">
        <is>
          <t>Czerwiec</t>
        </is>
      </c>
      <c r="G4914" t="inlineStr">
        <is>
          <t>Śr</t>
        </is>
      </c>
      <c r="H4914">
        <f>'Floor Hours Engine'!$E$4</f>
        <v/>
      </c>
      <c r="I4914" t="inlineStr">
        <is>
          <t>W3</t>
        </is>
      </c>
      <c r="J4914" t="inlineStr">
        <is>
          <t>2034_Czerwiec_W3</t>
        </is>
      </c>
    </row>
    <row r="4915">
      <c r="A4915" s="177" t="n">
        <v>49110</v>
      </c>
      <c r="B4915" s="177" t="n">
        <v>49108</v>
      </c>
      <c r="C4915" s="177" t="n">
        <v>49114</v>
      </c>
      <c r="D4915" t="inlineStr">
        <is>
          <t>BW20340613</t>
        </is>
      </c>
      <c r="E4915" t="n">
        <v>2034</v>
      </c>
      <c r="F4915" t="inlineStr">
        <is>
          <t>Czerwiec</t>
        </is>
      </c>
      <c r="G4915" t="inlineStr">
        <is>
          <t>Czw</t>
        </is>
      </c>
      <c r="H4915">
        <f>'Floor Hours Engine'!$E$4</f>
        <v/>
      </c>
      <c r="I4915" t="inlineStr">
        <is>
          <t>W3</t>
        </is>
      </c>
      <c r="J4915" t="inlineStr">
        <is>
          <t>2034_Czerwiec_W3</t>
        </is>
      </c>
    </row>
    <row r="4916">
      <c r="A4916" s="177" t="n">
        <v>49111</v>
      </c>
      <c r="B4916" s="177" t="n">
        <v>49108</v>
      </c>
      <c r="C4916" s="177" t="n">
        <v>49114</v>
      </c>
      <c r="D4916" t="inlineStr">
        <is>
          <t>BW20340613</t>
        </is>
      </c>
      <c r="E4916" t="n">
        <v>2034</v>
      </c>
      <c r="F4916" t="inlineStr">
        <is>
          <t>Czerwiec</t>
        </is>
      </c>
      <c r="G4916" t="inlineStr">
        <is>
          <t>Pt</t>
        </is>
      </c>
      <c r="H4916">
        <f>'Floor Hours Engine'!$E$5</f>
        <v/>
      </c>
      <c r="I4916" t="inlineStr">
        <is>
          <t>W3</t>
        </is>
      </c>
      <c r="J4916" t="inlineStr">
        <is>
          <t>2034_Czerwiec_W3</t>
        </is>
      </c>
    </row>
    <row r="4917">
      <c r="A4917" s="177" t="n">
        <v>49112</v>
      </c>
      <c r="B4917" s="177" t="n">
        <v>49108</v>
      </c>
      <c r="C4917" s="177" t="n">
        <v>49114</v>
      </c>
      <c r="D4917" t="inlineStr">
        <is>
          <t>BW20340613</t>
        </is>
      </c>
      <c r="E4917" t="n">
        <v>2034</v>
      </c>
      <c r="F4917" t="inlineStr">
        <is>
          <t>Czerwiec</t>
        </is>
      </c>
      <c r="G4917" t="inlineStr">
        <is>
          <t>Sob</t>
        </is>
      </c>
      <c r="H4917">
        <f>'Floor Hours Engine'!$E$5</f>
        <v/>
      </c>
      <c r="I4917" t="inlineStr">
        <is>
          <t>W3</t>
        </is>
      </c>
      <c r="J4917" t="inlineStr">
        <is>
          <t>2034_Czerwiec_W3</t>
        </is>
      </c>
    </row>
    <row r="4918">
      <c r="A4918" s="177" t="n">
        <v>49113</v>
      </c>
      <c r="B4918" s="177" t="n">
        <v>49108</v>
      </c>
      <c r="C4918" s="177" t="n">
        <v>49114</v>
      </c>
      <c r="D4918" t="inlineStr">
        <is>
          <t>BW20340613</t>
        </is>
      </c>
      <c r="E4918" t="n">
        <v>2034</v>
      </c>
      <c r="F4918" t="inlineStr">
        <is>
          <t>Czerwiec</t>
        </is>
      </c>
      <c r="G4918" t="inlineStr">
        <is>
          <t>Nd</t>
        </is>
      </c>
      <c r="H4918">
        <f>'Floor Hours Engine'!$E$6</f>
        <v/>
      </c>
      <c r="I4918" t="inlineStr">
        <is>
          <t>W3</t>
        </is>
      </c>
      <c r="J4918" t="inlineStr">
        <is>
          <t>2034_Czerwiec_W3</t>
        </is>
      </c>
    </row>
    <row r="4919">
      <c r="A4919" s="177" t="n">
        <v>49114</v>
      </c>
      <c r="B4919" s="177" t="n">
        <v>49108</v>
      </c>
      <c r="C4919" s="177" t="n">
        <v>49114</v>
      </c>
      <c r="D4919" t="inlineStr">
        <is>
          <t>BW20340613</t>
        </is>
      </c>
      <c r="E4919" t="n">
        <v>2034</v>
      </c>
      <c r="F4919" t="inlineStr">
        <is>
          <t>Czerwiec</t>
        </is>
      </c>
      <c r="G4919" t="inlineStr">
        <is>
          <t>Pn</t>
        </is>
      </c>
      <c r="H4919">
        <f>'Floor Hours Engine'!$E$4</f>
        <v/>
      </c>
      <c r="I4919" t="inlineStr">
        <is>
          <t>W3</t>
        </is>
      </c>
      <c r="J4919" t="inlineStr">
        <is>
          <t>2034_Czerwiec_W3</t>
        </is>
      </c>
    </row>
    <row r="4920">
      <c r="A4920" s="177" t="n">
        <v>49115</v>
      </c>
      <c r="B4920" s="177" t="n">
        <v>49115</v>
      </c>
      <c r="C4920" s="177" t="n">
        <v>49121</v>
      </c>
      <c r="D4920" t="inlineStr">
        <is>
          <t>BW20340620</t>
        </is>
      </c>
      <c r="E4920" t="n">
        <v>2034</v>
      </c>
      <c r="F4920" t="inlineStr">
        <is>
          <t>Czerwiec</t>
        </is>
      </c>
      <c r="G4920" t="inlineStr">
        <is>
          <t>Wt</t>
        </is>
      </c>
      <c r="H4920">
        <f>'Floor Hours Engine'!$E$4</f>
        <v/>
      </c>
      <c r="I4920" t="inlineStr">
        <is>
          <t>W4</t>
        </is>
      </c>
      <c r="J4920" t="inlineStr">
        <is>
          <t>2034_Czerwiec_W4</t>
        </is>
      </c>
    </row>
    <row r="4921">
      <c r="A4921" s="177" t="n">
        <v>49116</v>
      </c>
      <c r="B4921" s="177" t="n">
        <v>49115</v>
      </c>
      <c r="C4921" s="177" t="n">
        <v>49121</v>
      </c>
      <c r="D4921" t="inlineStr">
        <is>
          <t>BW20340620</t>
        </is>
      </c>
      <c r="E4921" t="n">
        <v>2034</v>
      </c>
      <c r="F4921" t="inlineStr">
        <is>
          <t>Czerwiec</t>
        </is>
      </c>
      <c r="G4921" t="inlineStr">
        <is>
          <t>Śr</t>
        </is>
      </c>
      <c r="H4921">
        <f>'Floor Hours Engine'!$E$4</f>
        <v/>
      </c>
      <c r="I4921" t="inlineStr">
        <is>
          <t>W4</t>
        </is>
      </c>
      <c r="J4921" t="inlineStr">
        <is>
          <t>2034_Czerwiec_W4</t>
        </is>
      </c>
    </row>
    <row r="4922">
      <c r="A4922" s="177" t="n">
        <v>49117</v>
      </c>
      <c r="B4922" s="177" t="n">
        <v>49115</v>
      </c>
      <c r="C4922" s="177" t="n">
        <v>49121</v>
      </c>
      <c r="D4922" t="inlineStr">
        <is>
          <t>BW20340620</t>
        </is>
      </c>
      <c r="E4922" t="n">
        <v>2034</v>
      </c>
      <c r="F4922" t="inlineStr">
        <is>
          <t>Czerwiec</t>
        </is>
      </c>
      <c r="G4922" t="inlineStr">
        <is>
          <t>Czw</t>
        </is>
      </c>
      <c r="H4922">
        <f>'Floor Hours Engine'!$E$4</f>
        <v/>
      </c>
      <c r="I4922" t="inlineStr">
        <is>
          <t>W4</t>
        </is>
      </c>
      <c r="J4922" t="inlineStr">
        <is>
          <t>2034_Czerwiec_W4</t>
        </is>
      </c>
    </row>
    <row r="4923">
      <c r="A4923" s="177" t="n">
        <v>49118</v>
      </c>
      <c r="B4923" s="177" t="n">
        <v>49115</v>
      </c>
      <c r="C4923" s="177" t="n">
        <v>49121</v>
      </c>
      <c r="D4923" t="inlineStr">
        <is>
          <t>BW20340620</t>
        </is>
      </c>
      <c r="E4923" t="n">
        <v>2034</v>
      </c>
      <c r="F4923" t="inlineStr">
        <is>
          <t>Czerwiec</t>
        </is>
      </c>
      <c r="G4923" t="inlineStr">
        <is>
          <t>Pt</t>
        </is>
      </c>
      <c r="H4923">
        <f>'Floor Hours Engine'!$E$5</f>
        <v/>
      </c>
      <c r="I4923" t="inlineStr">
        <is>
          <t>W4</t>
        </is>
      </c>
      <c r="J4923" t="inlineStr">
        <is>
          <t>2034_Czerwiec_W4</t>
        </is>
      </c>
    </row>
    <row r="4924">
      <c r="A4924" s="177" t="n">
        <v>49119</v>
      </c>
      <c r="B4924" s="177" t="n">
        <v>49115</v>
      </c>
      <c r="C4924" s="177" t="n">
        <v>49121</v>
      </c>
      <c r="D4924" t="inlineStr">
        <is>
          <t>BW20340620</t>
        </is>
      </c>
      <c r="E4924" t="n">
        <v>2034</v>
      </c>
      <c r="F4924" t="inlineStr">
        <is>
          <t>Czerwiec</t>
        </is>
      </c>
      <c r="G4924" t="inlineStr">
        <is>
          <t>Sob</t>
        </is>
      </c>
      <c r="H4924">
        <f>'Floor Hours Engine'!$E$5</f>
        <v/>
      </c>
      <c r="I4924" t="inlineStr">
        <is>
          <t>W4</t>
        </is>
      </c>
      <c r="J4924" t="inlineStr">
        <is>
          <t>2034_Czerwiec_W4</t>
        </is>
      </c>
    </row>
    <row r="4925">
      <c r="A4925" s="177" t="n">
        <v>49120</v>
      </c>
      <c r="B4925" s="177" t="n">
        <v>49115</v>
      </c>
      <c r="C4925" s="177" t="n">
        <v>49121</v>
      </c>
      <c r="D4925" t="inlineStr">
        <is>
          <t>BW20340620</t>
        </is>
      </c>
      <c r="E4925" t="n">
        <v>2034</v>
      </c>
      <c r="F4925" t="inlineStr">
        <is>
          <t>Czerwiec</t>
        </is>
      </c>
      <c r="G4925" t="inlineStr">
        <is>
          <t>Nd</t>
        </is>
      </c>
      <c r="H4925">
        <f>'Floor Hours Engine'!$E$6</f>
        <v/>
      </c>
      <c r="I4925" t="inlineStr">
        <is>
          <t>W4</t>
        </is>
      </c>
      <c r="J4925" t="inlineStr">
        <is>
          <t>2034_Czerwiec_W4</t>
        </is>
      </c>
    </row>
    <row r="4926">
      <c r="A4926" s="177" t="n">
        <v>49121</v>
      </c>
      <c r="B4926" s="177" t="n">
        <v>49115</v>
      </c>
      <c r="C4926" s="177" t="n">
        <v>49121</v>
      </c>
      <c r="D4926" t="inlineStr">
        <is>
          <t>BW20340620</t>
        </is>
      </c>
      <c r="E4926" t="n">
        <v>2034</v>
      </c>
      <c r="F4926" t="inlineStr">
        <is>
          <t>Czerwiec</t>
        </is>
      </c>
      <c r="G4926" t="inlineStr">
        <is>
          <t>Pn</t>
        </is>
      </c>
      <c r="H4926">
        <f>'Floor Hours Engine'!$E$4</f>
        <v/>
      </c>
      <c r="I4926" t="inlineStr">
        <is>
          <t>W4</t>
        </is>
      </c>
      <c r="J4926" t="inlineStr">
        <is>
          <t>2034_Czerwiec_W4</t>
        </is>
      </c>
    </row>
    <row r="4927">
      <c r="A4927" s="177" t="n">
        <v>49122</v>
      </c>
      <c r="B4927" s="177" t="n">
        <v>49122</v>
      </c>
      <c r="C4927" s="177" t="n">
        <v>49128</v>
      </c>
      <c r="D4927" t="inlineStr">
        <is>
          <t>BW20340627</t>
        </is>
      </c>
      <c r="E4927" t="n">
        <v>2034</v>
      </c>
      <c r="F4927" t="inlineStr">
        <is>
          <t>Czerwiec</t>
        </is>
      </c>
      <c r="G4927" t="inlineStr">
        <is>
          <t>Wt</t>
        </is>
      </c>
      <c r="H4927">
        <f>'Floor Hours Engine'!$E$4</f>
        <v/>
      </c>
      <c r="I4927" t="inlineStr">
        <is>
          <t>W5</t>
        </is>
      </c>
      <c r="J4927" t="inlineStr">
        <is>
          <t>2034_Czerwiec_W5</t>
        </is>
      </c>
    </row>
    <row r="4928">
      <c r="A4928" s="177" t="n">
        <v>49123</v>
      </c>
      <c r="B4928" s="177" t="n">
        <v>49122</v>
      </c>
      <c r="C4928" s="177" t="n">
        <v>49128</v>
      </c>
      <c r="D4928" t="inlineStr">
        <is>
          <t>BW20340627</t>
        </is>
      </c>
      <c r="E4928" t="n">
        <v>2034</v>
      </c>
      <c r="F4928" t="inlineStr">
        <is>
          <t>Czerwiec</t>
        </is>
      </c>
      <c r="G4928" t="inlineStr">
        <is>
          <t>Śr</t>
        </is>
      </c>
      <c r="H4928">
        <f>'Floor Hours Engine'!$E$4</f>
        <v/>
      </c>
      <c r="I4928" t="inlineStr">
        <is>
          <t>W5</t>
        </is>
      </c>
      <c r="J4928" t="inlineStr">
        <is>
          <t>2034_Czerwiec_W5</t>
        </is>
      </c>
    </row>
    <row r="4929">
      <c r="A4929" s="177" t="n">
        <v>49124</v>
      </c>
      <c r="B4929" s="177" t="n">
        <v>49122</v>
      </c>
      <c r="C4929" s="177" t="n">
        <v>49128</v>
      </c>
      <c r="D4929" t="inlineStr">
        <is>
          <t>BW20340627</t>
        </is>
      </c>
      <c r="E4929" t="n">
        <v>2034</v>
      </c>
      <c r="F4929" t="inlineStr">
        <is>
          <t>Czerwiec</t>
        </is>
      </c>
      <c r="G4929" t="inlineStr">
        <is>
          <t>Czw</t>
        </is>
      </c>
      <c r="H4929">
        <f>'Floor Hours Engine'!$E$4</f>
        <v/>
      </c>
      <c r="I4929" t="inlineStr">
        <is>
          <t>W5</t>
        </is>
      </c>
      <c r="J4929" t="inlineStr">
        <is>
          <t>2034_Czerwiec_W5</t>
        </is>
      </c>
    </row>
    <row r="4930">
      <c r="A4930" s="177" t="n">
        <v>49125</v>
      </c>
      <c r="B4930" s="177" t="n">
        <v>49122</v>
      </c>
      <c r="C4930" s="177" t="n">
        <v>49128</v>
      </c>
      <c r="D4930" t="inlineStr">
        <is>
          <t>BW20340627</t>
        </is>
      </c>
      <c r="E4930" t="n">
        <v>2034</v>
      </c>
      <c r="F4930" t="inlineStr">
        <is>
          <t>Czerwiec</t>
        </is>
      </c>
      <c r="G4930" t="inlineStr">
        <is>
          <t>Pt</t>
        </is>
      </c>
      <c r="H4930">
        <f>'Floor Hours Engine'!$E$5</f>
        <v/>
      </c>
      <c r="I4930" t="inlineStr">
        <is>
          <t>W5</t>
        </is>
      </c>
      <c r="J4930" t="inlineStr">
        <is>
          <t>2034_Czerwiec_W5</t>
        </is>
      </c>
    </row>
    <row r="4931">
      <c r="A4931" s="177" t="n">
        <v>49126</v>
      </c>
      <c r="B4931" s="177" t="n">
        <v>49122</v>
      </c>
      <c r="C4931" s="177" t="n">
        <v>49128</v>
      </c>
      <c r="D4931" t="inlineStr">
        <is>
          <t>BW20340627</t>
        </is>
      </c>
      <c r="E4931" t="n">
        <v>2034</v>
      </c>
      <c r="F4931" t="inlineStr">
        <is>
          <t>Lipiec</t>
        </is>
      </c>
      <c r="G4931" t="inlineStr">
        <is>
          <t>Sob</t>
        </is>
      </c>
      <c r="H4931">
        <f>'Floor Hours Engine'!$E$5</f>
        <v/>
      </c>
      <c r="I4931" t="inlineStr">
        <is>
          <t>W1</t>
        </is>
      </c>
      <c r="J4931" t="inlineStr">
        <is>
          <t>2034_Lipiec_W1</t>
        </is>
      </c>
    </row>
    <row r="4932">
      <c r="A4932" s="177" t="n">
        <v>49127</v>
      </c>
      <c r="B4932" s="177" t="n">
        <v>49122</v>
      </c>
      <c r="C4932" s="177" t="n">
        <v>49128</v>
      </c>
      <c r="D4932" t="inlineStr">
        <is>
          <t>BW20340627</t>
        </is>
      </c>
      <c r="E4932" t="n">
        <v>2034</v>
      </c>
      <c r="F4932" t="inlineStr">
        <is>
          <t>Lipiec</t>
        </is>
      </c>
      <c r="G4932" t="inlineStr">
        <is>
          <t>Nd</t>
        </is>
      </c>
      <c r="H4932">
        <f>'Floor Hours Engine'!$E$6</f>
        <v/>
      </c>
      <c r="I4932" t="inlineStr">
        <is>
          <t>W1</t>
        </is>
      </c>
      <c r="J4932" t="inlineStr">
        <is>
          <t>2034_Lipiec_W1</t>
        </is>
      </c>
    </row>
    <row r="4933">
      <c r="A4933" s="177" t="n">
        <v>49128</v>
      </c>
      <c r="B4933" s="177" t="n">
        <v>49122</v>
      </c>
      <c r="C4933" s="177" t="n">
        <v>49128</v>
      </c>
      <c r="D4933" t="inlineStr">
        <is>
          <t>BW20340627</t>
        </is>
      </c>
      <c r="E4933" t="n">
        <v>2034</v>
      </c>
      <c r="F4933" t="inlineStr">
        <is>
          <t>Lipiec</t>
        </is>
      </c>
      <c r="G4933" t="inlineStr">
        <is>
          <t>Pn</t>
        </is>
      </c>
      <c r="H4933">
        <f>'Floor Hours Engine'!$E$4</f>
        <v/>
      </c>
      <c r="I4933" t="inlineStr">
        <is>
          <t>W1</t>
        </is>
      </c>
      <c r="J4933" t="inlineStr">
        <is>
          <t>2034_Lipiec_W1</t>
        </is>
      </c>
    </row>
    <row r="4934">
      <c r="A4934" s="177" t="n">
        <v>49129</v>
      </c>
      <c r="B4934" s="177" t="n">
        <v>49129</v>
      </c>
      <c r="C4934" s="177" t="n">
        <v>49135</v>
      </c>
      <c r="D4934" t="inlineStr">
        <is>
          <t>BW20340704</t>
        </is>
      </c>
      <c r="E4934" t="n">
        <v>2034</v>
      </c>
      <c r="F4934" t="inlineStr">
        <is>
          <t>Lipiec</t>
        </is>
      </c>
      <c r="G4934" t="inlineStr">
        <is>
          <t>Wt</t>
        </is>
      </c>
      <c r="H4934">
        <f>'Floor Hours Engine'!$E$4</f>
        <v/>
      </c>
      <c r="I4934" t="inlineStr">
        <is>
          <t>W2</t>
        </is>
      </c>
      <c r="J4934" t="inlineStr">
        <is>
          <t>2034_Lipiec_W2</t>
        </is>
      </c>
    </row>
    <row r="4935">
      <c r="A4935" s="177" t="n">
        <v>49130</v>
      </c>
      <c r="B4935" s="177" t="n">
        <v>49129</v>
      </c>
      <c r="C4935" s="177" t="n">
        <v>49135</v>
      </c>
      <c r="D4935" t="inlineStr">
        <is>
          <t>BW20340704</t>
        </is>
      </c>
      <c r="E4935" t="n">
        <v>2034</v>
      </c>
      <c r="F4935" t="inlineStr">
        <is>
          <t>Lipiec</t>
        </is>
      </c>
      <c r="G4935" t="inlineStr">
        <is>
          <t>Śr</t>
        </is>
      </c>
      <c r="H4935">
        <f>'Floor Hours Engine'!$E$4</f>
        <v/>
      </c>
      <c r="I4935" t="inlineStr">
        <is>
          <t>W2</t>
        </is>
      </c>
      <c r="J4935" t="inlineStr">
        <is>
          <t>2034_Lipiec_W2</t>
        </is>
      </c>
    </row>
    <row r="4936">
      <c r="A4936" s="177" t="n">
        <v>49131</v>
      </c>
      <c r="B4936" s="177" t="n">
        <v>49129</v>
      </c>
      <c r="C4936" s="177" t="n">
        <v>49135</v>
      </c>
      <c r="D4936" t="inlineStr">
        <is>
          <t>BW20340704</t>
        </is>
      </c>
      <c r="E4936" t="n">
        <v>2034</v>
      </c>
      <c r="F4936" t="inlineStr">
        <is>
          <t>Lipiec</t>
        </is>
      </c>
      <c r="G4936" t="inlineStr">
        <is>
          <t>Czw</t>
        </is>
      </c>
      <c r="H4936">
        <f>'Floor Hours Engine'!$E$4</f>
        <v/>
      </c>
      <c r="I4936" t="inlineStr">
        <is>
          <t>W2</t>
        </is>
      </c>
      <c r="J4936" t="inlineStr">
        <is>
          <t>2034_Lipiec_W2</t>
        </is>
      </c>
    </row>
    <row r="4937">
      <c r="A4937" s="177" t="n">
        <v>49132</v>
      </c>
      <c r="B4937" s="177" t="n">
        <v>49129</v>
      </c>
      <c r="C4937" s="177" t="n">
        <v>49135</v>
      </c>
      <c r="D4937" t="inlineStr">
        <is>
          <t>BW20340704</t>
        </is>
      </c>
      <c r="E4937" t="n">
        <v>2034</v>
      </c>
      <c r="F4937" t="inlineStr">
        <is>
          <t>Lipiec</t>
        </is>
      </c>
      <c r="G4937" t="inlineStr">
        <is>
          <t>Pt</t>
        </is>
      </c>
      <c r="H4937">
        <f>'Floor Hours Engine'!$E$5</f>
        <v/>
      </c>
      <c r="I4937" t="inlineStr">
        <is>
          <t>W2</t>
        </is>
      </c>
      <c r="J4937" t="inlineStr">
        <is>
          <t>2034_Lipiec_W2</t>
        </is>
      </c>
    </row>
    <row r="4938">
      <c r="A4938" s="177" t="n">
        <v>49133</v>
      </c>
      <c r="B4938" s="177" t="n">
        <v>49129</v>
      </c>
      <c r="C4938" s="177" t="n">
        <v>49135</v>
      </c>
      <c r="D4938" t="inlineStr">
        <is>
          <t>BW20340704</t>
        </is>
      </c>
      <c r="E4938" t="n">
        <v>2034</v>
      </c>
      <c r="F4938" t="inlineStr">
        <is>
          <t>Lipiec</t>
        </is>
      </c>
      <c r="G4938" t="inlineStr">
        <is>
          <t>Sob</t>
        </is>
      </c>
      <c r="H4938">
        <f>'Floor Hours Engine'!$E$5</f>
        <v/>
      </c>
      <c r="I4938" t="inlineStr">
        <is>
          <t>W2</t>
        </is>
      </c>
      <c r="J4938" t="inlineStr">
        <is>
          <t>2034_Lipiec_W2</t>
        </is>
      </c>
    </row>
    <row r="4939">
      <c r="A4939" s="177" t="n">
        <v>49134</v>
      </c>
      <c r="B4939" s="177" t="n">
        <v>49129</v>
      </c>
      <c r="C4939" s="177" t="n">
        <v>49135</v>
      </c>
      <c r="D4939" t="inlineStr">
        <is>
          <t>BW20340704</t>
        </is>
      </c>
      <c r="E4939" t="n">
        <v>2034</v>
      </c>
      <c r="F4939" t="inlineStr">
        <is>
          <t>Lipiec</t>
        </is>
      </c>
      <c r="G4939" t="inlineStr">
        <is>
          <t>Nd</t>
        </is>
      </c>
      <c r="H4939">
        <f>'Floor Hours Engine'!$E$6</f>
        <v/>
      </c>
      <c r="I4939" t="inlineStr">
        <is>
          <t>W2</t>
        </is>
      </c>
      <c r="J4939" t="inlineStr">
        <is>
          <t>2034_Lipiec_W2</t>
        </is>
      </c>
    </row>
    <row r="4940">
      <c r="A4940" s="177" t="n">
        <v>49135</v>
      </c>
      <c r="B4940" s="177" t="n">
        <v>49129</v>
      </c>
      <c r="C4940" s="177" t="n">
        <v>49135</v>
      </c>
      <c r="D4940" t="inlineStr">
        <is>
          <t>BW20340704</t>
        </is>
      </c>
      <c r="E4940" t="n">
        <v>2034</v>
      </c>
      <c r="F4940" t="inlineStr">
        <is>
          <t>Lipiec</t>
        </is>
      </c>
      <c r="G4940" t="inlineStr">
        <is>
          <t>Pn</t>
        </is>
      </c>
      <c r="H4940">
        <f>'Floor Hours Engine'!$E$4</f>
        <v/>
      </c>
      <c r="I4940" t="inlineStr">
        <is>
          <t>W2</t>
        </is>
      </c>
      <c r="J4940" t="inlineStr">
        <is>
          <t>2034_Lipiec_W2</t>
        </is>
      </c>
    </row>
    <row r="4941">
      <c r="A4941" s="177" t="n">
        <v>49136</v>
      </c>
      <c r="B4941" s="177" t="n">
        <v>49136</v>
      </c>
      <c r="C4941" s="177" t="n">
        <v>49142</v>
      </c>
      <c r="D4941" t="inlineStr">
        <is>
          <t>BW20340711</t>
        </is>
      </c>
      <c r="E4941" t="n">
        <v>2034</v>
      </c>
      <c r="F4941" t="inlineStr">
        <is>
          <t>Lipiec</t>
        </is>
      </c>
      <c r="G4941" t="inlineStr">
        <is>
          <t>Wt</t>
        </is>
      </c>
      <c r="H4941">
        <f>'Floor Hours Engine'!$E$4</f>
        <v/>
      </c>
      <c r="I4941" t="inlineStr">
        <is>
          <t>W3</t>
        </is>
      </c>
      <c r="J4941" t="inlineStr">
        <is>
          <t>2034_Lipiec_W3</t>
        </is>
      </c>
    </row>
    <row r="4942">
      <c r="A4942" s="177" t="n">
        <v>49137</v>
      </c>
      <c r="B4942" s="177" t="n">
        <v>49136</v>
      </c>
      <c r="C4942" s="177" t="n">
        <v>49142</v>
      </c>
      <c r="D4942" t="inlineStr">
        <is>
          <t>BW20340711</t>
        </is>
      </c>
      <c r="E4942" t="n">
        <v>2034</v>
      </c>
      <c r="F4942" t="inlineStr">
        <is>
          <t>Lipiec</t>
        </is>
      </c>
      <c r="G4942" t="inlineStr">
        <is>
          <t>Śr</t>
        </is>
      </c>
      <c r="H4942">
        <f>'Floor Hours Engine'!$E$4</f>
        <v/>
      </c>
      <c r="I4942" t="inlineStr">
        <is>
          <t>W3</t>
        </is>
      </c>
      <c r="J4942" t="inlineStr">
        <is>
          <t>2034_Lipiec_W3</t>
        </is>
      </c>
    </row>
    <row r="4943">
      <c r="A4943" s="177" t="n">
        <v>49138</v>
      </c>
      <c r="B4943" s="177" t="n">
        <v>49136</v>
      </c>
      <c r="C4943" s="177" t="n">
        <v>49142</v>
      </c>
      <c r="D4943" t="inlineStr">
        <is>
          <t>BW20340711</t>
        </is>
      </c>
      <c r="E4943" t="n">
        <v>2034</v>
      </c>
      <c r="F4943" t="inlineStr">
        <is>
          <t>Lipiec</t>
        </is>
      </c>
      <c r="G4943" t="inlineStr">
        <is>
          <t>Czw</t>
        </is>
      </c>
      <c r="H4943">
        <f>'Floor Hours Engine'!$E$4</f>
        <v/>
      </c>
      <c r="I4943" t="inlineStr">
        <is>
          <t>W3</t>
        </is>
      </c>
      <c r="J4943" t="inlineStr">
        <is>
          <t>2034_Lipiec_W3</t>
        </is>
      </c>
    </row>
    <row r="4944">
      <c r="A4944" s="177" t="n">
        <v>49139</v>
      </c>
      <c r="B4944" s="177" t="n">
        <v>49136</v>
      </c>
      <c r="C4944" s="177" t="n">
        <v>49142</v>
      </c>
      <c r="D4944" t="inlineStr">
        <is>
          <t>BW20340711</t>
        </is>
      </c>
      <c r="E4944" t="n">
        <v>2034</v>
      </c>
      <c r="F4944" t="inlineStr">
        <is>
          <t>Lipiec</t>
        </is>
      </c>
      <c r="G4944" t="inlineStr">
        <is>
          <t>Pt</t>
        </is>
      </c>
      <c r="H4944">
        <f>'Floor Hours Engine'!$E$5</f>
        <v/>
      </c>
      <c r="I4944" t="inlineStr">
        <is>
          <t>W3</t>
        </is>
      </c>
      <c r="J4944" t="inlineStr">
        <is>
          <t>2034_Lipiec_W3</t>
        </is>
      </c>
    </row>
    <row r="4945">
      <c r="A4945" s="177" t="n">
        <v>49140</v>
      </c>
      <c r="B4945" s="177" t="n">
        <v>49136</v>
      </c>
      <c r="C4945" s="177" t="n">
        <v>49142</v>
      </c>
      <c r="D4945" t="inlineStr">
        <is>
          <t>BW20340711</t>
        </is>
      </c>
      <c r="E4945" t="n">
        <v>2034</v>
      </c>
      <c r="F4945" t="inlineStr">
        <is>
          <t>Lipiec</t>
        </is>
      </c>
      <c r="G4945" t="inlineStr">
        <is>
          <t>Sob</t>
        </is>
      </c>
      <c r="H4945">
        <f>'Floor Hours Engine'!$E$5</f>
        <v/>
      </c>
      <c r="I4945" t="inlineStr">
        <is>
          <t>W3</t>
        </is>
      </c>
      <c r="J4945" t="inlineStr">
        <is>
          <t>2034_Lipiec_W3</t>
        </is>
      </c>
    </row>
    <row r="4946">
      <c r="A4946" s="177" t="n">
        <v>49141</v>
      </c>
      <c r="B4946" s="177" t="n">
        <v>49136</v>
      </c>
      <c r="C4946" s="177" t="n">
        <v>49142</v>
      </c>
      <c r="D4946" t="inlineStr">
        <is>
          <t>BW20340711</t>
        </is>
      </c>
      <c r="E4946" t="n">
        <v>2034</v>
      </c>
      <c r="F4946" t="inlineStr">
        <is>
          <t>Lipiec</t>
        </is>
      </c>
      <c r="G4946" t="inlineStr">
        <is>
          <t>Nd</t>
        </is>
      </c>
      <c r="H4946">
        <f>'Floor Hours Engine'!$E$6</f>
        <v/>
      </c>
      <c r="I4946" t="inlineStr">
        <is>
          <t>W3</t>
        </is>
      </c>
      <c r="J4946" t="inlineStr">
        <is>
          <t>2034_Lipiec_W3</t>
        </is>
      </c>
    </row>
    <row r="4947">
      <c r="A4947" s="177" t="n">
        <v>49142</v>
      </c>
      <c r="B4947" s="177" t="n">
        <v>49136</v>
      </c>
      <c r="C4947" s="177" t="n">
        <v>49142</v>
      </c>
      <c r="D4947" t="inlineStr">
        <is>
          <t>BW20340711</t>
        </is>
      </c>
      <c r="E4947" t="n">
        <v>2034</v>
      </c>
      <c r="F4947" t="inlineStr">
        <is>
          <t>Lipiec</t>
        </is>
      </c>
      <c r="G4947" t="inlineStr">
        <is>
          <t>Pn</t>
        </is>
      </c>
      <c r="H4947">
        <f>'Floor Hours Engine'!$E$4</f>
        <v/>
      </c>
      <c r="I4947" t="inlineStr">
        <is>
          <t>W3</t>
        </is>
      </c>
      <c r="J4947" t="inlineStr">
        <is>
          <t>2034_Lipiec_W3</t>
        </is>
      </c>
    </row>
    <row r="4948">
      <c r="A4948" s="177" t="n">
        <v>49143</v>
      </c>
      <c r="B4948" s="177" t="n">
        <v>49143</v>
      </c>
      <c r="C4948" s="177" t="n">
        <v>49149</v>
      </c>
      <c r="D4948" t="inlineStr">
        <is>
          <t>BW20340718</t>
        </is>
      </c>
      <c r="E4948" t="n">
        <v>2034</v>
      </c>
      <c r="F4948" t="inlineStr">
        <is>
          <t>Lipiec</t>
        </is>
      </c>
      <c r="G4948" t="inlineStr">
        <is>
          <t>Wt</t>
        </is>
      </c>
      <c r="H4948">
        <f>'Floor Hours Engine'!$E$4</f>
        <v/>
      </c>
      <c r="I4948" t="inlineStr">
        <is>
          <t>W4</t>
        </is>
      </c>
      <c r="J4948" t="inlineStr">
        <is>
          <t>2034_Lipiec_W4</t>
        </is>
      </c>
    </row>
    <row r="4949">
      <c r="A4949" s="177" t="n">
        <v>49144</v>
      </c>
      <c r="B4949" s="177" t="n">
        <v>49143</v>
      </c>
      <c r="C4949" s="177" t="n">
        <v>49149</v>
      </c>
      <c r="D4949" t="inlineStr">
        <is>
          <t>BW20340718</t>
        </is>
      </c>
      <c r="E4949" t="n">
        <v>2034</v>
      </c>
      <c r="F4949" t="inlineStr">
        <is>
          <t>Lipiec</t>
        </is>
      </c>
      <c r="G4949" t="inlineStr">
        <is>
          <t>Śr</t>
        </is>
      </c>
      <c r="H4949">
        <f>'Floor Hours Engine'!$E$4</f>
        <v/>
      </c>
      <c r="I4949" t="inlineStr">
        <is>
          <t>W4</t>
        </is>
      </c>
      <c r="J4949" t="inlineStr">
        <is>
          <t>2034_Lipiec_W4</t>
        </is>
      </c>
    </row>
    <row r="4950">
      <c r="A4950" s="177" t="n">
        <v>49145</v>
      </c>
      <c r="B4950" s="177" t="n">
        <v>49143</v>
      </c>
      <c r="C4950" s="177" t="n">
        <v>49149</v>
      </c>
      <c r="D4950" t="inlineStr">
        <is>
          <t>BW20340718</t>
        </is>
      </c>
      <c r="E4950" t="n">
        <v>2034</v>
      </c>
      <c r="F4950" t="inlineStr">
        <is>
          <t>Lipiec</t>
        </is>
      </c>
      <c r="G4950" t="inlineStr">
        <is>
          <t>Czw</t>
        </is>
      </c>
      <c r="H4950">
        <f>'Floor Hours Engine'!$E$4</f>
        <v/>
      </c>
      <c r="I4950" t="inlineStr">
        <is>
          <t>W4</t>
        </is>
      </c>
      <c r="J4950" t="inlineStr">
        <is>
          <t>2034_Lipiec_W4</t>
        </is>
      </c>
    </row>
    <row r="4951">
      <c r="A4951" s="177" t="n">
        <v>49146</v>
      </c>
      <c r="B4951" s="177" t="n">
        <v>49143</v>
      </c>
      <c r="C4951" s="177" t="n">
        <v>49149</v>
      </c>
      <c r="D4951" t="inlineStr">
        <is>
          <t>BW20340718</t>
        </is>
      </c>
      <c r="E4951" t="n">
        <v>2034</v>
      </c>
      <c r="F4951" t="inlineStr">
        <is>
          <t>Lipiec</t>
        </is>
      </c>
      <c r="G4951" t="inlineStr">
        <is>
          <t>Pt</t>
        </is>
      </c>
      <c r="H4951">
        <f>'Floor Hours Engine'!$E$5</f>
        <v/>
      </c>
      <c r="I4951" t="inlineStr">
        <is>
          <t>W4</t>
        </is>
      </c>
      <c r="J4951" t="inlineStr">
        <is>
          <t>2034_Lipiec_W4</t>
        </is>
      </c>
    </row>
    <row r="4952">
      <c r="A4952" s="177" t="n">
        <v>49147</v>
      </c>
      <c r="B4952" s="177" t="n">
        <v>49143</v>
      </c>
      <c r="C4952" s="177" t="n">
        <v>49149</v>
      </c>
      <c r="D4952" t="inlineStr">
        <is>
          <t>BW20340718</t>
        </is>
      </c>
      <c r="E4952" t="n">
        <v>2034</v>
      </c>
      <c r="F4952" t="inlineStr">
        <is>
          <t>Lipiec</t>
        </is>
      </c>
      <c r="G4952" t="inlineStr">
        <is>
          <t>Sob</t>
        </is>
      </c>
      <c r="H4952">
        <f>'Floor Hours Engine'!$E$5</f>
        <v/>
      </c>
      <c r="I4952" t="inlineStr">
        <is>
          <t>W4</t>
        </is>
      </c>
      <c r="J4952" t="inlineStr">
        <is>
          <t>2034_Lipiec_W4</t>
        </is>
      </c>
    </row>
    <row r="4953">
      <c r="A4953" s="177" t="n">
        <v>49148</v>
      </c>
      <c r="B4953" s="177" t="n">
        <v>49143</v>
      </c>
      <c r="C4953" s="177" t="n">
        <v>49149</v>
      </c>
      <c r="D4953" t="inlineStr">
        <is>
          <t>BW20340718</t>
        </is>
      </c>
      <c r="E4953" t="n">
        <v>2034</v>
      </c>
      <c r="F4953" t="inlineStr">
        <is>
          <t>Lipiec</t>
        </is>
      </c>
      <c r="G4953" t="inlineStr">
        <is>
          <t>Nd</t>
        </is>
      </c>
      <c r="H4953">
        <f>'Floor Hours Engine'!$E$6</f>
        <v/>
      </c>
      <c r="I4953" t="inlineStr">
        <is>
          <t>W4</t>
        </is>
      </c>
      <c r="J4953" t="inlineStr">
        <is>
          <t>2034_Lipiec_W4</t>
        </is>
      </c>
    </row>
    <row r="4954">
      <c r="A4954" s="177" t="n">
        <v>49149</v>
      </c>
      <c r="B4954" s="177" t="n">
        <v>49143</v>
      </c>
      <c r="C4954" s="177" t="n">
        <v>49149</v>
      </c>
      <c r="D4954" t="inlineStr">
        <is>
          <t>BW20340718</t>
        </is>
      </c>
      <c r="E4954" t="n">
        <v>2034</v>
      </c>
      <c r="F4954" t="inlineStr">
        <is>
          <t>Lipiec</t>
        </is>
      </c>
      <c r="G4954" t="inlineStr">
        <is>
          <t>Pn</t>
        </is>
      </c>
      <c r="H4954">
        <f>'Floor Hours Engine'!$E$4</f>
        <v/>
      </c>
      <c r="I4954" t="inlineStr">
        <is>
          <t>W4</t>
        </is>
      </c>
      <c r="J4954" t="inlineStr">
        <is>
          <t>2034_Lipiec_W4</t>
        </is>
      </c>
    </row>
    <row r="4955">
      <c r="A4955" s="177" t="n">
        <v>49150</v>
      </c>
      <c r="B4955" s="177" t="n">
        <v>49150</v>
      </c>
      <c r="C4955" s="177" t="n">
        <v>49156</v>
      </c>
      <c r="D4955" t="inlineStr">
        <is>
          <t>BW20340725</t>
        </is>
      </c>
      <c r="E4955" t="n">
        <v>2034</v>
      </c>
      <c r="F4955" t="inlineStr">
        <is>
          <t>Lipiec</t>
        </is>
      </c>
      <c r="G4955" t="inlineStr">
        <is>
          <t>Wt</t>
        </is>
      </c>
      <c r="H4955">
        <f>'Floor Hours Engine'!$E$4</f>
        <v/>
      </c>
      <c r="I4955" t="inlineStr">
        <is>
          <t>W5</t>
        </is>
      </c>
      <c r="J4955" t="inlineStr">
        <is>
          <t>2034_Lipiec_W5</t>
        </is>
      </c>
    </row>
    <row r="4956">
      <c r="A4956" s="177" t="n">
        <v>49151</v>
      </c>
      <c r="B4956" s="177" t="n">
        <v>49150</v>
      </c>
      <c r="C4956" s="177" t="n">
        <v>49156</v>
      </c>
      <c r="D4956" t="inlineStr">
        <is>
          <t>BW20340725</t>
        </is>
      </c>
      <c r="E4956" t="n">
        <v>2034</v>
      </c>
      <c r="F4956" t="inlineStr">
        <is>
          <t>Lipiec</t>
        </is>
      </c>
      <c r="G4956" t="inlineStr">
        <is>
          <t>Śr</t>
        </is>
      </c>
      <c r="H4956">
        <f>'Floor Hours Engine'!$E$4</f>
        <v/>
      </c>
      <c r="I4956" t="inlineStr">
        <is>
          <t>W5</t>
        </is>
      </c>
      <c r="J4956" t="inlineStr">
        <is>
          <t>2034_Lipiec_W5</t>
        </is>
      </c>
    </row>
    <row r="4957">
      <c r="A4957" s="177" t="n">
        <v>49152</v>
      </c>
      <c r="B4957" s="177" t="n">
        <v>49150</v>
      </c>
      <c r="C4957" s="177" t="n">
        <v>49156</v>
      </c>
      <c r="D4957" t="inlineStr">
        <is>
          <t>BW20340725</t>
        </is>
      </c>
      <c r="E4957" t="n">
        <v>2034</v>
      </c>
      <c r="F4957" t="inlineStr">
        <is>
          <t>Lipiec</t>
        </is>
      </c>
      <c r="G4957" t="inlineStr">
        <is>
          <t>Czw</t>
        </is>
      </c>
      <c r="H4957">
        <f>'Floor Hours Engine'!$E$4</f>
        <v/>
      </c>
      <c r="I4957" t="inlineStr">
        <is>
          <t>W5</t>
        </is>
      </c>
      <c r="J4957" t="inlineStr">
        <is>
          <t>2034_Lipiec_W5</t>
        </is>
      </c>
    </row>
    <row r="4958">
      <c r="A4958" s="177" t="n">
        <v>49153</v>
      </c>
      <c r="B4958" s="177" t="n">
        <v>49150</v>
      </c>
      <c r="C4958" s="177" t="n">
        <v>49156</v>
      </c>
      <c r="D4958" t="inlineStr">
        <is>
          <t>BW20340725</t>
        </is>
      </c>
      <c r="E4958" t="n">
        <v>2034</v>
      </c>
      <c r="F4958" t="inlineStr">
        <is>
          <t>Lipiec</t>
        </is>
      </c>
      <c r="G4958" t="inlineStr">
        <is>
          <t>Pt</t>
        </is>
      </c>
      <c r="H4958">
        <f>'Floor Hours Engine'!$E$5</f>
        <v/>
      </c>
      <c r="I4958" t="inlineStr">
        <is>
          <t>W5</t>
        </is>
      </c>
      <c r="J4958" t="inlineStr">
        <is>
          <t>2034_Lipiec_W5</t>
        </is>
      </c>
    </row>
    <row r="4959">
      <c r="A4959" s="177" t="n">
        <v>49154</v>
      </c>
      <c r="B4959" s="177" t="n">
        <v>49150</v>
      </c>
      <c r="C4959" s="177" t="n">
        <v>49156</v>
      </c>
      <c r="D4959" t="inlineStr">
        <is>
          <t>BW20340725</t>
        </is>
      </c>
      <c r="E4959" t="n">
        <v>2034</v>
      </c>
      <c r="F4959" t="inlineStr">
        <is>
          <t>Lipiec</t>
        </is>
      </c>
      <c r="G4959" t="inlineStr">
        <is>
          <t>Sob</t>
        </is>
      </c>
      <c r="H4959">
        <f>'Floor Hours Engine'!$E$5</f>
        <v/>
      </c>
      <c r="I4959" t="inlineStr">
        <is>
          <t>W5</t>
        </is>
      </c>
      <c r="J4959" t="inlineStr">
        <is>
          <t>2034_Lipiec_W5</t>
        </is>
      </c>
    </row>
    <row r="4960">
      <c r="A4960" s="177" t="n">
        <v>49155</v>
      </c>
      <c r="B4960" s="177" t="n">
        <v>49150</v>
      </c>
      <c r="C4960" s="177" t="n">
        <v>49156</v>
      </c>
      <c r="D4960" t="inlineStr">
        <is>
          <t>BW20340725</t>
        </is>
      </c>
      <c r="E4960" t="n">
        <v>2034</v>
      </c>
      <c r="F4960" t="inlineStr">
        <is>
          <t>Lipiec</t>
        </is>
      </c>
      <c r="G4960" t="inlineStr">
        <is>
          <t>Nd</t>
        </is>
      </c>
      <c r="H4960">
        <f>'Floor Hours Engine'!$E$6</f>
        <v/>
      </c>
      <c r="I4960" t="inlineStr">
        <is>
          <t>W5</t>
        </is>
      </c>
      <c r="J4960" t="inlineStr">
        <is>
          <t>2034_Lipiec_W5</t>
        </is>
      </c>
    </row>
    <row r="4961">
      <c r="A4961" s="177" t="n">
        <v>49156</v>
      </c>
      <c r="B4961" s="177" t="n">
        <v>49150</v>
      </c>
      <c r="C4961" s="177" t="n">
        <v>49156</v>
      </c>
      <c r="D4961" t="inlineStr">
        <is>
          <t>BW20340725</t>
        </is>
      </c>
      <c r="E4961" t="n">
        <v>2034</v>
      </c>
      <c r="F4961" t="inlineStr">
        <is>
          <t>Lipiec</t>
        </is>
      </c>
      <c r="G4961" t="inlineStr">
        <is>
          <t>Pn</t>
        </is>
      </c>
      <c r="H4961">
        <f>'Floor Hours Engine'!$E$4</f>
        <v/>
      </c>
      <c r="I4961" t="inlineStr">
        <is>
          <t>W5</t>
        </is>
      </c>
      <c r="J4961" t="inlineStr">
        <is>
          <t>2034_Lipiec_W5</t>
        </is>
      </c>
    </row>
    <row r="4962">
      <c r="A4962" s="177" t="n">
        <v>49157</v>
      </c>
      <c r="B4962" s="177" t="n">
        <v>49157</v>
      </c>
      <c r="C4962" s="177" t="n">
        <v>49163</v>
      </c>
      <c r="D4962" t="inlineStr">
        <is>
          <t>BW20340801</t>
        </is>
      </c>
      <c r="E4962" t="n">
        <v>2034</v>
      </c>
      <c r="F4962" t="inlineStr">
        <is>
          <t>Sierpień</t>
        </is>
      </c>
      <c r="G4962" t="inlineStr">
        <is>
          <t>Wt</t>
        </is>
      </c>
      <c r="H4962">
        <f>'Floor Hours Engine'!$E$4</f>
        <v/>
      </c>
      <c r="I4962" t="inlineStr">
        <is>
          <t>W1</t>
        </is>
      </c>
      <c r="J4962" t="inlineStr">
        <is>
          <t>2034_Sierpień_W1</t>
        </is>
      </c>
    </row>
    <row r="4963">
      <c r="A4963" s="177" t="n">
        <v>49158</v>
      </c>
      <c r="B4963" s="177" t="n">
        <v>49157</v>
      </c>
      <c r="C4963" s="177" t="n">
        <v>49163</v>
      </c>
      <c r="D4963" t="inlineStr">
        <is>
          <t>BW20340801</t>
        </is>
      </c>
      <c r="E4963" t="n">
        <v>2034</v>
      </c>
      <c r="F4963" t="inlineStr">
        <is>
          <t>Sierpień</t>
        </is>
      </c>
      <c r="G4963" t="inlineStr">
        <is>
          <t>Śr</t>
        </is>
      </c>
      <c r="H4963">
        <f>'Floor Hours Engine'!$E$4</f>
        <v/>
      </c>
      <c r="I4963" t="inlineStr">
        <is>
          <t>W1</t>
        </is>
      </c>
      <c r="J4963" t="inlineStr">
        <is>
          <t>2034_Sierpień_W1</t>
        </is>
      </c>
    </row>
    <row r="4964">
      <c r="A4964" s="177" t="n">
        <v>49159</v>
      </c>
      <c r="B4964" s="177" t="n">
        <v>49157</v>
      </c>
      <c r="C4964" s="177" t="n">
        <v>49163</v>
      </c>
      <c r="D4964" t="inlineStr">
        <is>
          <t>BW20340801</t>
        </is>
      </c>
      <c r="E4964" t="n">
        <v>2034</v>
      </c>
      <c r="F4964" t="inlineStr">
        <is>
          <t>Sierpień</t>
        </is>
      </c>
      <c r="G4964" t="inlineStr">
        <is>
          <t>Czw</t>
        </is>
      </c>
      <c r="H4964">
        <f>'Floor Hours Engine'!$E$4</f>
        <v/>
      </c>
      <c r="I4964" t="inlineStr">
        <is>
          <t>W1</t>
        </is>
      </c>
      <c r="J4964" t="inlineStr">
        <is>
          <t>2034_Sierpień_W1</t>
        </is>
      </c>
    </row>
    <row r="4965">
      <c r="A4965" s="177" t="n">
        <v>49160</v>
      </c>
      <c r="B4965" s="177" t="n">
        <v>49157</v>
      </c>
      <c r="C4965" s="177" t="n">
        <v>49163</v>
      </c>
      <c r="D4965" t="inlineStr">
        <is>
          <t>BW20340801</t>
        </is>
      </c>
      <c r="E4965" t="n">
        <v>2034</v>
      </c>
      <c r="F4965" t="inlineStr">
        <is>
          <t>Sierpień</t>
        </is>
      </c>
      <c r="G4965" t="inlineStr">
        <is>
          <t>Pt</t>
        </is>
      </c>
      <c r="H4965">
        <f>'Floor Hours Engine'!$E$5</f>
        <v/>
      </c>
      <c r="I4965" t="inlineStr">
        <is>
          <t>W1</t>
        </is>
      </c>
      <c r="J4965" t="inlineStr">
        <is>
          <t>2034_Sierpień_W1</t>
        </is>
      </c>
    </row>
    <row r="4966">
      <c r="A4966" s="177" t="n">
        <v>49161</v>
      </c>
      <c r="B4966" s="177" t="n">
        <v>49157</v>
      </c>
      <c r="C4966" s="177" t="n">
        <v>49163</v>
      </c>
      <c r="D4966" t="inlineStr">
        <is>
          <t>BW20340801</t>
        </is>
      </c>
      <c r="E4966" t="n">
        <v>2034</v>
      </c>
      <c r="F4966" t="inlineStr">
        <is>
          <t>Sierpień</t>
        </is>
      </c>
      <c r="G4966" t="inlineStr">
        <is>
          <t>Sob</t>
        </is>
      </c>
      <c r="H4966">
        <f>'Floor Hours Engine'!$E$5</f>
        <v/>
      </c>
      <c r="I4966" t="inlineStr">
        <is>
          <t>W1</t>
        </is>
      </c>
      <c r="J4966" t="inlineStr">
        <is>
          <t>2034_Sierpień_W1</t>
        </is>
      </c>
    </row>
    <row r="4967">
      <c r="A4967" s="177" t="n">
        <v>49162</v>
      </c>
      <c r="B4967" s="177" t="n">
        <v>49157</v>
      </c>
      <c r="C4967" s="177" t="n">
        <v>49163</v>
      </c>
      <c r="D4967" t="inlineStr">
        <is>
          <t>BW20340801</t>
        </is>
      </c>
      <c r="E4967" t="n">
        <v>2034</v>
      </c>
      <c r="F4967" t="inlineStr">
        <is>
          <t>Sierpień</t>
        </is>
      </c>
      <c r="G4967" t="inlineStr">
        <is>
          <t>Nd</t>
        </is>
      </c>
      <c r="H4967">
        <f>'Floor Hours Engine'!$E$6</f>
        <v/>
      </c>
      <c r="I4967" t="inlineStr">
        <is>
          <t>W1</t>
        </is>
      </c>
      <c r="J4967" t="inlineStr">
        <is>
          <t>2034_Sierpień_W1</t>
        </is>
      </c>
    </row>
    <row r="4968">
      <c r="A4968" s="177" t="n">
        <v>49163</v>
      </c>
      <c r="B4968" s="177" t="n">
        <v>49157</v>
      </c>
      <c r="C4968" s="177" t="n">
        <v>49163</v>
      </c>
      <c r="D4968" t="inlineStr">
        <is>
          <t>BW20340801</t>
        </is>
      </c>
      <c r="E4968" t="n">
        <v>2034</v>
      </c>
      <c r="F4968" t="inlineStr">
        <is>
          <t>Sierpień</t>
        </is>
      </c>
      <c r="G4968" t="inlineStr">
        <is>
          <t>Pn</t>
        </is>
      </c>
      <c r="H4968">
        <f>'Floor Hours Engine'!$E$4</f>
        <v/>
      </c>
      <c r="I4968" t="inlineStr">
        <is>
          <t>W1</t>
        </is>
      </c>
      <c r="J4968" t="inlineStr">
        <is>
          <t>2034_Sierpień_W1</t>
        </is>
      </c>
    </row>
    <row r="4969">
      <c r="A4969" s="177" t="n">
        <v>49164</v>
      </c>
      <c r="B4969" s="177" t="n">
        <v>49164</v>
      </c>
      <c r="C4969" s="177" t="n">
        <v>49170</v>
      </c>
      <c r="D4969" t="inlineStr">
        <is>
          <t>BW20340808</t>
        </is>
      </c>
      <c r="E4969" t="n">
        <v>2034</v>
      </c>
      <c r="F4969" t="inlineStr">
        <is>
          <t>Sierpień</t>
        </is>
      </c>
      <c r="G4969" t="inlineStr">
        <is>
          <t>Wt</t>
        </is>
      </c>
      <c r="H4969">
        <f>'Floor Hours Engine'!$E$4</f>
        <v/>
      </c>
      <c r="I4969" t="inlineStr">
        <is>
          <t>W2</t>
        </is>
      </c>
      <c r="J4969" t="inlineStr">
        <is>
          <t>2034_Sierpień_W2</t>
        </is>
      </c>
    </row>
    <row r="4970">
      <c r="A4970" s="177" t="n">
        <v>49165</v>
      </c>
      <c r="B4970" s="177" t="n">
        <v>49164</v>
      </c>
      <c r="C4970" s="177" t="n">
        <v>49170</v>
      </c>
      <c r="D4970" t="inlineStr">
        <is>
          <t>BW20340808</t>
        </is>
      </c>
      <c r="E4970" t="n">
        <v>2034</v>
      </c>
      <c r="F4970" t="inlineStr">
        <is>
          <t>Sierpień</t>
        </is>
      </c>
      <c r="G4970" t="inlineStr">
        <is>
          <t>Śr</t>
        </is>
      </c>
      <c r="H4970">
        <f>'Floor Hours Engine'!$E$4</f>
        <v/>
      </c>
      <c r="I4970" t="inlineStr">
        <is>
          <t>W2</t>
        </is>
      </c>
      <c r="J4970" t="inlineStr">
        <is>
          <t>2034_Sierpień_W2</t>
        </is>
      </c>
    </row>
    <row r="4971">
      <c r="A4971" s="177" t="n">
        <v>49166</v>
      </c>
      <c r="B4971" s="177" t="n">
        <v>49164</v>
      </c>
      <c r="C4971" s="177" t="n">
        <v>49170</v>
      </c>
      <c r="D4971" t="inlineStr">
        <is>
          <t>BW20340808</t>
        </is>
      </c>
      <c r="E4971" t="n">
        <v>2034</v>
      </c>
      <c r="F4971" t="inlineStr">
        <is>
          <t>Sierpień</t>
        </is>
      </c>
      <c r="G4971" t="inlineStr">
        <is>
          <t>Czw</t>
        </is>
      </c>
      <c r="H4971">
        <f>'Floor Hours Engine'!$E$4</f>
        <v/>
      </c>
      <c r="I4971" t="inlineStr">
        <is>
          <t>W2</t>
        </is>
      </c>
      <c r="J4971" t="inlineStr">
        <is>
          <t>2034_Sierpień_W2</t>
        </is>
      </c>
    </row>
    <row r="4972">
      <c r="A4972" s="177" t="n">
        <v>49167</v>
      </c>
      <c r="B4972" s="177" t="n">
        <v>49164</v>
      </c>
      <c r="C4972" s="177" t="n">
        <v>49170</v>
      </c>
      <c r="D4972" t="inlineStr">
        <is>
          <t>BW20340808</t>
        </is>
      </c>
      <c r="E4972" t="n">
        <v>2034</v>
      </c>
      <c r="F4972" t="inlineStr">
        <is>
          <t>Sierpień</t>
        </is>
      </c>
      <c r="G4972" t="inlineStr">
        <is>
          <t>Pt</t>
        </is>
      </c>
      <c r="H4972">
        <f>'Floor Hours Engine'!$E$5</f>
        <v/>
      </c>
      <c r="I4972" t="inlineStr">
        <is>
          <t>W2</t>
        </is>
      </c>
      <c r="J4972" t="inlineStr">
        <is>
          <t>2034_Sierpień_W2</t>
        </is>
      </c>
    </row>
    <row r="4973">
      <c r="A4973" s="177" t="n">
        <v>49168</v>
      </c>
      <c r="B4973" s="177" t="n">
        <v>49164</v>
      </c>
      <c r="C4973" s="177" t="n">
        <v>49170</v>
      </c>
      <c r="D4973" t="inlineStr">
        <is>
          <t>BW20340808</t>
        </is>
      </c>
      <c r="E4973" t="n">
        <v>2034</v>
      </c>
      <c r="F4973" t="inlineStr">
        <is>
          <t>Sierpień</t>
        </is>
      </c>
      <c r="G4973" t="inlineStr">
        <is>
          <t>Sob</t>
        </is>
      </c>
      <c r="H4973">
        <f>'Floor Hours Engine'!$E$5</f>
        <v/>
      </c>
      <c r="I4973" t="inlineStr">
        <is>
          <t>W2</t>
        </is>
      </c>
      <c r="J4973" t="inlineStr">
        <is>
          <t>2034_Sierpień_W2</t>
        </is>
      </c>
    </row>
    <row r="4974">
      <c r="A4974" s="177" t="n">
        <v>49169</v>
      </c>
      <c r="B4974" s="177" t="n">
        <v>49164</v>
      </c>
      <c r="C4974" s="177" t="n">
        <v>49170</v>
      </c>
      <c r="D4974" t="inlineStr">
        <is>
          <t>BW20340808</t>
        </is>
      </c>
      <c r="E4974" t="n">
        <v>2034</v>
      </c>
      <c r="F4974" t="inlineStr">
        <is>
          <t>Sierpień</t>
        </is>
      </c>
      <c r="G4974" t="inlineStr">
        <is>
          <t>Nd</t>
        </is>
      </c>
      <c r="H4974">
        <f>'Floor Hours Engine'!$E$6</f>
        <v/>
      </c>
      <c r="I4974" t="inlineStr">
        <is>
          <t>W2</t>
        </is>
      </c>
      <c r="J4974" t="inlineStr">
        <is>
          <t>2034_Sierpień_W2</t>
        </is>
      </c>
    </row>
    <row r="4975">
      <c r="A4975" s="177" t="n">
        <v>49170</v>
      </c>
      <c r="B4975" s="177" t="n">
        <v>49164</v>
      </c>
      <c r="C4975" s="177" t="n">
        <v>49170</v>
      </c>
      <c r="D4975" t="inlineStr">
        <is>
          <t>BW20340808</t>
        </is>
      </c>
      <c r="E4975" t="n">
        <v>2034</v>
      </c>
      <c r="F4975" t="inlineStr">
        <is>
          <t>Sierpień</t>
        </is>
      </c>
      <c r="G4975" t="inlineStr">
        <is>
          <t>Pn</t>
        </is>
      </c>
      <c r="H4975">
        <f>'Floor Hours Engine'!$E$4</f>
        <v/>
      </c>
      <c r="I4975" t="inlineStr">
        <is>
          <t>W2</t>
        </is>
      </c>
      <c r="J4975" t="inlineStr">
        <is>
          <t>2034_Sierpień_W2</t>
        </is>
      </c>
    </row>
    <row r="4976">
      <c r="A4976" s="177" t="n">
        <v>49171</v>
      </c>
      <c r="B4976" s="177" t="n">
        <v>49171</v>
      </c>
      <c r="C4976" s="177" t="n">
        <v>49177</v>
      </c>
      <c r="D4976" t="inlineStr">
        <is>
          <t>BW20340815</t>
        </is>
      </c>
      <c r="E4976" t="n">
        <v>2034</v>
      </c>
      <c r="F4976" t="inlineStr">
        <is>
          <t>Sierpień</t>
        </is>
      </c>
      <c r="G4976" t="inlineStr">
        <is>
          <t>Wt</t>
        </is>
      </c>
      <c r="H4976">
        <f>'Floor Hours Engine'!$E$4</f>
        <v/>
      </c>
      <c r="I4976" t="inlineStr">
        <is>
          <t>W3</t>
        </is>
      </c>
      <c r="J4976" t="inlineStr">
        <is>
          <t>2034_Sierpień_W3</t>
        </is>
      </c>
    </row>
    <row r="4977">
      <c r="A4977" s="177" t="n">
        <v>49172</v>
      </c>
      <c r="B4977" s="177" t="n">
        <v>49171</v>
      </c>
      <c r="C4977" s="177" t="n">
        <v>49177</v>
      </c>
      <c r="D4977" t="inlineStr">
        <is>
          <t>BW20340815</t>
        </is>
      </c>
      <c r="E4977" t="n">
        <v>2034</v>
      </c>
      <c r="F4977" t="inlineStr">
        <is>
          <t>Sierpień</t>
        </is>
      </c>
      <c r="G4977" t="inlineStr">
        <is>
          <t>Śr</t>
        </is>
      </c>
      <c r="H4977">
        <f>'Floor Hours Engine'!$E$4</f>
        <v/>
      </c>
      <c r="I4977" t="inlineStr">
        <is>
          <t>W3</t>
        </is>
      </c>
      <c r="J4977" t="inlineStr">
        <is>
          <t>2034_Sierpień_W3</t>
        </is>
      </c>
    </row>
    <row r="4978">
      <c r="A4978" s="177" t="n">
        <v>49173</v>
      </c>
      <c r="B4978" s="177" t="n">
        <v>49171</v>
      </c>
      <c r="C4978" s="177" t="n">
        <v>49177</v>
      </c>
      <c r="D4978" t="inlineStr">
        <is>
          <t>BW20340815</t>
        </is>
      </c>
      <c r="E4978" t="n">
        <v>2034</v>
      </c>
      <c r="F4978" t="inlineStr">
        <is>
          <t>Sierpień</t>
        </is>
      </c>
      <c r="G4978" t="inlineStr">
        <is>
          <t>Czw</t>
        </is>
      </c>
      <c r="H4978">
        <f>'Floor Hours Engine'!$E$4</f>
        <v/>
      </c>
      <c r="I4978" t="inlineStr">
        <is>
          <t>W3</t>
        </is>
      </c>
      <c r="J4978" t="inlineStr">
        <is>
          <t>2034_Sierpień_W3</t>
        </is>
      </c>
    </row>
    <row r="4979">
      <c r="A4979" s="177" t="n">
        <v>49174</v>
      </c>
      <c r="B4979" s="177" t="n">
        <v>49171</v>
      </c>
      <c r="C4979" s="177" t="n">
        <v>49177</v>
      </c>
      <c r="D4979" t="inlineStr">
        <is>
          <t>BW20340815</t>
        </is>
      </c>
      <c r="E4979" t="n">
        <v>2034</v>
      </c>
      <c r="F4979" t="inlineStr">
        <is>
          <t>Sierpień</t>
        </is>
      </c>
      <c r="G4979" t="inlineStr">
        <is>
          <t>Pt</t>
        </is>
      </c>
      <c r="H4979">
        <f>'Floor Hours Engine'!$E$5</f>
        <v/>
      </c>
      <c r="I4979" t="inlineStr">
        <is>
          <t>W3</t>
        </is>
      </c>
      <c r="J4979" t="inlineStr">
        <is>
          <t>2034_Sierpień_W3</t>
        </is>
      </c>
    </row>
    <row r="4980">
      <c r="A4980" s="177" t="n">
        <v>49175</v>
      </c>
      <c r="B4980" s="177" t="n">
        <v>49171</v>
      </c>
      <c r="C4980" s="177" t="n">
        <v>49177</v>
      </c>
      <c r="D4980" t="inlineStr">
        <is>
          <t>BW20340815</t>
        </is>
      </c>
      <c r="E4980" t="n">
        <v>2034</v>
      </c>
      <c r="F4980" t="inlineStr">
        <is>
          <t>Sierpień</t>
        </is>
      </c>
      <c r="G4980" t="inlineStr">
        <is>
          <t>Sob</t>
        </is>
      </c>
      <c r="H4980">
        <f>'Floor Hours Engine'!$E$5</f>
        <v/>
      </c>
      <c r="I4980" t="inlineStr">
        <is>
          <t>W3</t>
        </is>
      </c>
      <c r="J4980" t="inlineStr">
        <is>
          <t>2034_Sierpień_W3</t>
        </is>
      </c>
    </row>
    <row r="4981">
      <c r="A4981" s="177" t="n">
        <v>49176</v>
      </c>
      <c r="B4981" s="177" t="n">
        <v>49171</v>
      </c>
      <c r="C4981" s="177" t="n">
        <v>49177</v>
      </c>
      <c r="D4981" t="inlineStr">
        <is>
          <t>BW20340815</t>
        </is>
      </c>
      <c r="E4981" t="n">
        <v>2034</v>
      </c>
      <c r="F4981" t="inlineStr">
        <is>
          <t>Sierpień</t>
        </is>
      </c>
      <c r="G4981" t="inlineStr">
        <is>
          <t>Nd</t>
        </is>
      </c>
      <c r="H4981">
        <f>'Floor Hours Engine'!$E$6</f>
        <v/>
      </c>
      <c r="I4981" t="inlineStr">
        <is>
          <t>W3</t>
        </is>
      </c>
      <c r="J4981" t="inlineStr">
        <is>
          <t>2034_Sierpień_W3</t>
        </is>
      </c>
    </row>
    <row r="4982">
      <c r="A4982" s="177" t="n">
        <v>49177</v>
      </c>
      <c r="B4982" s="177" t="n">
        <v>49171</v>
      </c>
      <c r="C4982" s="177" t="n">
        <v>49177</v>
      </c>
      <c r="D4982" t="inlineStr">
        <is>
          <t>BW20340815</t>
        </is>
      </c>
      <c r="E4982" t="n">
        <v>2034</v>
      </c>
      <c r="F4982" t="inlineStr">
        <is>
          <t>Sierpień</t>
        </is>
      </c>
      <c r="G4982" t="inlineStr">
        <is>
          <t>Pn</t>
        </is>
      </c>
      <c r="H4982">
        <f>'Floor Hours Engine'!$E$4</f>
        <v/>
      </c>
      <c r="I4982" t="inlineStr">
        <is>
          <t>W3</t>
        </is>
      </c>
      <c r="J4982" t="inlineStr">
        <is>
          <t>2034_Sierpień_W3</t>
        </is>
      </c>
    </row>
    <row r="4983">
      <c r="A4983" s="177" t="n">
        <v>49178</v>
      </c>
      <c r="B4983" s="177" t="n">
        <v>49178</v>
      </c>
      <c r="C4983" s="177" t="n">
        <v>49184</v>
      </c>
      <c r="D4983" t="inlineStr">
        <is>
          <t>BW20340822</t>
        </is>
      </c>
      <c r="E4983" t="n">
        <v>2034</v>
      </c>
      <c r="F4983" t="inlineStr">
        <is>
          <t>Sierpień</t>
        </is>
      </c>
      <c r="G4983" t="inlineStr">
        <is>
          <t>Wt</t>
        </is>
      </c>
      <c r="H4983">
        <f>'Floor Hours Engine'!$E$4</f>
        <v/>
      </c>
      <c r="I4983" t="inlineStr">
        <is>
          <t>W4</t>
        </is>
      </c>
      <c r="J4983" t="inlineStr">
        <is>
          <t>2034_Sierpień_W4</t>
        </is>
      </c>
    </row>
    <row r="4984">
      <c r="A4984" s="177" t="n">
        <v>49179</v>
      </c>
      <c r="B4984" s="177" t="n">
        <v>49178</v>
      </c>
      <c r="C4984" s="177" t="n">
        <v>49184</v>
      </c>
      <c r="D4984" t="inlineStr">
        <is>
          <t>BW20340822</t>
        </is>
      </c>
      <c r="E4984" t="n">
        <v>2034</v>
      </c>
      <c r="F4984" t="inlineStr">
        <is>
          <t>Sierpień</t>
        </is>
      </c>
      <c r="G4984" t="inlineStr">
        <is>
          <t>Śr</t>
        </is>
      </c>
      <c r="H4984">
        <f>'Floor Hours Engine'!$E$4</f>
        <v/>
      </c>
      <c r="I4984" t="inlineStr">
        <is>
          <t>W4</t>
        </is>
      </c>
      <c r="J4984" t="inlineStr">
        <is>
          <t>2034_Sierpień_W4</t>
        </is>
      </c>
    </row>
    <row r="4985">
      <c r="A4985" s="177" t="n">
        <v>49180</v>
      </c>
      <c r="B4985" s="177" t="n">
        <v>49178</v>
      </c>
      <c r="C4985" s="177" t="n">
        <v>49184</v>
      </c>
      <c r="D4985" t="inlineStr">
        <is>
          <t>BW20340822</t>
        </is>
      </c>
      <c r="E4985" t="n">
        <v>2034</v>
      </c>
      <c r="F4985" t="inlineStr">
        <is>
          <t>Sierpień</t>
        </is>
      </c>
      <c r="G4985" t="inlineStr">
        <is>
          <t>Czw</t>
        </is>
      </c>
      <c r="H4985">
        <f>'Floor Hours Engine'!$E$4</f>
        <v/>
      </c>
      <c r="I4985" t="inlineStr">
        <is>
          <t>W4</t>
        </is>
      </c>
      <c r="J4985" t="inlineStr">
        <is>
          <t>2034_Sierpień_W4</t>
        </is>
      </c>
    </row>
    <row r="4986">
      <c r="A4986" s="177" t="n">
        <v>49181</v>
      </c>
      <c r="B4986" s="177" t="n">
        <v>49178</v>
      </c>
      <c r="C4986" s="177" t="n">
        <v>49184</v>
      </c>
      <c r="D4986" t="inlineStr">
        <is>
          <t>BW20340822</t>
        </is>
      </c>
      <c r="E4986" t="n">
        <v>2034</v>
      </c>
      <c r="F4986" t="inlineStr">
        <is>
          <t>Sierpień</t>
        </is>
      </c>
      <c r="G4986" t="inlineStr">
        <is>
          <t>Pt</t>
        </is>
      </c>
      <c r="H4986">
        <f>'Floor Hours Engine'!$E$5</f>
        <v/>
      </c>
      <c r="I4986" t="inlineStr">
        <is>
          <t>W4</t>
        </is>
      </c>
      <c r="J4986" t="inlineStr">
        <is>
          <t>2034_Sierpień_W4</t>
        </is>
      </c>
    </row>
    <row r="4987">
      <c r="A4987" s="177" t="n">
        <v>49182</v>
      </c>
      <c r="B4987" s="177" t="n">
        <v>49178</v>
      </c>
      <c r="C4987" s="177" t="n">
        <v>49184</v>
      </c>
      <c r="D4987" t="inlineStr">
        <is>
          <t>BW20340822</t>
        </is>
      </c>
      <c r="E4987" t="n">
        <v>2034</v>
      </c>
      <c r="F4987" t="inlineStr">
        <is>
          <t>Sierpień</t>
        </is>
      </c>
      <c r="G4987" t="inlineStr">
        <is>
          <t>Sob</t>
        </is>
      </c>
      <c r="H4987">
        <f>'Floor Hours Engine'!$E$5</f>
        <v/>
      </c>
      <c r="I4987" t="inlineStr">
        <is>
          <t>W4</t>
        </is>
      </c>
      <c r="J4987" t="inlineStr">
        <is>
          <t>2034_Sierpień_W4</t>
        </is>
      </c>
    </row>
    <row r="4988">
      <c r="A4988" s="177" t="n">
        <v>49183</v>
      </c>
      <c r="B4988" s="177" t="n">
        <v>49178</v>
      </c>
      <c r="C4988" s="177" t="n">
        <v>49184</v>
      </c>
      <c r="D4988" t="inlineStr">
        <is>
          <t>BW20340822</t>
        </is>
      </c>
      <c r="E4988" t="n">
        <v>2034</v>
      </c>
      <c r="F4988" t="inlineStr">
        <is>
          <t>Sierpień</t>
        </is>
      </c>
      <c r="G4988" t="inlineStr">
        <is>
          <t>Nd</t>
        </is>
      </c>
      <c r="H4988">
        <f>'Floor Hours Engine'!$E$6</f>
        <v/>
      </c>
      <c r="I4988" t="inlineStr">
        <is>
          <t>W4</t>
        </is>
      </c>
      <c r="J4988" t="inlineStr">
        <is>
          <t>2034_Sierpień_W4</t>
        </is>
      </c>
    </row>
    <row r="4989">
      <c r="A4989" s="177" t="n">
        <v>49184</v>
      </c>
      <c r="B4989" s="177" t="n">
        <v>49178</v>
      </c>
      <c r="C4989" s="177" t="n">
        <v>49184</v>
      </c>
      <c r="D4989" t="inlineStr">
        <is>
          <t>BW20340822</t>
        </is>
      </c>
      <c r="E4989" t="n">
        <v>2034</v>
      </c>
      <c r="F4989" t="inlineStr">
        <is>
          <t>Sierpień</t>
        </is>
      </c>
      <c r="G4989" t="inlineStr">
        <is>
          <t>Pn</t>
        </is>
      </c>
      <c r="H4989">
        <f>'Floor Hours Engine'!$E$4</f>
        <v/>
      </c>
      <c r="I4989" t="inlineStr">
        <is>
          <t>W4</t>
        </is>
      </c>
      <c r="J4989" t="inlineStr">
        <is>
          <t>2034_Sierpień_W4</t>
        </is>
      </c>
    </row>
    <row r="4990">
      <c r="A4990" s="177" t="n">
        <v>49185</v>
      </c>
      <c r="B4990" s="177" t="n">
        <v>49185</v>
      </c>
      <c r="C4990" s="177" t="n">
        <v>49191</v>
      </c>
      <c r="D4990" t="inlineStr">
        <is>
          <t>BW20340829</t>
        </is>
      </c>
      <c r="E4990" t="n">
        <v>2034</v>
      </c>
      <c r="F4990" t="inlineStr">
        <is>
          <t>Sierpień</t>
        </is>
      </c>
      <c r="G4990" t="inlineStr">
        <is>
          <t>Wt</t>
        </is>
      </c>
      <c r="H4990">
        <f>'Floor Hours Engine'!$E$4</f>
        <v/>
      </c>
      <c r="I4990" t="inlineStr">
        <is>
          <t>W5</t>
        </is>
      </c>
      <c r="J4990" t="inlineStr">
        <is>
          <t>2034_Sierpień_W5</t>
        </is>
      </c>
    </row>
    <row r="4991">
      <c r="A4991" s="177" t="n">
        <v>49186</v>
      </c>
      <c r="B4991" s="177" t="n">
        <v>49185</v>
      </c>
      <c r="C4991" s="177" t="n">
        <v>49191</v>
      </c>
      <c r="D4991" t="inlineStr">
        <is>
          <t>BW20340829</t>
        </is>
      </c>
      <c r="E4991" t="n">
        <v>2034</v>
      </c>
      <c r="F4991" t="inlineStr">
        <is>
          <t>Sierpień</t>
        </is>
      </c>
      <c r="G4991" t="inlineStr">
        <is>
          <t>Śr</t>
        </is>
      </c>
      <c r="H4991">
        <f>'Floor Hours Engine'!$E$4</f>
        <v/>
      </c>
      <c r="I4991" t="inlineStr">
        <is>
          <t>W5</t>
        </is>
      </c>
      <c r="J4991" t="inlineStr">
        <is>
          <t>2034_Sierpień_W5</t>
        </is>
      </c>
    </row>
    <row r="4992">
      <c r="A4992" s="177" t="n">
        <v>49187</v>
      </c>
      <c r="B4992" s="177" t="n">
        <v>49185</v>
      </c>
      <c r="C4992" s="177" t="n">
        <v>49191</v>
      </c>
      <c r="D4992" t="inlineStr">
        <is>
          <t>BW20340829</t>
        </is>
      </c>
      <c r="E4992" t="n">
        <v>2034</v>
      </c>
      <c r="F4992" t="inlineStr">
        <is>
          <t>Sierpień</t>
        </is>
      </c>
      <c r="G4992" t="inlineStr">
        <is>
          <t>Czw</t>
        </is>
      </c>
      <c r="H4992">
        <f>'Floor Hours Engine'!$E$4</f>
        <v/>
      </c>
      <c r="I4992" t="inlineStr">
        <is>
          <t>W5</t>
        </is>
      </c>
      <c r="J4992" t="inlineStr">
        <is>
          <t>2034_Sierpień_W5</t>
        </is>
      </c>
    </row>
    <row r="4993">
      <c r="A4993" s="177" t="n">
        <v>49188</v>
      </c>
      <c r="B4993" s="177" t="n">
        <v>49185</v>
      </c>
      <c r="C4993" s="177" t="n">
        <v>49191</v>
      </c>
      <c r="D4993" t="inlineStr">
        <is>
          <t>BW20340829</t>
        </is>
      </c>
      <c r="E4993" t="n">
        <v>2034</v>
      </c>
      <c r="F4993" t="inlineStr">
        <is>
          <t>Wrzesień</t>
        </is>
      </c>
      <c r="G4993" t="inlineStr">
        <is>
          <t>Pt</t>
        </is>
      </c>
      <c r="H4993">
        <f>'Floor Hours Engine'!$E$5</f>
        <v/>
      </c>
      <c r="I4993" t="inlineStr">
        <is>
          <t>W1</t>
        </is>
      </c>
      <c r="J4993" t="inlineStr">
        <is>
          <t>2034_Wrzesień_W1</t>
        </is>
      </c>
    </row>
    <row r="4994">
      <c r="A4994" s="177" t="n">
        <v>49189</v>
      </c>
      <c r="B4994" s="177" t="n">
        <v>49185</v>
      </c>
      <c r="C4994" s="177" t="n">
        <v>49191</v>
      </c>
      <c r="D4994" t="inlineStr">
        <is>
          <t>BW20340829</t>
        </is>
      </c>
      <c r="E4994" t="n">
        <v>2034</v>
      </c>
      <c r="F4994" t="inlineStr">
        <is>
          <t>Wrzesień</t>
        </is>
      </c>
      <c r="G4994" t="inlineStr">
        <is>
          <t>Sob</t>
        </is>
      </c>
      <c r="H4994">
        <f>'Floor Hours Engine'!$E$5</f>
        <v/>
      </c>
      <c r="I4994" t="inlineStr">
        <is>
          <t>W1</t>
        </is>
      </c>
      <c r="J4994" t="inlineStr">
        <is>
          <t>2034_Wrzesień_W1</t>
        </is>
      </c>
    </row>
    <row r="4995">
      <c r="A4995" s="177" t="n">
        <v>49190</v>
      </c>
      <c r="B4995" s="177" t="n">
        <v>49185</v>
      </c>
      <c r="C4995" s="177" t="n">
        <v>49191</v>
      </c>
      <c r="D4995" t="inlineStr">
        <is>
          <t>BW20340829</t>
        </is>
      </c>
      <c r="E4995" t="n">
        <v>2034</v>
      </c>
      <c r="F4995" t="inlineStr">
        <is>
          <t>Wrzesień</t>
        </is>
      </c>
      <c r="G4995" t="inlineStr">
        <is>
          <t>Nd</t>
        </is>
      </c>
      <c r="H4995">
        <f>'Floor Hours Engine'!$E$6</f>
        <v/>
      </c>
      <c r="I4995" t="inlineStr">
        <is>
          <t>W1</t>
        </is>
      </c>
      <c r="J4995" t="inlineStr">
        <is>
          <t>2034_Wrzesień_W1</t>
        </is>
      </c>
    </row>
    <row r="4996">
      <c r="A4996" s="177" t="n">
        <v>49191</v>
      </c>
      <c r="B4996" s="177" t="n">
        <v>49185</v>
      </c>
      <c r="C4996" s="177" t="n">
        <v>49191</v>
      </c>
      <c r="D4996" t="inlineStr">
        <is>
          <t>BW20340829</t>
        </is>
      </c>
      <c r="E4996" t="n">
        <v>2034</v>
      </c>
      <c r="F4996" t="inlineStr">
        <is>
          <t>Wrzesień</t>
        </is>
      </c>
      <c r="G4996" t="inlineStr">
        <is>
          <t>Pn</t>
        </is>
      </c>
      <c r="H4996">
        <f>'Floor Hours Engine'!$E$4</f>
        <v/>
      </c>
      <c r="I4996" t="inlineStr">
        <is>
          <t>W1</t>
        </is>
      </c>
      <c r="J4996" t="inlineStr">
        <is>
          <t>2034_Wrzesień_W1</t>
        </is>
      </c>
    </row>
    <row r="4997">
      <c r="A4997" s="177" t="n">
        <v>49192</v>
      </c>
      <c r="B4997" s="177" t="n">
        <v>49192</v>
      </c>
      <c r="C4997" s="177" t="n">
        <v>49198</v>
      </c>
      <c r="D4997" t="inlineStr">
        <is>
          <t>BW20340905</t>
        </is>
      </c>
      <c r="E4997" t="n">
        <v>2034</v>
      </c>
      <c r="F4997" t="inlineStr">
        <is>
          <t>Wrzesień</t>
        </is>
      </c>
      <c r="G4997" t="inlineStr">
        <is>
          <t>Wt</t>
        </is>
      </c>
      <c r="H4997">
        <f>'Floor Hours Engine'!$E$4</f>
        <v/>
      </c>
      <c r="I4997" t="inlineStr">
        <is>
          <t>W2</t>
        </is>
      </c>
      <c r="J4997" t="inlineStr">
        <is>
          <t>2034_Wrzesień_W2</t>
        </is>
      </c>
    </row>
    <row r="4998">
      <c r="A4998" s="177" t="n">
        <v>49193</v>
      </c>
      <c r="B4998" s="177" t="n">
        <v>49192</v>
      </c>
      <c r="C4998" s="177" t="n">
        <v>49198</v>
      </c>
      <c r="D4998" t="inlineStr">
        <is>
          <t>BW20340905</t>
        </is>
      </c>
      <c r="E4998" t="n">
        <v>2034</v>
      </c>
      <c r="F4998" t="inlineStr">
        <is>
          <t>Wrzesień</t>
        </is>
      </c>
      <c r="G4998" t="inlineStr">
        <is>
          <t>Śr</t>
        </is>
      </c>
      <c r="H4998">
        <f>'Floor Hours Engine'!$E$4</f>
        <v/>
      </c>
      <c r="I4998" t="inlineStr">
        <is>
          <t>W2</t>
        </is>
      </c>
      <c r="J4998" t="inlineStr">
        <is>
          <t>2034_Wrzesień_W2</t>
        </is>
      </c>
    </row>
    <row r="4999">
      <c r="A4999" s="177" t="n">
        <v>49194</v>
      </c>
      <c r="B4999" s="177" t="n">
        <v>49192</v>
      </c>
      <c r="C4999" s="177" t="n">
        <v>49198</v>
      </c>
      <c r="D4999" t="inlineStr">
        <is>
          <t>BW20340905</t>
        </is>
      </c>
      <c r="E4999" t="n">
        <v>2034</v>
      </c>
      <c r="F4999" t="inlineStr">
        <is>
          <t>Wrzesień</t>
        </is>
      </c>
      <c r="G4999" t="inlineStr">
        <is>
          <t>Czw</t>
        </is>
      </c>
      <c r="H4999">
        <f>'Floor Hours Engine'!$E$4</f>
        <v/>
      </c>
      <c r="I4999" t="inlineStr">
        <is>
          <t>W2</t>
        </is>
      </c>
      <c r="J4999" t="inlineStr">
        <is>
          <t>2034_Wrzesień_W2</t>
        </is>
      </c>
    </row>
    <row r="5000">
      <c r="A5000" s="177" t="n">
        <v>49195</v>
      </c>
      <c r="B5000" s="177" t="n">
        <v>49192</v>
      </c>
      <c r="C5000" s="177" t="n">
        <v>49198</v>
      </c>
      <c r="D5000" t="inlineStr">
        <is>
          <t>BW20340905</t>
        </is>
      </c>
      <c r="E5000" t="n">
        <v>2034</v>
      </c>
      <c r="F5000" t="inlineStr">
        <is>
          <t>Wrzesień</t>
        </is>
      </c>
      <c r="G5000" t="inlineStr">
        <is>
          <t>Pt</t>
        </is>
      </c>
      <c r="H5000">
        <f>'Floor Hours Engine'!$E$5</f>
        <v/>
      </c>
      <c r="I5000" t="inlineStr">
        <is>
          <t>W2</t>
        </is>
      </c>
      <c r="J5000" t="inlineStr">
        <is>
          <t>2034_Wrzesień_W2</t>
        </is>
      </c>
    </row>
    <row r="5001">
      <c r="A5001" s="177" t="n">
        <v>49196</v>
      </c>
      <c r="B5001" s="177" t="n">
        <v>49192</v>
      </c>
      <c r="C5001" s="177" t="n">
        <v>49198</v>
      </c>
      <c r="D5001" t="inlineStr">
        <is>
          <t>BW20340905</t>
        </is>
      </c>
      <c r="E5001" t="n">
        <v>2034</v>
      </c>
      <c r="F5001" t="inlineStr">
        <is>
          <t>Wrzesień</t>
        </is>
      </c>
      <c r="G5001" t="inlineStr">
        <is>
          <t>Sob</t>
        </is>
      </c>
      <c r="H5001">
        <f>'Floor Hours Engine'!$E$5</f>
        <v/>
      </c>
      <c r="I5001" t="inlineStr">
        <is>
          <t>W2</t>
        </is>
      </c>
      <c r="J5001" t="inlineStr">
        <is>
          <t>2034_Wrzesień_W2</t>
        </is>
      </c>
    </row>
    <row r="5002">
      <c r="A5002" s="177" t="n">
        <v>49197</v>
      </c>
      <c r="B5002" s="177" t="n">
        <v>49192</v>
      </c>
      <c r="C5002" s="177" t="n">
        <v>49198</v>
      </c>
      <c r="D5002" t="inlineStr">
        <is>
          <t>BW20340905</t>
        </is>
      </c>
      <c r="E5002" t="n">
        <v>2034</v>
      </c>
      <c r="F5002" t="inlineStr">
        <is>
          <t>Wrzesień</t>
        </is>
      </c>
      <c r="G5002" t="inlineStr">
        <is>
          <t>Nd</t>
        </is>
      </c>
      <c r="H5002">
        <f>'Floor Hours Engine'!$E$6</f>
        <v/>
      </c>
      <c r="I5002" t="inlineStr">
        <is>
          <t>W2</t>
        </is>
      </c>
      <c r="J5002" t="inlineStr">
        <is>
          <t>2034_Wrzesień_W2</t>
        </is>
      </c>
    </row>
    <row r="5003">
      <c r="A5003" s="177" t="n">
        <v>49198</v>
      </c>
      <c r="B5003" s="177" t="n">
        <v>49192</v>
      </c>
      <c r="C5003" s="177" t="n">
        <v>49198</v>
      </c>
      <c r="D5003" t="inlineStr">
        <is>
          <t>BW20340905</t>
        </is>
      </c>
      <c r="E5003" t="n">
        <v>2034</v>
      </c>
      <c r="F5003" t="inlineStr">
        <is>
          <t>Wrzesień</t>
        </is>
      </c>
      <c r="G5003" t="inlineStr">
        <is>
          <t>Pn</t>
        </is>
      </c>
      <c r="H5003">
        <f>'Floor Hours Engine'!$E$4</f>
        <v/>
      </c>
      <c r="I5003" t="inlineStr">
        <is>
          <t>W2</t>
        </is>
      </c>
      <c r="J5003" t="inlineStr">
        <is>
          <t>2034_Wrzesień_W2</t>
        </is>
      </c>
    </row>
    <row r="5004">
      <c r="A5004" s="177" t="n">
        <v>49199</v>
      </c>
      <c r="B5004" s="177" t="n">
        <v>49199</v>
      </c>
      <c r="C5004" s="177" t="n">
        <v>49205</v>
      </c>
      <c r="D5004" t="inlineStr">
        <is>
          <t>BW20340912</t>
        </is>
      </c>
      <c r="E5004" t="n">
        <v>2034</v>
      </c>
      <c r="F5004" t="inlineStr">
        <is>
          <t>Wrzesień</t>
        </is>
      </c>
      <c r="G5004" t="inlineStr">
        <is>
          <t>Wt</t>
        </is>
      </c>
      <c r="H5004">
        <f>'Floor Hours Engine'!$E$4</f>
        <v/>
      </c>
      <c r="I5004" t="inlineStr">
        <is>
          <t>W3</t>
        </is>
      </c>
      <c r="J5004" t="inlineStr">
        <is>
          <t>2034_Wrzesień_W3</t>
        </is>
      </c>
    </row>
    <row r="5005">
      <c r="A5005" s="177" t="n">
        <v>49200</v>
      </c>
      <c r="B5005" s="177" t="n">
        <v>49199</v>
      </c>
      <c r="C5005" s="177" t="n">
        <v>49205</v>
      </c>
      <c r="D5005" t="inlineStr">
        <is>
          <t>BW20340912</t>
        </is>
      </c>
      <c r="E5005" t="n">
        <v>2034</v>
      </c>
      <c r="F5005" t="inlineStr">
        <is>
          <t>Wrzesień</t>
        </is>
      </c>
      <c r="G5005" t="inlineStr">
        <is>
          <t>Śr</t>
        </is>
      </c>
      <c r="H5005">
        <f>'Floor Hours Engine'!$E$4</f>
        <v/>
      </c>
      <c r="I5005" t="inlineStr">
        <is>
          <t>W3</t>
        </is>
      </c>
      <c r="J5005" t="inlineStr">
        <is>
          <t>2034_Wrzesień_W3</t>
        </is>
      </c>
    </row>
    <row r="5006">
      <c r="A5006" s="177" t="n">
        <v>49201</v>
      </c>
      <c r="B5006" s="177" t="n">
        <v>49199</v>
      </c>
      <c r="C5006" s="177" t="n">
        <v>49205</v>
      </c>
      <c r="D5006" t="inlineStr">
        <is>
          <t>BW20340912</t>
        </is>
      </c>
      <c r="E5006" t="n">
        <v>2034</v>
      </c>
      <c r="F5006" t="inlineStr">
        <is>
          <t>Wrzesień</t>
        </is>
      </c>
      <c r="G5006" t="inlineStr">
        <is>
          <t>Czw</t>
        </is>
      </c>
      <c r="H5006">
        <f>'Floor Hours Engine'!$E$4</f>
        <v/>
      </c>
      <c r="I5006" t="inlineStr">
        <is>
          <t>W3</t>
        </is>
      </c>
      <c r="J5006" t="inlineStr">
        <is>
          <t>2034_Wrzesień_W3</t>
        </is>
      </c>
    </row>
    <row r="5007">
      <c r="A5007" s="177" t="n">
        <v>49202</v>
      </c>
      <c r="B5007" s="177" t="n">
        <v>49199</v>
      </c>
      <c r="C5007" s="177" t="n">
        <v>49205</v>
      </c>
      <c r="D5007" t="inlineStr">
        <is>
          <t>BW20340912</t>
        </is>
      </c>
      <c r="E5007" t="n">
        <v>2034</v>
      </c>
      <c r="F5007" t="inlineStr">
        <is>
          <t>Wrzesień</t>
        </is>
      </c>
      <c r="G5007" t="inlineStr">
        <is>
          <t>Pt</t>
        </is>
      </c>
      <c r="H5007">
        <f>'Floor Hours Engine'!$E$5</f>
        <v/>
      </c>
      <c r="I5007" t="inlineStr">
        <is>
          <t>W3</t>
        </is>
      </c>
      <c r="J5007" t="inlineStr">
        <is>
          <t>2034_Wrzesień_W3</t>
        </is>
      </c>
    </row>
    <row r="5008">
      <c r="A5008" s="177" t="n">
        <v>49203</v>
      </c>
      <c r="B5008" s="177" t="n">
        <v>49199</v>
      </c>
      <c r="C5008" s="177" t="n">
        <v>49205</v>
      </c>
      <c r="D5008" t="inlineStr">
        <is>
          <t>BW20340912</t>
        </is>
      </c>
      <c r="E5008" t="n">
        <v>2034</v>
      </c>
      <c r="F5008" t="inlineStr">
        <is>
          <t>Wrzesień</t>
        </is>
      </c>
      <c r="G5008" t="inlineStr">
        <is>
          <t>Sob</t>
        </is>
      </c>
      <c r="H5008">
        <f>'Floor Hours Engine'!$E$5</f>
        <v/>
      </c>
      <c r="I5008" t="inlineStr">
        <is>
          <t>W3</t>
        </is>
      </c>
      <c r="J5008" t="inlineStr">
        <is>
          <t>2034_Wrzesień_W3</t>
        </is>
      </c>
    </row>
    <row r="5009">
      <c r="A5009" s="177" t="n">
        <v>49204</v>
      </c>
      <c r="B5009" s="177" t="n">
        <v>49199</v>
      </c>
      <c r="C5009" s="177" t="n">
        <v>49205</v>
      </c>
      <c r="D5009" t="inlineStr">
        <is>
          <t>BW20340912</t>
        </is>
      </c>
      <c r="E5009" t="n">
        <v>2034</v>
      </c>
      <c r="F5009" t="inlineStr">
        <is>
          <t>Wrzesień</t>
        </is>
      </c>
      <c r="G5009" t="inlineStr">
        <is>
          <t>Nd</t>
        </is>
      </c>
      <c r="H5009">
        <f>'Floor Hours Engine'!$E$6</f>
        <v/>
      </c>
      <c r="I5009" t="inlineStr">
        <is>
          <t>W3</t>
        </is>
      </c>
      <c r="J5009" t="inlineStr">
        <is>
          <t>2034_Wrzesień_W3</t>
        </is>
      </c>
    </row>
    <row r="5010">
      <c r="A5010" s="177" t="n">
        <v>49205</v>
      </c>
      <c r="B5010" s="177" t="n">
        <v>49199</v>
      </c>
      <c r="C5010" s="177" t="n">
        <v>49205</v>
      </c>
      <c r="D5010" t="inlineStr">
        <is>
          <t>BW20340912</t>
        </is>
      </c>
      <c r="E5010" t="n">
        <v>2034</v>
      </c>
      <c r="F5010" t="inlineStr">
        <is>
          <t>Wrzesień</t>
        </is>
      </c>
      <c r="G5010" t="inlineStr">
        <is>
          <t>Pn</t>
        </is>
      </c>
      <c r="H5010">
        <f>'Floor Hours Engine'!$E$4</f>
        <v/>
      </c>
      <c r="I5010" t="inlineStr">
        <is>
          <t>W3</t>
        </is>
      </c>
      <c r="J5010" t="inlineStr">
        <is>
          <t>2034_Wrzesień_W3</t>
        </is>
      </c>
    </row>
    <row r="5011">
      <c r="A5011" s="177" t="n">
        <v>49206</v>
      </c>
      <c r="B5011" s="177" t="n">
        <v>49206</v>
      </c>
      <c r="C5011" s="177" t="n">
        <v>49212</v>
      </c>
      <c r="D5011" t="inlineStr">
        <is>
          <t>BW20340919</t>
        </is>
      </c>
      <c r="E5011" t="n">
        <v>2034</v>
      </c>
      <c r="F5011" t="inlineStr">
        <is>
          <t>Wrzesień</t>
        </is>
      </c>
      <c r="G5011" t="inlineStr">
        <is>
          <t>Wt</t>
        </is>
      </c>
      <c r="H5011">
        <f>'Floor Hours Engine'!$E$4</f>
        <v/>
      </c>
      <c r="I5011" t="inlineStr">
        <is>
          <t>W4</t>
        </is>
      </c>
      <c r="J5011" t="inlineStr">
        <is>
          <t>2034_Wrzesień_W4</t>
        </is>
      </c>
    </row>
    <row r="5012">
      <c r="A5012" s="177" t="n">
        <v>49207</v>
      </c>
      <c r="B5012" s="177" t="n">
        <v>49206</v>
      </c>
      <c r="C5012" s="177" t="n">
        <v>49212</v>
      </c>
      <c r="D5012" t="inlineStr">
        <is>
          <t>BW20340919</t>
        </is>
      </c>
      <c r="E5012" t="n">
        <v>2034</v>
      </c>
      <c r="F5012" t="inlineStr">
        <is>
          <t>Wrzesień</t>
        </is>
      </c>
      <c r="G5012" t="inlineStr">
        <is>
          <t>Śr</t>
        </is>
      </c>
      <c r="H5012">
        <f>'Floor Hours Engine'!$E$4</f>
        <v/>
      </c>
      <c r="I5012" t="inlineStr">
        <is>
          <t>W4</t>
        </is>
      </c>
      <c r="J5012" t="inlineStr">
        <is>
          <t>2034_Wrzesień_W4</t>
        </is>
      </c>
    </row>
    <row r="5013">
      <c r="A5013" s="177" t="n">
        <v>49208</v>
      </c>
      <c r="B5013" s="177" t="n">
        <v>49206</v>
      </c>
      <c r="C5013" s="177" t="n">
        <v>49212</v>
      </c>
      <c r="D5013" t="inlineStr">
        <is>
          <t>BW20340919</t>
        </is>
      </c>
      <c r="E5013" t="n">
        <v>2034</v>
      </c>
      <c r="F5013" t="inlineStr">
        <is>
          <t>Wrzesień</t>
        </is>
      </c>
      <c r="G5013" t="inlineStr">
        <is>
          <t>Czw</t>
        </is>
      </c>
      <c r="H5013">
        <f>'Floor Hours Engine'!$E$4</f>
        <v/>
      </c>
      <c r="I5013" t="inlineStr">
        <is>
          <t>W4</t>
        </is>
      </c>
      <c r="J5013" t="inlineStr">
        <is>
          <t>2034_Wrzesień_W4</t>
        </is>
      </c>
    </row>
    <row r="5014">
      <c r="A5014" s="177" t="n">
        <v>49209</v>
      </c>
      <c r="B5014" s="177" t="n">
        <v>49206</v>
      </c>
      <c r="C5014" s="177" t="n">
        <v>49212</v>
      </c>
      <c r="D5014" t="inlineStr">
        <is>
          <t>BW20340919</t>
        </is>
      </c>
      <c r="E5014" t="n">
        <v>2034</v>
      </c>
      <c r="F5014" t="inlineStr">
        <is>
          <t>Wrzesień</t>
        </is>
      </c>
      <c r="G5014" t="inlineStr">
        <is>
          <t>Pt</t>
        </is>
      </c>
      <c r="H5014">
        <f>'Floor Hours Engine'!$E$5</f>
        <v/>
      </c>
      <c r="I5014" t="inlineStr">
        <is>
          <t>W4</t>
        </is>
      </c>
      <c r="J5014" t="inlineStr">
        <is>
          <t>2034_Wrzesień_W4</t>
        </is>
      </c>
    </row>
    <row r="5015">
      <c r="A5015" s="177" t="n">
        <v>49210</v>
      </c>
      <c r="B5015" s="177" t="n">
        <v>49206</v>
      </c>
      <c r="C5015" s="177" t="n">
        <v>49212</v>
      </c>
      <c r="D5015" t="inlineStr">
        <is>
          <t>BW20340919</t>
        </is>
      </c>
      <c r="E5015" t="n">
        <v>2034</v>
      </c>
      <c r="F5015" t="inlineStr">
        <is>
          <t>Wrzesień</t>
        </is>
      </c>
      <c r="G5015" t="inlineStr">
        <is>
          <t>Sob</t>
        </is>
      </c>
      <c r="H5015">
        <f>'Floor Hours Engine'!$E$5</f>
        <v/>
      </c>
      <c r="I5015" t="inlineStr">
        <is>
          <t>W4</t>
        </is>
      </c>
      <c r="J5015" t="inlineStr">
        <is>
          <t>2034_Wrzesień_W4</t>
        </is>
      </c>
    </row>
    <row r="5016">
      <c r="A5016" s="177" t="n">
        <v>49211</v>
      </c>
      <c r="B5016" s="177" t="n">
        <v>49206</v>
      </c>
      <c r="C5016" s="177" t="n">
        <v>49212</v>
      </c>
      <c r="D5016" t="inlineStr">
        <is>
          <t>BW20340919</t>
        </is>
      </c>
      <c r="E5016" t="n">
        <v>2034</v>
      </c>
      <c r="F5016" t="inlineStr">
        <is>
          <t>Wrzesień</t>
        </is>
      </c>
      <c r="G5016" t="inlineStr">
        <is>
          <t>Nd</t>
        </is>
      </c>
      <c r="H5016">
        <f>'Floor Hours Engine'!$E$6</f>
        <v/>
      </c>
      <c r="I5016" t="inlineStr">
        <is>
          <t>W4</t>
        </is>
      </c>
      <c r="J5016" t="inlineStr">
        <is>
          <t>2034_Wrzesień_W4</t>
        </is>
      </c>
    </row>
    <row r="5017">
      <c r="A5017" s="177" t="n">
        <v>49212</v>
      </c>
      <c r="B5017" s="177" t="n">
        <v>49206</v>
      </c>
      <c r="C5017" s="177" t="n">
        <v>49212</v>
      </c>
      <c r="D5017" t="inlineStr">
        <is>
          <t>BW20340919</t>
        </is>
      </c>
      <c r="E5017" t="n">
        <v>2034</v>
      </c>
      <c r="F5017" t="inlineStr">
        <is>
          <t>Wrzesień</t>
        </is>
      </c>
      <c r="G5017" t="inlineStr">
        <is>
          <t>Pn</t>
        </is>
      </c>
      <c r="H5017">
        <f>'Floor Hours Engine'!$E$4</f>
        <v/>
      </c>
      <c r="I5017" t="inlineStr">
        <is>
          <t>W4</t>
        </is>
      </c>
      <c r="J5017" t="inlineStr">
        <is>
          <t>2034_Wrzesień_W4</t>
        </is>
      </c>
    </row>
    <row r="5018">
      <c r="A5018" s="177" t="n">
        <v>49213</v>
      </c>
      <c r="B5018" s="177" t="n">
        <v>49213</v>
      </c>
      <c r="C5018" s="177" t="n">
        <v>49219</v>
      </c>
      <c r="D5018" t="inlineStr">
        <is>
          <t>BW20340926</t>
        </is>
      </c>
      <c r="E5018" t="n">
        <v>2034</v>
      </c>
      <c r="F5018" t="inlineStr">
        <is>
          <t>Wrzesień</t>
        </is>
      </c>
      <c r="G5018" t="inlineStr">
        <is>
          <t>Wt</t>
        </is>
      </c>
      <c r="H5018">
        <f>'Floor Hours Engine'!$E$4</f>
        <v/>
      </c>
      <c r="I5018" t="inlineStr">
        <is>
          <t>W5</t>
        </is>
      </c>
      <c r="J5018" t="inlineStr">
        <is>
          <t>2034_Wrzesień_W5</t>
        </is>
      </c>
    </row>
    <row r="5019">
      <c r="A5019" s="177" t="n">
        <v>49214</v>
      </c>
      <c r="B5019" s="177" t="n">
        <v>49213</v>
      </c>
      <c r="C5019" s="177" t="n">
        <v>49219</v>
      </c>
      <c r="D5019" t="inlineStr">
        <is>
          <t>BW20340926</t>
        </is>
      </c>
      <c r="E5019" t="n">
        <v>2034</v>
      </c>
      <c r="F5019" t="inlineStr">
        <is>
          <t>Wrzesień</t>
        </is>
      </c>
      <c r="G5019" t="inlineStr">
        <is>
          <t>Śr</t>
        </is>
      </c>
      <c r="H5019">
        <f>'Floor Hours Engine'!$E$4</f>
        <v/>
      </c>
      <c r="I5019" t="inlineStr">
        <is>
          <t>W5</t>
        </is>
      </c>
      <c r="J5019" t="inlineStr">
        <is>
          <t>2034_Wrzesień_W5</t>
        </is>
      </c>
    </row>
    <row r="5020">
      <c r="A5020" s="177" t="n">
        <v>49215</v>
      </c>
      <c r="B5020" s="177" t="n">
        <v>49213</v>
      </c>
      <c r="C5020" s="177" t="n">
        <v>49219</v>
      </c>
      <c r="D5020" t="inlineStr">
        <is>
          <t>BW20340926</t>
        </is>
      </c>
      <c r="E5020" t="n">
        <v>2034</v>
      </c>
      <c r="F5020" t="inlineStr">
        <is>
          <t>Wrzesień</t>
        </is>
      </c>
      <c r="G5020" t="inlineStr">
        <is>
          <t>Czw</t>
        </is>
      </c>
      <c r="H5020">
        <f>'Floor Hours Engine'!$E$4</f>
        <v/>
      </c>
      <c r="I5020" t="inlineStr">
        <is>
          <t>W5</t>
        </is>
      </c>
      <c r="J5020" t="inlineStr">
        <is>
          <t>2034_Wrzesień_W5</t>
        </is>
      </c>
    </row>
    <row r="5021">
      <c r="A5021" s="177" t="n">
        <v>49216</v>
      </c>
      <c r="B5021" s="177" t="n">
        <v>49213</v>
      </c>
      <c r="C5021" s="177" t="n">
        <v>49219</v>
      </c>
      <c r="D5021" t="inlineStr">
        <is>
          <t>BW20340926</t>
        </is>
      </c>
      <c r="E5021" t="n">
        <v>2034</v>
      </c>
      <c r="F5021" t="inlineStr">
        <is>
          <t>Wrzesień</t>
        </is>
      </c>
      <c r="G5021" t="inlineStr">
        <is>
          <t>Pt</t>
        </is>
      </c>
      <c r="H5021">
        <f>'Floor Hours Engine'!$E$5</f>
        <v/>
      </c>
      <c r="I5021" t="inlineStr">
        <is>
          <t>W5</t>
        </is>
      </c>
      <c r="J5021" t="inlineStr">
        <is>
          <t>2034_Wrzesień_W5</t>
        </is>
      </c>
    </row>
    <row r="5022">
      <c r="A5022" s="177" t="n">
        <v>49217</v>
      </c>
      <c r="B5022" s="177" t="n">
        <v>49213</v>
      </c>
      <c r="C5022" s="177" t="n">
        <v>49219</v>
      </c>
      <c r="D5022" t="inlineStr">
        <is>
          <t>BW20340926</t>
        </is>
      </c>
      <c r="E5022" t="n">
        <v>2034</v>
      </c>
      <c r="F5022" t="inlineStr">
        <is>
          <t>Wrzesień</t>
        </is>
      </c>
      <c r="G5022" t="inlineStr">
        <is>
          <t>Sob</t>
        </is>
      </c>
      <c r="H5022">
        <f>'Floor Hours Engine'!$E$5</f>
        <v/>
      </c>
      <c r="I5022" t="inlineStr">
        <is>
          <t>W5</t>
        </is>
      </c>
      <c r="J5022" t="inlineStr">
        <is>
          <t>2034_Wrzesień_W5</t>
        </is>
      </c>
    </row>
    <row r="5023">
      <c r="A5023" s="177" t="n">
        <v>49218</v>
      </c>
      <c r="B5023" s="177" t="n">
        <v>49213</v>
      </c>
      <c r="C5023" s="177" t="n">
        <v>49219</v>
      </c>
      <c r="D5023" t="inlineStr">
        <is>
          <t>BW20340926</t>
        </is>
      </c>
      <c r="E5023" t="n">
        <v>2034</v>
      </c>
      <c r="F5023" t="inlineStr">
        <is>
          <t>Październik</t>
        </is>
      </c>
      <c r="G5023" t="inlineStr">
        <is>
          <t>Nd</t>
        </is>
      </c>
      <c r="H5023">
        <f>'Floor Hours Engine'!$E$6</f>
        <v/>
      </c>
      <c r="I5023" t="inlineStr">
        <is>
          <t>W1</t>
        </is>
      </c>
      <c r="J5023" t="inlineStr">
        <is>
          <t>2034_Październik_W1</t>
        </is>
      </c>
    </row>
    <row r="5024">
      <c r="A5024" s="177" t="n">
        <v>49219</v>
      </c>
      <c r="B5024" s="177" t="n">
        <v>49213</v>
      </c>
      <c r="C5024" s="177" t="n">
        <v>49219</v>
      </c>
      <c r="D5024" t="inlineStr">
        <is>
          <t>BW20340926</t>
        </is>
      </c>
      <c r="E5024" t="n">
        <v>2034</v>
      </c>
      <c r="F5024" t="inlineStr">
        <is>
          <t>Październik</t>
        </is>
      </c>
      <c r="G5024" t="inlineStr">
        <is>
          <t>Pn</t>
        </is>
      </c>
      <c r="H5024">
        <f>'Floor Hours Engine'!$E$4</f>
        <v/>
      </c>
      <c r="I5024" t="inlineStr">
        <is>
          <t>W1</t>
        </is>
      </c>
      <c r="J5024" t="inlineStr">
        <is>
          <t>2034_Październik_W1</t>
        </is>
      </c>
    </row>
    <row r="5025">
      <c r="A5025" s="177" t="n">
        <v>49220</v>
      </c>
      <c r="B5025" s="177" t="n">
        <v>49220</v>
      </c>
      <c r="C5025" s="177" t="n">
        <v>49226</v>
      </c>
      <c r="D5025" t="inlineStr">
        <is>
          <t>BW20341003</t>
        </is>
      </c>
      <c r="E5025" t="n">
        <v>2034</v>
      </c>
      <c r="F5025" t="inlineStr">
        <is>
          <t>Październik</t>
        </is>
      </c>
      <c r="G5025" t="inlineStr">
        <is>
          <t>Wt</t>
        </is>
      </c>
      <c r="H5025">
        <f>'Floor Hours Engine'!$E$4</f>
        <v/>
      </c>
      <c r="I5025" t="inlineStr">
        <is>
          <t>W2</t>
        </is>
      </c>
      <c r="J5025" t="inlineStr">
        <is>
          <t>2034_Październik_W2</t>
        </is>
      </c>
    </row>
    <row r="5026">
      <c r="A5026" s="177" t="n">
        <v>49221</v>
      </c>
      <c r="B5026" s="177" t="n">
        <v>49220</v>
      </c>
      <c r="C5026" s="177" t="n">
        <v>49226</v>
      </c>
      <c r="D5026" t="inlineStr">
        <is>
          <t>BW20341003</t>
        </is>
      </c>
      <c r="E5026" t="n">
        <v>2034</v>
      </c>
      <c r="F5026" t="inlineStr">
        <is>
          <t>Październik</t>
        </is>
      </c>
      <c r="G5026" t="inlineStr">
        <is>
          <t>Śr</t>
        </is>
      </c>
      <c r="H5026">
        <f>'Floor Hours Engine'!$E$4</f>
        <v/>
      </c>
      <c r="I5026" t="inlineStr">
        <is>
          <t>W2</t>
        </is>
      </c>
      <c r="J5026" t="inlineStr">
        <is>
          <t>2034_Październik_W2</t>
        </is>
      </c>
    </row>
    <row r="5027">
      <c r="A5027" s="177" t="n">
        <v>49222</v>
      </c>
      <c r="B5027" s="177" t="n">
        <v>49220</v>
      </c>
      <c r="C5027" s="177" t="n">
        <v>49226</v>
      </c>
      <c r="D5027" t="inlineStr">
        <is>
          <t>BW20341003</t>
        </is>
      </c>
      <c r="E5027" t="n">
        <v>2034</v>
      </c>
      <c r="F5027" t="inlineStr">
        <is>
          <t>Październik</t>
        </is>
      </c>
      <c r="G5027" t="inlineStr">
        <is>
          <t>Czw</t>
        </is>
      </c>
      <c r="H5027">
        <f>'Floor Hours Engine'!$E$4</f>
        <v/>
      </c>
      <c r="I5027" t="inlineStr">
        <is>
          <t>W2</t>
        </is>
      </c>
      <c r="J5027" t="inlineStr">
        <is>
          <t>2034_Październik_W2</t>
        </is>
      </c>
    </row>
    <row r="5028">
      <c r="A5028" s="177" t="n">
        <v>49223</v>
      </c>
      <c r="B5028" s="177" t="n">
        <v>49220</v>
      </c>
      <c r="C5028" s="177" t="n">
        <v>49226</v>
      </c>
      <c r="D5028" t="inlineStr">
        <is>
          <t>BW20341003</t>
        </is>
      </c>
      <c r="E5028" t="n">
        <v>2034</v>
      </c>
      <c r="F5028" t="inlineStr">
        <is>
          <t>Październik</t>
        </is>
      </c>
      <c r="G5028" t="inlineStr">
        <is>
          <t>Pt</t>
        </is>
      </c>
      <c r="H5028">
        <f>'Floor Hours Engine'!$E$5</f>
        <v/>
      </c>
      <c r="I5028" t="inlineStr">
        <is>
          <t>W2</t>
        </is>
      </c>
      <c r="J5028" t="inlineStr">
        <is>
          <t>2034_Październik_W2</t>
        </is>
      </c>
    </row>
    <row r="5029">
      <c r="A5029" s="177" t="n">
        <v>49224</v>
      </c>
      <c r="B5029" s="177" t="n">
        <v>49220</v>
      </c>
      <c r="C5029" s="177" t="n">
        <v>49226</v>
      </c>
      <c r="D5029" t="inlineStr">
        <is>
          <t>BW20341003</t>
        </is>
      </c>
      <c r="E5029" t="n">
        <v>2034</v>
      </c>
      <c r="F5029" t="inlineStr">
        <is>
          <t>Październik</t>
        </is>
      </c>
      <c r="G5029" t="inlineStr">
        <is>
          <t>Sob</t>
        </is>
      </c>
      <c r="H5029">
        <f>'Floor Hours Engine'!$E$5</f>
        <v/>
      </c>
      <c r="I5029" t="inlineStr">
        <is>
          <t>W2</t>
        </is>
      </c>
      <c r="J5029" t="inlineStr">
        <is>
          <t>2034_Październik_W2</t>
        </is>
      </c>
    </row>
    <row r="5030">
      <c r="A5030" s="177" t="n">
        <v>49225</v>
      </c>
      <c r="B5030" s="177" t="n">
        <v>49220</v>
      </c>
      <c r="C5030" s="177" t="n">
        <v>49226</v>
      </c>
      <c r="D5030" t="inlineStr">
        <is>
          <t>BW20341003</t>
        </is>
      </c>
      <c r="E5030" t="n">
        <v>2034</v>
      </c>
      <c r="F5030" t="inlineStr">
        <is>
          <t>Październik</t>
        </is>
      </c>
      <c r="G5030" t="inlineStr">
        <is>
          <t>Nd</t>
        </is>
      </c>
      <c r="H5030">
        <f>'Floor Hours Engine'!$E$6</f>
        <v/>
      </c>
      <c r="I5030" t="inlineStr">
        <is>
          <t>W2</t>
        </is>
      </c>
      <c r="J5030" t="inlineStr">
        <is>
          <t>2034_Październik_W2</t>
        </is>
      </c>
    </row>
    <row r="5031">
      <c r="A5031" s="177" t="n">
        <v>49226</v>
      </c>
      <c r="B5031" s="177" t="n">
        <v>49220</v>
      </c>
      <c r="C5031" s="177" t="n">
        <v>49226</v>
      </c>
      <c r="D5031" t="inlineStr">
        <is>
          <t>BW20341003</t>
        </is>
      </c>
      <c r="E5031" t="n">
        <v>2034</v>
      </c>
      <c r="F5031" t="inlineStr">
        <is>
          <t>Październik</t>
        </is>
      </c>
      <c r="G5031" t="inlineStr">
        <is>
          <t>Pn</t>
        </is>
      </c>
      <c r="H5031">
        <f>'Floor Hours Engine'!$E$4</f>
        <v/>
      </c>
      <c r="I5031" t="inlineStr">
        <is>
          <t>W2</t>
        </is>
      </c>
      <c r="J5031" t="inlineStr">
        <is>
          <t>2034_Październik_W2</t>
        </is>
      </c>
    </row>
    <row r="5032">
      <c r="A5032" s="177" t="n">
        <v>49227</v>
      </c>
      <c r="B5032" s="177" t="n">
        <v>49227</v>
      </c>
      <c r="C5032" s="177" t="n">
        <v>49233</v>
      </c>
      <c r="D5032" t="inlineStr">
        <is>
          <t>BW20341010</t>
        </is>
      </c>
      <c r="E5032" t="n">
        <v>2034</v>
      </c>
      <c r="F5032" t="inlineStr">
        <is>
          <t>Październik</t>
        </is>
      </c>
      <c r="G5032" t="inlineStr">
        <is>
          <t>Wt</t>
        </is>
      </c>
      <c r="H5032">
        <f>'Floor Hours Engine'!$E$4</f>
        <v/>
      </c>
      <c r="I5032" t="inlineStr">
        <is>
          <t>W3</t>
        </is>
      </c>
      <c r="J5032" t="inlineStr">
        <is>
          <t>2034_Październik_W3</t>
        </is>
      </c>
    </row>
    <row r="5033">
      <c r="A5033" s="177" t="n">
        <v>49228</v>
      </c>
      <c r="B5033" s="177" t="n">
        <v>49227</v>
      </c>
      <c r="C5033" s="177" t="n">
        <v>49233</v>
      </c>
      <c r="D5033" t="inlineStr">
        <is>
          <t>BW20341010</t>
        </is>
      </c>
      <c r="E5033" t="n">
        <v>2034</v>
      </c>
      <c r="F5033" t="inlineStr">
        <is>
          <t>Październik</t>
        </is>
      </c>
      <c r="G5033" t="inlineStr">
        <is>
          <t>Śr</t>
        </is>
      </c>
      <c r="H5033">
        <f>'Floor Hours Engine'!$E$4</f>
        <v/>
      </c>
      <c r="I5033" t="inlineStr">
        <is>
          <t>W3</t>
        </is>
      </c>
      <c r="J5033" t="inlineStr">
        <is>
          <t>2034_Październik_W3</t>
        </is>
      </c>
    </row>
    <row r="5034">
      <c r="A5034" s="177" t="n">
        <v>49229</v>
      </c>
      <c r="B5034" s="177" t="n">
        <v>49227</v>
      </c>
      <c r="C5034" s="177" t="n">
        <v>49233</v>
      </c>
      <c r="D5034" t="inlineStr">
        <is>
          <t>BW20341010</t>
        </is>
      </c>
      <c r="E5034" t="n">
        <v>2034</v>
      </c>
      <c r="F5034" t="inlineStr">
        <is>
          <t>Październik</t>
        </is>
      </c>
      <c r="G5034" t="inlineStr">
        <is>
          <t>Czw</t>
        </is>
      </c>
      <c r="H5034">
        <f>'Floor Hours Engine'!$E$4</f>
        <v/>
      </c>
      <c r="I5034" t="inlineStr">
        <is>
          <t>W3</t>
        </is>
      </c>
      <c r="J5034" t="inlineStr">
        <is>
          <t>2034_Październik_W3</t>
        </is>
      </c>
    </row>
    <row r="5035">
      <c r="A5035" s="177" t="n">
        <v>49230</v>
      </c>
      <c r="B5035" s="177" t="n">
        <v>49227</v>
      </c>
      <c r="C5035" s="177" t="n">
        <v>49233</v>
      </c>
      <c r="D5035" t="inlineStr">
        <is>
          <t>BW20341010</t>
        </is>
      </c>
      <c r="E5035" t="n">
        <v>2034</v>
      </c>
      <c r="F5035" t="inlineStr">
        <is>
          <t>Październik</t>
        </is>
      </c>
      <c r="G5035" t="inlineStr">
        <is>
          <t>Pt</t>
        </is>
      </c>
      <c r="H5035">
        <f>'Floor Hours Engine'!$E$5</f>
        <v/>
      </c>
      <c r="I5035" t="inlineStr">
        <is>
          <t>W3</t>
        </is>
      </c>
      <c r="J5035" t="inlineStr">
        <is>
          <t>2034_Październik_W3</t>
        </is>
      </c>
    </row>
    <row r="5036">
      <c r="A5036" s="177" t="n">
        <v>49231</v>
      </c>
      <c r="B5036" s="177" t="n">
        <v>49227</v>
      </c>
      <c r="C5036" s="177" t="n">
        <v>49233</v>
      </c>
      <c r="D5036" t="inlineStr">
        <is>
          <t>BW20341010</t>
        </is>
      </c>
      <c r="E5036" t="n">
        <v>2034</v>
      </c>
      <c r="F5036" t="inlineStr">
        <is>
          <t>Październik</t>
        </is>
      </c>
      <c r="G5036" t="inlineStr">
        <is>
          <t>Sob</t>
        </is>
      </c>
      <c r="H5036">
        <f>'Floor Hours Engine'!$E$5</f>
        <v/>
      </c>
      <c r="I5036" t="inlineStr">
        <is>
          <t>W3</t>
        </is>
      </c>
      <c r="J5036" t="inlineStr">
        <is>
          <t>2034_Październik_W3</t>
        </is>
      </c>
    </row>
    <row r="5037">
      <c r="A5037" s="177" t="n">
        <v>49232</v>
      </c>
      <c r="B5037" s="177" t="n">
        <v>49227</v>
      </c>
      <c r="C5037" s="177" t="n">
        <v>49233</v>
      </c>
      <c r="D5037" t="inlineStr">
        <is>
          <t>BW20341010</t>
        </is>
      </c>
      <c r="E5037" t="n">
        <v>2034</v>
      </c>
      <c r="F5037" t="inlineStr">
        <is>
          <t>Październik</t>
        </is>
      </c>
      <c r="G5037" t="inlineStr">
        <is>
          <t>Nd</t>
        </is>
      </c>
      <c r="H5037">
        <f>'Floor Hours Engine'!$E$6</f>
        <v/>
      </c>
      <c r="I5037" t="inlineStr">
        <is>
          <t>W3</t>
        </is>
      </c>
      <c r="J5037" t="inlineStr">
        <is>
          <t>2034_Październik_W3</t>
        </is>
      </c>
    </row>
    <row r="5038">
      <c r="A5038" s="177" t="n">
        <v>49233</v>
      </c>
      <c r="B5038" s="177" t="n">
        <v>49227</v>
      </c>
      <c r="C5038" s="177" t="n">
        <v>49233</v>
      </c>
      <c r="D5038" t="inlineStr">
        <is>
          <t>BW20341010</t>
        </is>
      </c>
      <c r="E5038" t="n">
        <v>2034</v>
      </c>
      <c r="F5038" t="inlineStr">
        <is>
          <t>Październik</t>
        </is>
      </c>
      <c r="G5038" t="inlineStr">
        <is>
          <t>Pn</t>
        </is>
      </c>
      <c r="H5038">
        <f>'Floor Hours Engine'!$E$4</f>
        <v/>
      </c>
      <c r="I5038" t="inlineStr">
        <is>
          <t>W3</t>
        </is>
      </c>
      <c r="J5038" t="inlineStr">
        <is>
          <t>2034_Październik_W3</t>
        </is>
      </c>
    </row>
    <row r="5039">
      <c r="A5039" s="177" t="n">
        <v>49234</v>
      </c>
      <c r="B5039" s="177" t="n">
        <v>49234</v>
      </c>
      <c r="C5039" s="177" t="n">
        <v>49240</v>
      </c>
      <c r="D5039" t="inlineStr">
        <is>
          <t>BW20341017</t>
        </is>
      </c>
      <c r="E5039" t="n">
        <v>2034</v>
      </c>
      <c r="F5039" t="inlineStr">
        <is>
          <t>Październik</t>
        </is>
      </c>
      <c r="G5039" t="inlineStr">
        <is>
          <t>Wt</t>
        </is>
      </c>
      <c r="H5039">
        <f>'Floor Hours Engine'!$E$4</f>
        <v/>
      </c>
      <c r="I5039" t="inlineStr">
        <is>
          <t>W4</t>
        </is>
      </c>
      <c r="J5039" t="inlineStr">
        <is>
          <t>2034_Październik_W4</t>
        </is>
      </c>
    </row>
    <row r="5040">
      <c r="A5040" s="177" t="n">
        <v>49235</v>
      </c>
      <c r="B5040" s="177" t="n">
        <v>49234</v>
      </c>
      <c r="C5040" s="177" t="n">
        <v>49240</v>
      </c>
      <c r="D5040" t="inlineStr">
        <is>
          <t>BW20341017</t>
        </is>
      </c>
      <c r="E5040" t="n">
        <v>2034</v>
      </c>
      <c r="F5040" t="inlineStr">
        <is>
          <t>Październik</t>
        </is>
      </c>
      <c r="G5040" t="inlineStr">
        <is>
          <t>Śr</t>
        </is>
      </c>
      <c r="H5040">
        <f>'Floor Hours Engine'!$E$4</f>
        <v/>
      </c>
      <c r="I5040" t="inlineStr">
        <is>
          <t>W4</t>
        </is>
      </c>
      <c r="J5040" t="inlineStr">
        <is>
          <t>2034_Październik_W4</t>
        </is>
      </c>
    </row>
    <row r="5041">
      <c r="A5041" s="177" t="n">
        <v>49236</v>
      </c>
      <c r="B5041" s="177" t="n">
        <v>49234</v>
      </c>
      <c r="C5041" s="177" t="n">
        <v>49240</v>
      </c>
      <c r="D5041" t="inlineStr">
        <is>
          <t>BW20341017</t>
        </is>
      </c>
      <c r="E5041" t="n">
        <v>2034</v>
      </c>
      <c r="F5041" t="inlineStr">
        <is>
          <t>Październik</t>
        </is>
      </c>
      <c r="G5041" t="inlineStr">
        <is>
          <t>Czw</t>
        </is>
      </c>
      <c r="H5041">
        <f>'Floor Hours Engine'!$E$4</f>
        <v/>
      </c>
      <c r="I5041" t="inlineStr">
        <is>
          <t>W4</t>
        </is>
      </c>
      <c r="J5041" t="inlineStr">
        <is>
          <t>2034_Październik_W4</t>
        </is>
      </c>
    </row>
    <row r="5042">
      <c r="A5042" s="177" t="n">
        <v>49237</v>
      </c>
      <c r="B5042" s="177" t="n">
        <v>49234</v>
      </c>
      <c r="C5042" s="177" t="n">
        <v>49240</v>
      </c>
      <c r="D5042" t="inlineStr">
        <is>
          <t>BW20341017</t>
        </is>
      </c>
      <c r="E5042" t="n">
        <v>2034</v>
      </c>
      <c r="F5042" t="inlineStr">
        <is>
          <t>Październik</t>
        </is>
      </c>
      <c r="G5042" t="inlineStr">
        <is>
          <t>Pt</t>
        </is>
      </c>
      <c r="H5042">
        <f>'Floor Hours Engine'!$E$5</f>
        <v/>
      </c>
      <c r="I5042" t="inlineStr">
        <is>
          <t>W4</t>
        </is>
      </c>
      <c r="J5042" t="inlineStr">
        <is>
          <t>2034_Październik_W4</t>
        </is>
      </c>
    </row>
    <row r="5043">
      <c r="A5043" s="177" t="n">
        <v>49238</v>
      </c>
      <c r="B5043" s="177" t="n">
        <v>49234</v>
      </c>
      <c r="C5043" s="177" t="n">
        <v>49240</v>
      </c>
      <c r="D5043" t="inlineStr">
        <is>
          <t>BW20341017</t>
        </is>
      </c>
      <c r="E5043" t="n">
        <v>2034</v>
      </c>
      <c r="F5043" t="inlineStr">
        <is>
          <t>Październik</t>
        </is>
      </c>
      <c r="G5043" t="inlineStr">
        <is>
          <t>Sob</t>
        </is>
      </c>
      <c r="H5043">
        <f>'Floor Hours Engine'!$E$5</f>
        <v/>
      </c>
      <c r="I5043" t="inlineStr">
        <is>
          <t>W4</t>
        </is>
      </c>
      <c r="J5043" t="inlineStr">
        <is>
          <t>2034_Październik_W4</t>
        </is>
      </c>
    </row>
    <row r="5044">
      <c r="A5044" s="177" t="n">
        <v>49239</v>
      </c>
      <c r="B5044" s="177" t="n">
        <v>49234</v>
      </c>
      <c r="C5044" s="177" t="n">
        <v>49240</v>
      </c>
      <c r="D5044" t="inlineStr">
        <is>
          <t>BW20341017</t>
        </is>
      </c>
      <c r="E5044" t="n">
        <v>2034</v>
      </c>
      <c r="F5044" t="inlineStr">
        <is>
          <t>Październik</t>
        </is>
      </c>
      <c r="G5044" t="inlineStr">
        <is>
          <t>Nd</t>
        </is>
      </c>
      <c r="H5044">
        <f>'Floor Hours Engine'!$E$6</f>
        <v/>
      </c>
      <c r="I5044" t="inlineStr">
        <is>
          <t>W4</t>
        </is>
      </c>
      <c r="J5044" t="inlineStr">
        <is>
          <t>2034_Październik_W4</t>
        </is>
      </c>
    </row>
    <row r="5045">
      <c r="A5045" s="177" t="n">
        <v>49240</v>
      </c>
      <c r="B5045" s="177" t="n">
        <v>49234</v>
      </c>
      <c r="C5045" s="177" t="n">
        <v>49240</v>
      </c>
      <c r="D5045" t="inlineStr">
        <is>
          <t>BW20341017</t>
        </is>
      </c>
      <c r="E5045" t="n">
        <v>2034</v>
      </c>
      <c r="F5045" t="inlineStr">
        <is>
          <t>Październik</t>
        </is>
      </c>
      <c r="G5045" t="inlineStr">
        <is>
          <t>Pn</t>
        </is>
      </c>
      <c r="H5045">
        <f>'Floor Hours Engine'!$E$4</f>
        <v/>
      </c>
      <c r="I5045" t="inlineStr">
        <is>
          <t>W4</t>
        </is>
      </c>
      <c r="J5045" t="inlineStr">
        <is>
          <t>2034_Październik_W4</t>
        </is>
      </c>
    </row>
    <row r="5046">
      <c r="A5046" s="177" t="n">
        <v>49241</v>
      </c>
      <c r="B5046" s="177" t="n">
        <v>49241</v>
      </c>
      <c r="C5046" s="177" t="n">
        <v>49247</v>
      </c>
      <c r="D5046" t="inlineStr">
        <is>
          <t>BW20341024</t>
        </is>
      </c>
      <c r="E5046" t="n">
        <v>2034</v>
      </c>
      <c r="F5046" t="inlineStr">
        <is>
          <t>Październik</t>
        </is>
      </c>
      <c r="G5046" t="inlineStr">
        <is>
          <t>Wt</t>
        </is>
      </c>
      <c r="H5046">
        <f>'Floor Hours Engine'!$E$4</f>
        <v/>
      </c>
      <c r="I5046" t="inlineStr">
        <is>
          <t>W5</t>
        </is>
      </c>
      <c r="J5046" t="inlineStr">
        <is>
          <t>2034_Październik_W5</t>
        </is>
      </c>
    </row>
    <row r="5047">
      <c r="A5047" s="177" t="n">
        <v>49242</v>
      </c>
      <c r="B5047" s="177" t="n">
        <v>49241</v>
      </c>
      <c r="C5047" s="177" t="n">
        <v>49247</v>
      </c>
      <c r="D5047" t="inlineStr">
        <is>
          <t>BW20341024</t>
        </is>
      </c>
      <c r="E5047" t="n">
        <v>2034</v>
      </c>
      <c r="F5047" t="inlineStr">
        <is>
          <t>Październik</t>
        </is>
      </c>
      <c r="G5047" t="inlineStr">
        <is>
          <t>Śr</t>
        </is>
      </c>
      <c r="H5047">
        <f>'Floor Hours Engine'!$E$4</f>
        <v/>
      </c>
      <c r="I5047" t="inlineStr">
        <is>
          <t>W5</t>
        </is>
      </c>
      <c r="J5047" t="inlineStr">
        <is>
          <t>2034_Październik_W5</t>
        </is>
      </c>
    </row>
    <row r="5048">
      <c r="A5048" s="177" t="n">
        <v>49243</v>
      </c>
      <c r="B5048" s="177" t="n">
        <v>49241</v>
      </c>
      <c r="C5048" s="177" t="n">
        <v>49247</v>
      </c>
      <c r="D5048" t="inlineStr">
        <is>
          <t>BW20341024</t>
        </is>
      </c>
      <c r="E5048" t="n">
        <v>2034</v>
      </c>
      <c r="F5048" t="inlineStr">
        <is>
          <t>Październik</t>
        </is>
      </c>
      <c r="G5048" t="inlineStr">
        <is>
          <t>Czw</t>
        </is>
      </c>
      <c r="H5048">
        <f>'Floor Hours Engine'!$E$4</f>
        <v/>
      </c>
      <c r="I5048" t="inlineStr">
        <is>
          <t>W5</t>
        </is>
      </c>
      <c r="J5048" t="inlineStr">
        <is>
          <t>2034_Październik_W5</t>
        </is>
      </c>
    </row>
    <row r="5049">
      <c r="A5049" s="177" t="n">
        <v>49244</v>
      </c>
      <c r="B5049" s="177" t="n">
        <v>49241</v>
      </c>
      <c r="C5049" s="177" t="n">
        <v>49247</v>
      </c>
      <c r="D5049" t="inlineStr">
        <is>
          <t>BW20341024</t>
        </is>
      </c>
      <c r="E5049" t="n">
        <v>2034</v>
      </c>
      <c r="F5049" t="inlineStr">
        <is>
          <t>Październik</t>
        </is>
      </c>
      <c r="G5049" t="inlineStr">
        <is>
          <t>Pt</t>
        </is>
      </c>
      <c r="H5049">
        <f>'Floor Hours Engine'!$E$5</f>
        <v/>
      </c>
      <c r="I5049" t="inlineStr">
        <is>
          <t>W5</t>
        </is>
      </c>
      <c r="J5049" t="inlineStr">
        <is>
          <t>2034_Październik_W5</t>
        </is>
      </c>
    </row>
    <row r="5050">
      <c r="A5050" s="177" t="n">
        <v>49245</v>
      </c>
      <c r="B5050" s="177" t="n">
        <v>49241</v>
      </c>
      <c r="C5050" s="177" t="n">
        <v>49247</v>
      </c>
      <c r="D5050" t="inlineStr">
        <is>
          <t>BW20341024</t>
        </is>
      </c>
      <c r="E5050" t="n">
        <v>2034</v>
      </c>
      <c r="F5050" t="inlineStr">
        <is>
          <t>Październik</t>
        </is>
      </c>
      <c r="G5050" t="inlineStr">
        <is>
          <t>Sob</t>
        </is>
      </c>
      <c r="H5050">
        <f>'Floor Hours Engine'!$E$5</f>
        <v/>
      </c>
      <c r="I5050" t="inlineStr">
        <is>
          <t>W5</t>
        </is>
      </c>
      <c r="J5050" t="inlineStr">
        <is>
          <t>2034_Październik_W5</t>
        </is>
      </c>
    </row>
    <row r="5051">
      <c r="A5051" s="177" t="n">
        <v>49246</v>
      </c>
      <c r="B5051" s="177" t="n">
        <v>49241</v>
      </c>
      <c r="C5051" s="177" t="n">
        <v>49247</v>
      </c>
      <c r="D5051" t="inlineStr">
        <is>
          <t>BW20341024</t>
        </is>
      </c>
      <c r="E5051" t="n">
        <v>2034</v>
      </c>
      <c r="F5051" t="inlineStr">
        <is>
          <t>Październik</t>
        </is>
      </c>
      <c r="G5051" t="inlineStr">
        <is>
          <t>Nd</t>
        </is>
      </c>
      <c r="H5051">
        <f>'Floor Hours Engine'!$E$6</f>
        <v/>
      </c>
      <c r="I5051" t="inlineStr">
        <is>
          <t>W5</t>
        </is>
      </c>
      <c r="J5051" t="inlineStr">
        <is>
          <t>2034_Październik_W5</t>
        </is>
      </c>
    </row>
    <row r="5052">
      <c r="A5052" s="177" t="n">
        <v>49247</v>
      </c>
      <c r="B5052" s="177" t="n">
        <v>49241</v>
      </c>
      <c r="C5052" s="177" t="n">
        <v>49247</v>
      </c>
      <c r="D5052" t="inlineStr">
        <is>
          <t>BW20341024</t>
        </is>
      </c>
      <c r="E5052" t="n">
        <v>2034</v>
      </c>
      <c r="F5052" t="inlineStr">
        <is>
          <t>Październik</t>
        </is>
      </c>
      <c r="G5052" t="inlineStr">
        <is>
          <t>Pn</t>
        </is>
      </c>
      <c r="H5052">
        <f>'Floor Hours Engine'!$E$4</f>
        <v/>
      </c>
      <c r="I5052" t="inlineStr">
        <is>
          <t>W5</t>
        </is>
      </c>
      <c r="J5052" t="inlineStr">
        <is>
          <t>2034_Październik_W5</t>
        </is>
      </c>
    </row>
    <row r="5053">
      <c r="A5053" s="177" t="n">
        <v>49248</v>
      </c>
      <c r="B5053" s="177" t="n">
        <v>49248</v>
      </c>
      <c r="C5053" s="177" t="n">
        <v>49254</v>
      </c>
      <c r="D5053" t="inlineStr">
        <is>
          <t>BW20341031</t>
        </is>
      </c>
      <c r="E5053" t="n">
        <v>2034</v>
      </c>
      <c r="F5053" t="inlineStr">
        <is>
          <t>Październik</t>
        </is>
      </c>
      <c r="G5053" t="inlineStr">
        <is>
          <t>Wt</t>
        </is>
      </c>
      <c r="H5053">
        <f>'Floor Hours Engine'!$E$4</f>
        <v/>
      </c>
      <c r="I5053" t="inlineStr">
        <is>
          <t>W6</t>
        </is>
      </c>
      <c r="J5053" t="inlineStr">
        <is>
          <t>2034_Październik_W6</t>
        </is>
      </c>
    </row>
    <row r="5054">
      <c r="A5054" s="177" t="n">
        <v>49249</v>
      </c>
      <c r="B5054" s="177" t="n">
        <v>49248</v>
      </c>
      <c r="C5054" s="177" t="n">
        <v>49254</v>
      </c>
      <c r="D5054" t="inlineStr">
        <is>
          <t>BW20341031</t>
        </is>
      </c>
      <c r="E5054" t="n">
        <v>2034</v>
      </c>
      <c r="F5054" t="inlineStr">
        <is>
          <t>Listopad</t>
        </is>
      </c>
      <c r="G5054" t="inlineStr">
        <is>
          <t>Śr</t>
        </is>
      </c>
      <c r="H5054">
        <f>'Floor Hours Engine'!$E$4</f>
        <v/>
      </c>
      <c r="I5054" t="inlineStr">
        <is>
          <t>W1</t>
        </is>
      </c>
      <c r="J5054" t="inlineStr">
        <is>
          <t>2034_Listopad_W1</t>
        </is>
      </c>
    </row>
    <row r="5055">
      <c r="A5055" s="177" t="n">
        <v>49250</v>
      </c>
      <c r="B5055" s="177" t="n">
        <v>49248</v>
      </c>
      <c r="C5055" s="177" t="n">
        <v>49254</v>
      </c>
      <c r="D5055" t="inlineStr">
        <is>
          <t>BW20341031</t>
        </is>
      </c>
      <c r="E5055" t="n">
        <v>2034</v>
      </c>
      <c r="F5055" t="inlineStr">
        <is>
          <t>Listopad</t>
        </is>
      </c>
      <c r="G5055" t="inlineStr">
        <is>
          <t>Czw</t>
        </is>
      </c>
      <c r="H5055">
        <f>'Floor Hours Engine'!$E$4</f>
        <v/>
      </c>
      <c r="I5055" t="inlineStr">
        <is>
          <t>W1</t>
        </is>
      </c>
      <c r="J5055" t="inlineStr">
        <is>
          <t>2034_Listopad_W1</t>
        </is>
      </c>
    </row>
    <row r="5056">
      <c r="A5056" s="177" t="n">
        <v>49251</v>
      </c>
      <c r="B5056" s="177" t="n">
        <v>49248</v>
      </c>
      <c r="C5056" s="177" t="n">
        <v>49254</v>
      </c>
      <c r="D5056" t="inlineStr">
        <is>
          <t>BW20341031</t>
        </is>
      </c>
      <c r="E5056" t="n">
        <v>2034</v>
      </c>
      <c r="F5056" t="inlineStr">
        <is>
          <t>Listopad</t>
        </is>
      </c>
      <c r="G5056" t="inlineStr">
        <is>
          <t>Pt</t>
        </is>
      </c>
      <c r="H5056">
        <f>'Floor Hours Engine'!$E$5</f>
        <v/>
      </c>
      <c r="I5056" t="inlineStr">
        <is>
          <t>W1</t>
        </is>
      </c>
      <c r="J5056" t="inlineStr">
        <is>
          <t>2034_Listopad_W1</t>
        </is>
      </c>
    </row>
    <row r="5057">
      <c r="A5057" s="177" t="n">
        <v>49252</v>
      </c>
      <c r="B5057" s="177" t="n">
        <v>49248</v>
      </c>
      <c r="C5057" s="177" t="n">
        <v>49254</v>
      </c>
      <c r="D5057" t="inlineStr">
        <is>
          <t>BW20341031</t>
        </is>
      </c>
      <c r="E5057" t="n">
        <v>2034</v>
      </c>
      <c r="F5057" t="inlineStr">
        <is>
          <t>Listopad</t>
        </is>
      </c>
      <c r="G5057" t="inlineStr">
        <is>
          <t>Sob</t>
        </is>
      </c>
      <c r="H5057">
        <f>'Floor Hours Engine'!$E$5</f>
        <v/>
      </c>
      <c r="I5057" t="inlineStr">
        <is>
          <t>W1</t>
        </is>
      </c>
      <c r="J5057" t="inlineStr">
        <is>
          <t>2034_Listopad_W1</t>
        </is>
      </c>
    </row>
    <row r="5058">
      <c r="A5058" s="177" t="n">
        <v>49253</v>
      </c>
      <c r="B5058" s="177" t="n">
        <v>49248</v>
      </c>
      <c r="C5058" s="177" t="n">
        <v>49254</v>
      </c>
      <c r="D5058" t="inlineStr">
        <is>
          <t>BW20341031</t>
        </is>
      </c>
      <c r="E5058" t="n">
        <v>2034</v>
      </c>
      <c r="F5058" t="inlineStr">
        <is>
          <t>Listopad</t>
        </is>
      </c>
      <c r="G5058" t="inlineStr">
        <is>
          <t>Nd</t>
        </is>
      </c>
      <c r="H5058">
        <f>'Floor Hours Engine'!$E$6</f>
        <v/>
      </c>
      <c r="I5058" t="inlineStr">
        <is>
          <t>W1</t>
        </is>
      </c>
      <c r="J5058" t="inlineStr">
        <is>
          <t>2034_Listopad_W1</t>
        </is>
      </c>
    </row>
    <row r="5059">
      <c r="A5059" s="177" t="n">
        <v>49254</v>
      </c>
      <c r="B5059" s="177" t="n">
        <v>49248</v>
      </c>
      <c r="C5059" s="177" t="n">
        <v>49254</v>
      </c>
      <c r="D5059" t="inlineStr">
        <is>
          <t>BW20341031</t>
        </is>
      </c>
      <c r="E5059" t="n">
        <v>2034</v>
      </c>
      <c r="F5059" t="inlineStr">
        <is>
          <t>Listopad</t>
        </is>
      </c>
      <c r="G5059" t="inlineStr">
        <is>
          <t>Pn</t>
        </is>
      </c>
      <c r="H5059">
        <f>'Floor Hours Engine'!$E$4</f>
        <v/>
      </c>
      <c r="I5059" t="inlineStr">
        <is>
          <t>W1</t>
        </is>
      </c>
      <c r="J5059" t="inlineStr">
        <is>
          <t>2034_Listopad_W1</t>
        </is>
      </c>
    </row>
    <row r="5060">
      <c r="A5060" s="177" t="n">
        <v>49255</v>
      </c>
      <c r="B5060" s="177" t="n">
        <v>49255</v>
      </c>
      <c r="C5060" s="177" t="n">
        <v>49261</v>
      </c>
      <c r="D5060" t="inlineStr">
        <is>
          <t>BW20341107</t>
        </is>
      </c>
      <c r="E5060" t="n">
        <v>2034</v>
      </c>
      <c r="F5060" t="inlineStr">
        <is>
          <t>Listopad</t>
        </is>
      </c>
      <c r="G5060" t="inlineStr">
        <is>
          <t>Wt</t>
        </is>
      </c>
      <c r="H5060">
        <f>'Floor Hours Engine'!$E$4</f>
        <v/>
      </c>
      <c r="I5060" t="inlineStr">
        <is>
          <t>W2</t>
        </is>
      </c>
      <c r="J5060" t="inlineStr">
        <is>
          <t>2034_Listopad_W2</t>
        </is>
      </c>
    </row>
    <row r="5061">
      <c r="A5061" s="177" t="n">
        <v>49256</v>
      </c>
      <c r="B5061" s="177" t="n">
        <v>49255</v>
      </c>
      <c r="C5061" s="177" t="n">
        <v>49261</v>
      </c>
      <c r="D5061" t="inlineStr">
        <is>
          <t>BW20341107</t>
        </is>
      </c>
      <c r="E5061" t="n">
        <v>2034</v>
      </c>
      <c r="F5061" t="inlineStr">
        <is>
          <t>Listopad</t>
        </is>
      </c>
      <c r="G5061" t="inlineStr">
        <is>
          <t>Śr</t>
        </is>
      </c>
      <c r="H5061">
        <f>'Floor Hours Engine'!$E$4</f>
        <v/>
      </c>
      <c r="I5061" t="inlineStr">
        <is>
          <t>W2</t>
        </is>
      </c>
      <c r="J5061" t="inlineStr">
        <is>
          <t>2034_Listopad_W2</t>
        </is>
      </c>
    </row>
    <row r="5062">
      <c r="A5062" s="177" t="n">
        <v>49257</v>
      </c>
      <c r="B5062" s="177" t="n">
        <v>49255</v>
      </c>
      <c r="C5062" s="177" t="n">
        <v>49261</v>
      </c>
      <c r="D5062" t="inlineStr">
        <is>
          <t>BW20341107</t>
        </is>
      </c>
      <c r="E5062" t="n">
        <v>2034</v>
      </c>
      <c r="F5062" t="inlineStr">
        <is>
          <t>Listopad</t>
        </is>
      </c>
      <c r="G5062" t="inlineStr">
        <is>
          <t>Czw</t>
        </is>
      </c>
      <c r="H5062">
        <f>'Floor Hours Engine'!$E$4</f>
        <v/>
      </c>
      <c r="I5062" t="inlineStr">
        <is>
          <t>W2</t>
        </is>
      </c>
      <c r="J5062" t="inlineStr">
        <is>
          <t>2034_Listopad_W2</t>
        </is>
      </c>
    </row>
    <row r="5063">
      <c r="A5063" s="177" t="n">
        <v>49258</v>
      </c>
      <c r="B5063" s="177" t="n">
        <v>49255</v>
      </c>
      <c r="C5063" s="177" t="n">
        <v>49261</v>
      </c>
      <c r="D5063" t="inlineStr">
        <is>
          <t>BW20341107</t>
        </is>
      </c>
      <c r="E5063" t="n">
        <v>2034</v>
      </c>
      <c r="F5063" t="inlineStr">
        <is>
          <t>Listopad</t>
        </is>
      </c>
      <c r="G5063" t="inlineStr">
        <is>
          <t>Pt</t>
        </is>
      </c>
      <c r="H5063">
        <f>'Floor Hours Engine'!$E$5</f>
        <v/>
      </c>
      <c r="I5063" t="inlineStr">
        <is>
          <t>W2</t>
        </is>
      </c>
      <c r="J5063" t="inlineStr">
        <is>
          <t>2034_Listopad_W2</t>
        </is>
      </c>
    </row>
    <row r="5064">
      <c r="A5064" s="177" t="n">
        <v>49259</v>
      </c>
      <c r="B5064" s="177" t="n">
        <v>49255</v>
      </c>
      <c r="C5064" s="177" t="n">
        <v>49261</v>
      </c>
      <c r="D5064" t="inlineStr">
        <is>
          <t>BW20341107</t>
        </is>
      </c>
      <c r="E5064" t="n">
        <v>2034</v>
      </c>
      <c r="F5064" t="inlineStr">
        <is>
          <t>Listopad</t>
        </is>
      </c>
      <c r="G5064" t="inlineStr">
        <is>
          <t>Sob</t>
        </is>
      </c>
      <c r="H5064">
        <f>'Floor Hours Engine'!$E$5</f>
        <v/>
      </c>
      <c r="I5064" t="inlineStr">
        <is>
          <t>W2</t>
        </is>
      </c>
      <c r="J5064" t="inlineStr">
        <is>
          <t>2034_Listopad_W2</t>
        </is>
      </c>
    </row>
    <row r="5065">
      <c r="A5065" s="177" t="n">
        <v>49260</v>
      </c>
      <c r="B5065" s="177" t="n">
        <v>49255</v>
      </c>
      <c r="C5065" s="177" t="n">
        <v>49261</v>
      </c>
      <c r="D5065" t="inlineStr">
        <is>
          <t>BW20341107</t>
        </is>
      </c>
      <c r="E5065" t="n">
        <v>2034</v>
      </c>
      <c r="F5065" t="inlineStr">
        <is>
          <t>Listopad</t>
        </is>
      </c>
      <c r="G5065" t="inlineStr">
        <is>
          <t>Nd</t>
        </is>
      </c>
      <c r="H5065">
        <f>'Floor Hours Engine'!$E$6</f>
        <v/>
      </c>
      <c r="I5065" t="inlineStr">
        <is>
          <t>W2</t>
        </is>
      </c>
      <c r="J5065" t="inlineStr">
        <is>
          <t>2034_Listopad_W2</t>
        </is>
      </c>
    </row>
    <row r="5066">
      <c r="A5066" s="177" t="n">
        <v>49261</v>
      </c>
      <c r="B5066" s="177" t="n">
        <v>49255</v>
      </c>
      <c r="C5066" s="177" t="n">
        <v>49261</v>
      </c>
      <c r="D5066" t="inlineStr">
        <is>
          <t>BW20341107</t>
        </is>
      </c>
      <c r="E5066" t="n">
        <v>2034</v>
      </c>
      <c r="F5066" t="inlineStr">
        <is>
          <t>Listopad</t>
        </is>
      </c>
      <c r="G5066" t="inlineStr">
        <is>
          <t>Pn</t>
        </is>
      </c>
      <c r="H5066">
        <f>'Floor Hours Engine'!$E$4</f>
        <v/>
      </c>
      <c r="I5066" t="inlineStr">
        <is>
          <t>W2</t>
        </is>
      </c>
      <c r="J5066" t="inlineStr">
        <is>
          <t>2034_Listopad_W2</t>
        </is>
      </c>
    </row>
    <row r="5067">
      <c r="A5067" s="177" t="n">
        <v>49262</v>
      </c>
      <c r="B5067" s="177" t="n">
        <v>49262</v>
      </c>
      <c r="C5067" s="177" t="n">
        <v>49268</v>
      </c>
      <c r="D5067" t="inlineStr">
        <is>
          <t>BW20341114</t>
        </is>
      </c>
      <c r="E5067" t="n">
        <v>2034</v>
      </c>
      <c r="F5067" t="inlineStr">
        <is>
          <t>Listopad</t>
        </is>
      </c>
      <c r="G5067" t="inlineStr">
        <is>
          <t>Wt</t>
        </is>
      </c>
      <c r="H5067">
        <f>'Floor Hours Engine'!$E$4</f>
        <v/>
      </c>
      <c r="I5067" t="inlineStr">
        <is>
          <t>W3</t>
        </is>
      </c>
      <c r="J5067" t="inlineStr">
        <is>
          <t>2034_Listopad_W3</t>
        </is>
      </c>
    </row>
    <row r="5068">
      <c r="A5068" s="177" t="n">
        <v>49263</v>
      </c>
      <c r="B5068" s="177" t="n">
        <v>49262</v>
      </c>
      <c r="C5068" s="177" t="n">
        <v>49268</v>
      </c>
      <c r="D5068" t="inlineStr">
        <is>
          <t>BW20341114</t>
        </is>
      </c>
      <c r="E5068" t="n">
        <v>2034</v>
      </c>
      <c r="F5068" t="inlineStr">
        <is>
          <t>Listopad</t>
        </is>
      </c>
      <c r="G5068" t="inlineStr">
        <is>
          <t>Śr</t>
        </is>
      </c>
      <c r="H5068">
        <f>'Floor Hours Engine'!$E$4</f>
        <v/>
      </c>
      <c r="I5068" t="inlineStr">
        <is>
          <t>W3</t>
        </is>
      </c>
      <c r="J5068" t="inlineStr">
        <is>
          <t>2034_Listopad_W3</t>
        </is>
      </c>
    </row>
    <row r="5069">
      <c r="A5069" s="177" t="n">
        <v>49264</v>
      </c>
      <c r="B5069" s="177" t="n">
        <v>49262</v>
      </c>
      <c r="C5069" s="177" t="n">
        <v>49268</v>
      </c>
      <c r="D5069" t="inlineStr">
        <is>
          <t>BW20341114</t>
        </is>
      </c>
      <c r="E5069" t="n">
        <v>2034</v>
      </c>
      <c r="F5069" t="inlineStr">
        <is>
          <t>Listopad</t>
        </is>
      </c>
      <c r="G5069" t="inlineStr">
        <is>
          <t>Czw</t>
        </is>
      </c>
      <c r="H5069">
        <f>'Floor Hours Engine'!$E$4</f>
        <v/>
      </c>
      <c r="I5069" t="inlineStr">
        <is>
          <t>W3</t>
        </is>
      </c>
      <c r="J5069" t="inlineStr">
        <is>
          <t>2034_Listopad_W3</t>
        </is>
      </c>
    </row>
    <row r="5070">
      <c r="A5070" s="177" t="n">
        <v>49265</v>
      </c>
      <c r="B5070" s="177" t="n">
        <v>49262</v>
      </c>
      <c r="C5070" s="177" t="n">
        <v>49268</v>
      </c>
      <c r="D5070" t="inlineStr">
        <is>
          <t>BW20341114</t>
        </is>
      </c>
      <c r="E5070" t="n">
        <v>2034</v>
      </c>
      <c r="F5070" t="inlineStr">
        <is>
          <t>Listopad</t>
        </is>
      </c>
      <c r="G5070" t="inlineStr">
        <is>
          <t>Pt</t>
        </is>
      </c>
      <c r="H5070">
        <f>'Floor Hours Engine'!$E$5</f>
        <v/>
      </c>
      <c r="I5070" t="inlineStr">
        <is>
          <t>W3</t>
        </is>
      </c>
      <c r="J5070" t="inlineStr">
        <is>
          <t>2034_Listopad_W3</t>
        </is>
      </c>
    </row>
    <row r="5071">
      <c r="A5071" s="177" t="n">
        <v>49266</v>
      </c>
      <c r="B5071" s="177" t="n">
        <v>49262</v>
      </c>
      <c r="C5071" s="177" t="n">
        <v>49268</v>
      </c>
      <c r="D5071" t="inlineStr">
        <is>
          <t>BW20341114</t>
        </is>
      </c>
      <c r="E5071" t="n">
        <v>2034</v>
      </c>
      <c r="F5071" t="inlineStr">
        <is>
          <t>Listopad</t>
        </is>
      </c>
      <c r="G5071" t="inlineStr">
        <is>
          <t>Sob</t>
        </is>
      </c>
      <c r="H5071">
        <f>'Floor Hours Engine'!$E$5</f>
        <v/>
      </c>
      <c r="I5071" t="inlineStr">
        <is>
          <t>W3</t>
        </is>
      </c>
      <c r="J5071" t="inlineStr">
        <is>
          <t>2034_Listopad_W3</t>
        </is>
      </c>
    </row>
    <row r="5072">
      <c r="A5072" s="177" t="n">
        <v>49267</v>
      </c>
      <c r="B5072" s="177" t="n">
        <v>49262</v>
      </c>
      <c r="C5072" s="177" t="n">
        <v>49268</v>
      </c>
      <c r="D5072" t="inlineStr">
        <is>
          <t>BW20341114</t>
        </is>
      </c>
      <c r="E5072" t="n">
        <v>2034</v>
      </c>
      <c r="F5072" t="inlineStr">
        <is>
          <t>Listopad</t>
        </is>
      </c>
      <c r="G5072" t="inlineStr">
        <is>
          <t>Nd</t>
        </is>
      </c>
      <c r="H5072">
        <f>'Floor Hours Engine'!$E$6</f>
        <v/>
      </c>
      <c r="I5072" t="inlineStr">
        <is>
          <t>W3</t>
        </is>
      </c>
      <c r="J5072" t="inlineStr">
        <is>
          <t>2034_Listopad_W3</t>
        </is>
      </c>
    </row>
    <row r="5073">
      <c r="A5073" s="177" t="n">
        <v>49268</v>
      </c>
      <c r="B5073" s="177" t="n">
        <v>49262</v>
      </c>
      <c r="C5073" s="177" t="n">
        <v>49268</v>
      </c>
      <c r="D5073" t="inlineStr">
        <is>
          <t>BW20341114</t>
        </is>
      </c>
      <c r="E5073" t="n">
        <v>2034</v>
      </c>
      <c r="F5073" t="inlineStr">
        <is>
          <t>Listopad</t>
        </is>
      </c>
      <c r="G5073" t="inlineStr">
        <is>
          <t>Pn</t>
        </is>
      </c>
      <c r="H5073">
        <f>'Floor Hours Engine'!$E$4</f>
        <v/>
      </c>
      <c r="I5073" t="inlineStr">
        <is>
          <t>W3</t>
        </is>
      </c>
      <c r="J5073" t="inlineStr">
        <is>
          <t>2034_Listopad_W3</t>
        </is>
      </c>
    </row>
    <row r="5074">
      <c r="A5074" s="177" t="n">
        <v>49269</v>
      </c>
      <c r="B5074" s="177" t="n">
        <v>49269</v>
      </c>
      <c r="C5074" s="177" t="n">
        <v>49275</v>
      </c>
      <c r="D5074" t="inlineStr">
        <is>
          <t>BW20341121</t>
        </is>
      </c>
      <c r="E5074" t="n">
        <v>2034</v>
      </c>
      <c r="F5074" t="inlineStr">
        <is>
          <t>Listopad</t>
        </is>
      </c>
      <c r="G5074" t="inlineStr">
        <is>
          <t>Wt</t>
        </is>
      </c>
      <c r="H5074">
        <f>'Floor Hours Engine'!$E$4</f>
        <v/>
      </c>
      <c r="I5074" t="inlineStr">
        <is>
          <t>W4</t>
        </is>
      </c>
      <c r="J5074" t="inlineStr">
        <is>
          <t>2034_Listopad_W4</t>
        </is>
      </c>
    </row>
    <row r="5075">
      <c r="A5075" s="177" t="n">
        <v>49270</v>
      </c>
      <c r="B5075" s="177" t="n">
        <v>49269</v>
      </c>
      <c r="C5075" s="177" t="n">
        <v>49275</v>
      </c>
      <c r="D5075" t="inlineStr">
        <is>
          <t>BW20341121</t>
        </is>
      </c>
      <c r="E5075" t="n">
        <v>2034</v>
      </c>
      <c r="F5075" t="inlineStr">
        <is>
          <t>Listopad</t>
        </is>
      </c>
      <c r="G5075" t="inlineStr">
        <is>
          <t>Śr</t>
        </is>
      </c>
      <c r="H5075">
        <f>'Floor Hours Engine'!$E$4</f>
        <v/>
      </c>
      <c r="I5075" t="inlineStr">
        <is>
          <t>W4</t>
        </is>
      </c>
      <c r="J5075" t="inlineStr">
        <is>
          <t>2034_Listopad_W4</t>
        </is>
      </c>
    </row>
    <row r="5076">
      <c r="A5076" s="177" t="n">
        <v>49271</v>
      </c>
      <c r="B5076" s="177" t="n">
        <v>49269</v>
      </c>
      <c r="C5076" s="177" t="n">
        <v>49275</v>
      </c>
      <c r="D5076" t="inlineStr">
        <is>
          <t>BW20341121</t>
        </is>
      </c>
      <c r="E5076" t="n">
        <v>2034</v>
      </c>
      <c r="F5076" t="inlineStr">
        <is>
          <t>Listopad</t>
        </is>
      </c>
      <c r="G5076" t="inlineStr">
        <is>
          <t>Czw</t>
        </is>
      </c>
      <c r="H5076">
        <f>'Floor Hours Engine'!$E$4</f>
        <v/>
      </c>
      <c r="I5076" t="inlineStr">
        <is>
          <t>W4</t>
        </is>
      </c>
      <c r="J5076" t="inlineStr">
        <is>
          <t>2034_Listopad_W4</t>
        </is>
      </c>
    </row>
    <row r="5077">
      <c r="A5077" s="177" t="n">
        <v>49272</v>
      </c>
      <c r="B5077" s="177" t="n">
        <v>49269</v>
      </c>
      <c r="C5077" s="177" t="n">
        <v>49275</v>
      </c>
      <c r="D5077" t="inlineStr">
        <is>
          <t>BW20341121</t>
        </is>
      </c>
      <c r="E5077" t="n">
        <v>2034</v>
      </c>
      <c r="F5077" t="inlineStr">
        <is>
          <t>Listopad</t>
        </is>
      </c>
      <c r="G5077" t="inlineStr">
        <is>
          <t>Pt</t>
        </is>
      </c>
      <c r="H5077">
        <f>'Floor Hours Engine'!$E$5</f>
        <v/>
      </c>
      <c r="I5077" t="inlineStr">
        <is>
          <t>W4</t>
        </is>
      </c>
      <c r="J5077" t="inlineStr">
        <is>
          <t>2034_Listopad_W4</t>
        </is>
      </c>
    </row>
    <row r="5078">
      <c r="A5078" s="177" t="n">
        <v>49273</v>
      </c>
      <c r="B5078" s="177" t="n">
        <v>49269</v>
      </c>
      <c r="C5078" s="177" t="n">
        <v>49275</v>
      </c>
      <c r="D5078" t="inlineStr">
        <is>
          <t>BW20341121</t>
        </is>
      </c>
      <c r="E5078" t="n">
        <v>2034</v>
      </c>
      <c r="F5078" t="inlineStr">
        <is>
          <t>Listopad</t>
        </is>
      </c>
      <c r="G5078" t="inlineStr">
        <is>
          <t>Sob</t>
        </is>
      </c>
      <c r="H5078">
        <f>'Floor Hours Engine'!$E$5</f>
        <v/>
      </c>
      <c r="I5078" t="inlineStr">
        <is>
          <t>W4</t>
        </is>
      </c>
      <c r="J5078" t="inlineStr">
        <is>
          <t>2034_Listopad_W4</t>
        </is>
      </c>
    </row>
    <row r="5079">
      <c r="A5079" s="177" t="n">
        <v>49274</v>
      </c>
      <c r="B5079" s="177" t="n">
        <v>49269</v>
      </c>
      <c r="C5079" s="177" t="n">
        <v>49275</v>
      </c>
      <c r="D5079" t="inlineStr">
        <is>
          <t>BW20341121</t>
        </is>
      </c>
      <c r="E5079" t="n">
        <v>2034</v>
      </c>
      <c r="F5079" t="inlineStr">
        <is>
          <t>Listopad</t>
        </is>
      </c>
      <c r="G5079" t="inlineStr">
        <is>
          <t>Nd</t>
        </is>
      </c>
      <c r="H5079">
        <f>'Floor Hours Engine'!$E$6</f>
        <v/>
      </c>
      <c r="I5079" t="inlineStr">
        <is>
          <t>W4</t>
        </is>
      </c>
      <c r="J5079" t="inlineStr">
        <is>
          <t>2034_Listopad_W4</t>
        </is>
      </c>
    </row>
    <row r="5080">
      <c r="A5080" s="177" t="n">
        <v>49275</v>
      </c>
      <c r="B5080" s="177" t="n">
        <v>49269</v>
      </c>
      <c r="C5080" s="177" t="n">
        <v>49275</v>
      </c>
      <c r="D5080" t="inlineStr">
        <is>
          <t>BW20341121</t>
        </is>
      </c>
      <c r="E5080" t="n">
        <v>2034</v>
      </c>
      <c r="F5080" t="inlineStr">
        <is>
          <t>Listopad</t>
        </is>
      </c>
      <c r="G5080" t="inlineStr">
        <is>
          <t>Pn</t>
        </is>
      </c>
      <c r="H5080">
        <f>'Floor Hours Engine'!$E$4</f>
        <v/>
      </c>
      <c r="I5080" t="inlineStr">
        <is>
          <t>W4</t>
        </is>
      </c>
      <c r="J5080" t="inlineStr">
        <is>
          <t>2034_Listopad_W4</t>
        </is>
      </c>
    </row>
    <row r="5081">
      <c r="A5081" s="177" t="n">
        <v>49276</v>
      </c>
      <c r="B5081" s="177" t="n">
        <v>49276</v>
      </c>
      <c r="C5081" s="177" t="n">
        <v>49282</v>
      </c>
      <c r="D5081" t="inlineStr">
        <is>
          <t>BW20341128</t>
        </is>
      </c>
      <c r="E5081" t="n">
        <v>2034</v>
      </c>
      <c r="F5081" t="inlineStr">
        <is>
          <t>Listopad</t>
        </is>
      </c>
      <c r="G5081" t="inlineStr">
        <is>
          <t>Wt</t>
        </is>
      </c>
      <c r="H5081">
        <f>'Floor Hours Engine'!$E$4</f>
        <v/>
      </c>
      <c r="I5081" t="inlineStr">
        <is>
          <t>W5</t>
        </is>
      </c>
      <c r="J5081" t="inlineStr">
        <is>
          <t>2034_Listopad_W5</t>
        </is>
      </c>
    </row>
    <row r="5082">
      <c r="A5082" s="177" t="n">
        <v>49277</v>
      </c>
      <c r="B5082" s="177" t="n">
        <v>49276</v>
      </c>
      <c r="C5082" s="177" t="n">
        <v>49282</v>
      </c>
      <c r="D5082" t="inlineStr">
        <is>
          <t>BW20341128</t>
        </is>
      </c>
      <c r="E5082" t="n">
        <v>2034</v>
      </c>
      <c r="F5082" t="inlineStr">
        <is>
          <t>Listopad</t>
        </is>
      </c>
      <c r="G5082" t="inlineStr">
        <is>
          <t>Śr</t>
        </is>
      </c>
      <c r="H5082">
        <f>'Floor Hours Engine'!$E$4</f>
        <v/>
      </c>
      <c r="I5082" t="inlineStr">
        <is>
          <t>W5</t>
        </is>
      </c>
      <c r="J5082" t="inlineStr">
        <is>
          <t>2034_Listopad_W5</t>
        </is>
      </c>
    </row>
    <row r="5083">
      <c r="A5083" s="177" t="n">
        <v>49278</v>
      </c>
      <c r="B5083" s="177" t="n">
        <v>49276</v>
      </c>
      <c r="C5083" s="177" t="n">
        <v>49282</v>
      </c>
      <c r="D5083" t="inlineStr">
        <is>
          <t>BW20341128</t>
        </is>
      </c>
      <c r="E5083" t="n">
        <v>2034</v>
      </c>
      <c r="F5083" t="inlineStr">
        <is>
          <t>Listopad</t>
        </is>
      </c>
      <c r="G5083" t="inlineStr">
        <is>
          <t>Czw</t>
        </is>
      </c>
      <c r="H5083">
        <f>'Floor Hours Engine'!$E$4</f>
        <v/>
      </c>
      <c r="I5083" t="inlineStr">
        <is>
          <t>W5</t>
        </is>
      </c>
      <c r="J5083" t="inlineStr">
        <is>
          <t>2034_Listopad_W5</t>
        </is>
      </c>
    </row>
    <row r="5084">
      <c r="A5084" s="177" t="n">
        <v>49279</v>
      </c>
      <c r="B5084" s="177" t="n">
        <v>49276</v>
      </c>
      <c r="C5084" s="177" t="n">
        <v>49282</v>
      </c>
      <c r="D5084" t="inlineStr">
        <is>
          <t>BW20341128</t>
        </is>
      </c>
      <c r="E5084" t="n">
        <v>2034</v>
      </c>
      <c r="F5084" t="inlineStr">
        <is>
          <t>Grudzień</t>
        </is>
      </c>
      <c r="G5084" t="inlineStr">
        <is>
          <t>Pt</t>
        </is>
      </c>
      <c r="H5084">
        <f>'Floor Hours Engine'!$E$5</f>
        <v/>
      </c>
      <c r="I5084" t="inlineStr">
        <is>
          <t>W1</t>
        </is>
      </c>
      <c r="J5084" t="inlineStr">
        <is>
          <t>2034_Grudzień_W1</t>
        </is>
      </c>
    </row>
    <row r="5085">
      <c r="A5085" s="177" t="n">
        <v>49280</v>
      </c>
      <c r="B5085" s="177" t="n">
        <v>49276</v>
      </c>
      <c r="C5085" s="177" t="n">
        <v>49282</v>
      </c>
      <c r="D5085" t="inlineStr">
        <is>
          <t>BW20341128</t>
        </is>
      </c>
      <c r="E5085" t="n">
        <v>2034</v>
      </c>
      <c r="F5085" t="inlineStr">
        <is>
          <t>Grudzień</t>
        </is>
      </c>
      <c r="G5085" t="inlineStr">
        <is>
          <t>Sob</t>
        </is>
      </c>
      <c r="H5085">
        <f>'Floor Hours Engine'!$E$5</f>
        <v/>
      </c>
      <c r="I5085" t="inlineStr">
        <is>
          <t>W1</t>
        </is>
      </c>
      <c r="J5085" t="inlineStr">
        <is>
          <t>2034_Grudzień_W1</t>
        </is>
      </c>
    </row>
    <row r="5086">
      <c r="A5086" s="177" t="n">
        <v>49281</v>
      </c>
      <c r="B5086" s="177" t="n">
        <v>49276</v>
      </c>
      <c r="C5086" s="177" t="n">
        <v>49282</v>
      </c>
      <c r="D5086" t="inlineStr">
        <is>
          <t>BW20341128</t>
        </is>
      </c>
      <c r="E5086" t="n">
        <v>2034</v>
      </c>
      <c r="F5086" t="inlineStr">
        <is>
          <t>Grudzień</t>
        </is>
      </c>
      <c r="G5086" t="inlineStr">
        <is>
          <t>Nd</t>
        </is>
      </c>
      <c r="H5086">
        <f>'Floor Hours Engine'!$E$6</f>
        <v/>
      </c>
      <c r="I5086" t="inlineStr">
        <is>
          <t>W1</t>
        </is>
      </c>
      <c r="J5086" t="inlineStr">
        <is>
          <t>2034_Grudzień_W1</t>
        </is>
      </c>
    </row>
    <row r="5087">
      <c r="A5087" s="177" t="n">
        <v>49282</v>
      </c>
      <c r="B5087" s="177" t="n">
        <v>49276</v>
      </c>
      <c r="C5087" s="177" t="n">
        <v>49282</v>
      </c>
      <c r="D5087" t="inlineStr">
        <is>
          <t>BW20341128</t>
        </is>
      </c>
      <c r="E5087" t="n">
        <v>2034</v>
      </c>
      <c r="F5087" t="inlineStr">
        <is>
          <t>Grudzień</t>
        </is>
      </c>
      <c r="G5087" t="inlineStr">
        <is>
          <t>Pn</t>
        </is>
      </c>
      <c r="H5087">
        <f>'Floor Hours Engine'!$E$4</f>
        <v/>
      </c>
      <c r="I5087" t="inlineStr">
        <is>
          <t>W1</t>
        </is>
      </c>
      <c r="J5087" t="inlineStr">
        <is>
          <t>2034_Grudzień_W1</t>
        </is>
      </c>
    </row>
    <row r="5088">
      <c r="A5088" s="177" t="n">
        <v>49283</v>
      </c>
      <c r="B5088" s="177" t="n">
        <v>49283</v>
      </c>
      <c r="C5088" s="177" t="n">
        <v>49289</v>
      </c>
      <c r="D5088" t="inlineStr">
        <is>
          <t>BW20341205</t>
        </is>
      </c>
      <c r="E5088" t="n">
        <v>2034</v>
      </c>
      <c r="F5088" t="inlineStr">
        <is>
          <t>Grudzień</t>
        </is>
      </c>
      <c r="G5088" t="inlineStr">
        <is>
          <t>Wt</t>
        </is>
      </c>
      <c r="H5088">
        <f>'Floor Hours Engine'!$E$4</f>
        <v/>
      </c>
      <c r="I5088" t="inlineStr">
        <is>
          <t>W2</t>
        </is>
      </c>
      <c r="J5088" t="inlineStr">
        <is>
          <t>2034_Grudzień_W2</t>
        </is>
      </c>
    </row>
    <row r="5089">
      <c r="A5089" s="177" t="n">
        <v>49284</v>
      </c>
      <c r="B5089" s="177" t="n">
        <v>49283</v>
      </c>
      <c r="C5089" s="177" t="n">
        <v>49289</v>
      </c>
      <c r="D5089" t="inlineStr">
        <is>
          <t>BW20341205</t>
        </is>
      </c>
      <c r="E5089" t="n">
        <v>2034</v>
      </c>
      <c r="F5089" t="inlineStr">
        <is>
          <t>Grudzień</t>
        </is>
      </c>
      <c r="G5089" t="inlineStr">
        <is>
          <t>Śr</t>
        </is>
      </c>
      <c r="H5089">
        <f>'Floor Hours Engine'!$E$4</f>
        <v/>
      </c>
      <c r="I5089" t="inlineStr">
        <is>
          <t>W2</t>
        </is>
      </c>
      <c r="J5089" t="inlineStr">
        <is>
          <t>2034_Grudzień_W2</t>
        </is>
      </c>
    </row>
    <row r="5090">
      <c r="A5090" s="177" t="n">
        <v>49285</v>
      </c>
      <c r="B5090" s="177" t="n">
        <v>49283</v>
      </c>
      <c r="C5090" s="177" t="n">
        <v>49289</v>
      </c>
      <c r="D5090" t="inlineStr">
        <is>
          <t>BW20341205</t>
        </is>
      </c>
      <c r="E5090" t="n">
        <v>2034</v>
      </c>
      <c r="F5090" t="inlineStr">
        <is>
          <t>Grudzień</t>
        </is>
      </c>
      <c r="G5090" t="inlineStr">
        <is>
          <t>Czw</t>
        </is>
      </c>
      <c r="H5090">
        <f>'Floor Hours Engine'!$E$4</f>
        <v/>
      </c>
      <c r="I5090" t="inlineStr">
        <is>
          <t>W2</t>
        </is>
      </c>
      <c r="J5090" t="inlineStr">
        <is>
          <t>2034_Grudzień_W2</t>
        </is>
      </c>
    </row>
    <row r="5091">
      <c r="A5091" s="177" t="n">
        <v>49286</v>
      </c>
      <c r="B5091" s="177" t="n">
        <v>49283</v>
      </c>
      <c r="C5091" s="177" t="n">
        <v>49289</v>
      </c>
      <c r="D5091" t="inlineStr">
        <is>
          <t>BW20341205</t>
        </is>
      </c>
      <c r="E5091" t="n">
        <v>2034</v>
      </c>
      <c r="F5091" t="inlineStr">
        <is>
          <t>Grudzień</t>
        </is>
      </c>
      <c r="G5091" t="inlineStr">
        <is>
          <t>Pt</t>
        </is>
      </c>
      <c r="H5091">
        <f>'Floor Hours Engine'!$E$5</f>
        <v/>
      </c>
      <c r="I5091" t="inlineStr">
        <is>
          <t>W2</t>
        </is>
      </c>
      <c r="J5091" t="inlineStr">
        <is>
          <t>2034_Grudzień_W2</t>
        </is>
      </c>
    </row>
    <row r="5092">
      <c r="A5092" s="177" t="n">
        <v>49287</v>
      </c>
      <c r="B5092" s="177" t="n">
        <v>49283</v>
      </c>
      <c r="C5092" s="177" t="n">
        <v>49289</v>
      </c>
      <c r="D5092" t="inlineStr">
        <is>
          <t>BW20341205</t>
        </is>
      </c>
      <c r="E5092" t="n">
        <v>2034</v>
      </c>
      <c r="F5092" t="inlineStr">
        <is>
          <t>Grudzień</t>
        </is>
      </c>
      <c r="G5092" t="inlineStr">
        <is>
          <t>Sob</t>
        </is>
      </c>
      <c r="H5092">
        <f>'Floor Hours Engine'!$E$5</f>
        <v/>
      </c>
      <c r="I5092" t="inlineStr">
        <is>
          <t>W2</t>
        </is>
      </c>
      <c r="J5092" t="inlineStr">
        <is>
          <t>2034_Grudzień_W2</t>
        </is>
      </c>
    </row>
    <row r="5093">
      <c r="A5093" s="177" t="n">
        <v>49288</v>
      </c>
      <c r="B5093" s="177" t="n">
        <v>49283</v>
      </c>
      <c r="C5093" s="177" t="n">
        <v>49289</v>
      </c>
      <c r="D5093" t="inlineStr">
        <is>
          <t>BW20341205</t>
        </is>
      </c>
      <c r="E5093" t="n">
        <v>2034</v>
      </c>
      <c r="F5093" t="inlineStr">
        <is>
          <t>Grudzień</t>
        </is>
      </c>
      <c r="G5093" t="inlineStr">
        <is>
          <t>Nd</t>
        </is>
      </c>
      <c r="H5093">
        <f>'Floor Hours Engine'!$E$6</f>
        <v/>
      </c>
      <c r="I5093" t="inlineStr">
        <is>
          <t>W2</t>
        </is>
      </c>
      <c r="J5093" t="inlineStr">
        <is>
          <t>2034_Grudzień_W2</t>
        </is>
      </c>
    </row>
    <row r="5094">
      <c r="A5094" s="177" t="n">
        <v>49289</v>
      </c>
      <c r="B5094" s="177" t="n">
        <v>49283</v>
      </c>
      <c r="C5094" s="177" t="n">
        <v>49289</v>
      </c>
      <c r="D5094" t="inlineStr">
        <is>
          <t>BW20341205</t>
        </is>
      </c>
      <c r="E5094" t="n">
        <v>2034</v>
      </c>
      <c r="F5094" t="inlineStr">
        <is>
          <t>Grudzień</t>
        </is>
      </c>
      <c r="G5094" t="inlineStr">
        <is>
          <t>Pn</t>
        </is>
      </c>
      <c r="H5094">
        <f>'Floor Hours Engine'!$E$4</f>
        <v/>
      </c>
      <c r="I5094" t="inlineStr">
        <is>
          <t>W2</t>
        </is>
      </c>
      <c r="J5094" t="inlineStr">
        <is>
          <t>2034_Grudzień_W2</t>
        </is>
      </c>
    </row>
    <row r="5095">
      <c r="A5095" s="177" t="n">
        <v>49290</v>
      </c>
      <c r="B5095" s="177" t="n">
        <v>49290</v>
      </c>
      <c r="C5095" s="177" t="n">
        <v>49296</v>
      </c>
      <c r="D5095" t="inlineStr">
        <is>
          <t>BW20341212</t>
        </is>
      </c>
      <c r="E5095" t="n">
        <v>2034</v>
      </c>
      <c r="F5095" t="inlineStr">
        <is>
          <t>Grudzień</t>
        </is>
      </c>
      <c r="G5095" t="inlineStr">
        <is>
          <t>Wt</t>
        </is>
      </c>
      <c r="H5095">
        <f>'Floor Hours Engine'!$E$4</f>
        <v/>
      </c>
      <c r="I5095" t="inlineStr">
        <is>
          <t>W3</t>
        </is>
      </c>
      <c r="J5095" t="inlineStr">
        <is>
          <t>2034_Grudzień_W3</t>
        </is>
      </c>
    </row>
    <row r="5096">
      <c r="A5096" s="177" t="n">
        <v>49291</v>
      </c>
      <c r="B5096" s="177" t="n">
        <v>49290</v>
      </c>
      <c r="C5096" s="177" t="n">
        <v>49296</v>
      </c>
      <c r="D5096" t="inlineStr">
        <is>
          <t>BW20341212</t>
        </is>
      </c>
      <c r="E5096" t="n">
        <v>2034</v>
      </c>
      <c r="F5096" t="inlineStr">
        <is>
          <t>Grudzień</t>
        </is>
      </c>
      <c r="G5096" t="inlineStr">
        <is>
          <t>Śr</t>
        </is>
      </c>
      <c r="H5096">
        <f>'Floor Hours Engine'!$E$4</f>
        <v/>
      </c>
      <c r="I5096" t="inlineStr">
        <is>
          <t>W3</t>
        </is>
      </c>
      <c r="J5096" t="inlineStr">
        <is>
          <t>2034_Grudzień_W3</t>
        </is>
      </c>
    </row>
    <row r="5097">
      <c r="A5097" s="177" t="n">
        <v>49292</v>
      </c>
      <c r="B5097" s="177" t="n">
        <v>49290</v>
      </c>
      <c r="C5097" s="177" t="n">
        <v>49296</v>
      </c>
      <c r="D5097" t="inlineStr">
        <is>
          <t>BW20341212</t>
        </is>
      </c>
      <c r="E5097" t="n">
        <v>2034</v>
      </c>
      <c r="F5097" t="inlineStr">
        <is>
          <t>Grudzień</t>
        </is>
      </c>
      <c r="G5097" t="inlineStr">
        <is>
          <t>Czw</t>
        </is>
      </c>
      <c r="H5097">
        <f>'Floor Hours Engine'!$E$4</f>
        <v/>
      </c>
      <c r="I5097" t="inlineStr">
        <is>
          <t>W3</t>
        </is>
      </c>
      <c r="J5097" t="inlineStr">
        <is>
          <t>2034_Grudzień_W3</t>
        </is>
      </c>
    </row>
    <row r="5098">
      <c r="A5098" s="177" t="n">
        <v>49293</v>
      </c>
      <c r="B5098" s="177" t="n">
        <v>49290</v>
      </c>
      <c r="C5098" s="177" t="n">
        <v>49296</v>
      </c>
      <c r="D5098" t="inlineStr">
        <is>
          <t>BW20341212</t>
        </is>
      </c>
      <c r="E5098" t="n">
        <v>2034</v>
      </c>
      <c r="F5098" t="inlineStr">
        <is>
          <t>Grudzień</t>
        </is>
      </c>
      <c r="G5098" t="inlineStr">
        <is>
          <t>Pt</t>
        </is>
      </c>
      <c r="H5098">
        <f>'Floor Hours Engine'!$E$5</f>
        <v/>
      </c>
      <c r="I5098" t="inlineStr">
        <is>
          <t>W3</t>
        </is>
      </c>
      <c r="J5098" t="inlineStr">
        <is>
          <t>2034_Grudzień_W3</t>
        </is>
      </c>
    </row>
    <row r="5099">
      <c r="A5099" s="177" t="n">
        <v>49294</v>
      </c>
      <c r="B5099" s="177" t="n">
        <v>49290</v>
      </c>
      <c r="C5099" s="177" t="n">
        <v>49296</v>
      </c>
      <c r="D5099" t="inlineStr">
        <is>
          <t>BW20341212</t>
        </is>
      </c>
      <c r="E5099" t="n">
        <v>2034</v>
      </c>
      <c r="F5099" t="inlineStr">
        <is>
          <t>Grudzień</t>
        </is>
      </c>
      <c r="G5099" t="inlineStr">
        <is>
          <t>Sob</t>
        </is>
      </c>
      <c r="H5099">
        <f>'Floor Hours Engine'!$E$5</f>
        <v/>
      </c>
      <c r="I5099" t="inlineStr">
        <is>
          <t>W3</t>
        </is>
      </c>
      <c r="J5099" t="inlineStr">
        <is>
          <t>2034_Grudzień_W3</t>
        </is>
      </c>
    </row>
    <row r="5100">
      <c r="A5100" s="177" t="n">
        <v>49295</v>
      </c>
      <c r="B5100" s="177" t="n">
        <v>49290</v>
      </c>
      <c r="C5100" s="177" t="n">
        <v>49296</v>
      </c>
      <c r="D5100" t="inlineStr">
        <is>
          <t>BW20341212</t>
        </is>
      </c>
      <c r="E5100" t="n">
        <v>2034</v>
      </c>
      <c r="F5100" t="inlineStr">
        <is>
          <t>Grudzień</t>
        </is>
      </c>
      <c r="G5100" t="inlineStr">
        <is>
          <t>Nd</t>
        </is>
      </c>
      <c r="H5100">
        <f>'Floor Hours Engine'!$E$6</f>
        <v/>
      </c>
      <c r="I5100" t="inlineStr">
        <is>
          <t>W3</t>
        </is>
      </c>
      <c r="J5100" t="inlineStr">
        <is>
          <t>2034_Grudzień_W3</t>
        </is>
      </c>
    </row>
    <row r="5101">
      <c r="A5101" s="177" t="n">
        <v>49296</v>
      </c>
      <c r="B5101" s="177" t="n">
        <v>49290</v>
      </c>
      <c r="C5101" s="177" t="n">
        <v>49296</v>
      </c>
      <c r="D5101" t="inlineStr">
        <is>
          <t>BW20341212</t>
        </is>
      </c>
      <c r="E5101" t="n">
        <v>2034</v>
      </c>
      <c r="F5101" t="inlineStr">
        <is>
          <t>Grudzień</t>
        </is>
      </c>
      <c r="G5101" t="inlineStr">
        <is>
          <t>Pn</t>
        </is>
      </c>
      <c r="H5101">
        <f>'Floor Hours Engine'!$E$4</f>
        <v/>
      </c>
      <c r="I5101" t="inlineStr">
        <is>
          <t>W3</t>
        </is>
      </c>
      <c r="J5101" t="inlineStr">
        <is>
          <t>2034_Grudzień_W3</t>
        </is>
      </c>
    </row>
    <row r="5102">
      <c r="A5102" s="177" t="n">
        <v>49297</v>
      </c>
      <c r="B5102" s="177" t="n">
        <v>49297</v>
      </c>
      <c r="C5102" s="177" t="n">
        <v>49303</v>
      </c>
      <c r="D5102" t="inlineStr">
        <is>
          <t>BW20341219</t>
        </is>
      </c>
      <c r="E5102" t="n">
        <v>2034</v>
      </c>
      <c r="F5102" t="inlineStr">
        <is>
          <t>Grudzień</t>
        </is>
      </c>
      <c r="G5102" t="inlineStr">
        <is>
          <t>Wt</t>
        </is>
      </c>
      <c r="H5102">
        <f>'Floor Hours Engine'!$E$4</f>
        <v/>
      </c>
      <c r="I5102" t="inlineStr">
        <is>
          <t>W4</t>
        </is>
      </c>
      <c r="J5102" t="inlineStr">
        <is>
          <t>2034_Grudzień_W4</t>
        </is>
      </c>
    </row>
    <row r="5103">
      <c r="A5103" s="177" t="n">
        <v>49298</v>
      </c>
      <c r="B5103" s="177" t="n">
        <v>49297</v>
      </c>
      <c r="C5103" s="177" t="n">
        <v>49303</v>
      </c>
      <c r="D5103" t="inlineStr">
        <is>
          <t>BW20341219</t>
        </is>
      </c>
      <c r="E5103" t="n">
        <v>2034</v>
      </c>
      <c r="F5103" t="inlineStr">
        <is>
          <t>Grudzień</t>
        </is>
      </c>
      <c r="G5103" t="inlineStr">
        <is>
          <t>Śr</t>
        </is>
      </c>
      <c r="H5103">
        <f>'Floor Hours Engine'!$E$4</f>
        <v/>
      </c>
      <c r="I5103" t="inlineStr">
        <is>
          <t>W4</t>
        </is>
      </c>
      <c r="J5103" t="inlineStr">
        <is>
          <t>2034_Grudzień_W4</t>
        </is>
      </c>
    </row>
    <row r="5104">
      <c r="A5104" s="177" t="n">
        <v>49299</v>
      </c>
      <c r="B5104" s="177" t="n">
        <v>49297</v>
      </c>
      <c r="C5104" s="177" t="n">
        <v>49303</v>
      </c>
      <c r="D5104" t="inlineStr">
        <is>
          <t>BW20341219</t>
        </is>
      </c>
      <c r="E5104" t="n">
        <v>2034</v>
      </c>
      <c r="F5104" t="inlineStr">
        <is>
          <t>Grudzień</t>
        </is>
      </c>
      <c r="G5104" t="inlineStr">
        <is>
          <t>Czw</t>
        </is>
      </c>
      <c r="H5104">
        <f>'Floor Hours Engine'!$E$4</f>
        <v/>
      </c>
      <c r="I5104" t="inlineStr">
        <is>
          <t>W4</t>
        </is>
      </c>
      <c r="J5104" t="inlineStr">
        <is>
          <t>2034_Grudzień_W4</t>
        </is>
      </c>
    </row>
    <row r="5105">
      <c r="A5105" s="177" t="n">
        <v>49300</v>
      </c>
      <c r="B5105" s="177" t="n">
        <v>49297</v>
      </c>
      <c r="C5105" s="177" t="n">
        <v>49303</v>
      </c>
      <c r="D5105" t="inlineStr">
        <is>
          <t>BW20341219</t>
        </is>
      </c>
      <c r="E5105" t="n">
        <v>2034</v>
      </c>
      <c r="F5105" t="inlineStr">
        <is>
          <t>Grudzień</t>
        </is>
      </c>
      <c r="G5105" t="inlineStr">
        <is>
          <t>Pt</t>
        </is>
      </c>
      <c r="H5105">
        <f>'Floor Hours Engine'!$E$5</f>
        <v/>
      </c>
      <c r="I5105" t="inlineStr">
        <is>
          <t>W4</t>
        </is>
      </c>
      <c r="J5105" t="inlineStr">
        <is>
          <t>2034_Grudzień_W4</t>
        </is>
      </c>
    </row>
    <row r="5106">
      <c r="A5106" s="177" t="n">
        <v>49301</v>
      </c>
      <c r="B5106" s="177" t="n">
        <v>49297</v>
      </c>
      <c r="C5106" s="177" t="n">
        <v>49303</v>
      </c>
      <c r="D5106" t="inlineStr">
        <is>
          <t>BW20341219</t>
        </is>
      </c>
      <c r="E5106" t="n">
        <v>2034</v>
      </c>
      <c r="F5106" t="inlineStr">
        <is>
          <t>Grudzień</t>
        </is>
      </c>
      <c r="G5106" t="inlineStr">
        <is>
          <t>Sob</t>
        </is>
      </c>
      <c r="H5106">
        <f>'Floor Hours Engine'!$E$5</f>
        <v/>
      </c>
      <c r="I5106" t="inlineStr">
        <is>
          <t>W4</t>
        </is>
      </c>
      <c r="J5106" t="inlineStr">
        <is>
          <t>2034_Grudzień_W4</t>
        </is>
      </c>
    </row>
    <row r="5107">
      <c r="A5107" s="177" t="n">
        <v>49302</v>
      </c>
      <c r="B5107" s="177" t="n">
        <v>49297</v>
      </c>
      <c r="C5107" s="177" t="n">
        <v>49303</v>
      </c>
      <c r="D5107" t="inlineStr">
        <is>
          <t>BW20341219</t>
        </is>
      </c>
      <c r="E5107" t="n">
        <v>2034</v>
      </c>
      <c r="F5107" t="inlineStr">
        <is>
          <t>Grudzień</t>
        </is>
      </c>
      <c r="G5107" t="inlineStr">
        <is>
          <t>Nd</t>
        </is>
      </c>
      <c r="H5107">
        <f>'Floor Hours Engine'!$E$6</f>
        <v/>
      </c>
      <c r="I5107" t="inlineStr">
        <is>
          <t>W4</t>
        </is>
      </c>
      <c r="J5107" t="inlineStr">
        <is>
          <t>2034_Grudzień_W4</t>
        </is>
      </c>
    </row>
    <row r="5108">
      <c r="A5108" s="177" t="n">
        <v>49303</v>
      </c>
      <c r="B5108" s="177" t="n">
        <v>49297</v>
      </c>
      <c r="C5108" s="177" t="n">
        <v>49303</v>
      </c>
      <c r="D5108" t="inlineStr">
        <is>
          <t>BW20341219</t>
        </is>
      </c>
      <c r="E5108" t="n">
        <v>2034</v>
      </c>
      <c r="F5108" t="inlineStr">
        <is>
          <t>Grudzień</t>
        </is>
      </c>
      <c r="G5108" t="inlineStr">
        <is>
          <t>Pn</t>
        </is>
      </c>
      <c r="H5108">
        <f>'Floor Hours Engine'!$E$4</f>
        <v/>
      </c>
      <c r="I5108" t="inlineStr">
        <is>
          <t>W4</t>
        </is>
      </c>
      <c r="J5108" t="inlineStr">
        <is>
          <t>2034_Grudzień_W4</t>
        </is>
      </c>
    </row>
    <row r="5109">
      <c r="A5109" s="177" t="n">
        <v>49304</v>
      </c>
      <c r="B5109" s="177" t="n">
        <v>49304</v>
      </c>
      <c r="C5109" s="177" t="n">
        <v>49310</v>
      </c>
      <c r="D5109" t="inlineStr">
        <is>
          <t>BW20341226</t>
        </is>
      </c>
      <c r="E5109" t="n">
        <v>2034</v>
      </c>
      <c r="F5109" t="inlineStr">
        <is>
          <t>Grudzień</t>
        </is>
      </c>
      <c r="G5109" t="inlineStr">
        <is>
          <t>Wt</t>
        </is>
      </c>
      <c r="H5109">
        <f>'Floor Hours Engine'!$E$4</f>
        <v/>
      </c>
      <c r="I5109" t="inlineStr">
        <is>
          <t>W5</t>
        </is>
      </c>
      <c r="J5109" t="inlineStr">
        <is>
          <t>2034_Grudzień_W5</t>
        </is>
      </c>
    </row>
    <row r="5110">
      <c r="A5110" s="177" t="n">
        <v>49305</v>
      </c>
      <c r="B5110" s="177" t="n">
        <v>49304</v>
      </c>
      <c r="C5110" s="177" t="n">
        <v>49310</v>
      </c>
      <c r="D5110" t="inlineStr">
        <is>
          <t>BW20341226</t>
        </is>
      </c>
      <c r="E5110" t="n">
        <v>2034</v>
      </c>
      <c r="F5110" t="inlineStr">
        <is>
          <t>Grudzień</t>
        </is>
      </c>
      <c r="G5110" t="inlineStr">
        <is>
          <t>Śr</t>
        </is>
      </c>
      <c r="H5110">
        <f>'Floor Hours Engine'!$E$4</f>
        <v/>
      </c>
      <c r="I5110" t="inlineStr">
        <is>
          <t>W5</t>
        </is>
      </c>
      <c r="J5110" t="inlineStr">
        <is>
          <t>2034_Grudzień_W5</t>
        </is>
      </c>
    </row>
    <row r="5111">
      <c r="A5111" s="177" t="n">
        <v>49306</v>
      </c>
      <c r="B5111" s="177" t="n">
        <v>49304</v>
      </c>
      <c r="C5111" s="177" t="n">
        <v>49310</v>
      </c>
      <c r="D5111" t="inlineStr">
        <is>
          <t>BW20341226</t>
        </is>
      </c>
      <c r="E5111" t="n">
        <v>2034</v>
      </c>
      <c r="F5111" t="inlineStr">
        <is>
          <t>Grudzień</t>
        </is>
      </c>
      <c r="G5111" t="inlineStr">
        <is>
          <t>Czw</t>
        </is>
      </c>
      <c r="H5111">
        <f>'Floor Hours Engine'!$E$4</f>
        <v/>
      </c>
      <c r="I5111" t="inlineStr">
        <is>
          <t>W5</t>
        </is>
      </c>
      <c r="J5111" t="inlineStr">
        <is>
          <t>2034_Grudzień_W5</t>
        </is>
      </c>
    </row>
    <row r="5112">
      <c r="A5112" s="177" t="n">
        <v>49307</v>
      </c>
      <c r="B5112" s="177" t="n">
        <v>49304</v>
      </c>
      <c r="C5112" s="177" t="n">
        <v>49310</v>
      </c>
      <c r="D5112" t="inlineStr">
        <is>
          <t>BW20341226</t>
        </is>
      </c>
      <c r="E5112" t="n">
        <v>2034</v>
      </c>
      <c r="F5112" t="inlineStr">
        <is>
          <t>Grudzień</t>
        </is>
      </c>
      <c r="G5112" t="inlineStr">
        <is>
          <t>Pt</t>
        </is>
      </c>
      <c r="H5112">
        <f>'Floor Hours Engine'!$E$5</f>
        <v/>
      </c>
      <c r="I5112" t="inlineStr">
        <is>
          <t>W5</t>
        </is>
      </c>
      <c r="J5112" t="inlineStr">
        <is>
          <t>2034_Grudzień_W5</t>
        </is>
      </c>
    </row>
    <row r="5113">
      <c r="A5113" s="177" t="n">
        <v>49308</v>
      </c>
      <c r="B5113" s="177" t="n">
        <v>49304</v>
      </c>
      <c r="C5113" s="177" t="n">
        <v>49310</v>
      </c>
      <c r="D5113" t="inlineStr">
        <is>
          <t>BW20341226</t>
        </is>
      </c>
      <c r="E5113" t="n">
        <v>2034</v>
      </c>
      <c r="F5113" t="inlineStr">
        <is>
          <t>Grudzień</t>
        </is>
      </c>
      <c r="G5113" t="inlineStr">
        <is>
          <t>Sob</t>
        </is>
      </c>
      <c r="H5113">
        <f>'Floor Hours Engine'!$E$5</f>
        <v/>
      </c>
      <c r="I5113" t="inlineStr">
        <is>
          <t>W5</t>
        </is>
      </c>
      <c r="J5113" t="inlineStr">
        <is>
          <t>2034_Grudzień_W5</t>
        </is>
      </c>
    </row>
    <row r="5114">
      <c r="A5114" s="177" t="n">
        <v>49309</v>
      </c>
      <c r="B5114" s="177" t="n">
        <v>49304</v>
      </c>
      <c r="C5114" s="177" t="n">
        <v>49310</v>
      </c>
      <c r="D5114" t="inlineStr">
        <is>
          <t>BW20341226</t>
        </is>
      </c>
      <c r="E5114" t="n">
        <v>2034</v>
      </c>
      <c r="F5114" t="inlineStr">
        <is>
          <t>Grudzień</t>
        </is>
      </c>
      <c r="G5114" t="inlineStr">
        <is>
          <t>Nd</t>
        </is>
      </c>
      <c r="H5114">
        <f>'Floor Hours Engine'!$E$6</f>
        <v/>
      </c>
      <c r="I5114" t="inlineStr">
        <is>
          <t>W5</t>
        </is>
      </c>
      <c r="J5114" t="inlineStr">
        <is>
          <t>2034_Grudzień_W5</t>
        </is>
      </c>
    </row>
    <row r="5115">
      <c r="A5115" s="177" t="n">
        <v>49310</v>
      </c>
      <c r="B5115" s="177" t="n">
        <v>49304</v>
      </c>
      <c r="C5115" s="177" t="n">
        <v>49310</v>
      </c>
      <c r="D5115" t="inlineStr">
        <is>
          <t>BW20341226</t>
        </is>
      </c>
      <c r="E5115" t="n">
        <v>2035</v>
      </c>
      <c r="F5115" t="inlineStr">
        <is>
          <t>Styczeń</t>
        </is>
      </c>
      <c r="G5115" t="inlineStr">
        <is>
          <t>Pn</t>
        </is>
      </c>
      <c r="H5115">
        <f>'Floor Hours Engine'!$E$4</f>
        <v/>
      </c>
      <c r="I5115" t="inlineStr">
        <is>
          <t>W1</t>
        </is>
      </c>
      <c r="J5115" t="inlineStr">
        <is>
          <t>2035_Styczeń_W1</t>
        </is>
      </c>
    </row>
    <row r="5116">
      <c r="A5116" s="177" t="n">
        <v>49311</v>
      </c>
      <c r="B5116" s="177" t="n">
        <v>49311</v>
      </c>
      <c r="C5116" s="177" t="n">
        <v>49317</v>
      </c>
      <c r="D5116" t="inlineStr">
        <is>
          <t>BW20350102</t>
        </is>
      </c>
      <c r="E5116" t="n">
        <v>2035</v>
      </c>
      <c r="F5116" t="inlineStr">
        <is>
          <t>Styczeń</t>
        </is>
      </c>
      <c r="G5116" t="inlineStr">
        <is>
          <t>Wt</t>
        </is>
      </c>
      <c r="H5116">
        <f>'Floor Hours Engine'!$E$4</f>
        <v/>
      </c>
      <c r="I5116" t="inlineStr">
        <is>
          <t>W2</t>
        </is>
      </c>
      <c r="J5116" t="inlineStr">
        <is>
          <t>2035_Styczeń_W2</t>
        </is>
      </c>
    </row>
    <row r="5117">
      <c r="A5117" s="177" t="n">
        <v>49312</v>
      </c>
      <c r="B5117" s="177" t="n">
        <v>49311</v>
      </c>
      <c r="C5117" s="177" t="n">
        <v>49317</v>
      </c>
      <c r="D5117" t="inlineStr">
        <is>
          <t>BW20350102</t>
        </is>
      </c>
      <c r="E5117" t="n">
        <v>2035</v>
      </c>
      <c r="F5117" t="inlineStr">
        <is>
          <t>Styczeń</t>
        </is>
      </c>
      <c r="G5117" t="inlineStr">
        <is>
          <t>Śr</t>
        </is>
      </c>
      <c r="H5117">
        <f>'Floor Hours Engine'!$E$4</f>
        <v/>
      </c>
      <c r="I5117" t="inlineStr">
        <is>
          <t>W2</t>
        </is>
      </c>
      <c r="J5117" t="inlineStr">
        <is>
          <t>2035_Styczeń_W2</t>
        </is>
      </c>
    </row>
    <row r="5118">
      <c r="A5118" s="177" t="n">
        <v>49313</v>
      </c>
      <c r="B5118" s="177" t="n">
        <v>49311</v>
      </c>
      <c r="C5118" s="177" t="n">
        <v>49317</v>
      </c>
      <c r="D5118" t="inlineStr">
        <is>
          <t>BW20350102</t>
        </is>
      </c>
      <c r="E5118" t="n">
        <v>2035</v>
      </c>
      <c r="F5118" t="inlineStr">
        <is>
          <t>Styczeń</t>
        </is>
      </c>
      <c r="G5118" t="inlineStr">
        <is>
          <t>Czw</t>
        </is>
      </c>
      <c r="H5118">
        <f>'Floor Hours Engine'!$E$4</f>
        <v/>
      </c>
      <c r="I5118" t="inlineStr">
        <is>
          <t>W2</t>
        </is>
      </c>
      <c r="J5118" t="inlineStr">
        <is>
          <t>2035_Styczeń_W2</t>
        </is>
      </c>
    </row>
    <row r="5119">
      <c r="A5119" s="177" t="n">
        <v>49314</v>
      </c>
      <c r="B5119" s="177" t="n">
        <v>49311</v>
      </c>
      <c r="C5119" s="177" t="n">
        <v>49317</v>
      </c>
      <c r="D5119" t="inlineStr">
        <is>
          <t>BW20350102</t>
        </is>
      </c>
      <c r="E5119" t="n">
        <v>2035</v>
      </c>
      <c r="F5119" t="inlineStr">
        <is>
          <t>Styczeń</t>
        </is>
      </c>
      <c r="G5119" t="inlineStr">
        <is>
          <t>Pt</t>
        </is>
      </c>
      <c r="H5119">
        <f>'Floor Hours Engine'!$E$5</f>
        <v/>
      </c>
      <c r="I5119" t="inlineStr">
        <is>
          <t>W2</t>
        </is>
      </c>
      <c r="J5119" t="inlineStr">
        <is>
          <t>2035_Styczeń_W2</t>
        </is>
      </c>
    </row>
    <row r="5120">
      <c r="A5120" s="177" t="n">
        <v>49315</v>
      </c>
      <c r="B5120" s="177" t="n">
        <v>49311</v>
      </c>
      <c r="C5120" s="177" t="n">
        <v>49317</v>
      </c>
      <c r="D5120" t="inlineStr">
        <is>
          <t>BW20350102</t>
        </is>
      </c>
      <c r="E5120" t="n">
        <v>2035</v>
      </c>
      <c r="F5120" t="inlineStr">
        <is>
          <t>Styczeń</t>
        </is>
      </c>
      <c r="G5120" t="inlineStr">
        <is>
          <t>Sob</t>
        </is>
      </c>
      <c r="H5120">
        <f>'Floor Hours Engine'!$E$5</f>
        <v/>
      </c>
      <c r="I5120" t="inlineStr">
        <is>
          <t>W2</t>
        </is>
      </c>
      <c r="J5120" t="inlineStr">
        <is>
          <t>2035_Styczeń_W2</t>
        </is>
      </c>
    </row>
    <row r="5121">
      <c r="A5121" s="177" t="n">
        <v>49316</v>
      </c>
      <c r="B5121" s="177" t="n">
        <v>49311</v>
      </c>
      <c r="C5121" s="177" t="n">
        <v>49317</v>
      </c>
      <c r="D5121" t="inlineStr">
        <is>
          <t>BW20350102</t>
        </is>
      </c>
      <c r="E5121" t="n">
        <v>2035</v>
      </c>
      <c r="F5121" t="inlineStr">
        <is>
          <t>Styczeń</t>
        </is>
      </c>
      <c r="G5121" t="inlineStr">
        <is>
          <t>Nd</t>
        </is>
      </c>
      <c r="H5121">
        <f>'Floor Hours Engine'!$E$6</f>
        <v/>
      </c>
      <c r="I5121" t="inlineStr">
        <is>
          <t>W2</t>
        </is>
      </c>
      <c r="J5121" t="inlineStr">
        <is>
          <t>2035_Styczeń_W2</t>
        </is>
      </c>
    </row>
    <row r="5122">
      <c r="A5122" s="177" t="n">
        <v>49317</v>
      </c>
      <c r="B5122" s="177" t="n">
        <v>49311</v>
      </c>
      <c r="C5122" s="177" t="n">
        <v>49317</v>
      </c>
      <c r="D5122" t="inlineStr">
        <is>
          <t>BW20350102</t>
        </is>
      </c>
      <c r="E5122" t="n">
        <v>2035</v>
      </c>
      <c r="F5122" t="inlineStr">
        <is>
          <t>Styczeń</t>
        </is>
      </c>
      <c r="G5122" t="inlineStr">
        <is>
          <t>Pn</t>
        </is>
      </c>
      <c r="H5122">
        <f>'Floor Hours Engine'!$E$4</f>
        <v/>
      </c>
      <c r="I5122" t="inlineStr">
        <is>
          <t>W2</t>
        </is>
      </c>
      <c r="J5122" t="inlineStr">
        <is>
          <t>2035_Styczeń_W2</t>
        </is>
      </c>
    </row>
    <row r="5123">
      <c r="A5123" s="177" t="n">
        <v>49318</v>
      </c>
      <c r="B5123" s="177" t="n">
        <v>49318</v>
      </c>
      <c r="C5123" s="177" t="n">
        <v>49324</v>
      </c>
      <c r="D5123" t="inlineStr">
        <is>
          <t>BW20350109</t>
        </is>
      </c>
      <c r="E5123" t="n">
        <v>2035</v>
      </c>
      <c r="F5123" t="inlineStr">
        <is>
          <t>Styczeń</t>
        </is>
      </c>
      <c r="G5123" t="inlineStr">
        <is>
          <t>Wt</t>
        </is>
      </c>
      <c r="H5123">
        <f>'Floor Hours Engine'!$E$4</f>
        <v/>
      </c>
      <c r="I5123" t="inlineStr">
        <is>
          <t>W3</t>
        </is>
      </c>
      <c r="J5123" t="inlineStr">
        <is>
          <t>2035_Styczeń_W3</t>
        </is>
      </c>
    </row>
    <row r="5124">
      <c r="A5124" s="177" t="n">
        <v>49319</v>
      </c>
      <c r="B5124" s="177" t="n">
        <v>49318</v>
      </c>
      <c r="C5124" s="177" t="n">
        <v>49324</v>
      </c>
      <c r="D5124" t="inlineStr">
        <is>
          <t>BW20350109</t>
        </is>
      </c>
      <c r="E5124" t="n">
        <v>2035</v>
      </c>
      <c r="F5124" t="inlineStr">
        <is>
          <t>Styczeń</t>
        </is>
      </c>
      <c r="G5124" t="inlineStr">
        <is>
          <t>Śr</t>
        </is>
      </c>
      <c r="H5124">
        <f>'Floor Hours Engine'!$E$4</f>
        <v/>
      </c>
      <c r="I5124" t="inlineStr">
        <is>
          <t>W3</t>
        </is>
      </c>
      <c r="J5124" t="inlineStr">
        <is>
          <t>2035_Styczeń_W3</t>
        </is>
      </c>
    </row>
    <row r="5125">
      <c r="A5125" s="177" t="n">
        <v>49320</v>
      </c>
      <c r="B5125" s="177" t="n">
        <v>49318</v>
      </c>
      <c r="C5125" s="177" t="n">
        <v>49324</v>
      </c>
      <c r="D5125" t="inlineStr">
        <is>
          <t>BW20350109</t>
        </is>
      </c>
      <c r="E5125" t="n">
        <v>2035</v>
      </c>
      <c r="F5125" t="inlineStr">
        <is>
          <t>Styczeń</t>
        </is>
      </c>
      <c r="G5125" t="inlineStr">
        <is>
          <t>Czw</t>
        </is>
      </c>
      <c r="H5125">
        <f>'Floor Hours Engine'!$E$4</f>
        <v/>
      </c>
      <c r="I5125" t="inlineStr">
        <is>
          <t>W3</t>
        </is>
      </c>
      <c r="J5125" t="inlineStr">
        <is>
          <t>2035_Styczeń_W3</t>
        </is>
      </c>
    </row>
    <row r="5126">
      <c r="A5126" s="177" t="n">
        <v>49321</v>
      </c>
      <c r="B5126" s="177" t="n">
        <v>49318</v>
      </c>
      <c r="C5126" s="177" t="n">
        <v>49324</v>
      </c>
      <c r="D5126" t="inlineStr">
        <is>
          <t>BW20350109</t>
        </is>
      </c>
      <c r="E5126" t="n">
        <v>2035</v>
      </c>
      <c r="F5126" t="inlineStr">
        <is>
          <t>Styczeń</t>
        </is>
      </c>
      <c r="G5126" t="inlineStr">
        <is>
          <t>Pt</t>
        </is>
      </c>
      <c r="H5126">
        <f>'Floor Hours Engine'!$E$5</f>
        <v/>
      </c>
      <c r="I5126" t="inlineStr">
        <is>
          <t>W3</t>
        </is>
      </c>
      <c r="J5126" t="inlineStr">
        <is>
          <t>2035_Styczeń_W3</t>
        </is>
      </c>
    </row>
    <row r="5127">
      <c r="A5127" s="177" t="n">
        <v>49322</v>
      </c>
      <c r="B5127" s="177" t="n">
        <v>49318</v>
      </c>
      <c r="C5127" s="177" t="n">
        <v>49324</v>
      </c>
      <c r="D5127" t="inlineStr">
        <is>
          <t>BW20350109</t>
        </is>
      </c>
      <c r="E5127" t="n">
        <v>2035</v>
      </c>
      <c r="F5127" t="inlineStr">
        <is>
          <t>Styczeń</t>
        </is>
      </c>
      <c r="G5127" t="inlineStr">
        <is>
          <t>Sob</t>
        </is>
      </c>
      <c r="H5127">
        <f>'Floor Hours Engine'!$E$5</f>
        <v/>
      </c>
      <c r="I5127" t="inlineStr">
        <is>
          <t>W3</t>
        </is>
      </c>
      <c r="J5127" t="inlineStr">
        <is>
          <t>2035_Styczeń_W3</t>
        </is>
      </c>
    </row>
    <row r="5128">
      <c r="A5128" s="177" t="n">
        <v>49323</v>
      </c>
      <c r="B5128" s="177" t="n">
        <v>49318</v>
      </c>
      <c r="C5128" s="177" t="n">
        <v>49324</v>
      </c>
      <c r="D5128" t="inlineStr">
        <is>
          <t>BW20350109</t>
        </is>
      </c>
      <c r="E5128" t="n">
        <v>2035</v>
      </c>
      <c r="F5128" t="inlineStr">
        <is>
          <t>Styczeń</t>
        </is>
      </c>
      <c r="G5128" t="inlineStr">
        <is>
          <t>Nd</t>
        </is>
      </c>
      <c r="H5128">
        <f>'Floor Hours Engine'!$E$6</f>
        <v/>
      </c>
      <c r="I5128" t="inlineStr">
        <is>
          <t>W3</t>
        </is>
      </c>
      <c r="J5128" t="inlineStr">
        <is>
          <t>2035_Styczeń_W3</t>
        </is>
      </c>
    </row>
    <row r="5129">
      <c r="A5129" s="177" t="n">
        <v>49324</v>
      </c>
      <c r="B5129" s="177" t="n">
        <v>49318</v>
      </c>
      <c r="C5129" s="177" t="n">
        <v>49324</v>
      </c>
      <c r="D5129" t="inlineStr">
        <is>
          <t>BW20350109</t>
        </is>
      </c>
      <c r="E5129" t="n">
        <v>2035</v>
      </c>
      <c r="F5129" t="inlineStr">
        <is>
          <t>Styczeń</t>
        </is>
      </c>
      <c r="G5129" t="inlineStr">
        <is>
          <t>Pn</t>
        </is>
      </c>
      <c r="H5129">
        <f>'Floor Hours Engine'!$E$4</f>
        <v/>
      </c>
      <c r="I5129" t="inlineStr">
        <is>
          <t>W3</t>
        </is>
      </c>
      <c r="J5129" t="inlineStr">
        <is>
          <t>2035_Styczeń_W3</t>
        </is>
      </c>
    </row>
    <row r="5130">
      <c r="A5130" s="177" t="n">
        <v>49325</v>
      </c>
      <c r="B5130" s="177" t="n">
        <v>49325</v>
      </c>
      <c r="C5130" s="177" t="n">
        <v>49331</v>
      </c>
      <c r="D5130" t="inlineStr">
        <is>
          <t>BW20350116</t>
        </is>
      </c>
      <c r="E5130" t="n">
        <v>2035</v>
      </c>
      <c r="F5130" t="inlineStr">
        <is>
          <t>Styczeń</t>
        </is>
      </c>
      <c r="G5130" t="inlineStr">
        <is>
          <t>Wt</t>
        </is>
      </c>
      <c r="H5130">
        <f>'Floor Hours Engine'!$E$4</f>
        <v/>
      </c>
      <c r="I5130" t="inlineStr">
        <is>
          <t>W4</t>
        </is>
      </c>
      <c r="J5130" t="inlineStr">
        <is>
          <t>2035_Styczeń_W4</t>
        </is>
      </c>
    </row>
    <row r="5131">
      <c r="A5131" s="177" t="n">
        <v>49326</v>
      </c>
      <c r="B5131" s="177" t="n">
        <v>49325</v>
      </c>
      <c r="C5131" s="177" t="n">
        <v>49331</v>
      </c>
      <c r="D5131" t="inlineStr">
        <is>
          <t>BW20350116</t>
        </is>
      </c>
      <c r="E5131" t="n">
        <v>2035</v>
      </c>
      <c r="F5131" t="inlineStr">
        <is>
          <t>Styczeń</t>
        </is>
      </c>
      <c r="G5131" t="inlineStr">
        <is>
          <t>Śr</t>
        </is>
      </c>
      <c r="H5131">
        <f>'Floor Hours Engine'!$E$4</f>
        <v/>
      </c>
      <c r="I5131" t="inlineStr">
        <is>
          <t>W4</t>
        </is>
      </c>
      <c r="J5131" t="inlineStr">
        <is>
          <t>2035_Styczeń_W4</t>
        </is>
      </c>
    </row>
    <row r="5132">
      <c r="A5132" s="177" t="n">
        <v>49327</v>
      </c>
      <c r="B5132" s="177" t="n">
        <v>49325</v>
      </c>
      <c r="C5132" s="177" t="n">
        <v>49331</v>
      </c>
      <c r="D5132" t="inlineStr">
        <is>
          <t>BW20350116</t>
        </is>
      </c>
      <c r="E5132" t="n">
        <v>2035</v>
      </c>
      <c r="F5132" t="inlineStr">
        <is>
          <t>Styczeń</t>
        </is>
      </c>
      <c r="G5132" t="inlineStr">
        <is>
          <t>Czw</t>
        </is>
      </c>
      <c r="H5132">
        <f>'Floor Hours Engine'!$E$4</f>
        <v/>
      </c>
      <c r="I5132" t="inlineStr">
        <is>
          <t>W4</t>
        </is>
      </c>
      <c r="J5132" t="inlineStr">
        <is>
          <t>2035_Styczeń_W4</t>
        </is>
      </c>
    </row>
    <row r="5133">
      <c r="A5133" s="177" t="n">
        <v>49328</v>
      </c>
      <c r="B5133" s="177" t="n">
        <v>49325</v>
      </c>
      <c r="C5133" s="177" t="n">
        <v>49331</v>
      </c>
      <c r="D5133" t="inlineStr">
        <is>
          <t>BW20350116</t>
        </is>
      </c>
      <c r="E5133" t="n">
        <v>2035</v>
      </c>
      <c r="F5133" t="inlineStr">
        <is>
          <t>Styczeń</t>
        </is>
      </c>
      <c r="G5133" t="inlineStr">
        <is>
          <t>Pt</t>
        </is>
      </c>
      <c r="H5133">
        <f>'Floor Hours Engine'!$E$5</f>
        <v/>
      </c>
      <c r="I5133" t="inlineStr">
        <is>
          <t>W4</t>
        </is>
      </c>
      <c r="J5133" t="inlineStr">
        <is>
          <t>2035_Styczeń_W4</t>
        </is>
      </c>
    </row>
    <row r="5134">
      <c r="A5134" s="177" t="n">
        <v>49329</v>
      </c>
      <c r="B5134" s="177" t="n">
        <v>49325</v>
      </c>
      <c r="C5134" s="177" t="n">
        <v>49331</v>
      </c>
      <c r="D5134" t="inlineStr">
        <is>
          <t>BW20350116</t>
        </is>
      </c>
      <c r="E5134" t="n">
        <v>2035</v>
      </c>
      <c r="F5134" t="inlineStr">
        <is>
          <t>Styczeń</t>
        </is>
      </c>
      <c r="G5134" t="inlineStr">
        <is>
          <t>Sob</t>
        </is>
      </c>
      <c r="H5134">
        <f>'Floor Hours Engine'!$E$5</f>
        <v/>
      </c>
      <c r="I5134" t="inlineStr">
        <is>
          <t>W4</t>
        </is>
      </c>
      <c r="J5134" t="inlineStr">
        <is>
          <t>2035_Styczeń_W4</t>
        </is>
      </c>
    </row>
    <row r="5135">
      <c r="A5135" s="177" t="n">
        <v>49330</v>
      </c>
      <c r="B5135" s="177" t="n">
        <v>49325</v>
      </c>
      <c r="C5135" s="177" t="n">
        <v>49331</v>
      </c>
      <c r="D5135" t="inlineStr">
        <is>
          <t>BW20350116</t>
        </is>
      </c>
      <c r="E5135" t="n">
        <v>2035</v>
      </c>
      <c r="F5135" t="inlineStr">
        <is>
          <t>Styczeń</t>
        </is>
      </c>
      <c r="G5135" t="inlineStr">
        <is>
          <t>Nd</t>
        </is>
      </c>
      <c r="H5135">
        <f>'Floor Hours Engine'!$E$6</f>
        <v/>
      </c>
      <c r="I5135" t="inlineStr">
        <is>
          <t>W4</t>
        </is>
      </c>
      <c r="J5135" t="inlineStr">
        <is>
          <t>2035_Styczeń_W4</t>
        </is>
      </c>
    </row>
    <row r="5136">
      <c r="A5136" s="177" t="n">
        <v>49331</v>
      </c>
      <c r="B5136" s="177" t="n">
        <v>49325</v>
      </c>
      <c r="C5136" s="177" t="n">
        <v>49331</v>
      </c>
      <c r="D5136" t="inlineStr">
        <is>
          <t>BW20350116</t>
        </is>
      </c>
      <c r="E5136" t="n">
        <v>2035</v>
      </c>
      <c r="F5136" t="inlineStr">
        <is>
          <t>Styczeń</t>
        </is>
      </c>
      <c r="G5136" t="inlineStr">
        <is>
          <t>Pn</t>
        </is>
      </c>
      <c r="H5136">
        <f>'Floor Hours Engine'!$E$4</f>
        <v/>
      </c>
      <c r="I5136" t="inlineStr">
        <is>
          <t>W4</t>
        </is>
      </c>
      <c r="J5136" t="inlineStr">
        <is>
          <t>2035_Styczeń_W4</t>
        </is>
      </c>
    </row>
    <row r="5137">
      <c r="A5137" s="177" t="n">
        <v>49332</v>
      </c>
      <c r="B5137" s="177" t="n">
        <v>49332</v>
      </c>
      <c r="C5137" s="177" t="n">
        <v>49338</v>
      </c>
      <c r="D5137" t="inlineStr">
        <is>
          <t>BW20350123</t>
        </is>
      </c>
      <c r="E5137" t="n">
        <v>2035</v>
      </c>
      <c r="F5137" t="inlineStr">
        <is>
          <t>Styczeń</t>
        </is>
      </c>
      <c r="G5137" t="inlineStr">
        <is>
          <t>Wt</t>
        </is>
      </c>
      <c r="H5137">
        <f>'Floor Hours Engine'!$E$4</f>
        <v/>
      </c>
      <c r="I5137" t="inlineStr">
        <is>
          <t>W5</t>
        </is>
      </c>
      <c r="J5137" t="inlineStr">
        <is>
          <t>2035_Styczeń_W5</t>
        </is>
      </c>
    </row>
    <row r="5138">
      <c r="A5138" s="177" t="n">
        <v>49333</v>
      </c>
      <c r="B5138" s="177" t="n">
        <v>49332</v>
      </c>
      <c r="C5138" s="177" t="n">
        <v>49338</v>
      </c>
      <c r="D5138" t="inlineStr">
        <is>
          <t>BW20350123</t>
        </is>
      </c>
      <c r="E5138" t="n">
        <v>2035</v>
      </c>
      <c r="F5138" t="inlineStr">
        <is>
          <t>Styczeń</t>
        </is>
      </c>
      <c r="G5138" t="inlineStr">
        <is>
          <t>Śr</t>
        </is>
      </c>
      <c r="H5138">
        <f>'Floor Hours Engine'!$E$4</f>
        <v/>
      </c>
      <c r="I5138" t="inlineStr">
        <is>
          <t>W5</t>
        </is>
      </c>
      <c r="J5138" t="inlineStr">
        <is>
          <t>2035_Styczeń_W5</t>
        </is>
      </c>
    </row>
    <row r="5139">
      <c r="A5139" s="177" t="n">
        <v>49334</v>
      </c>
      <c r="B5139" s="177" t="n">
        <v>49332</v>
      </c>
      <c r="C5139" s="177" t="n">
        <v>49338</v>
      </c>
      <c r="D5139" t="inlineStr">
        <is>
          <t>BW20350123</t>
        </is>
      </c>
      <c r="E5139" t="n">
        <v>2035</v>
      </c>
      <c r="F5139" t="inlineStr">
        <is>
          <t>Styczeń</t>
        </is>
      </c>
      <c r="G5139" t="inlineStr">
        <is>
          <t>Czw</t>
        </is>
      </c>
      <c r="H5139">
        <f>'Floor Hours Engine'!$E$4</f>
        <v/>
      </c>
      <c r="I5139" t="inlineStr">
        <is>
          <t>W5</t>
        </is>
      </c>
      <c r="J5139" t="inlineStr">
        <is>
          <t>2035_Styczeń_W5</t>
        </is>
      </c>
    </row>
    <row r="5140">
      <c r="A5140" s="177" t="n">
        <v>49335</v>
      </c>
      <c r="B5140" s="177" t="n">
        <v>49332</v>
      </c>
      <c r="C5140" s="177" t="n">
        <v>49338</v>
      </c>
      <c r="D5140" t="inlineStr">
        <is>
          <t>BW20350123</t>
        </is>
      </c>
      <c r="E5140" t="n">
        <v>2035</v>
      </c>
      <c r="F5140" t="inlineStr">
        <is>
          <t>Styczeń</t>
        </is>
      </c>
      <c r="G5140" t="inlineStr">
        <is>
          <t>Pt</t>
        </is>
      </c>
      <c r="H5140">
        <f>'Floor Hours Engine'!$E$5</f>
        <v/>
      </c>
      <c r="I5140" t="inlineStr">
        <is>
          <t>W5</t>
        </is>
      </c>
      <c r="J5140" t="inlineStr">
        <is>
          <t>2035_Styczeń_W5</t>
        </is>
      </c>
    </row>
    <row r="5141">
      <c r="A5141" s="177" t="n">
        <v>49336</v>
      </c>
      <c r="B5141" s="177" t="n">
        <v>49332</v>
      </c>
      <c r="C5141" s="177" t="n">
        <v>49338</v>
      </c>
      <c r="D5141" t="inlineStr">
        <is>
          <t>BW20350123</t>
        </is>
      </c>
      <c r="E5141" t="n">
        <v>2035</v>
      </c>
      <c r="F5141" t="inlineStr">
        <is>
          <t>Styczeń</t>
        </is>
      </c>
      <c r="G5141" t="inlineStr">
        <is>
          <t>Sob</t>
        </is>
      </c>
      <c r="H5141">
        <f>'Floor Hours Engine'!$E$5</f>
        <v/>
      </c>
      <c r="I5141" t="inlineStr">
        <is>
          <t>W5</t>
        </is>
      </c>
      <c r="J5141" t="inlineStr">
        <is>
          <t>2035_Styczeń_W5</t>
        </is>
      </c>
    </row>
    <row r="5142">
      <c r="A5142" s="177" t="n">
        <v>49337</v>
      </c>
      <c r="B5142" s="177" t="n">
        <v>49332</v>
      </c>
      <c r="C5142" s="177" t="n">
        <v>49338</v>
      </c>
      <c r="D5142" t="inlineStr">
        <is>
          <t>BW20350123</t>
        </is>
      </c>
      <c r="E5142" t="n">
        <v>2035</v>
      </c>
      <c r="F5142" t="inlineStr">
        <is>
          <t>Styczeń</t>
        </is>
      </c>
      <c r="G5142" t="inlineStr">
        <is>
          <t>Nd</t>
        </is>
      </c>
      <c r="H5142">
        <f>'Floor Hours Engine'!$E$6</f>
        <v/>
      </c>
      <c r="I5142" t="inlineStr">
        <is>
          <t>W5</t>
        </is>
      </c>
      <c r="J5142" t="inlineStr">
        <is>
          <t>2035_Styczeń_W5</t>
        </is>
      </c>
    </row>
    <row r="5143">
      <c r="A5143" s="177" t="n">
        <v>49338</v>
      </c>
      <c r="B5143" s="177" t="n">
        <v>49332</v>
      </c>
      <c r="C5143" s="177" t="n">
        <v>49338</v>
      </c>
      <c r="D5143" t="inlineStr">
        <is>
          <t>BW20350123</t>
        </is>
      </c>
      <c r="E5143" t="n">
        <v>2035</v>
      </c>
      <c r="F5143" t="inlineStr">
        <is>
          <t>Styczeń</t>
        </is>
      </c>
      <c r="G5143" t="inlineStr">
        <is>
          <t>Pn</t>
        </is>
      </c>
      <c r="H5143">
        <f>'Floor Hours Engine'!$E$4</f>
        <v/>
      </c>
      <c r="I5143" t="inlineStr">
        <is>
          <t>W5</t>
        </is>
      </c>
      <c r="J5143" t="inlineStr">
        <is>
          <t>2035_Styczeń_W5</t>
        </is>
      </c>
    </row>
    <row r="5144">
      <c r="A5144" s="177" t="n">
        <v>49339</v>
      </c>
      <c r="B5144" s="177" t="n">
        <v>49339</v>
      </c>
      <c r="C5144" s="177" t="n">
        <v>49345</v>
      </c>
      <c r="D5144" t="inlineStr">
        <is>
          <t>BW20350130</t>
        </is>
      </c>
      <c r="E5144" t="n">
        <v>2035</v>
      </c>
      <c r="F5144" t="inlineStr">
        <is>
          <t>Styczeń</t>
        </is>
      </c>
      <c r="G5144" t="inlineStr">
        <is>
          <t>Wt</t>
        </is>
      </c>
      <c r="H5144">
        <f>'Floor Hours Engine'!$E$4</f>
        <v/>
      </c>
      <c r="I5144" t="inlineStr">
        <is>
          <t>W6</t>
        </is>
      </c>
      <c r="J5144" t="inlineStr">
        <is>
          <t>2035_Styczeń_W6</t>
        </is>
      </c>
    </row>
    <row r="5145">
      <c r="A5145" s="177" t="n">
        <v>49340</v>
      </c>
      <c r="B5145" s="177" t="n">
        <v>49339</v>
      </c>
      <c r="C5145" s="177" t="n">
        <v>49345</v>
      </c>
      <c r="D5145" t="inlineStr">
        <is>
          <t>BW20350130</t>
        </is>
      </c>
      <c r="E5145" t="n">
        <v>2035</v>
      </c>
      <c r="F5145" t="inlineStr">
        <is>
          <t>Styczeń</t>
        </is>
      </c>
      <c r="G5145" t="inlineStr">
        <is>
          <t>Śr</t>
        </is>
      </c>
      <c r="H5145">
        <f>'Floor Hours Engine'!$E$4</f>
        <v/>
      </c>
      <c r="I5145" t="inlineStr">
        <is>
          <t>W6</t>
        </is>
      </c>
      <c r="J5145" t="inlineStr">
        <is>
          <t>2035_Styczeń_W6</t>
        </is>
      </c>
    </row>
    <row r="5146">
      <c r="A5146" s="177" t="n">
        <v>49341</v>
      </c>
      <c r="B5146" s="177" t="n">
        <v>49339</v>
      </c>
      <c r="C5146" s="177" t="n">
        <v>49345</v>
      </c>
      <c r="D5146" t="inlineStr">
        <is>
          <t>BW20350130</t>
        </is>
      </c>
      <c r="E5146" t="n">
        <v>2035</v>
      </c>
      <c r="F5146" t="inlineStr">
        <is>
          <t>Luty</t>
        </is>
      </c>
      <c r="G5146" t="inlineStr">
        <is>
          <t>Czw</t>
        </is>
      </c>
      <c r="H5146">
        <f>'Floor Hours Engine'!$E$4</f>
        <v/>
      </c>
      <c r="I5146" t="inlineStr">
        <is>
          <t>W1</t>
        </is>
      </c>
      <c r="J5146" t="inlineStr">
        <is>
          <t>2035_Luty_W1</t>
        </is>
      </c>
    </row>
    <row r="5147">
      <c r="A5147" s="177" t="n">
        <v>49342</v>
      </c>
      <c r="B5147" s="177" t="n">
        <v>49339</v>
      </c>
      <c r="C5147" s="177" t="n">
        <v>49345</v>
      </c>
      <c r="D5147" t="inlineStr">
        <is>
          <t>BW20350130</t>
        </is>
      </c>
      <c r="E5147" t="n">
        <v>2035</v>
      </c>
      <c r="F5147" t="inlineStr">
        <is>
          <t>Luty</t>
        </is>
      </c>
      <c r="G5147" t="inlineStr">
        <is>
          <t>Pt</t>
        </is>
      </c>
      <c r="H5147">
        <f>'Floor Hours Engine'!$E$5</f>
        <v/>
      </c>
      <c r="I5147" t="inlineStr">
        <is>
          <t>W1</t>
        </is>
      </c>
      <c r="J5147" t="inlineStr">
        <is>
          <t>2035_Luty_W1</t>
        </is>
      </c>
    </row>
    <row r="5148">
      <c r="A5148" s="177" t="n">
        <v>49343</v>
      </c>
      <c r="B5148" s="177" t="n">
        <v>49339</v>
      </c>
      <c r="C5148" s="177" t="n">
        <v>49345</v>
      </c>
      <c r="D5148" t="inlineStr">
        <is>
          <t>BW20350130</t>
        </is>
      </c>
      <c r="E5148" t="n">
        <v>2035</v>
      </c>
      <c r="F5148" t="inlineStr">
        <is>
          <t>Luty</t>
        </is>
      </c>
      <c r="G5148" t="inlineStr">
        <is>
          <t>Sob</t>
        </is>
      </c>
      <c r="H5148">
        <f>'Floor Hours Engine'!$E$5</f>
        <v/>
      </c>
      <c r="I5148" t="inlineStr">
        <is>
          <t>W1</t>
        </is>
      </c>
      <c r="J5148" t="inlineStr">
        <is>
          <t>2035_Luty_W1</t>
        </is>
      </c>
    </row>
    <row r="5149">
      <c r="A5149" s="177" t="n">
        <v>49344</v>
      </c>
      <c r="B5149" s="177" t="n">
        <v>49339</v>
      </c>
      <c r="C5149" s="177" t="n">
        <v>49345</v>
      </c>
      <c r="D5149" t="inlineStr">
        <is>
          <t>BW20350130</t>
        </is>
      </c>
      <c r="E5149" t="n">
        <v>2035</v>
      </c>
      <c r="F5149" t="inlineStr">
        <is>
          <t>Luty</t>
        </is>
      </c>
      <c r="G5149" t="inlineStr">
        <is>
          <t>Nd</t>
        </is>
      </c>
      <c r="H5149">
        <f>'Floor Hours Engine'!$E$6</f>
        <v/>
      </c>
      <c r="I5149" t="inlineStr">
        <is>
          <t>W1</t>
        </is>
      </c>
      <c r="J5149" t="inlineStr">
        <is>
          <t>2035_Luty_W1</t>
        </is>
      </c>
    </row>
    <row r="5150">
      <c r="A5150" s="177" t="n">
        <v>49345</v>
      </c>
      <c r="B5150" s="177" t="n">
        <v>49339</v>
      </c>
      <c r="C5150" s="177" t="n">
        <v>49345</v>
      </c>
      <c r="D5150" t="inlineStr">
        <is>
          <t>BW20350130</t>
        </is>
      </c>
      <c r="E5150" t="n">
        <v>2035</v>
      </c>
      <c r="F5150" t="inlineStr">
        <is>
          <t>Luty</t>
        </is>
      </c>
      <c r="G5150" t="inlineStr">
        <is>
          <t>Pn</t>
        </is>
      </c>
      <c r="H5150">
        <f>'Floor Hours Engine'!$E$4</f>
        <v/>
      </c>
      <c r="I5150" t="inlineStr">
        <is>
          <t>W1</t>
        </is>
      </c>
      <c r="J5150" t="inlineStr">
        <is>
          <t>2035_Luty_W1</t>
        </is>
      </c>
    </row>
    <row r="5151">
      <c r="A5151" s="177" t="n">
        <v>49346</v>
      </c>
      <c r="B5151" s="177" t="n">
        <v>49346</v>
      </c>
      <c r="C5151" s="177" t="n">
        <v>49352</v>
      </c>
      <c r="D5151" t="inlineStr">
        <is>
          <t>BW20350206</t>
        </is>
      </c>
      <c r="E5151" t="n">
        <v>2035</v>
      </c>
      <c r="F5151" t="inlineStr">
        <is>
          <t>Luty</t>
        </is>
      </c>
      <c r="G5151" t="inlineStr">
        <is>
          <t>Wt</t>
        </is>
      </c>
      <c r="H5151">
        <f>'Floor Hours Engine'!$E$4</f>
        <v/>
      </c>
      <c r="I5151" t="inlineStr">
        <is>
          <t>W2</t>
        </is>
      </c>
      <c r="J5151" t="inlineStr">
        <is>
          <t>2035_Luty_W2</t>
        </is>
      </c>
    </row>
    <row r="5152">
      <c r="A5152" s="177" t="n">
        <v>49347</v>
      </c>
      <c r="B5152" s="177" t="n">
        <v>49346</v>
      </c>
      <c r="C5152" s="177" t="n">
        <v>49352</v>
      </c>
      <c r="D5152" t="inlineStr">
        <is>
          <t>BW20350206</t>
        </is>
      </c>
      <c r="E5152" t="n">
        <v>2035</v>
      </c>
      <c r="F5152" t="inlineStr">
        <is>
          <t>Luty</t>
        </is>
      </c>
      <c r="G5152" t="inlineStr">
        <is>
          <t>Śr</t>
        </is>
      </c>
      <c r="H5152">
        <f>'Floor Hours Engine'!$E$4</f>
        <v/>
      </c>
      <c r="I5152" t="inlineStr">
        <is>
          <t>W2</t>
        </is>
      </c>
      <c r="J5152" t="inlineStr">
        <is>
          <t>2035_Luty_W2</t>
        </is>
      </c>
    </row>
    <row r="5153">
      <c r="A5153" s="177" t="n">
        <v>49348</v>
      </c>
      <c r="B5153" s="177" t="n">
        <v>49346</v>
      </c>
      <c r="C5153" s="177" t="n">
        <v>49352</v>
      </c>
      <c r="D5153" t="inlineStr">
        <is>
          <t>BW20350206</t>
        </is>
      </c>
      <c r="E5153" t="n">
        <v>2035</v>
      </c>
      <c r="F5153" t="inlineStr">
        <is>
          <t>Luty</t>
        </is>
      </c>
      <c r="G5153" t="inlineStr">
        <is>
          <t>Czw</t>
        </is>
      </c>
      <c r="H5153">
        <f>'Floor Hours Engine'!$E$4</f>
        <v/>
      </c>
      <c r="I5153" t="inlineStr">
        <is>
          <t>W2</t>
        </is>
      </c>
      <c r="J5153" t="inlineStr">
        <is>
          <t>2035_Luty_W2</t>
        </is>
      </c>
    </row>
    <row r="5154">
      <c r="A5154" s="177" t="n">
        <v>49349</v>
      </c>
      <c r="B5154" s="177" t="n">
        <v>49346</v>
      </c>
      <c r="C5154" s="177" t="n">
        <v>49352</v>
      </c>
      <c r="D5154" t="inlineStr">
        <is>
          <t>BW20350206</t>
        </is>
      </c>
      <c r="E5154" t="n">
        <v>2035</v>
      </c>
      <c r="F5154" t="inlineStr">
        <is>
          <t>Luty</t>
        </is>
      </c>
      <c r="G5154" t="inlineStr">
        <is>
          <t>Pt</t>
        </is>
      </c>
      <c r="H5154">
        <f>'Floor Hours Engine'!$E$5</f>
        <v/>
      </c>
      <c r="I5154" t="inlineStr">
        <is>
          <t>W2</t>
        </is>
      </c>
      <c r="J5154" t="inlineStr">
        <is>
          <t>2035_Luty_W2</t>
        </is>
      </c>
    </row>
    <row r="5155">
      <c r="A5155" s="177" t="n">
        <v>49350</v>
      </c>
      <c r="B5155" s="177" t="n">
        <v>49346</v>
      </c>
      <c r="C5155" s="177" t="n">
        <v>49352</v>
      </c>
      <c r="D5155" t="inlineStr">
        <is>
          <t>BW20350206</t>
        </is>
      </c>
      <c r="E5155" t="n">
        <v>2035</v>
      </c>
      <c r="F5155" t="inlineStr">
        <is>
          <t>Luty</t>
        </is>
      </c>
      <c r="G5155" t="inlineStr">
        <is>
          <t>Sob</t>
        </is>
      </c>
      <c r="H5155">
        <f>'Floor Hours Engine'!$E$5</f>
        <v/>
      </c>
      <c r="I5155" t="inlineStr">
        <is>
          <t>W2</t>
        </is>
      </c>
      <c r="J5155" t="inlineStr">
        <is>
          <t>2035_Luty_W2</t>
        </is>
      </c>
    </row>
    <row r="5156">
      <c r="A5156" s="177" t="n">
        <v>49351</v>
      </c>
      <c r="B5156" s="177" t="n">
        <v>49346</v>
      </c>
      <c r="C5156" s="177" t="n">
        <v>49352</v>
      </c>
      <c r="D5156" t="inlineStr">
        <is>
          <t>BW20350206</t>
        </is>
      </c>
      <c r="E5156" t="n">
        <v>2035</v>
      </c>
      <c r="F5156" t="inlineStr">
        <is>
          <t>Luty</t>
        </is>
      </c>
      <c r="G5156" t="inlineStr">
        <is>
          <t>Nd</t>
        </is>
      </c>
      <c r="H5156">
        <f>'Floor Hours Engine'!$E$6</f>
        <v/>
      </c>
      <c r="I5156" t="inlineStr">
        <is>
          <t>W2</t>
        </is>
      </c>
      <c r="J5156" t="inlineStr">
        <is>
          <t>2035_Luty_W2</t>
        </is>
      </c>
    </row>
    <row r="5157">
      <c r="A5157" s="177" t="n">
        <v>49352</v>
      </c>
      <c r="B5157" s="177" t="n">
        <v>49346</v>
      </c>
      <c r="C5157" s="177" t="n">
        <v>49352</v>
      </c>
      <c r="D5157" t="inlineStr">
        <is>
          <t>BW20350206</t>
        </is>
      </c>
      <c r="E5157" t="n">
        <v>2035</v>
      </c>
      <c r="F5157" t="inlineStr">
        <is>
          <t>Luty</t>
        </is>
      </c>
      <c r="G5157" t="inlineStr">
        <is>
          <t>Pn</t>
        </is>
      </c>
      <c r="H5157">
        <f>'Floor Hours Engine'!$E$4</f>
        <v/>
      </c>
      <c r="I5157" t="inlineStr">
        <is>
          <t>W2</t>
        </is>
      </c>
      <c r="J5157" t="inlineStr">
        <is>
          <t>2035_Luty_W2</t>
        </is>
      </c>
    </row>
    <row r="5158">
      <c r="A5158" s="177" t="n">
        <v>49353</v>
      </c>
      <c r="B5158" s="177" t="n">
        <v>49353</v>
      </c>
      <c r="C5158" s="177" t="n">
        <v>49359</v>
      </c>
      <c r="D5158" t="inlineStr">
        <is>
          <t>BW20350213</t>
        </is>
      </c>
      <c r="E5158" t="n">
        <v>2035</v>
      </c>
      <c r="F5158" t="inlineStr">
        <is>
          <t>Luty</t>
        </is>
      </c>
      <c r="G5158" t="inlineStr">
        <is>
          <t>Wt</t>
        </is>
      </c>
      <c r="H5158">
        <f>'Floor Hours Engine'!$E$4</f>
        <v/>
      </c>
      <c r="I5158" t="inlineStr">
        <is>
          <t>W3</t>
        </is>
      </c>
      <c r="J5158" t="inlineStr">
        <is>
          <t>2035_Luty_W3</t>
        </is>
      </c>
    </row>
    <row r="5159">
      <c r="A5159" s="177" t="n">
        <v>49354</v>
      </c>
      <c r="B5159" s="177" t="n">
        <v>49353</v>
      </c>
      <c r="C5159" s="177" t="n">
        <v>49359</v>
      </c>
      <c r="D5159" t="inlineStr">
        <is>
          <t>BW20350213</t>
        </is>
      </c>
      <c r="E5159" t="n">
        <v>2035</v>
      </c>
      <c r="F5159" t="inlineStr">
        <is>
          <t>Luty</t>
        </is>
      </c>
      <c r="G5159" t="inlineStr">
        <is>
          <t>Śr</t>
        </is>
      </c>
      <c r="H5159">
        <f>'Floor Hours Engine'!$E$4</f>
        <v/>
      </c>
      <c r="I5159" t="inlineStr">
        <is>
          <t>W3</t>
        </is>
      </c>
      <c r="J5159" t="inlineStr">
        <is>
          <t>2035_Luty_W3</t>
        </is>
      </c>
    </row>
    <row r="5160">
      <c r="A5160" s="177" t="n">
        <v>49355</v>
      </c>
      <c r="B5160" s="177" t="n">
        <v>49353</v>
      </c>
      <c r="C5160" s="177" t="n">
        <v>49359</v>
      </c>
      <c r="D5160" t="inlineStr">
        <is>
          <t>BW20350213</t>
        </is>
      </c>
      <c r="E5160" t="n">
        <v>2035</v>
      </c>
      <c r="F5160" t="inlineStr">
        <is>
          <t>Luty</t>
        </is>
      </c>
      <c r="G5160" t="inlineStr">
        <is>
          <t>Czw</t>
        </is>
      </c>
      <c r="H5160">
        <f>'Floor Hours Engine'!$E$4</f>
        <v/>
      </c>
      <c r="I5160" t="inlineStr">
        <is>
          <t>W3</t>
        </is>
      </c>
      <c r="J5160" t="inlineStr">
        <is>
          <t>2035_Luty_W3</t>
        </is>
      </c>
    </row>
    <row r="5161">
      <c r="A5161" s="177" t="n">
        <v>49356</v>
      </c>
      <c r="B5161" s="177" t="n">
        <v>49353</v>
      </c>
      <c r="C5161" s="177" t="n">
        <v>49359</v>
      </c>
      <c r="D5161" t="inlineStr">
        <is>
          <t>BW20350213</t>
        </is>
      </c>
      <c r="E5161" t="n">
        <v>2035</v>
      </c>
      <c r="F5161" t="inlineStr">
        <is>
          <t>Luty</t>
        </is>
      </c>
      <c r="G5161" t="inlineStr">
        <is>
          <t>Pt</t>
        </is>
      </c>
      <c r="H5161">
        <f>'Floor Hours Engine'!$E$5</f>
        <v/>
      </c>
      <c r="I5161" t="inlineStr">
        <is>
          <t>W3</t>
        </is>
      </c>
      <c r="J5161" t="inlineStr">
        <is>
          <t>2035_Luty_W3</t>
        </is>
      </c>
    </row>
    <row r="5162">
      <c r="A5162" s="177" t="n">
        <v>49357</v>
      </c>
      <c r="B5162" s="177" t="n">
        <v>49353</v>
      </c>
      <c r="C5162" s="177" t="n">
        <v>49359</v>
      </c>
      <c r="D5162" t="inlineStr">
        <is>
          <t>BW20350213</t>
        </is>
      </c>
      <c r="E5162" t="n">
        <v>2035</v>
      </c>
      <c r="F5162" t="inlineStr">
        <is>
          <t>Luty</t>
        </is>
      </c>
      <c r="G5162" t="inlineStr">
        <is>
          <t>Sob</t>
        </is>
      </c>
      <c r="H5162">
        <f>'Floor Hours Engine'!$E$5</f>
        <v/>
      </c>
      <c r="I5162" t="inlineStr">
        <is>
          <t>W3</t>
        </is>
      </c>
      <c r="J5162" t="inlineStr">
        <is>
          <t>2035_Luty_W3</t>
        </is>
      </c>
    </row>
    <row r="5163">
      <c r="A5163" s="177" t="n">
        <v>49358</v>
      </c>
      <c r="B5163" s="177" t="n">
        <v>49353</v>
      </c>
      <c r="C5163" s="177" t="n">
        <v>49359</v>
      </c>
      <c r="D5163" t="inlineStr">
        <is>
          <t>BW20350213</t>
        </is>
      </c>
      <c r="E5163" t="n">
        <v>2035</v>
      </c>
      <c r="F5163" t="inlineStr">
        <is>
          <t>Luty</t>
        </is>
      </c>
      <c r="G5163" t="inlineStr">
        <is>
          <t>Nd</t>
        </is>
      </c>
      <c r="H5163">
        <f>'Floor Hours Engine'!$E$6</f>
        <v/>
      </c>
      <c r="I5163" t="inlineStr">
        <is>
          <t>W3</t>
        </is>
      </c>
      <c r="J5163" t="inlineStr">
        <is>
          <t>2035_Luty_W3</t>
        </is>
      </c>
    </row>
    <row r="5164">
      <c r="A5164" s="177" t="n">
        <v>49359</v>
      </c>
      <c r="B5164" s="177" t="n">
        <v>49353</v>
      </c>
      <c r="C5164" s="177" t="n">
        <v>49359</v>
      </c>
      <c r="D5164" t="inlineStr">
        <is>
          <t>BW20350213</t>
        </is>
      </c>
      <c r="E5164" t="n">
        <v>2035</v>
      </c>
      <c r="F5164" t="inlineStr">
        <is>
          <t>Luty</t>
        </is>
      </c>
      <c r="G5164" t="inlineStr">
        <is>
          <t>Pn</t>
        </is>
      </c>
      <c r="H5164">
        <f>'Floor Hours Engine'!$E$4</f>
        <v/>
      </c>
      <c r="I5164" t="inlineStr">
        <is>
          <t>W3</t>
        </is>
      </c>
      <c r="J5164" t="inlineStr">
        <is>
          <t>2035_Luty_W3</t>
        </is>
      </c>
    </row>
    <row r="5165">
      <c r="A5165" s="177" t="n">
        <v>49360</v>
      </c>
      <c r="B5165" s="177" t="n">
        <v>49360</v>
      </c>
      <c r="C5165" s="177" t="n">
        <v>49366</v>
      </c>
      <c r="D5165" t="inlineStr">
        <is>
          <t>BW20350220</t>
        </is>
      </c>
      <c r="E5165" t="n">
        <v>2035</v>
      </c>
      <c r="F5165" t="inlineStr">
        <is>
          <t>Luty</t>
        </is>
      </c>
      <c r="G5165" t="inlineStr">
        <is>
          <t>Wt</t>
        </is>
      </c>
      <c r="H5165">
        <f>'Floor Hours Engine'!$E$4</f>
        <v/>
      </c>
      <c r="I5165" t="inlineStr">
        <is>
          <t>W4</t>
        </is>
      </c>
      <c r="J5165" t="inlineStr">
        <is>
          <t>2035_Luty_W4</t>
        </is>
      </c>
    </row>
    <row r="5166">
      <c r="A5166" s="177" t="n">
        <v>49361</v>
      </c>
      <c r="B5166" s="177" t="n">
        <v>49360</v>
      </c>
      <c r="C5166" s="177" t="n">
        <v>49366</v>
      </c>
      <c r="D5166" t="inlineStr">
        <is>
          <t>BW20350220</t>
        </is>
      </c>
      <c r="E5166" t="n">
        <v>2035</v>
      </c>
      <c r="F5166" t="inlineStr">
        <is>
          <t>Luty</t>
        </is>
      </c>
      <c r="G5166" t="inlineStr">
        <is>
          <t>Śr</t>
        </is>
      </c>
      <c r="H5166">
        <f>'Floor Hours Engine'!$E$4</f>
        <v/>
      </c>
      <c r="I5166" t="inlineStr">
        <is>
          <t>W4</t>
        </is>
      </c>
      <c r="J5166" t="inlineStr">
        <is>
          <t>2035_Luty_W4</t>
        </is>
      </c>
    </row>
    <row r="5167">
      <c r="A5167" s="177" t="n">
        <v>49362</v>
      </c>
      <c r="B5167" s="177" t="n">
        <v>49360</v>
      </c>
      <c r="C5167" s="177" t="n">
        <v>49366</v>
      </c>
      <c r="D5167" t="inlineStr">
        <is>
          <t>BW20350220</t>
        </is>
      </c>
      <c r="E5167" t="n">
        <v>2035</v>
      </c>
      <c r="F5167" t="inlineStr">
        <is>
          <t>Luty</t>
        </is>
      </c>
      <c r="G5167" t="inlineStr">
        <is>
          <t>Czw</t>
        </is>
      </c>
      <c r="H5167">
        <f>'Floor Hours Engine'!$E$4</f>
        <v/>
      </c>
      <c r="I5167" t="inlineStr">
        <is>
          <t>W4</t>
        </is>
      </c>
      <c r="J5167" t="inlineStr">
        <is>
          <t>2035_Luty_W4</t>
        </is>
      </c>
    </row>
    <row r="5168">
      <c r="A5168" s="177" t="n">
        <v>49363</v>
      </c>
      <c r="B5168" s="177" t="n">
        <v>49360</v>
      </c>
      <c r="C5168" s="177" t="n">
        <v>49366</v>
      </c>
      <c r="D5168" t="inlineStr">
        <is>
          <t>BW20350220</t>
        </is>
      </c>
      <c r="E5168" t="n">
        <v>2035</v>
      </c>
      <c r="F5168" t="inlineStr">
        <is>
          <t>Luty</t>
        </is>
      </c>
      <c r="G5168" t="inlineStr">
        <is>
          <t>Pt</t>
        </is>
      </c>
      <c r="H5168">
        <f>'Floor Hours Engine'!$E$5</f>
        <v/>
      </c>
      <c r="I5168" t="inlineStr">
        <is>
          <t>W4</t>
        </is>
      </c>
      <c r="J5168" t="inlineStr">
        <is>
          <t>2035_Luty_W4</t>
        </is>
      </c>
    </row>
    <row r="5169">
      <c r="A5169" s="177" t="n">
        <v>49364</v>
      </c>
      <c r="B5169" s="177" t="n">
        <v>49360</v>
      </c>
      <c r="C5169" s="177" t="n">
        <v>49366</v>
      </c>
      <c r="D5169" t="inlineStr">
        <is>
          <t>BW20350220</t>
        </is>
      </c>
      <c r="E5169" t="n">
        <v>2035</v>
      </c>
      <c r="F5169" t="inlineStr">
        <is>
          <t>Luty</t>
        </is>
      </c>
      <c r="G5169" t="inlineStr">
        <is>
          <t>Sob</t>
        </is>
      </c>
      <c r="H5169">
        <f>'Floor Hours Engine'!$E$5</f>
        <v/>
      </c>
      <c r="I5169" t="inlineStr">
        <is>
          <t>W4</t>
        </is>
      </c>
      <c r="J5169" t="inlineStr">
        <is>
          <t>2035_Luty_W4</t>
        </is>
      </c>
    </row>
    <row r="5170">
      <c r="A5170" s="177" t="n">
        <v>49365</v>
      </c>
      <c r="B5170" s="177" t="n">
        <v>49360</v>
      </c>
      <c r="C5170" s="177" t="n">
        <v>49366</v>
      </c>
      <c r="D5170" t="inlineStr">
        <is>
          <t>BW20350220</t>
        </is>
      </c>
      <c r="E5170" t="n">
        <v>2035</v>
      </c>
      <c r="F5170" t="inlineStr">
        <is>
          <t>Luty</t>
        </is>
      </c>
      <c r="G5170" t="inlineStr">
        <is>
          <t>Nd</t>
        </is>
      </c>
      <c r="H5170">
        <f>'Floor Hours Engine'!$E$6</f>
        <v/>
      </c>
      <c r="I5170" t="inlineStr">
        <is>
          <t>W4</t>
        </is>
      </c>
      <c r="J5170" t="inlineStr">
        <is>
          <t>2035_Luty_W4</t>
        </is>
      </c>
    </row>
    <row r="5171">
      <c r="A5171" s="177" t="n">
        <v>49366</v>
      </c>
      <c r="B5171" s="177" t="n">
        <v>49360</v>
      </c>
      <c r="C5171" s="177" t="n">
        <v>49366</v>
      </c>
      <c r="D5171" t="inlineStr">
        <is>
          <t>BW20350220</t>
        </is>
      </c>
      <c r="E5171" t="n">
        <v>2035</v>
      </c>
      <c r="F5171" t="inlineStr">
        <is>
          <t>Luty</t>
        </is>
      </c>
      <c r="G5171" t="inlineStr">
        <is>
          <t>Pn</t>
        </is>
      </c>
      <c r="H5171">
        <f>'Floor Hours Engine'!$E$4</f>
        <v/>
      </c>
      <c r="I5171" t="inlineStr">
        <is>
          <t>W4</t>
        </is>
      </c>
      <c r="J5171" t="inlineStr">
        <is>
          <t>2035_Luty_W4</t>
        </is>
      </c>
    </row>
    <row r="5172">
      <c r="A5172" s="177" t="n">
        <v>49367</v>
      </c>
      <c r="B5172" s="177" t="n">
        <v>49367</v>
      </c>
      <c r="C5172" s="177" t="n">
        <v>49373</v>
      </c>
      <c r="D5172" t="inlineStr">
        <is>
          <t>BW20350227</t>
        </is>
      </c>
      <c r="E5172" t="n">
        <v>2035</v>
      </c>
      <c r="F5172" t="inlineStr">
        <is>
          <t>Luty</t>
        </is>
      </c>
      <c r="G5172" t="inlineStr">
        <is>
          <t>Wt</t>
        </is>
      </c>
      <c r="H5172">
        <f>'Floor Hours Engine'!$E$4</f>
        <v/>
      </c>
      <c r="I5172" t="inlineStr">
        <is>
          <t>W5</t>
        </is>
      </c>
      <c r="J5172" t="inlineStr">
        <is>
          <t>2035_Luty_W5</t>
        </is>
      </c>
    </row>
    <row r="5173">
      <c r="A5173" s="177" t="n">
        <v>49368</v>
      </c>
      <c r="B5173" s="177" t="n">
        <v>49367</v>
      </c>
      <c r="C5173" s="177" t="n">
        <v>49373</v>
      </c>
      <c r="D5173" t="inlineStr">
        <is>
          <t>BW20350227</t>
        </is>
      </c>
      <c r="E5173" t="n">
        <v>2035</v>
      </c>
      <c r="F5173" t="inlineStr">
        <is>
          <t>Luty</t>
        </is>
      </c>
      <c r="G5173" t="inlineStr">
        <is>
          <t>Śr</t>
        </is>
      </c>
      <c r="H5173">
        <f>'Floor Hours Engine'!$E$4</f>
        <v/>
      </c>
      <c r="I5173" t="inlineStr">
        <is>
          <t>W5</t>
        </is>
      </c>
      <c r="J5173" t="inlineStr">
        <is>
          <t>2035_Luty_W5</t>
        </is>
      </c>
    </row>
    <row r="5174">
      <c r="A5174" s="177" t="n">
        <v>49369</v>
      </c>
      <c r="B5174" s="177" t="n">
        <v>49367</v>
      </c>
      <c r="C5174" s="177" t="n">
        <v>49373</v>
      </c>
      <c r="D5174" t="inlineStr">
        <is>
          <t>BW20350227</t>
        </is>
      </c>
      <c r="E5174" t="n">
        <v>2035</v>
      </c>
      <c r="F5174" t="inlineStr">
        <is>
          <t>Marzec</t>
        </is>
      </c>
      <c r="G5174" t="inlineStr">
        <is>
          <t>Czw</t>
        </is>
      </c>
      <c r="H5174">
        <f>'Floor Hours Engine'!$E$4</f>
        <v/>
      </c>
      <c r="I5174" t="inlineStr">
        <is>
          <t>W1</t>
        </is>
      </c>
      <c r="J5174" t="inlineStr">
        <is>
          <t>2035_Marzec_W1</t>
        </is>
      </c>
    </row>
    <row r="5175">
      <c r="A5175" s="177" t="n">
        <v>49370</v>
      </c>
      <c r="B5175" s="177" t="n">
        <v>49367</v>
      </c>
      <c r="C5175" s="177" t="n">
        <v>49373</v>
      </c>
      <c r="D5175" t="inlineStr">
        <is>
          <t>BW20350227</t>
        </is>
      </c>
      <c r="E5175" t="n">
        <v>2035</v>
      </c>
      <c r="F5175" t="inlineStr">
        <is>
          <t>Marzec</t>
        </is>
      </c>
      <c r="G5175" t="inlineStr">
        <is>
          <t>Pt</t>
        </is>
      </c>
      <c r="H5175">
        <f>'Floor Hours Engine'!$E$5</f>
        <v/>
      </c>
      <c r="I5175" t="inlineStr">
        <is>
          <t>W1</t>
        </is>
      </c>
      <c r="J5175" t="inlineStr">
        <is>
          <t>2035_Marzec_W1</t>
        </is>
      </c>
    </row>
    <row r="5176">
      <c r="A5176" s="177" t="n">
        <v>49371</v>
      </c>
      <c r="B5176" s="177" t="n">
        <v>49367</v>
      </c>
      <c r="C5176" s="177" t="n">
        <v>49373</v>
      </c>
      <c r="D5176" t="inlineStr">
        <is>
          <t>BW20350227</t>
        </is>
      </c>
      <c r="E5176" t="n">
        <v>2035</v>
      </c>
      <c r="F5176" t="inlineStr">
        <is>
          <t>Marzec</t>
        </is>
      </c>
      <c r="G5176" t="inlineStr">
        <is>
          <t>Sob</t>
        </is>
      </c>
      <c r="H5176">
        <f>'Floor Hours Engine'!$E$5</f>
        <v/>
      </c>
      <c r="I5176" t="inlineStr">
        <is>
          <t>W1</t>
        </is>
      </c>
      <c r="J5176" t="inlineStr">
        <is>
          <t>2035_Marzec_W1</t>
        </is>
      </c>
    </row>
    <row r="5177">
      <c r="A5177" s="177" t="n">
        <v>49372</v>
      </c>
      <c r="B5177" s="177" t="n">
        <v>49367</v>
      </c>
      <c r="C5177" s="177" t="n">
        <v>49373</v>
      </c>
      <c r="D5177" t="inlineStr">
        <is>
          <t>BW20350227</t>
        </is>
      </c>
      <c r="E5177" t="n">
        <v>2035</v>
      </c>
      <c r="F5177" t="inlineStr">
        <is>
          <t>Marzec</t>
        </is>
      </c>
      <c r="G5177" t="inlineStr">
        <is>
          <t>Nd</t>
        </is>
      </c>
      <c r="H5177">
        <f>'Floor Hours Engine'!$E$6</f>
        <v/>
      </c>
      <c r="I5177" t="inlineStr">
        <is>
          <t>W1</t>
        </is>
      </c>
      <c r="J5177" t="inlineStr">
        <is>
          <t>2035_Marzec_W1</t>
        </is>
      </c>
    </row>
    <row r="5178">
      <c r="A5178" s="177" t="n">
        <v>49373</v>
      </c>
      <c r="B5178" s="177" t="n">
        <v>49367</v>
      </c>
      <c r="C5178" s="177" t="n">
        <v>49373</v>
      </c>
      <c r="D5178" t="inlineStr">
        <is>
          <t>BW20350227</t>
        </is>
      </c>
      <c r="E5178" t="n">
        <v>2035</v>
      </c>
      <c r="F5178" t="inlineStr">
        <is>
          <t>Marzec</t>
        </is>
      </c>
      <c r="G5178" t="inlineStr">
        <is>
          <t>Pn</t>
        </is>
      </c>
      <c r="H5178">
        <f>'Floor Hours Engine'!$E$4</f>
        <v/>
      </c>
      <c r="I5178" t="inlineStr">
        <is>
          <t>W1</t>
        </is>
      </c>
      <c r="J5178" t="inlineStr">
        <is>
          <t>2035_Marzec_W1</t>
        </is>
      </c>
    </row>
    <row r="5179">
      <c r="A5179" s="177" t="n">
        <v>49374</v>
      </c>
      <c r="B5179" s="177" t="n">
        <v>49374</v>
      </c>
      <c r="C5179" s="177" t="n">
        <v>49380</v>
      </c>
      <c r="D5179" t="inlineStr">
        <is>
          <t>BW20350306</t>
        </is>
      </c>
      <c r="E5179" t="n">
        <v>2035</v>
      </c>
      <c r="F5179" t="inlineStr">
        <is>
          <t>Marzec</t>
        </is>
      </c>
      <c r="G5179" t="inlineStr">
        <is>
          <t>Wt</t>
        </is>
      </c>
      <c r="H5179">
        <f>'Floor Hours Engine'!$E$4</f>
        <v/>
      </c>
      <c r="I5179" t="inlineStr">
        <is>
          <t>W2</t>
        </is>
      </c>
      <c r="J5179" t="inlineStr">
        <is>
          <t>2035_Marzec_W2</t>
        </is>
      </c>
    </row>
    <row r="5180">
      <c r="A5180" s="177" t="n">
        <v>49375</v>
      </c>
      <c r="B5180" s="177" t="n">
        <v>49374</v>
      </c>
      <c r="C5180" s="177" t="n">
        <v>49380</v>
      </c>
      <c r="D5180" t="inlineStr">
        <is>
          <t>BW20350306</t>
        </is>
      </c>
      <c r="E5180" t="n">
        <v>2035</v>
      </c>
      <c r="F5180" t="inlineStr">
        <is>
          <t>Marzec</t>
        </is>
      </c>
      <c r="G5180" t="inlineStr">
        <is>
          <t>Śr</t>
        </is>
      </c>
      <c r="H5180">
        <f>'Floor Hours Engine'!$E$4</f>
        <v/>
      </c>
      <c r="I5180" t="inlineStr">
        <is>
          <t>W2</t>
        </is>
      </c>
      <c r="J5180" t="inlineStr">
        <is>
          <t>2035_Marzec_W2</t>
        </is>
      </c>
    </row>
    <row r="5181">
      <c r="A5181" s="177" t="n">
        <v>49376</v>
      </c>
      <c r="B5181" s="177" t="n">
        <v>49374</v>
      </c>
      <c r="C5181" s="177" t="n">
        <v>49380</v>
      </c>
      <c r="D5181" t="inlineStr">
        <is>
          <t>BW20350306</t>
        </is>
      </c>
      <c r="E5181" t="n">
        <v>2035</v>
      </c>
      <c r="F5181" t="inlineStr">
        <is>
          <t>Marzec</t>
        </is>
      </c>
      <c r="G5181" t="inlineStr">
        <is>
          <t>Czw</t>
        </is>
      </c>
      <c r="H5181">
        <f>'Floor Hours Engine'!$E$4</f>
        <v/>
      </c>
      <c r="I5181" t="inlineStr">
        <is>
          <t>W2</t>
        </is>
      </c>
      <c r="J5181" t="inlineStr">
        <is>
          <t>2035_Marzec_W2</t>
        </is>
      </c>
    </row>
    <row r="5182">
      <c r="A5182" s="177" t="n">
        <v>49377</v>
      </c>
      <c r="B5182" s="177" t="n">
        <v>49374</v>
      </c>
      <c r="C5182" s="177" t="n">
        <v>49380</v>
      </c>
      <c r="D5182" t="inlineStr">
        <is>
          <t>BW20350306</t>
        </is>
      </c>
      <c r="E5182" t="n">
        <v>2035</v>
      </c>
      <c r="F5182" t="inlineStr">
        <is>
          <t>Marzec</t>
        </is>
      </c>
      <c r="G5182" t="inlineStr">
        <is>
          <t>Pt</t>
        </is>
      </c>
      <c r="H5182">
        <f>'Floor Hours Engine'!$E$5</f>
        <v/>
      </c>
      <c r="I5182" t="inlineStr">
        <is>
          <t>W2</t>
        </is>
      </c>
      <c r="J5182" t="inlineStr">
        <is>
          <t>2035_Marzec_W2</t>
        </is>
      </c>
    </row>
    <row r="5183">
      <c r="A5183" s="177" t="n">
        <v>49378</v>
      </c>
      <c r="B5183" s="177" t="n">
        <v>49374</v>
      </c>
      <c r="C5183" s="177" t="n">
        <v>49380</v>
      </c>
      <c r="D5183" t="inlineStr">
        <is>
          <t>BW20350306</t>
        </is>
      </c>
      <c r="E5183" t="n">
        <v>2035</v>
      </c>
      <c r="F5183" t="inlineStr">
        <is>
          <t>Marzec</t>
        </is>
      </c>
      <c r="G5183" t="inlineStr">
        <is>
          <t>Sob</t>
        </is>
      </c>
      <c r="H5183">
        <f>'Floor Hours Engine'!$E$5</f>
        <v/>
      </c>
      <c r="I5183" t="inlineStr">
        <is>
          <t>W2</t>
        </is>
      </c>
      <c r="J5183" t="inlineStr">
        <is>
          <t>2035_Marzec_W2</t>
        </is>
      </c>
    </row>
    <row r="5184">
      <c r="A5184" s="177" t="n">
        <v>49379</v>
      </c>
      <c r="B5184" s="177" t="n">
        <v>49374</v>
      </c>
      <c r="C5184" s="177" t="n">
        <v>49380</v>
      </c>
      <c r="D5184" t="inlineStr">
        <is>
          <t>BW20350306</t>
        </is>
      </c>
      <c r="E5184" t="n">
        <v>2035</v>
      </c>
      <c r="F5184" t="inlineStr">
        <is>
          <t>Marzec</t>
        </is>
      </c>
      <c r="G5184" t="inlineStr">
        <is>
          <t>Nd</t>
        </is>
      </c>
      <c r="H5184">
        <f>'Floor Hours Engine'!$E$6</f>
        <v/>
      </c>
      <c r="I5184" t="inlineStr">
        <is>
          <t>W2</t>
        </is>
      </c>
      <c r="J5184" t="inlineStr">
        <is>
          <t>2035_Marzec_W2</t>
        </is>
      </c>
    </row>
    <row r="5185">
      <c r="A5185" s="177" t="n">
        <v>49380</v>
      </c>
      <c r="B5185" s="177" t="n">
        <v>49374</v>
      </c>
      <c r="C5185" s="177" t="n">
        <v>49380</v>
      </c>
      <c r="D5185" t="inlineStr">
        <is>
          <t>BW20350306</t>
        </is>
      </c>
      <c r="E5185" t="n">
        <v>2035</v>
      </c>
      <c r="F5185" t="inlineStr">
        <is>
          <t>Marzec</t>
        </is>
      </c>
      <c r="G5185" t="inlineStr">
        <is>
          <t>Pn</t>
        </is>
      </c>
      <c r="H5185">
        <f>'Floor Hours Engine'!$E$4</f>
        <v/>
      </c>
      <c r="I5185" t="inlineStr">
        <is>
          <t>W2</t>
        </is>
      </c>
      <c r="J5185" t="inlineStr">
        <is>
          <t>2035_Marzec_W2</t>
        </is>
      </c>
    </row>
    <row r="5186">
      <c r="A5186" s="177" t="n">
        <v>49381</v>
      </c>
      <c r="B5186" s="177" t="n">
        <v>49381</v>
      </c>
      <c r="C5186" s="177" t="n">
        <v>49387</v>
      </c>
      <c r="D5186" t="inlineStr">
        <is>
          <t>BW20350313</t>
        </is>
      </c>
      <c r="E5186" t="n">
        <v>2035</v>
      </c>
      <c r="F5186" t="inlineStr">
        <is>
          <t>Marzec</t>
        </is>
      </c>
      <c r="G5186" t="inlineStr">
        <is>
          <t>Wt</t>
        </is>
      </c>
      <c r="H5186">
        <f>'Floor Hours Engine'!$E$4</f>
        <v/>
      </c>
      <c r="I5186" t="inlineStr">
        <is>
          <t>W3</t>
        </is>
      </c>
      <c r="J5186" t="inlineStr">
        <is>
          <t>2035_Marzec_W3</t>
        </is>
      </c>
    </row>
    <row r="5187">
      <c r="A5187" s="177" t="n">
        <v>49382</v>
      </c>
      <c r="B5187" s="177" t="n">
        <v>49381</v>
      </c>
      <c r="C5187" s="177" t="n">
        <v>49387</v>
      </c>
      <c r="D5187" t="inlineStr">
        <is>
          <t>BW20350313</t>
        </is>
      </c>
      <c r="E5187" t="n">
        <v>2035</v>
      </c>
      <c r="F5187" t="inlineStr">
        <is>
          <t>Marzec</t>
        </is>
      </c>
      <c r="G5187" t="inlineStr">
        <is>
          <t>Śr</t>
        </is>
      </c>
      <c r="H5187">
        <f>'Floor Hours Engine'!$E$4</f>
        <v/>
      </c>
      <c r="I5187" t="inlineStr">
        <is>
          <t>W3</t>
        </is>
      </c>
      <c r="J5187" t="inlineStr">
        <is>
          <t>2035_Marzec_W3</t>
        </is>
      </c>
    </row>
    <row r="5188">
      <c r="A5188" s="177" t="n">
        <v>49383</v>
      </c>
      <c r="B5188" s="177" t="n">
        <v>49381</v>
      </c>
      <c r="C5188" s="177" t="n">
        <v>49387</v>
      </c>
      <c r="D5188" t="inlineStr">
        <is>
          <t>BW20350313</t>
        </is>
      </c>
      <c r="E5188" t="n">
        <v>2035</v>
      </c>
      <c r="F5188" t="inlineStr">
        <is>
          <t>Marzec</t>
        </is>
      </c>
      <c r="G5188" t="inlineStr">
        <is>
          <t>Czw</t>
        </is>
      </c>
      <c r="H5188">
        <f>'Floor Hours Engine'!$E$4</f>
        <v/>
      </c>
      <c r="I5188" t="inlineStr">
        <is>
          <t>W3</t>
        </is>
      </c>
      <c r="J5188" t="inlineStr">
        <is>
          <t>2035_Marzec_W3</t>
        </is>
      </c>
    </row>
    <row r="5189">
      <c r="A5189" s="177" t="n">
        <v>49384</v>
      </c>
      <c r="B5189" s="177" t="n">
        <v>49381</v>
      </c>
      <c r="C5189" s="177" t="n">
        <v>49387</v>
      </c>
      <c r="D5189" t="inlineStr">
        <is>
          <t>BW20350313</t>
        </is>
      </c>
      <c r="E5189" t="n">
        <v>2035</v>
      </c>
      <c r="F5189" t="inlineStr">
        <is>
          <t>Marzec</t>
        </is>
      </c>
      <c r="G5189" t="inlineStr">
        <is>
          <t>Pt</t>
        </is>
      </c>
      <c r="H5189">
        <f>'Floor Hours Engine'!$E$5</f>
        <v/>
      </c>
      <c r="I5189" t="inlineStr">
        <is>
          <t>W3</t>
        </is>
      </c>
      <c r="J5189" t="inlineStr">
        <is>
          <t>2035_Marzec_W3</t>
        </is>
      </c>
    </row>
    <row r="5190">
      <c r="A5190" s="177" t="n">
        <v>49385</v>
      </c>
      <c r="B5190" s="177" t="n">
        <v>49381</v>
      </c>
      <c r="C5190" s="177" t="n">
        <v>49387</v>
      </c>
      <c r="D5190" t="inlineStr">
        <is>
          <t>BW20350313</t>
        </is>
      </c>
      <c r="E5190" t="n">
        <v>2035</v>
      </c>
      <c r="F5190" t="inlineStr">
        <is>
          <t>Marzec</t>
        </is>
      </c>
      <c r="G5190" t="inlineStr">
        <is>
          <t>Sob</t>
        </is>
      </c>
      <c r="H5190">
        <f>'Floor Hours Engine'!$E$5</f>
        <v/>
      </c>
      <c r="I5190" t="inlineStr">
        <is>
          <t>W3</t>
        </is>
      </c>
      <c r="J5190" t="inlineStr">
        <is>
          <t>2035_Marzec_W3</t>
        </is>
      </c>
    </row>
    <row r="5191">
      <c r="A5191" s="177" t="n">
        <v>49386</v>
      </c>
      <c r="B5191" s="177" t="n">
        <v>49381</v>
      </c>
      <c r="C5191" s="177" t="n">
        <v>49387</v>
      </c>
      <c r="D5191" t="inlineStr">
        <is>
          <t>BW20350313</t>
        </is>
      </c>
      <c r="E5191" t="n">
        <v>2035</v>
      </c>
      <c r="F5191" t="inlineStr">
        <is>
          <t>Marzec</t>
        </is>
      </c>
      <c r="G5191" t="inlineStr">
        <is>
          <t>Nd</t>
        </is>
      </c>
      <c r="H5191">
        <f>'Floor Hours Engine'!$E$6</f>
        <v/>
      </c>
      <c r="I5191" t="inlineStr">
        <is>
          <t>W3</t>
        </is>
      </c>
      <c r="J5191" t="inlineStr">
        <is>
          <t>2035_Marzec_W3</t>
        </is>
      </c>
    </row>
    <row r="5192">
      <c r="A5192" s="177" t="n">
        <v>49387</v>
      </c>
      <c r="B5192" s="177" t="n">
        <v>49381</v>
      </c>
      <c r="C5192" s="177" t="n">
        <v>49387</v>
      </c>
      <c r="D5192" t="inlineStr">
        <is>
          <t>BW20350313</t>
        </is>
      </c>
      <c r="E5192" t="n">
        <v>2035</v>
      </c>
      <c r="F5192" t="inlineStr">
        <is>
          <t>Marzec</t>
        </is>
      </c>
      <c r="G5192" t="inlineStr">
        <is>
          <t>Pn</t>
        </is>
      </c>
      <c r="H5192">
        <f>'Floor Hours Engine'!$E$4</f>
        <v/>
      </c>
      <c r="I5192" t="inlineStr">
        <is>
          <t>W3</t>
        </is>
      </c>
      <c r="J5192" t="inlineStr">
        <is>
          <t>2035_Marzec_W3</t>
        </is>
      </c>
    </row>
    <row r="5193">
      <c r="A5193" s="177" t="n">
        <v>49388</v>
      </c>
      <c r="B5193" s="177" t="n">
        <v>49388</v>
      </c>
      <c r="C5193" s="177" t="n">
        <v>49394</v>
      </c>
      <c r="D5193" t="inlineStr">
        <is>
          <t>BW20350320</t>
        </is>
      </c>
      <c r="E5193" t="n">
        <v>2035</v>
      </c>
      <c r="F5193" t="inlineStr">
        <is>
          <t>Marzec</t>
        </is>
      </c>
      <c r="G5193" t="inlineStr">
        <is>
          <t>Wt</t>
        </is>
      </c>
      <c r="H5193">
        <f>'Floor Hours Engine'!$E$4</f>
        <v/>
      </c>
      <c r="I5193" t="inlineStr">
        <is>
          <t>W4</t>
        </is>
      </c>
      <c r="J5193" t="inlineStr">
        <is>
          <t>2035_Marzec_W4</t>
        </is>
      </c>
    </row>
    <row r="5194">
      <c r="A5194" s="177" t="n">
        <v>49389</v>
      </c>
      <c r="B5194" s="177" t="n">
        <v>49388</v>
      </c>
      <c r="C5194" s="177" t="n">
        <v>49394</v>
      </c>
      <c r="D5194" t="inlineStr">
        <is>
          <t>BW20350320</t>
        </is>
      </c>
      <c r="E5194" t="n">
        <v>2035</v>
      </c>
      <c r="F5194" t="inlineStr">
        <is>
          <t>Marzec</t>
        </is>
      </c>
      <c r="G5194" t="inlineStr">
        <is>
          <t>Śr</t>
        </is>
      </c>
      <c r="H5194">
        <f>'Floor Hours Engine'!$E$4</f>
        <v/>
      </c>
      <c r="I5194" t="inlineStr">
        <is>
          <t>W4</t>
        </is>
      </c>
      <c r="J5194" t="inlineStr">
        <is>
          <t>2035_Marzec_W4</t>
        </is>
      </c>
    </row>
    <row r="5195">
      <c r="A5195" s="177" t="n">
        <v>49390</v>
      </c>
      <c r="B5195" s="177" t="n">
        <v>49388</v>
      </c>
      <c r="C5195" s="177" t="n">
        <v>49394</v>
      </c>
      <c r="D5195" t="inlineStr">
        <is>
          <t>BW20350320</t>
        </is>
      </c>
      <c r="E5195" t="n">
        <v>2035</v>
      </c>
      <c r="F5195" t="inlineStr">
        <is>
          <t>Marzec</t>
        </is>
      </c>
      <c r="G5195" t="inlineStr">
        <is>
          <t>Czw</t>
        </is>
      </c>
      <c r="H5195">
        <f>'Floor Hours Engine'!$E$4</f>
        <v/>
      </c>
      <c r="I5195" t="inlineStr">
        <is>
          <t>W4</t>
        </is>
      </c>
      <c r="J5195" t="inlineStr">
        <is>
          <t>2035_Marzec_W4</t>
        </is>
      </c>
    </row>
    <row r="5196">
      <c r="A5196" s="177" t="n">
        <v>49391</v>
      </c>
      <c r="B5196" s="177" t="n">
        <v>49388</v>
      </c>
      <c r="C5196" s="177" t="n">
        <v>49394</v>
      </c>
      <c r="D5196" t="inlineStr">
        <is>
          <t>BW20350320</t>
        </is>
      </c>
      <c r="E5196" t="n">
        <v>2035</v>
      </c>
      <c r="F5196" t="inlineStr">
        <is>
          <t>Marzec</t>
        </is>
      </c>
      <c r="G5196" t="inlineStr">
        <is>
          <t>Pt</t>
        </is>
      </c>
      <c r="H5196">
        <f>'Floor Hours Engine'!$E$5</f>
        <v/>
      </c>
      <c r="I5196" t="inlineStr">
        <is>
          <t>W4</t>
        </is>
      </c>
      <c r="J5196" t="inlineStr">
        <is>
          <t>2035_Marzec_W4</t>
        </is>
      </c>
    </row>
    <row r="5197">
      <c r="A5197" s="177" t="n">
        <v>49392</v>
      </c>
      <c r="B5197" s="177" t="n">
        <v>49388</v>
      </c>
      <c r="C5197" s="177" t="n">
        <v>49394</v>
      </c>
      <c r="D5197" t="inlineStr">
        <is>
          <t>BW20350320</t>
        </is>
      </c>
      <c r="E5197" t="n">
        <v>2035</v>
      </c>
      <c r="F5197" t="inlineStr">
        <is>
          <t>Marzec</t>
        </is>
      </c>
      <c r="G5197" t="inlineStr">
        <is>
          <t>Sob</t>
        </is>
      </c>
      <c r="H5197">
        <f>'Floor Hours Engine'!$E$5</f>
        <v/>
      </c>
      <c r="I5197" t="inlineStr">
        <is>
          <t>W4</t>
        </is>
      </c>
      <c r="J5197" t="inlineStr">
        <is>
          <t>2035_Marzec_W4</t>
        </is>
      </c>
    </row>
    <row r="5198">
      <c r="A5198" s="177" t="n">
        <v>49393</v>
      </c>
      <c r="B5198" s="177" t="n">
        <v>49388</v>
      </c>
      <c r="C5198" s="177" t="n">
        <v>49394</v>
      </c>
      <c r="D5198" t="inlineStr">
        <is>
          <t>BW20350320</t>
        </is>
      </c>
      <c r="E5198" t="n">
        <v>2035</v>
      </c>
      <c r="F5198" t="inlineStr">
        <is>
          <t>Marzec</t>
        </is>
      </c>
      <c r="G5198" t="inlineStr">
        <is>
          <t>Nd</t>
        </is>
      </c>
      <c r="H5198">
        <f>'Floor Hours Engine'!$E$6</f>
        <v/>
      </c>
      <c r="I5198" t="inlineStr">
        <is>
          <t>W4</t>
        </is>
      </c>
      <c r="J5198" t="inlineStr">
        <is>
          <t>2035_Marzec_W4</t>
        </is>
      </c>
    </row>
    <row r="5199">
      <c r="A5199" s="177" t="n">
        <v>49394</v>
      </c>
      <c r="B5199" s="177" t="n">
        <v>49388</v>
      </c>
      <c r="C5199" s="177" t="n">
        <v>49394</v>
      </c>
      <c r="D5199" t="inlineStr">
        <is>
          <t>BW20350320</t>
        </is>
      </c>
      <c r="E5199" t="n">
        <v>2035</v>
      </c>
      <c r="F5199" t="inlineStr">
        <is>
          <t>Marzec</t>
        </is>
      </c>
      <c r="G5199" t="inlineStr">
        <is>
          <t>Pn</t>
        </is>
      </c>
      <c r="H5199">
        <f>'Floor Hours Engine'!$E$4</f>
        <v/>
      </c>
      <c r="I5199" t="inlineStr">
        <is>
          <t>W4</t>
        </is>
      </c>
      <c r="J5199" t="inlineStr">
        <is>
          <t>2035_Marzec_W4</t>
        </is>
      </c>
    </row>
    <row r="5200">
      <c r="A5200" s="177" t="n">
        <v>49395</v>
      </c>
      <c r="B5200" s="177" t="n">
        <v>49395</v>
      </c>
      <c r="C5200" s="177" t="n">
        <v>49401</v>
      </c>
      <c r="D5200" t="inlineStr">
        <is>
          <t>BW20350327</t>
        </is>
      </c>
      <c r="E5200" t="n">
        <v>2035</v>
      </c>
      <c r="F5200" t="inlineStr">
        <is>
          <t>Marzec</t>
        </is>
      </c>
      <c r="G5200" t="inlineStr">
        <is>
          <t>Wt</t>
        </is>
      </c>
      <c r="H5200">
        <f>'Floor Hours Engine'!$E$4</f>
        <v/>
      </c>
      <c r="I5200" t="inlineStr">
        <is>
          <t>W5</t>
        </is>
      </c>
      <c r="J5200" t="inlineStr">
        <is>
          <t>2035_Marzec_W5</t>
        </is>
      </c>
    </row>
    <row r="5201">
      <c r="A5201" s="177" t="n">
        <v>49396</v>
      </c>
      <c r="B5201" s="177" t="n">
        <v>49395</v>
      </c>
      <c r="C5201" s="177" t="n">
        <v>49401</v>
      </c>
      <c r="D5201" t="inlineStr">
        <is>
          <t>BW20350327</t>
        </is>
      </c>
      <c r="E5201" t="n">
        <v>2035</v>
      </c>
      <c r="F5201" t="inlineStr">
        <is>
          <t>Marzec</t>
        </is>
      </c>
      <c r="G5201" t="inlineStr">
        <is>
          <t>Śr</t>
        </is>
      </c>
      <c r="H5201">
        <f>'Floor Hours Engine'!$E$4</f>
        <v/>
      </c>
      <c r="I5201" t="inlineStr">
        <is>
          <t>W5</t>
        </is>
      </c>
      <c r="J5201" t="inlineStr">
        <is>
          <t>2035_Marzec_W5</t>
        </is>
      </c>
    </row>
    <row r="5202">
      <c r="A5202" s="177" t="n">
        <v>49397</v>
      </c>
      <c r="B5202" s="177" t="n">
        <v>49395</v>
      </c>
      <c r="C5202" s="177" t="n">
        <v>49401</v>
      </c>
      <c r="D5202" t="inlineStr">
        <is>
          <t>BW20350327</t>
        </is>
      </c>
      <c r="E5202" t="n">
        <v>2035</v>
      </c>
      <c r="F5202" t="inlineStr">
        <is>
          <t>Marzec</t>
        </is>
      </c>
      <c r="G5202" t="inlineStr">
        <is>
          <t>Czw</t>
        </is>
      </c>
      <c r="H5202">
        <f>'Floor Hours Engine'!$E$4</f>
        <v/>
      </c>
      <c r="I5202" t="inlineStr">
        <is>
          <t>W5</t>
        </is>
      </c>
      <c r="J5202" t="inlineStr">
        <is>
          <t>2035_Marzec_W5</t>
        </is>
      </c>
    </row>
    <row r="5203">
      <c r="A5203" s="177" t="n">
        <v>49398</v>
      </c>
      <c r="B5203" s="177" t="n">
        <v>49395</v>
      </c>
      <c r="C5203" s="177" t="n">
        <v>49401</v>
      </c>
      <c r="D5203" t="inlineStr">
        <is>
          <t>BW20350327</t>
        </is>
      </c>
      <c r="E5203" t="n">
        <v>2035</v>
      </c>
      <c r="F5203" t="inlineStr">
        <is>
          <t>Marzec</t>
        </is>
      </c>
      <c r="G5203" t="inlineStr">
        <is>
          <t>Pt</t>
        </is>
      </c>
      <c r="H5203">
        <f>'Floor Hours Engine'!$E$5</f>
        <v/>
      </c>
      <c r="I5203" t="inlineStr">
        <is>
          <t>W5</t>
        </is>
      </c>
      <c r="J5203" t="inlineStr">
        <is>
          <t>2035_Marzec_W5</t>
        </is>
      </c>
    </row>
    <row r="5204">
      <c r="A5204" s="177" t="n">
        <v>49399</v>
      </c>
      <c r="B5204" s="177" t="n">
        <v>49395</v>
      </c>
      <c r="C5204" s="177" t="n">
        <v>49401</v>
      </c>
      <c r="D5204" t="inlineStr">
        <is>
          <t>BW20350327</t>
        </is>
      </c>
      <c r="E5204" t="n">
        <v>2035</v>
      </c>
      <c r="F5204" t="inlineStr">
        <is>
          <t>Marzec</t>
        </is>
      </c>
      <c r="G5204" t="inlineStr">
        <is>
          <t>Sob</t>
        </is>
      </c>
      <c r="H5204">
        <f>'Floor Hours Engine'!$E$5</f>
        <v/>
      </c>
      <c r="I5204" t="inlineStr">
        <is>
          <t>W5</t>
        </is>
      </c>
      <c r="J5204" t="inlineStr">
        <is>
          <t>2035_Marzec_W5</t>
        </is>
      </c>
    </row>
    <row r="5205">
      <c r="A5205" s="177" t="n">
        <v>49400</v>
      </c>
      <c r="B5205" s="177" t="n">
        <v>49395</v>
      </c>
      <c r="C5205" s="177" t="n">
        <v>49401</v>
      </c>
      <c r="D5205" t="inlineStr">
        <is>
          <t>BW20350327</t>
        </is>
      </c>
      <c r="E5205" t="n">
        <v>2035</v>
      </c>
      <c r="F5205" t="inlineStr">
        <is>
          <t>Kwiecień</t>
        </is>
      </c>
      <c r="G5205" t="inlineStr">
        <is>
          <t>Nd</t>
        </is>
      </c>
      <c r="H5205">
        <f>'Floor Hours Engine'!$E$6</f>
        <v/>
      </c>
      <c r="I5205" t="inlineStr">
        <is>
          <t>W1</t>
        </is>
      </c>
      <c r="J5205" t="inlineStr">
        <is>
          <t>2035_Kwiecień_W1</t>
        </is>
      </c>
    </row>
    <row r="5206">
      <c r="A5206" s="177" t="n">
        <v>49401</v>
      </c>
      <c r="B5206" s="177" t="n">
        <v>49395</v>
      </c>
      <c r="C5206" s="177" t="n">
        <v>49401</v>
      </c>
      <c r="D5206" t="inlineStr">
        <is>
          <t>BW20350327</t>
        </is>
      </c>
      <c r="E5206" t="n">
        <v>2035</v>
      </c>
      <c r="F5206" t="inlineStr">
        <is>
          <t>Kwiecień</t>
        </is>
      </c>
      <c r="G5206" t="inlineStr">
        <is>
          <t>Pn</t>
        </is>
      </c>
      <c r="H5206">
        <f>'Floor Hours Engine'!$E$4</f>
        <v/>
      </c>
      <c r="I5206" t="inlineStr">
        <is>
          <t>W1</t>
        </is>
      </c>
      <c r="J5206" t="inlineStr">
        <is>
          <t>2035_Kwiecień_W1</t>
        </is>
      </c>
    </row>
    <row r="5207">
      <c r="A5207" s="177" t="n">
        <v>49402</v>
      </c>
      <c r="B5207" s="177" t="n">
        <v>49402</v>
      </c>
      <c r="C5207" s="177" t="n">
        <v>49408</v>
      </c>
      <c r="D5207" t="inlineStr">
        <is>
          <t>BW20350403</t>
        </is>
      </c>
      <c r="E5207" t="n">
        <v>2035</v>
      </c>
      <c r="F5207" t="inlineStr">
        <is>
          <t>Kwiecień</t>
        </is>
      </c>
      <c r="G5207" t="inlineStr">
        <is>
          <t>Wt</t>
        </is>
      </c>
      <c r="H5207">
        <f>'Floor Hours Engine'!$E$4</f>
        <v/>
      </c>
      <c r="I5207" t="inlineStr">
        <is>
          <t>W2</t>
        </is>
      </c>
      <c r="J5207" t="inlineStr">
        <is>
          <t>2035_Kwiecień_W2</t>
        </is>
      </c>
    </row>
    <row r="5208">
      <c r="A5208" s="177" t="n">
        <v>49403</v>
      </c>
      <c r="B5208" s="177" t="n">
        <v>49402</v>
      </c>
      <c r="C5208" s="177" t="n">
        <v>49408</v>
      </c>
      <c r="D5208" t="inlineStr">
        <is>
          <t>BW20350403</t>
        </is>
      </c>
      <c r="E5208" t="n">
        <v>2035</v>
      </c>
      <c r="F5208" t="inlineStr">
        <is>
          <t>Kwiecień</t>
        </is>
      </c>
      <c r="G5208" t="inlineStr">
        <is>
          <t>Śr</t>
        </is>
      </c>
      <c r="H5208">
        <f>'Floor Hours Engine'!$E$4</f>
        <v/>
      </c>
      <c r="I5208" t="inlineStr">
        <is>
          <t>W2</t>
        </is>
      </c>
      <c r="J5208" t="inlineStr">
        <is>
          <t>2035_Kwiecień_W2</t>
        </is>
      </c>
    </row>
    <row r="5209">
      <c r="A5209" s="177" t="n">
        <v>49404</v>
      </c>
      <c r="B5209" s="177" t="n">
        <v>49402</v>
      </c>
      <c r="C5209" s="177" t="n">
        <v>49408</v>
      </c>
      <c r="D5209" t="inlineStr">
        <is>
          <t>BW20350403</t>
        </is>
      </c>
      <c r="E5209" t="n">
        <v>2035</v>
      </c>
      <c r="F5209" t="inlineStr">
        <is>
          <t>Kwiecień</t>
        </is>
      </c>
      <c r="G5209" t="inlineStr">
        <is>
          <t>Czw</t>
        </is>
      </c>
      <c r="H5209">
        <f>'Floor Hours Engine'!$E$4</f>
        <v/>
      </c>
      <c r="I5209" t="inlineStr">
        <is>
          <t>W2</t>
        </is>
      </c>
      <c r="J5209" t="inlineStr">
        <is>
          <t>2035_Kwiecień_W2</t>
        </is>
      </c>
    </row>
    <row r="5210">
      <c r="A5210" s="177" t="n">
        <v>49405</v>
      </c>
      <c r="B5210" s="177" t="n">
        <v>49402</v>
      </c>
      <c r="C5210" s="177" t="n">
        <v>49408</v>
      </c>
      <c r="D5210" t="inlineStr">
        <is>
          <t>BW20350403</t>
        </is>
      </c>
      <c r="E5210" t="n">
        <v>2035</v>
      </c>
      <c r="F5210" t="inlineStr">
        <is>
          <t>Kwiecień</t>
        </is>
      </c>
      <c r="G5210" t="inlineStr">
        <is>
          <t>Pt</t>
        </is>
      </c>
      <c r="H5210">
        <f>'Floor Hours Engine'!$E$5</f>
        <v/>
      </c>
      <c r="I5210" t="inlineStr">
        <is>
          <t>W2</t>
        </is>
      </c>
      <c r="J5210" t="inlineStr">
        <is>
          <t>2035_Kwiecień_W2</t>
        </is>
      </c>
    </row>
    <row r="5211">
      <c r="A5211" s="177" t="n">
        <v>49406</v>
      </c>
      <c r="B5211" s="177" t="n">
        <v>49402</v>
      </c>
      <c r="C5211" s="177" t="n">
        <v>49408</v>
      </c>
      <c r="D5211" t="inlineStr">
        <is>
          <t>BW20350403</t>
        </is>
      </c>
      <c r="E5211" t="n">
        <v>2035</v>
      </c>
      <c r="F5211" t="inlineStr">
        <is>
          <t>Kwiecień</t>
        </is>
      </c>
      <c r="G5211" t="inlineStr">
        <is>
          <t>Sob</t>
        </is>
      </c>
      <c r="H5211">
        <f>'Floor Hours Engine'!$E$5</f>
        <v/>
      </c>
      <c r="I5211" t="inlineStr">
        <is>
          <t>W2</t>
        </is>
      </c>
      <c r="J5211" t="inlineStr">
        <is>
          <t>2035_Kwiecień_W2</t>
        </is>
      </c>
    </row>
    <row r="5212">
      <c r="A5212" s="177" t="n">
        <v>49407</v>
      </c>
      <c r="B5212" s="177" t="n">
        <v>49402</v>
      </c>
      <c r="C5212" s="177" t="n">
        <v>49408</v>
      </c>
      <c r="D5212" t="inlineStr">
        <is>
          <t>BW20350403</t>
        </is>
      </c>
      <c r="E5212" t="n">
        <v>2035</v>
      </c>
      <c r="F5212" t="inlineStr">
        <is>
          <t>Kwiecień</t>
        </is>
      </c>
      <c r="G5212" t="inlineStr">
        <is>
          <t>Nd</t>
        </is>
      </c>
      <c r="H5212">
        <f>'Floor Hours Engine'!$E$6</f>
        <v/>
      </c>
      <c r="I5212" t="inlineStr">
        <is>
          <t>W2</t>
        </is>
      </c>
      <c r="J5212" t="inlineStr">
        <is>
          <t>2035_Kwiecień_W2</t>
        </is>
      </c>
    </row>
    <row r="5213">
      <c r="A5213" s="177" t="n">
        <v>49408</v>
      </c>
      <c r="B5213" s="177" t="n">
        <v>49402</v>
      </c>
      <c r="C5213" s="177" t="n">
        <v>49408</v>
      </c>
      <c r="D5213" t="inlineStr">
        <is>
          <t>BW20350403</t>
        </is>
      </c>
      <c r="E5213" t="n">
        <v>2035</v>
      </c>
      <c r="F5213" t="inlineStr">
        <is>
          <t>Kwiecień</t>
        </is>
      </c>
      <c r="G5213" t="inlineStr">
        <is>
          <t>Pn</t>
        </is>
      </c>
      <c r="H5213">
        <f>'Floor Hours Engine'!$E$4</f>
        <v/>
      </c>
      <c r="I5213" t="inlineStr">
        <is>
          <t>W2</t>
        </is>
      </c>
      <c r="J5213" t="inlineStr">
        <is>
          <t>2035_Kwiecień_W2</t>
        </is>
      </c>
    </row>
    <row r="5214">
      <c r="A5214" s="177" t="n">
        <v>49409</v>
      </c>
      <c r="B5214" s="177" t="n">
        <v>49409</v>
      </c>
      <c r="C5214" s="177" t="n">
        <v>49415</v>
      </c>
      <c r="D5214" t="inlineStr">
        <is>
          <t>BW20350410</t>
        </is>
      </c>
      <c r="E5214" t="n">
        <v>2035</v>
      </c>
      <c r="F5214" t="inlineStr">
        <is>
          <t>Kwiecień</t>
        </is>
      </c>
      <c r="G5214" t="inlineStr">
        <is>
          <t>Wt</t>
        </is>
      </c>
      <c r="H5214">
        <f>'Floor Hours Engine'!$E$4</f>
        <v/>
      </c>
      <c r="I5214" t="inlineStr">
        <is>
          <t>W3</t>
        </is>
      </c>
      <c r="J5214" t="inlineStr">
        <is>
          <t>2035_Kwiecień_W3</t>
        </is>
      </c>
    </row>
    <row r="5215">
      <c r="A5215" s="177" t="n">
        <v>49410</v>
      </c>
      <c r="B5215" s="177" t="n">
        <v>49409</v>
      </c>
      <c r="C5215" s="177" t="n">
        <v>49415</v>
      </c>
      <c r="D5215" t="inlineStr">
        <is>
          <t>BW20350410</t>
        </is>
      </c>
      <c r="E5215" t="n">
        <v>2035</v>
      </c>
      <c r="F5215" t="inlineStr">
        <is>
          <t>Kwiecień</t>
        </is>
      </c>
      <c r="G5215" t="inlineStr">
        <is>
          <t>Śr</t>
        </is>
      </c>
      <c r="H5215">
        <f>'Floor Hours Engine'!$E$4</f>
        <v/>
      </c>
      <c r="I5215" t="inlineStr">
        <is>
          <t>W3</t>
        </is>
      </c>
      <c r="J5215" t="inlineStr">
        <is>
          <t>2035_Kwiecień_W3</t>
        </is>
      </c>
    </row>
    <row r="5216">
      <c r="A5216" s="177" t="n">
        <v>49411</v>
      </c>
      <c r="B5216" s="177" t="n">
        <v>49409</v>
      </c>
      <c r="C5216" s="177" t="n">
        <v>49415</v>
      </c>
      <c r="D5216" t="inlineStr">
        <is>
          <t>BW20350410</t>
        </is>
      </c>
      <c r="E5216" t="n">
        <v>2035</v>
      </c>
      <c r="F5216" t="inlineStr">
        <is>
          <t>Kwiecień</t>
        </is>
      </c>
      <c r="G5216" t="inlineStr">
        <is>
          <t>Czw</t>
        </is>
      </c>
      <c r="H5216">
        <f>'Floor Hours Engine'!$E$4</f>
        <v/>
      </c>
      <c r="I5216" t="inlineStr">
        <is>
          <t>W3</t>
        </is>
      </c>
      <c r="J5216" t="inlineStr">
        <is>
          <t>2035_Kwiecień_W3</t>
        </is>
      </c>
    </row>
    <row r="5217">
      <c r="A5217" s="177" t="n">
        <v>49412</v>
      </c>
      <c r="B5217" s="177" t="n">
        <v>49409</v>
      </c>
      <c r="C5217" s="177" t="n">
        <v>49415</v>
      </c>
      <c r="D5217" t="inlineStr">
        <is>
          <t>BW20350410</t>
        </is>
      </c>
      <c r="E5217" t="n">
        <v>2035</v>
      </c>
      <c r="F5217" t="inlineStr">
        <is>
          <t>Kwiecień</t>
        </is>
      </c>
      <c r="G5217" t="inlineStr">
        <is>
          <t>Pt</t>
        </is>
      </c>
      <c r="H5217">
        <f>'Floor Hours Engine'!$E$5</f>
        <v/>
      </c>
      <c r="I5217" t="inlineStr">
        <is>
          <t>W3</t>
        </is>
      </c>
      <c r="J5217" t="inlineStr">
        <is>
          <t>2035_Kwiecień_W3</t>
        </is>
      </c>
    </row>
    <row r="5218">
      <c r="A5218" s="177" t="n">
        <v>49413</v>
      </c>
      <c r="B5218" s="177" t="n">
        <v>49409</v>
      </c>
      <c r="C5218" s="177" t="n">
        <v>49415</v>
      </c>
      <c r="D5218" t="inlineStr">
        <is>
          <t>BW20350410</t>
        </is>
      </c>
      <c r="E5218" t="n">
        <v>2035</v>
      </c>
      <c r="F5218" t="inlineStr">
        <is>
          <t>Kwiecień</t>
        </is>
      </c>
      <c r="G5218" t="inlineStr">
        <is>
          <t>Sob</t>
        </is>
      </c>
      <c r="H5218">
        <f>'Floor Hours Engine'!$E$5</f>
        <v/>
      </c>
      <c r="I5218" t="inlineStr">
        <is>
          <t>W3</t>
        </is>
      </c>
      <c r="J5218" t="inlineStr">
        <is>
          <t>2035_Kwiecień_W3</t>
        </is>
      </c>
    </row>
    <row r="5219">
      <c r="A5219" s="177" t="n">
        <v>49414</v>
      </c>
      <c r="B5219" s="177" t="n">
        <v>49409</v>
      </c>
      <c r="C5219" s="177" t="n">
        <v>49415</v>
      </c>
      <c r="D5219" t="inlineStr">
        <is>
          <t>BW20350410</t>
        </is>
      </c>
      <c r="E5219" t="n">
        <v>2035</v>
      </c>
      <c r="F5219" t="inlineStr">
        <is>
          <t>Kwiecień</t>
        </is>
      </c>
      <c r="G5219" t="inlineStr">
        <is>
          <t>Nd</t>
        </is>
      </c>
      <c r="H5219">
        <f>'Floor Hours Engine'!$E$6</f>
        <v/>
      </c>
      <c r="I5219" t="inlineStr">
        <is>
          <t>W3</t>
        </is>
      </c>
      <c r="J5219" t="inlineStr">
        <is>
          <t>2035_Kwiecień_W3</t>
        </is>
      </c>
    </row>
    <row r="5220">
      <c r="A5220" s="177" t="n">
        <v>49415</v>
      </c>
      <c r="B5220" s="177" t="n">
        <v>49409</v>
      </c>
      <c r="C5220" s="177" t="n">
        <v>49415</v>
      </c>
      <c r="D5220" t="inlineStr">
        <is>
          <t>BW20350410</t>
        </is>
      </c>
      <c r="E5220" t="n">
        <v>2035</v>
      </c>
      <c r="F5220" t="inlineStr">
        <is>
          <t>Kwiecień</t>
        </is>
      </c>
      <c r="G5220" t="inlineStr">
        <is>
          <t>Pn</t>
        </is>
      </c>
      <c r="H5220">
        <f>'Floor Hours Engine'!$E$4</f>
        <v/>
      </c>
      <c r="I5220" t="inlineStr">
        <is>
          <t>W3</t>
        </is>
      </c>
      <c r="J5220" t="inlineStr">
        <is>
          <t>2035_Kwiecień_W3</t>
        </is>
      </c>
    </row>
    <row r="5221">
      <c r="A5221" s="177" t="n">
        <v>49416</v>
      </c>
      <c r="B5221" s="177" t="n">
        <v>49416</v>
      </c>
      <c r="C5221" s="177" t="n">
        <v>49422</v>
      </c>
      <c r="D5221" t="inlineStr">
        <is>
          <t>BW20350417</t>
        </is>
      </c>
      <c r="E5221" t="n">
        <v>2035</v>
      </c>
      <c r="F5221" t="inlineStr">
        <is>
          <t>Kwiecień</t>
        </is>
      </c>
      <c r="G5221" t="inlineStr">
        <is>
          <t>Wt</t>
        </is>
      </c>
      <c r="H5221">
        <f>'Floor Hours Engine'!$E$4</f>
        <v/>
      </c>
      <c r="I5221" t="inlineStr">
        <is>
          <t>W4</t>
        </is>
      </c>
      <c r="J5221" t="inlineStr">
        <is>
          <t>2035_Kwiecień_W4</t>
        </is>
      </c>
    </row>
    <row r="5222">
      <c r="A5222" s="177" t="n">
        <v>49417</v>
      </c>
      <c r="B5222" s="177" t="n">
        <v>49416</v>
      </c>
      <c r="C5222" s="177" t="n">
        <v>49422</v>
      </c>
      <c r="D5222" t="inlineStr">
        <is>
          <t>BW20350417</t>
        </is>
      </c>
      <c r="E5222" t="n">
        <v>2035</v>
      </c>
      <c r="F5222" t="inlineStr">
        <is>
          <t>Kwiecień</t>
        </is>
      </c>
      <c r="G5222" t="inlineStr">
        <is>
          <t>Śr</t>
        </is>
      </c>
      <c r="H5222">
        <f>'Floor Hours Engine'!$E$4</f>
        <v/>
      </c>
      <c r="I5222" t="inlineStr">
        <is>
          <t>W4</t>
        </is>
      </c>
      <c r="J5222" t="inlineStr">
        <is>
          <t>2035_Kwiecień_W4</t>
        </is>
      </c>
    </row>
    <row r="5223">
      <c r="A5223" s="177" t="n">
        <v>49418</v>
      </c>
      <c r="B5223" s="177" t="n">
        <v>49416</v>
      </c>
      <c r="C5223" s="177" t="n">
        <v>49422</v>
      </c>
      <c r="D5223" t="inlineStr">
        <is>
          <t>BW20350417</t>
        </is>
      </c>
      <c r="E5223" t="n">
        <v>2035</v>
      </c>
      <c r="F5223" t="inlineStr">
        <is>
          <t>Kwiecień</t>
        </is>
      </c>
      <c r="G5223" t="inlineStr">
        <is>
          <t>Czw</t>
        </is>
      </c>
      <c r="H5223">
        <f>'Floor Hours Engine'!$E$4</f>
        <v/>
      </c>
      <c r="I5223" t="inlineStr">
        <is>
          <t>W4</t>
        </is>
      </c>
      <c r="J5223" t="inlineStr">
        <is>
          <t>2035_Kwiecień_W4</t>
        </is>
      </c>
    </row>
    <row r="5224">
      <c r="A5224" s="177" t="n">
        <v>49419</v>
      </c>
      <c r="B5224" s="177" t="n">
        <v>49416</v>
      </c>
      <c r="C5224" s="177" t="n">
        <v>49422</v>
      </c>
      <c r="D5224" t="inlineStr">
        <is>
          <t>BW20350417</t>
        </is>
      </c>
      <c r="E5224" t="n">
        <v>2035</v>
      </c>
      <c r="F5224" t="inlineStr">
        <is>
          <t>Kwiecień</t>
        </is>
      </c>
      <c r="G5224" t="inlineStr">
        <is>
          <t>Pt</t>
        </is>
      </c>
      <c r="H5224">
        <f>'Floor Hours Engine'!$E$5</f>
        <v/>
      </c>
      <c r="I5224" t="inlineStr">
        <is>
          <t>W4</t>
        </is>
      </c>
      <c r="J5224" t="inlineStr">
        <is>
          <t>2035_Kwiecień_W4</t>
        </is>
      </c>
    </row>
    <row r="5225">
      <c r="A5225" s="177" t="n">
        <v>49420</v>
      </c>
      <c r="B5225" s="177" t="n">
        <v>49416</v>
      </c>
      <c r="C5225" s="177" t="n">
        <v>49422</v>
      </c>
      <c r="D5225" t="inlineStr">
        <is>
          <t>BW20350417</t>
        </is>
      </c>
      <c r="E5225" t="n">
        <v>2035</v>
      </c>
      <c r="F5225" t="inlineStr">
        <is>
          <t>Kwiecień</t>
        </is>
      </c>
      <c r="G5225" t="inlineStr">
        <is>
          <t>Sob</t>
        </is>
      </c>
      <c r="H5225">
        <f>'Floor Hours Engine'!$E$5</f>
        <v/>
      </c>
      <c r="I5225" t="inlineStr">
        <is>
          <t>W4</t>
        </is>
      </c>
      <c r="J5225" t="inlineStr">
        <is>
          <t>2035_Kwiecień_W4</t>
        </is>
      </c>
    </row>
    <row r="5226">
      <c r="A5226" s="177" t="n">
        <v>49421</v>
      </c>
      <c r="B5226" s="177" t="n">
        <v>49416</v>
      </c>
      <c r="C5226" s="177" t="n">
        <v>49422</v>
      </c>
      <c r="D5226" t="inlineStr">
        <is>
          <t>BW20350417</t>
        </is>
      </c>
      <c r="E5226" t="n">
        <v>2035</v>
      </c>
      <c r="F5226" t="inlineStr">
        <is>
          <t>Kwiecień</t>
        </is>
      </c>
      <c r="G5226" t="inlineStr">
        <is>
          <t>Nd</t>
        </is>
      </c>
      <c r="H5226">
        <f>'Floor Hours Engine'!$E$6</f>
        <v/>
      </c>
      <c r="I5226" t="inlineStr">
        <is>
          <t>W4</t>
        </is>
      </c>
      <c r="J5226" t="inlineStr">
        <is>
          <t>2035_Kwiecień_W4</t>
        </is>
      </c>
    </row>
    <row r="5227">
      <c r="A5227" s="177" t="n">
        <v>49422</v>
      </c>
      <c r="B5227" s="177" t="n">
        <v>49416</v>
      </c>
      <c r="C5227" s="177" t="n">
        <v>49422</v>
      </c>
      <c r="D5227" t="inlineStr">
        <is>
          <t>BW20350417</t>
        </is>
      </c>
      <c r="E5227" t="n">
        <v>2035</v>
      </c>
      <c r="F5227" t="inlineStr">
        <is>
          <t>Kwiecień</t>
        </is>
      </c>
      <c r="G5227" t="inlineStr">
        <is>
          <t>Pn</t>
        </is>
      </c>
      <c r="H5227">
        <f>'Floor Hours Engine'!$E$4</f>
        <v/>
      </c>
      <c r="I5227" t="inlineStr">
        <is>
          <t>W4</t>
        </is>
      </c>
      <c r="J5227" t="inlineStr">
        <is>
          <t>2035_Kwiecień_W4</t>
        </is>
      </c>
    </row>
    <row r="5228">
      <c r="A5228" s="177" t="n">
        <v>49423</v>
      </c>
      <c r="B5228" s="177" t="n">
        <v>49423</v>
      </c>
      <c r="C5228" s="177" t="n">
        <v>49429</v>
      </c>
      <c r="D5228" t="inlineStr">
        <is>
          <t>BW20350424</t>
        </is>
      </c>
      <c r="E5228" t="n">
        <v>2035</v>
      </c>
      <c r="F5228" t="inlineStr">
        <is>
          <t>Kwiecień</t>
        </is>
      </c>
      <c r="G5228" t="inlineStr">
        <is>
          <t>Wt</t>
        </is>
      </c>
      <c r="H5228">
        <f>'Floor Hours Engine'!$E$4</f>
        <v/>
      </c>
      <c r="I5228" t="inlineStr">
        <is>
          <t>W5</t>
        </is>
      </c>
      <c r="J5228" t="inlineStr">
        <is>
          <t>2035_Kwiecień_W5</t>
        </is>
      </c>
    </row>
    <row r="5229">
      <c r="A5229" s="177" t="n">
        <v>49424</v>
      </c>
      <c r="B5229" s="177" t="n">
        <v>49423</v>
      </c>
      <c r="C5229" s="177" t="n">
        <v>49429</v>
      </c>
      <c r="D5229" t="inlineStr">
        <is>
          <t>BW20350424</t>
        </is>
      </c>
      <c r="E5229" t="n">
        <v>2035</v>
      </c>
      <c r="F5229" t="inlineStr">
        <is>
          <t>Kwiecień</t>
        </is>
      </c>
      <c r="G5229" t="inlineStr">
        <is>
          <t>Śr</t>
        </is>
      </c>
      <c r="H5229">
        <f>'Floor Hours Engine'!$E$4</f>
        <v/>
      </c>
      <c r="I5229" t="inlineStr">
        <is>
          <t>W5</t>
        </is>
      </c>
      <c r="J5229" t="inlineStr">
        <is>
          <t>2035_Kwiecień_W5</t>
        </is>
      </c>
    </row>
    <row r="5230">
      <c r="A5230" s="177" t="n">
        <v>49425</v>
      </c>
      <c r="B5230" s="177" t="n">
        <v>49423</v>
      </c>
      <c r="C5230" s="177" t="n">
        <v>49429</v>
      </c>
      <c r="D5230" t="inlineStr">
        <is>
          <t>BW20350424</t>
        </is>
      </c>
      <c r="E5230" t="n">
        <v>2035</v>
      </c>
      <c r="F5230" t="inlineStr">
        <is>
          <t>Kwiecień</t>
        </is>
      </c>
      <c r="G5230" t="inlineStr">
        <is>
          <t>Czw</t>
        </is>
      </c>
      <c r="H5230">
        <f>'Floor Hours Engine'!$E$4</f>
        <v/>
      </c>
      <c r="I5230" t="inlineStr">
        <is>
          <t>W5</t>
        </is>
      </c>
      <c r="J5230" t="inlineStr">
        <is>
          <t>2035_Kwiecień_W5</t>
        </is>
      </c>
    </row>
    <row r="5231">
      <c r="A5231" s="177" t="n">
        <v>49426</v>
      </c>
      <c r="B5231" s="177" t="n">
        <v>49423</v>
      </c>
      <c r="C5231" s="177" t="n">
        <v>49429</v>
      </c>
      <c r="D5231" t="inlineStr">
        <is>
          <t>BW20350424</t>
        </is>
      </c>
      <c r="E5231" t="n">
        <v>2035</v>
      </c>
      <c r="F5231" t="inlineStr">
        <is>
          <t>Kwiecień</t>
        </is>
      </c>
      <c r="G5231" t="inlineStr">
        <is>
          <t>Pt</t>
        </is>
      </c>
      <c r="H5231">
        <f>'Floor Hours Engine'!$E$5</f>
        <v/>
      </c>
      <c r="I5231" t="inlineStr">
        <is>
          <t>W5</t>
        </is>
      </c>
      <c r="J5231" t="inlineStr">
        <is>
          <t>2035_Kwiecień_W5</t>
        </is>
      </c>
    </row>
    <row r="5232">
      <c r="A5232" s="177" t="n">
        <v>49427</v>
      </c>
      <c r="B5232" s="177" t="n">
        <v>49423</v>
      </c>
      <c r="C5232" s="177" t="n">
        <v>49429</v>
      </c>
      <c r="D5232" t="inlineStr">
        <is>
          <t>BW20350424</t>
        </is>
      </c>
      <c r="E5232" t="n">
        <v>2035</v>
      </c>
      <c r="F5232" t="inlineStr">
        <is>
          <t>Kwiecień</t>
        </is>
      </c>
      <c r="G5232" t="inlineStr">
        <is>
          <t>Sob</t>
        </is>
      </c>
      <c r="H5232">
        <f>'Floor Hours Engine'!$E$5</f>
        <v/>
      </c>
      <c r="I5232" t="inlineStr">
        <is>
          <t>W5</t>
        </is>
      </c>
      <c r="J5232" t="inlineStr">
        <is>
          <t>2035_Kwiecień_W5</t>
        </is>
      </c>
    </row>
    <row r="5233">
      <c r="A5233" s="177" t="n">
        <v>49428</v>
      </c>
      <c r="B5233" s="177" t="n">
        <v>49423</v>
      </c>
      <c r="C5233" s="177" t="n">
        <v>49429</v>
      </c>
      <c r="D5233" t="inlineStr">
        <is>
          <t>BW20350424</t>
        </is>
      </c>
      <c r="E5233" t="n">
        <v>2035</v>
      </c>
      <c r="F5233" t="inlineStr">
        <is>
          <t>Kwiecień</t>
        </is>
      </c>
      <c r="G5233" t="inlineStr">
        <is>
          <t>Nd</t>
        </is>
      </c>
      <c r="H5233">
        <f>'Floor Hours Engine'!$E$6</f>
        <v/>
      </c>
      <c r="I5233" t="inlineStr">
        <is>
          <t>W5</t>
        </is>
      </c>
      <c r="J5233" t="inlineStr">
        <is>
          <t>2035_Kwiecień_W5</t>
        </is>
      </c>
    </row>
    <row r="5234">
      <c r="A5234" s="177" t="n">
        <v>49429</v>
      </c>
      <c r="B5234" s="177" t="n">
        <v>49423</v>
      </c>
      <c r="C5234" s="177" t="n">
        <v>49429</v>
      </c>
      <c r="D5234" t="inlineStr">
        <is>
          <t>BW20350424</t>
        </is>
      </c>
      <c r="E5234" t="n">
        <v>2035</v>
      </c>
      <c r="F5234" t="inlineStr">
        <is>
          <t>Kwiecień</t>
        </is>
      </c>
      <c r="G5234" t="inlineStr">
        <is>
          <t>Pn</t>
        </is>
      </c>
      <c r="H5234">
        <f>'Floor Hours Engine'!$E$4</f>
        <v/>
      </c>
      <c r="I5234" t="inlineStr">
        <is>
          <t>W5</t>
        </is>
      </c>
      <c r="J5234" t="inlineStr">
        <is>
          <t>2035_Kwiecień_W5</t>
        </is>
      </c>
    </row>
    <row r="5235">
      <c r="A5235" s="177" t="n">
        <v>49430</v>
      </c>
      <c r="B5235" s="177" t="n">
        <v>49430</v>
      </c>
      <c r="C5235" s="177" t="n">
        <v>49436</v>
      </c>
      <c r="D5235" t="inlineStr">
        <is>
          <t>BW20350501</t>
        </is>
      </c>
      <c r="E5235" t="n">
        <v>2035</v>
      </c>
      <c r="F5235" t="inlineStr">
        <is>
          <t>Maj</t>
        </is>
      </c>
      <c r="G5235" t="inlineStr">
        <is>
          <t>Wt</t>
        </is>
      </c>
      <c r="H5235">
        <f>'Floor Hours Engine'!$E$4</f>
        <v/>
      </c>
      <c r="I5235" t="inlineStr">
        <is>
          <t>W1</t>
        </is>
      </c>
      <c r="J5235" t="inlineStr">
        <is>
          <t>2035_Maj_W1</t>
        </is>
      </c>
    </row>
    <row r="5236">
      <c r="A5236" s="177" t="n">
        <v>49431</v>
      </c>
      <c r="B5236" s="177" t="n">
        <v>49430</v>
      </c>
      <c r="C5236" s="177" t="n">
        <v>49436</v>
      </c>
      <c r="D5236" t="inlineStr">
        <is>
          <t>BW20350501</t>
        </is>
      </c>
      <c r="E5236" t="n">
        <v>2035</v>
      </c>
      <c r="F5236" t="inlineStr">
        <is>
          <t>Maj</t>
        </is>
      </c>
      <c r="G5236" t="inlineStr">
        <is>
          <t>Śr</t>
        </is>
      </c>
      <c r="H5236">
        <f>'Floor Hours Engine'!$E$4</f>
        <v/>
      </c>
      <c r="I5236" t="inlineStr">
        <is>
          <t>W1</t>
        </is>
      </c>
      <c r="J5236" t="inlineStr">
        <is>
          <t>2035_Maj_W1</t>
        </is>
      </c>
    </row>
    <row r="5237">
      <c r="A5237" s="177" t="n">
        <v>49432</v>
      </c>
      <c r="B5237" s="177" t="n">
        <v>49430</v>
      </c>
      <c r="C5237" s="177" t="n">
        <v>49436</v>
      </c>
      <c r="D5237" t="inlineStr">
        <is>
          <t>BW20350501</t>
        </is>
      </c>
      <c r="E5237" t="n">
        <v>2035</v>
      </c>
      <c r="F5237" t="inlineStr">
        <is>
          <t>Maj</t>
        </is>
      </c>
      <c r="G5237" t="inlineStr">
        <is>
          <t>Czw</t>
        </is>
      </c>
      <c r="H5237">
        <f>'Floor Hours Engine'!$E$4</f>
        <v/>
      </c>
      <c r="I5237" t="inlineStr">
        <is>
          <t>W1</t>
        </is>
      </c>
      <c r="J5237" t="inlineStr">
        <is>
          <t>2035_Maj_W1</t>
        </is>
      </c>
    </row>
    <row r="5238">
      <c r="A5238" s="177" t="n">
        <v>49433</v>
      </c>
      <c r="B5238" s="177" t="n">
        <v>49430</v>
      </c>
      <c r="C5238" s="177" t="n">
        <v>49436</v>
      </c>
      <c r="D5238" t="inlineStr">
        <is>
          <t>BW20350501</t>
        </is>
      </c>
      <c r="E5238" t="n">
        <v>2035</v>
      </c>
      <c r="F5238" t="inlineStr">
        <is>
          <t>Maj</t>
        </is>
      </c>
      <c r="G5238" t="inlineStr">
        <is>
          <t>Pt</t>
        </is>
      </c>
      <c r="H5238">
        <f>'Floor Hours Engine'!$E$5</f>
        <v/>
      </c>
      <c r="I5238" t="inlineStr">
        <is>
          <t>W1</t>
        </is>
      </c>
      <c r="J5238" t="inlineStr">
        <is>
          <t>2035_Maj_W1</t>
        </is>
      </c>
    </row>
    <row r="5239">
      <c r="A5239" s="177" t="n">
        <v>49434</v>
      </c>
      <c r="B5239" s="177" t="n">
        <v>49430</v>
      </c>
      <c r="C5239" s="177" t="n">
        <v>49436</v>
      </c>
      <c r="D5239" t="inlineStr">
        <is>
          <t>BW20350501</t>
        </is>
      </c>
      <c r="E5239" t="n">
        <v>2035</v>
      </c>
      <c r="F5239" t="inlineStr">
        <is>
          <t>Maj</t>
        </is>
      </c>
      <c r="G5239" t="inlineStr">
        <is>
          <t>Sob</t>
        </is>
      </c>
      <c r="H5239">
        <f>'Floor Hours Engine'!$E$5</f>
        <v/>
      </c>
      <c r="I5239" t="inlineStr">
        <is>
          <t>W1</t>
        </is>
      </c>
      <c r="J5239" t="inlineStr">
        <is>
          <t>2035_Maj_W1</t>
        </is>
      </c>
    </row>
    <row r="5240">
      <c r="A5240" s="177" t="n">
        <v>49435</v>
      </c>
      <c r="B5240" s="177" t="n">
        <v>49430</v>
      </c>
      <c r="C5240" s="177" t="n">
        <v>49436</v>
      </c>
      <c r="D5240" t="inlineStr">
        <is>
          <t>BW20350501</t>
        </is>
      </c>
      <c r="E5240" t="n">
        <v>2035</v>
      </c>
      <c r="F5240" t="inlineStr">
        <is>
          <t>Maj</t>
        </is>
      </c>
      <c r="G5240" t="inlineStr">
        <is>
          <t>Nd</t>
        </is>
      </c>
      <c r="H5240">
        <f>'Floor Hours Engine'!$E$6</f>
        <v/>
      </c>
      <c r="I5240" t="inlineStr">
        <is>
          <t>W1</t>
        </is>
      </c>
      <c r="J5240" t="inlineStr">
        <is>
          <t>2035_Maj_W1</t>
        </is>
      </c>
    </row>
    <row r="5241">
      <c r="A5241" s="177" t="n">
        <v>49436</v>
      </c>
      <c r="B5241" s="177" t="n">
        <v>49430</v>
      </c>
      <c r="C5241" s="177" t="n">
        <v>49436</v>
      </c>
      <c r="D5241" t="inlineStr">
        <is>
          <t>BW20350501</t>
        </is>
      </c>
      <c r="E5241" t="n">
        <v>2035</v>
      </c>
      <c r="F5241" t="inlineStr">
        <is>
          <t>Maj</t>
        </is>
      </c>
      <c r="G5241" t="inlineStr">
        <is>
          <t>Pn</t>
        </is>
      </c>
      <c r="H5241">
        <f>'Floor Hours Engine'!$E$4</f>
        <v/>
      </c>
      <c r="I5241" t="inlineStr">
        <is>
          <t>W1</t>
        </is>
      </c>
      <c r="J5241" t="inlineStr">
        <is>
          <t>2035_Maj_W1</t>
        </is>
      </c>
    </row>
    <row r="5242">
      <c r="A5242" s="177" t="n">
        <v>49437</v>
      </c>
      <c r="B5242" s="177" t="n">
        <v>49437</v>
      </c>
      <c r="C5242" s="177" t="n">
        <v>49443</v>
      </c>
      <c r="D5242" t="inlineStr">
        <is>
          <t>BW20350508</t>
        </is>
      </c>
      <c r="E5242" t="n">
        <v>2035</v>
      </c>
      <c r="F5242" t="inlineStr">
        <is>
          <t>Maj</t>
        </is>
      </c>
      <c r="G5242" t="inlineStr">
        <is>
          <t>Wt</t>
        </is>
      </c>
      <c r="H5242">
        <f>'Floor Hours Engine'!$E$4</f>
        <v/>
      </c>
      <c r="I5242" t="inlineStr">
        <is>
          <t>W2</t>
        </is>
      </c>
      <c r="J5242" t="inlineStr">
        <is>
          <t>2035_Maj_W2</t>
        </is>
      </c>
    </row>
    <row r="5243">
      <c r="A5243" s="177" t="n">
        <v>49438</v>
      </c>
      <c r="B5243" s="177" t="n">
        <v>49437</v>
      </c>
      <c r="C5243" s="177" t="n">
        <v>49443</v>
      </c>
      <c r="D5243" t="inlineStr">
        <is>
          <t>BW20350508</t>
        </is>
      </c>
      <c r="E5243" t="n">
        <v>2035</v>
      </c>
      <c r="F5243" t="inlineStr">
        <is>
          <t>Maj</t>
        </is>
      </c>
      <c r="G5243" t="inlineStr">
        <is>
          <t>Śr</t>
        </is>
      </c>
      <c r="H5243">
        <f>'Floor Hours Engine'!$E$4</f>
        <v/>
      </c>
      <c r="I5243" t="inlineStr">
        <is>
          <t>W2</t>
        </is>
      </c>
      <c r="J5243" t="inlineStr">
        <is>
          <t>2035_Maj_W2</t>
        </is>
      </c>
    </row>
    <row r="5244">
      <c r="A5244" s="177" t="n">
        <v>49439</v>
      </c>
      <c r="B5244" s="177" t="n">
        <v>49437</v>
      </c>
      <c r="C5244" s="177" t="n">
        <v>49443</v>
      </c>
      <c r="D5244" t="inlineStr">
        <is>
          <t>BW20350508</t>
        </is>
      </c>
      <c r="E5244" t="n">
        <v>2035</v>
      </c>
      <c r="F5244" t="inlineStr">
        <is>
          <t>Maj</t>
        </is>
      </c>
      <c r="G5244" t="inlineStr">
        <is>
          <t>Czw</t>
        </is>
      </c>
      <c r="H5244">
        <f>'Floor Hours Engine'!$E$4</f>
        <v/>
      </c>
      <c r="I5244" t="inlineStr">
        <is>
          <t>W2</t>
        </is>
      </c>
      <c r="J5244" t="inlineStr">
        <is>
          <t>2035_Maj_W2</t>
        </is>
      </c>
    </row>
    <row r="5245">
      <c r="A5245" s="177" t="n">
        <v>49440</v>
      </c>
      <c r="B5245" s="177" t="n">
        <v>49437</v>
      </c>
      <c r="C5245" s="177" t="n">
        <v>49443</v>
      </c>
      <c r="D5245" t="inlineStr">
        <is>
          <t>BW20350508</t>
        </is>
      </c>
      <c r="E5245" t="n">
        <v>2035</v>
      </c>
      <c r="F5245" t="inlineStr">
        <is>
          <t>Maj</t>
        </is>
      </c>
      <c r="G5245" t="inlineStr">
        <is>
          <t>Pt</t>
        </is>
      </c>
      <c r="H5245">
        <f>'Floor Hours Engine'!$E$5</f>
        <v/>
      </c>
      <c r="I5245" t="inlineStr">
        <is>
          <t>W2</t>
        </is>
      </c>
      <c r="J5245" t="inlineStr">
        <is>
          <t>2035_Maj_W2</t>
        </is>
      </c>
    </row>
    <row r="5246">
      <c r="A5246" s="177" t="n">
        <v>49441</v>
      </c>
      <c r="B5246" s="177" t="n">
        <v>49437</v>
      </c>
      <c r="C5246" s="177" t="n">
        <v>49443</v>
      </c>
      <c r="D5246" t="inlineStr">
        <is>
          <t>BW20350508</t>
        </is>
      </c>
      <c r="E5246" t="n">
        <v>2035</v>
      </c>
      <c r="F5246" t="inlineStr">
        <is>
          <t>Maj</t>
        </is>
      </c>
      <c r="G5246" t="inlineStr">
        <is>
          <t>Sob</t>
        </is>
      </c>
      <c r="H5246">
        <f>'Floor Hours Engine'!$E$5</f>
        <v/>
      </c>
      <c r="I5246" t="inlineStr">
        <is>
          <t>W2</t>
        </is>
      </c>
      <c r="J5246" t="inlineStr">
        <is>
          <t>2035_Maj_W2</t>
        </is>
      </c>
    </row>
    <row r="5247">
      <c r="A5247" s="177" t="n">
        <v>49442</v>
      </c>
      <c r="B5247" s="177" t="n">
        <v>49437</v>
      </c>
      <c r="C5247" s="177" t="n">
        <v>49443</v>
      </c>
      <c r="D5247" t="inlineStr">
        <is>
          <t>BW20350508</t>
        </is>
      </c>
      <c r="E5247" t="n">
        <v>2035</v>
      </c>
      <c r="F5247" t="inlineStr">
        <is>
          <t>Maj</t>
        </is>
      </c>
      <c r="G5247" t="inlineStr">
        <is>
          <t>Nd</t>
        </is>
      </c>
      <c r="H5247">
        <f>'Floor Hours Engine'!$E$6</f>
        <v/>
      </c>
      <c r="I5247" t="inlineStr">
        <is>
          <t>W2</t>
        </is>
      </c>
      <c r="J5247" t="inlineStr">
        <is>
          <t>2035_Maj_W2</t>
        </is>
      </c>
    </row>
    <row r="5248">
      <c r="A5248" s="177" t="n">
        <v>49443</v>
      </c>
      <c r="B5248" s="177" t="n">
        <v>49437</v>
      </c>
      <c r="C5248" s="177" t="n">
        <v>49443</v>
      </c>
      <c r="D5248" t="inlineStr">
        <is>
          <t>BW20350508</t>
        </is>
      </c>
      <c r="E5248" t="n">
        <v>2035</v>
      </c>
      <c r="F5248" t="inlineStr">
        <is>
          <t>Maj</t>
        </is>
      </c>
      <c r="G5248" t="inlineStr">
        <is>
          <t>Pn</t>
        </is>
      </c>
      <c r="H5248">
        <f>'Floor Hours Engine'!$E$4</f>
        <v/>
      </c>
      <c r="I5248" t="inlineStr">
        <is>
          <t>W2</t>
        </is>
      </c>
      <c r="J5248" t="inlineStr">
        <is>
          <t>2035_Maj_W2</t>
        </is>
      </c>
    </row>
    <row r="5249">
      <c r="A5249" s="177" t="n">
        <v>49444</v>
      </c>
      <c r="B5249" s="177" t="n">
        <v>49444</v>
      </c>
      <c r="C5249" s="177" t="n">
        <v>49450</v>
      </c>
      <c r="D5249" t="inlineStr">
        <is>
          <t>BW20350515</t>
        </is>
      </c>
      <c r="E5249" t="n">
        <v>2035</v>
      </c>
      <c r="F5249" t="inlineStr">
        <is>
          <t>Maj</t>
        </is>
      </c>
      <c r="G5249" t="inlineStr">
        <is>
          <t>Wt</t>
        </is>
      </c>
      <c r="H5249">
        <f>'Floor Hours Engine'!$E$4</f>
        <v/>
      </c>
      <c r="I5249" t="inlineStr">
        <is>
          <t>W3</t>
        </is>
      </c>
      <c r="J5249" t="inlineStr">
        <is>
          <t>2035_Maj_W3</t>
        </is>
      </c>
    </row>
    <row r="5250">
      <c r="A5250" s="177" t="n">
        <v>49445</v>
      </c>
      <c r="B5250" s="177" t="n">
        <v>49444</v>
      </c>
      <c r="C5250" s="177" t="n">
        <v>49450</v>
      </c>
      <c r="D5250" t="inlineStr">
        <is>
          <t>BW20350515</t>
        </is>
      </c>
      <c r="E5250" t="n">
        <v>2035</v>
      </c>
      <c r="F5250" t="inlineStr">
        <is>
          <t>Maj</t>
        </is>
      </c>
      <c r="G5250" t="inlineStr">
        <is>
          <t>Śr</t>
        </is>
      </c>
      <c r="H5250">
        <f>'Floor Hours Engine'!$E$4</f>
        <v/>
      </c>
      <c r="I5250" t="inlineStr">
        <is>
          <t>W3</t>
        </is>
      </c>
      <c r="J5250" t="inlineStr">
        <is>
          <t>2035_Maj_W3</t>
        </is>
      </c>
    </row>
    <row r="5251">
      <c r="A5251" s="177" t="n">
        <v>49446</v>
      </c>
      <c r="B5251" s="177" t="n">
        <v>49444</v>
      </c>
      <c r="C5251" s="177" t="n">
        <v>49450</v>
      </c>
      <c r="D5251" t="inlineStr">
        <is>
          <t>BW20350515</t>
        </is>
      </c>
      <c r="E5251" t="n">
        <v>2035</v>
      </c>
      <c r="F5251" t="inlineStr">
        <is>
          <t>Maj</t>
        </is>
      </c>
      <c r="G5251" t="inlineStr">
        <is>
          <t>Czw</t>
        </is>
      </c>
      <c r="H5251">
        <f>'Floor Hours Engine'!$E$4</f>
        <v/>
      </c>
      <c r="I5251" t="inlineStr">
        <is>
          <t>W3</t>
        </is>
      </c>
      <c r="J5251" t="inlineStr">
        <is>
          <t>2035_Maj_W3</t>
        </is>
      </c>
    </row>
    <row r="5252">
      <c r="A5252" s="177" t="n">
        <v>49447</v>
      </c>
      <c r="B5252" s="177" t="n">
        <v>49444</v>
      </c>
      <c r="C5252" s="177" t="n">
        <v>49450</v>
      </c>
      <c r="D5252" t="inlineStr">
        <is>
          <t>BW20350515</t>
        </is>
      </c>
      <c r="E5252" t="n">
        <v>2035</v>
      </c>
      <c r="F5252" t="inlineStr">
        <is>
          <t>Maj</t>
        </is>
      </c>
      <c r="G5252" t="inlineStr">
        <is>
          <t>Pt</t>
        </is>
      </c>
      <c r="H5252">
        <f>'Floor Hours Engine'!$E$5</f>
        <v/>
      </c>
      <c r="I5252" t="inlineStr">
        <is>
          <t>W3</t>
        </is>
      </c>
      <c r="J5252" t="inlineStr">
        <is>
          <t>2035_Maj_W3</t>
        </is>
      </c>
    </row>
    <row r="5253">
      <c r="A5253" s="177" t="n">
        <v>49448</v>
      </c>
      <c r="B5253" s="177" t="n">
        <v>49444</v>
      </c>
      <c r="C5253" s="177" t="n">
        <v>49450</v>
      </c>
      <c r="D5253" t="inlineStr">
        <is>
          <t>BW20350515</t>
        </is>
      </c>
      <c r="E5253" t="n">
        <v>2035</v>
      </c>
      <c r="F5253" t="inlineStr">
        <is>
          <t>Maj</t>
        </is>
      </c>
      <c r="G5253" t="inlineStr">
        <is>
          <t>Sob</t>
        </is>
      </c>
      <c r="H5253">
        <f>'Floor Hours Engine'!$E$5</f>
        <v/>
      </c>
      <c r="I5253" t="inlineStr">
        <is>
          <t>W3</t>
        </is>
      </c>
      <c r="J5253" t="inlineStr">
        <is>
          <t>2035_Maj_W3</t>
        </is>
      </c>
    </row>
    <row r="5254">
      <c r="A5254" s="177" t="n">
        <v>49449</v>
      </c>
      <c r="B5254" s="177" t="n">
        <v>49444</v>
      </c>
      <c r="C5254" s="177" t="n">
        <v>49450</v>
      </c>
      <c r="D5254" t="inlineStr">
        <is>
          <t>BW20350515</t>
        </is>
      </c>
      <c r="E5254" t="n">
        <v>2035</v>
      </c>
      <c r="F5254" t="inlineStr">
        <is>
          <t>Maj</t>
        </is>
      </c>
      <c r="G5254" t="inlineStr">
        <is>
          <t>Nd</t>
        </is>
      </c>
      <c r="H5254">
        <f>'Floor Hours Engine'!$E$6</f>
        <v/>
      </c>
      <c r="I5254" t="inlineStr">
        <is>
          <t>W3</t>
        </is>
      </c>
      <c r="J5254" t="inlineStr">
        <is>
          <t>2035_Maj_W3</t>
        </is>
      </c>
    </row>
    <row r="5255">
      <c r="A5255" s="177" t="n">
        <v>49450</v>
      </c>
      <c r="B5255" s="177" t="n">
        <v>49444</v>
      </c>
      <c r="C5255" s="177" t="n">
        <v>49450</v>
      </c>
      <c r="D5255" t="inlineStr">
        <is>
          <t>BW20350515</t>
        </is>
      </c>
      <c r="E5255" t="n">
        <v>2035</v>
      </c>
      <c r="F5255" t="inlineStr">
        <is>
          <t>Maj</t>
        </is>
      </c>
      <c r="G5255" t="inlineStr">
        <is>
          <t>Pn</t>
        </is>
      </c>
      <c r="H5255">
        <f>'Floor Hours Engine'!$E$4</f>
        <v/>
      </c>
      <c r="I5255" t="inlineStr">
        <is>
          <t>W3</t>
        </is>
      </c>
      <c r="J5255" t="inlineStr">
        <is>
          <t>2035_Maj_W3</t>
        </is>
      </c>
    </row>
    <row r="5256">
      <c r="A5256" s="177" t="n">
        <v>49451</v>
      </c>
      <c r="B5256" s="177" t="n">
        <v>49451</v>
      </c>
      <c r="C5256" s="177" t="n">
        <v>49457</v>
      </c>
      <c r="D5256" t="inlineStr">
        <is>
          <t>BW20350522</t>
        </is>
      </c>
      <c r="E5256" t="n">
        <v>2035</v>
      </c>
      <c r="F5256" t="inlineStr">
        <is>
          <t>Maj</t>
        </is>
      </c>
      <c r="G5256" t="inlineStr">
        <is>
          <t>Wt</t>
        </is>
      </c>
      <c r="H5256">
        <f>'Floor Hours Engine'!$E$4</f>
        <v/>
      </c>
      <c r="I5256" t="inlineStr">
        <is>
          <t>W4</t>
        </is>
      </c>
      <c r="J5256" t="inlineStr">
        <is>
          <t>2035_Maj_W4</t>
        </is>
      </c>
    </row>
    <row r="5257">
      <c r="A5257" s="177" t="n">
        <v>49452</v>
      </c>
      <c r="B5257" s="177" t="n">
        <v>49451</v>
      </c>
      <c r="C5257" s="177" t="n">
        <v>49457</v>
      </c>
      <c r="D5257" t="inlineStr">
        <is>
          <t>BW20350522</t>
        </is>
      </c>
      <c r="E5257" t="n">
        <v>2035</v>
      </c>
      <c r="F5257" t="inlineStr">
        <is>
          <t>Maj</t>
        </is>
      </c>
      <c r="G5257" t="inlineStr">
        <is>
          <t>Śr</t>
        </is>
      </c>
      <c r="H5257">
        <f>'Floor Hours Engine'!$E$4</f>
        <v/>
      </c>
      <c r="I5257" t="inlineStr">
        <is>
          <t>W4</t>
        </is>
      </c>
      <c r="J5257" t="inlineStr">
        <is>
          <t>2035_Maj_W4</t>
        </is>
      </c>
    </row>
    <row r="5258">
      <c r="A5258" s="177" t="n">
        <v>49453</v>
      </c>
      <c r="B5258" s="177" t="n">
        <v>49451</v>
      </c>
      <c r="C5258" s="177" t="n">
        <v>49457</v>
      </c>
      <c r="D5258" t="inlineStr">
        <is>
          <t>BW20350522</t>
        </is>
      </c>
      <c r="E5258" t="n">
        <v>2035</v>
      </c>
      <c r="F5258" t="inlineStr">
        <is>
          <t>Maj</t>
        </is>
      </c>
      <c r="G5258" t="inlineStr">
        <is>
          <t>Czw</t>
        </is>
      </c>
      <c r="H5258">
        <f>'Floor Hours Engine'!$E$4</f>
        <v/>
      </c>
      <c r="I5258" t="inlineStr">
        <is>
          <t>W4</t>
        </is>
      </c>
      <c r="J5258" t="inlineStr">
        <is>
          <t>2035_Maj_W4</t>
        </is>
      </c>
    </row>
    <row r="5259">
      <c r="A5259" s="177" t="n">
        <v>49454</v>
      </c>
      <c r="B5259" s="177" t="n">
        <v>49451</v>
      </c>
      <c r="C5259" s="177" t="n">
        <v>49457</v>
      </c>
      <c r="D5259" t="inlineStr">
        <is>
          <t>BW20350522</t>
        </is>
      </c>
      <c r="E5259" t="n">
        <v>2035</v>
      </c>
      <c r="F5259" t="inlineStr">
        <is>
          <t>Maj</t>
        </is>
      </c>
      <c r="G5259" t="inlineStr">
        <is>
          <t>Pt</t>
        </is>
      </c>
      <c r="H5259">
        <f>'Floor Hours Engine'!$E$5</f>
        <v/>
      </c>
      <c r="I5259" t="inlineStr">
        <is>
          <t>W4</t>
        </is>
      </c>
      <c r="J5259" t="inlineStr">
        <is>
          <t>2035_Maj_W4</t>
        </is>
      </c>
    </row>
    <row r="5260">
      <c r="A5260" s="177" t="n">
        <v>49455</v>
      </c>
      <c r="B5260" s="177" t="n">
        <v>49451</v>
      </c>
      <c r="C5260" s="177" t="n">
        <v>49457</v>
      </c>
      <c r="D5260" t="inlineStr">
        <is>
          <t>BW20350522</t>
        </is>
      </c>
      <c r="E5260" t="n">
        <v>2035</v>
      </c>
      <c r="F5260" t="inlineStr">
        <is>
          <t>Maj</t>
        </is>
      </c>
      <c r="G5260" t="inlineStr">
        <is>
          <t>Sob</t>
        </is>
      </c>
      <c r="H5260">
        <f>'Floor Hours Engine'!$E$5</f>
        <v/>
      </c>
      <c r="I5260" t="inlineStr">
        <is>
          <t>W4</t>
        </is>
      </c>
      <c r="J5260" t="inlineStr">
        <is>
          <t>2035_Maj_W4</t>
        </is>
      </c>
    </row>
    <row r="5261">
      <c r="A5261" s="177" t="n">
        <v>49456</v>
      </c>
      <c r="B5261" s="177" t="n">
        <v>49451</v>
      </c>
      <c r="C5261" s="177" t="n">
        <v>49457</v>
      </c>
      <c r="D5261" t="inlineStr">
        <is>
          <t>BW20350522</t>
        </is>
      </c>
      <c r="E5261" t="n">
        <v>2035</v>
      </c>
      <c r="F5261" t="inlineStr">
        <is>
          <t>Maj</t>
        </is>
      </c>
      <c r="G5261" t="inlineStr">
        <is>
          <t>Nd</t>
        </is>
      </c>
      <c r="H5261">
        <f>'Floor Hours Engine'!$E$6</f>
        <v/>
      </c>
      <c r="I5261" t="inlineStr">
        <is>
          <t>W4</t>
        </is>
      </c>
      <c r="J5261" t="inlineStr">
        <is>
          <t>2035_Maj_W4</t>
        </is>
      </c>
    </row>
    <row r="5262">
      <c r="A5262" s="177" t="n">
        <v>49457</v>
      </c>
      <c r="B5262" s="177" t="n">
        <v>49451</v>
      </c>
      <c r="C5262" s="177" t="n">
        <v>49457</v>
      </c>
      <c r="D5262" t="inlineStr">
        <is>
          <t>BW20350522</t>
        </is>
      </c>
      <c r="E5262" t="n">
        <v>2035</v>
      </c>
      <c r="F5262" t="inlineStr">
        <is>
          <t>Maj</t>
        </is>
      </c>
      <c r="G5262" t="inlineStr">
        <is>
          <t>Pn</t>
        </is>
      </c>
      <c r="H5262">
        <f>'Floor Hours Engine'!$E$4</f>
        <v/>
      </c>
      <c r="I5262" t="inlineStr">
        <is>
          <t>W4</t>
        </is>
      </c>
      <c r="J5262" t="inlineStr">
        <is>
          <t>2035_Maj_W4</t>
        </is>
      </c>
    </row>
    <row r="5263">
      <c r="A5263" s="177" t="n">
        <v>49458</v>
      </c>
      <c r="B5263" s="177" t="n">
        <v>49458</v>
      </c>
      <c r="C5263" s="177" t="n">
        <v>49464</v>
      </c>
      <c r="D5263" t="inlineStr">
        <is>
          <t>BW20350529</t>
        </is>
      </c>
      <c r="E5263" t="n">
        <v>2035</v>
      </c>
      <c r="F5263" t="inlineStr">
        <is>
          <t>Maj</t>
        </is>
      </c>
      <c r="G5263" t="inlineStr">
        <is>
          <t>Wt</t>
        </is>
      </c>
      <c r="H5263">
        <f>'Floor Hours Engine'!$E$4</f>
        <v/>
      </c>
      <c r="I5263" t="inlineStr">
        <is>
          <t>W5</t>
        </is>
      </c>
      <c r="J5263" t="inlineStr">
        <is>
          <t>2035_Maj_W5</t>
        </is>
      </c>
    </row>
    <row r="5264">
      <c r="A5264" s="177" t="n">
        <v>49459</v>
      </c>
      <c r="B5264" s="177" t="n">
        <v>49458</v>
      </c>
      <c r="C5264" s="177" t="n">
        <v>49464</v>
      </c>
      <c r="D5264" t="inlineStr">
        <is>
          <t>BW20350529</t>
        </is>
      </c>
      <c r="E5264" t="n">
        <v>2035</v>
      </c>
      <c r="F5264" t="inlineStr">
        <is>
          <t>Maj</t>
        </is>
      </c>
      <c r="G5264" t="inlineStr">
        <is>
          <t>Śr</t>
        </is>
      </c>
      <c r="H5264">
        <f>'Floor Hours Engine'!$E$4</f>
        <v/>
      </c>
      <c r="I5264" t="inlineStr">
        <is>
          <t>W5</t>
        </is>
      </c>
      <c r="J5264" t="inlineStr">
        <is>
          <t>2035_Maj_W5</t>
        </is>
      </c>
    </row>
    <row r="5265">
      <c r="A5265" s="177" t="n">
        <v>49460</v>
      </c>
      <c r="B5265" s="177" t="n">
        <v>49458</v>
      </c>
      <c r="C5265" s="177" t="n">
        <v>49464</v>
      </c>
      <c r="D5265" t="inlineStr">
        <is>
          <t>BW20350529</t>
        </is>
      </c>
      <c r="E5265" t="n">
        <v>2035</v>
      </c>
      <c r="F5265" t="inlineStr">
        <is>
          <t>Maj</t>
        </is>
      </c>
      <c r="G5265" t="inlineStr">
        <is>
          <t>Czw</t>
        </is>
      </c>
      <c r="H5265">
        <f>'Floor Hours Engine'!$E$4</f>
        <v/>
      </c>
      <c r="I5265" t="inlineStr">
        <is>
          <t>W5</t>
        </is>
      </c>
      <c r="J5265" t="inlineStr">
        <is>
          <t>2035_Maj_W5</t>
        </is>
      </c>
    </row>
    <row r="5266">
      <c r="A5266" s="177" t="n">
        <v>49461</v>
      </c>
      <c r="B5266" s="177" t="n">
        <v>49458</v>
      </c>
      <c r="C5266" s="177" t="n">
        <v>49464</v>
      </c>
      <c r="D5266" t="inlineStr">
        <is>
          <t>BW20350529</t>
        </is>
      </c>
      <c r="E5266" t="n">
        <v>2035</v>
      </c>
      <c r="F5266" t="inlineStr">
        <is>
          <t>Czerwiec</t>
        </is>
      </c>
      <c r="G5266" t="inlineStr">
        <is>
          <t>Pt</t>
        </is>
      </c>
      <c r="H5266">
        <f>'Floor Hours Engine'!$E$5</f>
        <v/>
      </c>
      <c r="I5266" t="inlineStr">
        <is>
          <t>W1</t>
        </is>
      </c>
      <c r="J5266" t="inlineStr">
        <is>
          <t>2035_Czerwiec_W1</t>
        </is>
      </c>
    </row>
    <row r="5267">
      <c r="A5267" s="177" t="n">
        <v>49462</v>
      </c>
      <c r="B5267" s="177" t="n">
        <v>49458</v>
      </c>
      <c r="C5267" s="177" t="n">
        <v>49464</v>
      </c>
      <c r="D5267" t="inlineStr">
        <is>
          <t>BW20350529</t>
        </is>
      </c>
      <c r="E5267" t="n">
        <v>2035</v>
      </c>
      <c r="F5267" t="inlineStr">
        <is>
          <t>Czerwiec</t>
        </is>
      </c>
      <c r="G5267" t="inlineStr">
        <is>
          <t>Sob</t>
        </is>
      </c>
      <c r="H5267">
        <f>'Floor Hours Engine'!$E$5</f>
        <v/>
      </c>
      <c r="I5267" t="inlineStr">
        <is>
          <t>W1</t>
        </is>
      </c>
      <c r="J5267" t="inlineStr">
        <is>
          <t>2035_Czerwiec_W1</t>
        </is>
      </c>
    </row>
    <row r="5268">
      <c r="A5268" s="177" t="n">
        <v>49463</v>
      </c>
      <c r="B5268" s="177" t="n">
        <v>49458</v>
      </c>
      <c r="C5268" s="177" t="n">
        <v>49464</v>
      </c>
      <c r="D5268" t="inlineStr">
        <is>
          <t>BW20350529</t>
        </is>
      </c>
      <c r="E5268" t="n">
        <v>2035</v>
      </c>
      <c r="F5268" t="inlineStr">
        <is>
          <t>Czerwiec</t>
        </is>
      </c>
      <c r="G5268" t="inlineStr">
        <is>
          <t>Nd</t>
        </is>
      </c>
      <c r="H5268">
        <f>'Floor Hours Engine'!$E$6</f>
        <v/>
      </c>
      <c r="I5268" t="inlineStr">
        <is>
          <t>W1</t>
        </is>
      </c>
      <c r="J5268" t="inlineStr">
        <is>
          <t>2035_Czerwiec_W1</t>
        </is>
      </c>
    </row>
    <row r="5269">
      <c r="A5269" s="177" t="n">
        <v>49464</v>
      </c>
      <c r="B5269" s="177" t="n">
        <v>49458</v>
      </c>
      <c r="C5269" s="177" t="n">
        <v>49464</v>
      </c>
      <c r="D5269" t="inlineStr">
        <is>
          <t>BW20350529</t>
        </is>
      </c>
      <c r="E5269" t="n">
        <v>2035</v>
      </c>
      <c r="F5269" t="inlineStr">
        <is>
          <t>Czerwiec</t>
        </is>
      </c>
      <c r="G5269" t="inlineStr">
        <is>
          <t>Pn</t>
        </is>
      </c>
      <c r="H5269">
        <f>'Floor Hours Engine'!$E$4</f>
        <v/>
      </c>
      <c r="I5269" t="inlineStr">
        <is>
          <t>W1</t>
        </is>
      </c>
      <c r="J5269" t="inlineStr">
        <is>
          <t>2035_Czerwiec_W1</t>
        </is>
      </c>
    </row>
    <row r="5270">
      <c r="A5270" s="177" t="n">
        <v>49465</v>
      </c>
      <c r="B5270" s="177" t="n">
        <v>49465</v>
      </c>
      <c r="C5270" s="177" t="n">
        <v>49471</v>
      </c>
      <c r="D5270" t="inlineStr">
        <is>
          <t>BW20350605</t>
        </is>
      </c>
      <c r="E5270" t="n">
        <v>2035</v>
      </c>
      <c r="F5270" t="inlineStr">
        <is>
          <t>Czerwiec</t>
        </is>
      </c>
      <c r="G5270" t="inlineStr">
        <is>
          <t>Wt</t>
        </is>
      </c>
      <c r="H5270">
        <f>'Floor Hours Engine'!$E$4</f>
        <v/>
      </c>
      <c r="I5270" t="inlineStr">
        <is>
          <t>W2</t>
        </is>
      </c>
      <c r="J5270" t="inlineStr">
        <is>
          <t>2035_Czerwiec_W2</t>
        </is>
      </c>
    </row>
    <row r="5271">
      <c r="A5271" s="177" t="n">
        <v>49466</v>
      </c>
      <c r="B5271" s="177" t="n">
        <v>49465</v>
      </c>
      <c r="C5271" s="177" t="n">
        <v>49471</v>
      </c>
      <c r="D5271" t="inlineStr">
        <is>
          <t>BW20350605</t>
        </is>
      </c>
      <c r="E5271" t="n">
        <v>2035</v>
      </c>
      <c r="F5271" t="inlineStr">
        <is>
          <t>Czerwiec</t>
        </is>
      </c>
      <c r="G5271" t="inlineStr">
        <is>
          <t>Śr</t>
        </is>
      </c>
      <c r="H5271">
        <f>'Floor Hours Engine'!$E$4</f>
        <v/>
      </c>
      <c r="I5271" t="inlineStr">
        <is>
          <t>W2</t>
        </is>
      </c>
      <c r="J5271" t="inlineStr">
        <is>
          <t>2035_Czerwiec_W2</t>
        </is>
      </c>
    </row>
    <row r="5272">
      <c r="A5272" s="177" t="n">
        <v>49467</v>
      </c>
      <c r="B5272" s="177" t="n">
        <v>49465</v>
      </c>
      <c r="C5272" s="177" t="n">
        <v>49471</v>
      </c>
      <c r="D5272" t="inlineStr">
        <is>
          <t>BW20350605</t>
        </is>
      </c>
      <c r="E5272" t="n">
        <v>2035</v>
      </c>
      <c r="F5272" t="inlineStr">
        <is>
          <t>Czerwiec</t>
        </is>
      </c>
      <c r="G5272" t="inlineStr">
        <is>
          <t>Czw</t>
        </is>
      </c>
      <c r="H5272">
        <f>'Floor Hours Engine'!$E$4</f>
        <v/>
      </c>
      <c r="I5272" t="inlineStr">
        <is>
          <t>W2</t>
        </is>
      </c>
      <c r="J5272" t="inlineStr">
        <is>
          <t>2035_Czerwiec_W2</t>
        </is>
      </c>
    </row>
    <row r="5273">
      <c r="A5273" s="177" t="n">
        <v>49468</v>
      </c>
      <c r="B5273" s="177" t="n">
        <v>49465</v>
      </c>
      <c r="C5273" s="177" t="n">
        <v>49471</v>
      </c>
      <c r="D5273" t="inlineStr">
        <is>
          <t>BW20350605</t>
        </is>
      </c>
      <c r="E5273" t="n">
        <v>2035</v>
      </c>
      <c r="F5273" t="inlineStr">
        <is>
          <t>Czerwiec</t>
        </is>
      </c>
      <c r="G5273" t="inlineStr">
        <is>
          <t>Pt</t>
        </is>
      </c>
      <c r="H5273">
        <f>'Floor Hours Engine'!$E$5</f>
        <v/>
      </c>
      <c r="I5273" t="inlineStr">
        <is>
          <t>W2</t>
        </is>
      </c>
      <c r="J5273" t="inlineStr">
        <is>
          <t>2035_Czerwiec_W2</t>
        </is>
      </c>
    </row>
    <row r="5274">
      <c r="A5274" s="177" t="n">
        <v>49469</v>
      </c>
      <c r="B5274" s="177" t="n">
        <v>49465</v>
      </c>
      <c r="C5274" s="177" t="n">
        <v>49471</v>
      </c>
      <c r="D5274" t="inlineStr">
        <is>
          <t>BW20350605</t>
        </is>
      </c>
      <c r="E5274" t="n">
        <v>2035</v>
      </c>
      <c r="F5274" t="inlineStr">
        <is>
          <t>Czerwiec</t>
        </is>
      </c>
      <c r="G5274" t="inlineStr">
        <is>
          <t>Sob</t>
        </is>
      </c>
      <c r="H5274">
        <f>'Floor Hours Engine'!$E$5</f>
        <v/>
      </c>
      <c r="I5274" t="inlineStr">
        <is>
          <t>W2</t>
        </is>
      </c>
      <c r="J5274" t="inlineStr">
        <is>
          <t>2035_Czerwiec_W2</t>
        </is>
      </c>
    </row>
    <row r="5275">
      <c r="A5275" s="177" t="n">
        <v>49470</v>
      </c>
      <c r="B5275" s="177" t="n">
        <v>49465</v>
      </c>
      <c r="C5275" s="177" t="n">
        <v>49471</v>
      </c>
      <c r="D5275" t="inlineStr">
        <is>
          <t>BW20350605</t>
        </is>
      </c>
      <c r="E5275" t="n">
        <v>2035</v>
      </c>
      <c r="F5275" t="inlineStr">
        <is>
          <t>Czerwiec</t>
        </is>
      </c>
      <c r="G5275" t="inlineStr">
        <is>
          <t>Nd</t>
        </is>
      </c>
      <c r="H5275">
        <f>'Floor Hours Engine'!$E$6</f>
        <v/>
      </c>
      <c r="I5275" t="inlineStr">
        <is>
          <t>W2</t>
        </is>
      </c>
      <c r="J5275" t="inlineStr">
        <is>
          <t>2035_Czerwiec_W2</t>
        </is>
      </c>
    </row>
    <row r="5276">
      <c r="A5276" s="177" t="n">
        <v>49471</v>
      </c>
      <c r="B5276" s="177" t="n">
        <v>49465</v>
      </c>
      <c r="C5276" s="177" t="n">
        <v>49471</v>
      </c>
      <c r="D5276" t="inlineStr">
        <is>
          <t>BW20350605</t>
        </is>
      </c>
      <c r="E5276" t="n">
        <v>2035</v>
      </c>
      <c r="F5276" t="inlineStr">
        <is>
          <t>Czerwiec</t>
        </is>
      </c>
      <c r="G5276" t="inlineStr">
        <is>
          <t>Pn</t>
        </is>
      </c>
      <c r="H5276">
        <f>'Floor Hours Engine'!$E$4</f>
        <v/>
      </c>
      <c r="I5276" t="inlineStr">
        <is>
          <t>W2</t>
        </is>
      </c>
      <c r="J5276" t="inlineStr">
        <is>
          <t>2035_Czerwiec_W2</t>
        </is>
      </c>
    </row>
    <row r="5277">
      <c r="A5277" s="177" t="n">
        <v>49472</v>
      </c>
      <c r="B5277" s="177" t="n">
        <v>49472</v>
      </c>
      <c r="C5277" s="177" t="n">
        <v>49478</v>
      </c>
      <c r="D5277" t="inlineStr">
        <is>
          <t>BW20350612</t>
        </is>
      </c>
      <c r="E5277" t="n">
        <v>2035</v>
      </c>
      <c r="F5277" t="inlineStr">
        <is>
          <t>Czerwiec</t>
        </is>
      </c>
      <c r="G5277" t="inlineStr">
        <is>
          <t>Wt</t>
        </is>
      </c>
      <c r="H5277">
        <f>'Floor Hours Engine'!$E$4</f>
        <v/>
      </c>
      <c r="I5277" t="inlineStr">
        <is>
          <t>W3</t>
        </is>
      </c>
      <c r="J5277" t="inlineStr">
        <is>
          <t>2035_Czerwiec_W3</t>
        </is>
      </c>
    </row>
    <row r="5278">
      <c r="A5278" s="177" t="n">
        <v>49473</v>
      </c>
      <c r="B5278" s="177" t="n">
        <v>49472</v>
      </c>
      <c r="C5278" s="177" t="n">
        <v>49478</v>
      </c>
      <c r="D5278" t="inlineStr">
        <is>
          <t>BW20350612</t>
        </is>
      </c>
      <c r="E5278" t="n">
        <v>2035</v>
      </c>
      <c r="F5278" t="inlineStr">
        <is>
          <t>Czerwiec</t>
        </is>
      </c>
      <c r="G5278" t="inlineStr">
        <is>
          <t>Śr</t>
        </is>
      </c>
      <c r="H5278">
        <f>'Floor Hours Engine'!$E$4</f>
        <v/>
      </c>
      <c r="I5278" t="inlineStr">
        <is>
          <t>W3</t>
        </is>
      </c>
      <c r="J5278" t="inlineStr">
        <is>
          <t>2035_Czerwiec_W3</t>
        </is>
      </c>
    </row>
    <row r="5279">
      <c r="A5279" s="177" t="n">
        <v>49474</v>
      </c>
      <c r="B5279" s="177" t="n">
        <v>49472</v>
      </c>
      <c r="C5279" s="177" t="n">
        <v>49478</v>
      </c>
      <c r="D5279" t="inlineStr">
        <is>
          <t>BW20350612</t>
        </is>
      </c>
      <c r="E5279" t="n">
        <v>2035</v>
      </c>
      <c r="F5279" t="inlineStr">
        <is>
          <t>Czerwiec</t>
        </is>
      </c>
      <c r="G5279" t="inlineStr">
        <is>
          <t>Czw</t>
        </is>
      </c>
      <c r="H5279">
        <f>'Floor Hours Engine'!$E$4</f>
        <v/>
      </c>
      <c r="I5279" t="inlineStr">
        <is>
          <t>W3</t>
        </is>
      </c>
      <c r="J5279" t="inlineStr">
        <is>
          <t>2035_Czerwiec_W3</t>
        </is>
      </c>
    </row>
    <row r="5280">
      <c r="A5280" s="177" t="n">
        <v>49475</v>
      </c>
      <c r="B5280" s="177" t="n">
        <v>49472</v>
      </c>
      <c r="C5280" s="177" t="n">
        <v>49478</v>
      </c>
      <c r="D5280" t="inlineStr">
        <is>
          <t>BW20350612</t>
        </is>
      </c>
      <c r="E5280" t="n">
        <v>2035</v>
      </c>
      <c r="F5280" t="inlineStr">
        <is>
          <t>Czerwiec</t>
        </is>
      </c>
      <c r="G5280" t="inlineStr">
        <is>
          <t>Pt</t>
        </is>
      </c>
      <c r="H5280">
        <f>'Floor Hours Engine'!$E$5</f>
        <v/>
      </c>
      <c r="I5280" t="inlineStr">
        <is>
          <t>W3</t>
        </is>
      </c>
      <c r="J5280" t="inlineStr">
        <is>
          <t>2035_Czerwiec_W3</t>
        </is>
      </c>
    </row>
    <row r="5281">
      <c r="A5281" s="177" t="n">
        <v>49476</v>
      </c>
      <c r="B5281" s="177" t="n">
        <v>49472</v>
      </c>
      <c r="C5281" s="177" t="n">
        <v>49478</v>
      </c>
      <c r="D5281" t="inlineStr">
        <is>
          <t>BW20350612</t>
        </is>
      </c>
      <c r="E5281" t="n">
        <v>2035</v>
      </c>
      <c r="F5281" t="inlineStr">
        <is>
          <t>Czerwiec</t>
        </is>
      </c>
      <c r="G5281" t="inlineStr">
        <is>
          <t>Sob</t>
        </is>
      </c>
      <c r="H5281">
        <f>'Floor Hours Engine'!$E$5</f>
        <v/>
      </c>
      <c r="I5281" t="inlineStr">
        <is>
          <t>W3</t>
        </is>
      </c>
      <c r="J5281" t="inlineStr">
        <is>
          <t>2035_Czerwiec_W3</t>
        </is>
      </c>
    </row>
    <row r="5282">
      <c r="A5282" s="177" t="n">
        <v>49477</v>
      </c>
      <c r="B5282" s="177" t="n">
        <v>49472</v>
      </c>
      <c r="C5282" s="177" t="n">
        <v>49478</v>
      </c>
      <c r="D5282" t="inlineStr">
        <is>
          <t>BW20350612</t>
        </is>
      </c>
      <c r="E5282" t="n">
        <v>2035</v>
      </c>
      <c r="F5282" t="inlineStr">
        <is>
          <t>Czerwiec</t>
        </is>
      </c>
      <c r="G5282" t="inlineStr">
        <is>
          <t>Nd</t>
        </is>
      </c>
      <c r="H5282">
        <f>'Floor Hours Engine'!$E$6</f>
        <v/>
      </c>
      <c r="I5282" t="inlineStr">
        <is>
          <t>W3</t>
        </is>
      </c>
      <c r="J5282" t="inlineStr">
        <is>
          <t>2035_Czerwiec_W3</t>
        </is>
      </c>
    </row>
    <row r="5283">
      <c r="A5283" s="177" t="n">
        <v>49478</v>
      </c>
      <c r="B5283" s="177" t="n">
        <v>49472</v>
      </c>
      <c r="C5283" s="177" t="n">
        <v>49478</v>
      </c>
      <c r="D5283" t="inlineStr">
        <is>
          <t>BW20350612</t>
        </is>
      </c>
      <c r="E5283" t="n">
        <v>2035</v>
      </c>
      <c r="F5283" t="inlineStr">
        <is>
          <t>Czerwiec</t>
        </is>
      </c>
      <c r="G5283" t="inlineStr">
        <is>
          <t>Pn</t>
        </is>
      </c>
      <c r="H5283">
        <f>'Floor Hours Engine'!$E$4</f>
        <v/>
      </c>
      <c r="I5283" t="inlineStr">
        <is>
          <t>W3</t>
        </is>
      </c>
      <c r="J5283" t="inlineStr">
        <is>
          <t>2035_Czerwiec_W3</t>
        </is>
      </c>
    </row>
    <row r="5284">
      <c r="A5284" s="177" t="n">
        <v>49479</v>
      </c>
      <c r="B5284" s="177" t="n">
        <v>49479</v>
      </c>
      <c r="C5284" s="177" t="n">
        <v>49485</v>
      </c>
      <c r="D5284" t="inlineStr">
        <is>
          <t>BW20350619</t>
        </is>
      </c>
      <c r="E5284" t="n">
        <v>2035</v>
      </c>
      <c r="F5284" t="inlineStr">
        <is>
          <t>Czerwiec</t>
        </is>
      </c>
      <c r="G5284" t="inlineStr">
        <is>
          <t>Wt</t>
        </is>
      </c>
      <c r="H5284">
        <f>'Floor Hours Engine'!$E$4</f>
        <v/>
      </c>
      <c r="I5284" t="inlineStr">
        <is>
          <t>W4</t>
        </is>
      </c>
      <c r="J5284" t="inlineStr">
        <is>
          <t>2035_Czerwiec_W4</t>
        </is>
      </c>
    </row>
    <row r="5285">
      <c r="A5285" s="177" t="n">
        <v>49480</v>
      </c>
      <c r="B5285" s="177" t="n">
        <v>49479</v>
      </c>
      <c r="C5285" s="177" t="n">
        <v>49485</v>
      </c>
      <c r="D5285" t="inlineStr">
        <is>
          <t>BW20350619</t>
        </is>
      </c>
      <c r="E5285" t="n">
        <v>2035</v>
      </c>
      <c r="F5285" t="inlineStr">
        <is>
          <t>Czerwiec</t>
        </is>
      </c>
      <c r="G5285" t="inlineStr">
        <is>
          <t>Śr</t>
        </is>
      </c>
      <c r="H5285">
        <f>'Floor Hours Engine'!$E$4</f>
        <v/>
      </c>
      <c r="I5285" t="inlineStr">
        <is>
          <t>W4</t>
        </is>
      </c>
      <c r="J5285" t="inlineStr">
        <is>
          <t>2035_Czerwiec_W4</t>
        </is>
      </c>
    </row>
    <row r="5286">
      <c r="A5286" s="177" t="n">
        <v>49481</v>
      </c>
      <c r="B5286" s="177" t="n">
        <v>49479</v>
      </c>
      <c r="C5286" s="177" t="n">
        <v>49485</v>
      </c>
      <c r="D5286" t="inlineStr">
        <is>
          <t>BW20350619</t>
        </is>
      </c>
      <c r="E5286" t="n">
        <v>2035</v>
      </c>
      <c r="F5286" t="inlineStr">
        <is>
          <t>Czerwiec</t>
        </is>
      </c>
      <c r="G5286" t="inlineStr">
        <is>
          <t>Czw</t>
        </is>
      </c>
      <c r="H5286">
        <f>'Floor Hours Engine'!$E$4</f>
        <v/>
      </c>
      <c r="I5286" t="inlineStr">
        <is>
          <t>W4</t>
        </is>
      </c>
      <c r="J5286" t="inlineStr">
        <is>
          <t>2035_Czerwiec_W4</t>
        </is>
      </c>
    </row>
    <row r="5287">
      <c r="A5287" s="177" t="n">
        <v>49482</v>
      </c>
      <c r="B5287" s="177" t="n">
        <v>49479</v>
      </c>
      <c r="C5287" s="177" t="n">
        <v>49485</v>
      </c>
      <c r="D5287" t="inlineStr">
        <is>
          <t>BW20350619</t>
        </is>
      </c>
      <c r="E5287" t="n">
        <v>2035</v>
      </c>
      <c r="F5287" t="inlineStr">
        <is>
          <t>Czerwiec</t>
        </is>
      </c>
      <c r="G5287" t="inlineStr">
        <is>
          <t>Pt</t>
        </is>
      </c>
      <c r="H5287">
        <f>'Floor Hours Engine'!$E$5</f>
        <v/>
      </c>
      <c r="I5287" t="inlineStr">
        <is>
          <t>W4</t>
        </is>
      </c>
      <c r="J5287" t="inlineStr">
        <is>
          <t>2035_Czerwiec_W4</t>
        </is>
      </c>
    </row>
    <row r="5288">
      <c r="A5288" s="177" t="n">
        <v>49483</v>
      </c>
      <c r="B5288" s="177" t="n">
        <v>49479</v>
      </c>
      <c r="C5288" s="177" t="n">
        <v>49485</v>
      </c>
      <c r="D5288" t="inlineStr">
        <is>
          <t>BW20350619</t>
        </is>
      </c>
      <c r="E5288" t="n">
        <v>2035</v>
      </c>
      <c r="F5288" t="inlineStr">
        <is>
          <t>Czerwiec</t>
        </is>
      </c>
      <c r="G5288" t="inlineStr">
        <is>
          <t>Sob</t>
        </is>
      </c>
      <c r="H5288">
        <f>'Floor Hours Engine'!$E$5</f>
        <v/>
      </c>
      <c r="I5288" t="inlineStr">
        <is>
          <t>W4</t>
        </is>
      </c>
      <c r="J5288" t="inlineStr">
        <is>
          <t>2035_Czerwiec_W4</t>
        </is>
      </c>
    </row>
    <row r="5289">
      <c r="A5289" s="177" t="n">
        <v>49484</v>
      </c>
      <c r="B5289" s="177" t="n">
        <v>49479</v>
      </c>
      <c r="C5289" s="177" t="n">
        <v>49485</v>
      </c>
      <c r="D5289" t="inlineStr">
        <is>
          <t>BW20350619</t>
        </is>
      </c>
      <c r="E5289" t="n">
        <v>2035</v>
      </c>
      <c r="F5289" t="inlineStr">
        <is>
          <t>Czerwiec</t>
        </is>
      </c>
      <c r="G5289" t="inlineStr">
        <is>
          <t>Nd</t>
        </is>
      </c>
      <c r="H5289">
        <f>'Floor Hours Engine'!$E$6</f>
        <v/>
      </c>
      <c r="I5289" t="inlineStr">
        <is>
          <t>W4</t>
        </is>
      </c>
      <c r="J5289" t="inlineStr">
        <is>
          <t>2035_Czerwiec_W4</t>
        </is>
      </c>
    </row>
    <row r="5290">
      <c r="A5290" s="177" t="n">
        <v>49485</v>
      </c>
      <c r="B5290" s="177" t="n">
        <v>49479</v>
      </c>
      <c r="C5290" s="177" t="n">
        <v>49485</v>
      </c>
      <c r="D5290" t="inlineStr">
        <is>
          <t>BW20350619</t>
        </is>
      </c>
      <c r="E5290" t="n">
        <v>2035</v>
      </c>
      <c r="F5290" t="inlineStr">
        <is>
          <t>Czerwiec</t>
        </is>
      </c>
      <c r="G5290" t="inlineStr">
        <is>
          <t>Pn</t>
        </is>
      </c>
      <c r="H5290">
        <f>'Floor Hours Engine'!$E$4</f>
        <v/>
      </c>
      <c r="I5290" t="inlineStr">
        <is>
          <t>W4</t>
        </is>
      </c>
      <c r="J5290" t="inlineStr">
        <is>
          <t>2035_Czerwiec_W4</t>
        </is>
      </c>
    </row>
    <row r="5291">
      <c r="A5291" s="177" t="n">
        <v>49486</v>
      </c>
      <c r="B5291" s="177" t="n">
        <v>49486</v>
      </c>
      <c r="C5291" s="177" t="n">
        <v>49492</v>
      </c>
      <c r="D5291" t="inlineStr">
        <is>
          <t>BW20350626</t>
        </is>
      </c>
      <c r="E5291" t="n">
        <v>2035</v>
      </c>
      <c r="F5291" t="inlineStr">
        <is>
          <t>Czerwiec</t>
        </is>
      </c>
      <c r="G5291" t="inlineStr">
        <is>
          <t>Wt</t>
        </is>
      </c>
      <c r="H5291">
        <f>'Floor Hours Engine'!$E$4</f>
        <v/>
      </c>
      <c r="I5291" t="inlineStr">
        <is>
          <t>W5</t>
        </is>
      </c>
      <c r="J5291" t="inlineStr">
        <is>
          <t>2035_Czerwiec_W5</t>
        </is>
      </c>
    </row>
    <row r="5292">
      <c r="A5292" s="177" t="n">
        <v>49487</v>
      </c>
      <c r="B5292" s="177" t="n">
        <v>49486</v>
      </c>
      <c r="C5292" s="177" t="n">
        <v>49492</v>
      </c>
      <c r="D5292" t="inlineStr">
        <is>
          <t>BW20350626</t>
        </is>
      </c>
      <c r="E5292" t="n">
        <v>2035</v>
      </c>
      <c r="F5292" t="inlineStr">
        <is>
          <t>Czerwiec</t>
        </is>
      </c>
      <c r="G5292" t="inlineStr">
        <is>
          <t>Śr</t>
        </is>
      </c>
      <c r="H5292">
        <f>'Floor Hours Engine'!$E$4</f>
        <v/>
      </c>
      <c r="I5292" t="inlineStr">
        <is>
          <t>W5</t>
        </is>
      </c>
      <c r="J5292" t="inlineStr">
        <is>
          <t>2035_Czerwiec_W5</t>
        </is>
      </c>
    </row>
    <row r="5293">
      <c r="A5293" s="177" t="n">
        <v>49488</v>
      </c>
      <c r="B5293" s="177" t="n">
        <v>49486</v>
      </c>
      <c r="C5293" s="177" t="n">
        <v>49492</v>
      </c>
      <c r="D5293" t="inlineStr">
        <is>
          <t>BW20350626</t>
        </is>
      </c>
      <c r="E5293" t="n">
        <v>2035</v>
      </c>
      <c r="F5293" t="inlineStr">
        <is>
          <t>Czerwiec</t>
        </is>
      </c>
      <c r="G5293" t="inlineStr">
        <is>
          <t>Czw</t>
        </is>
      </c>
      <c r="H5293">
        <f>'Floor Hours Engine'!$E$4</f>
        <v/>
      </c>
      <c r="I5293" t="inlineStr">
        <is>
          <t>W5</t>
        </is>
      </c>
      <c r="J5293" t="inlineStr">
        <is>
          <t>2035_Czerwiec_W5</t>
        </is>
      </c>
    </row>
    <row r="5294">
      <c r="A5294" s="177" t="n">
        <v>49489</v>
      </c>
      <c r="B5294" s="177" t="n">
        <v>49486</v>
      </c>
      <c r="C5294" s="177" t="n">
        <v>49492</v>
      </c>
      <c r="D5294" t="inlineStr">
        <is>
          <t>BW20350626</t>
        </is>
      </c>
      <c r="E5294" t="n">
        <v>2035</v>
      </c>
      <c r="F5294" t="inlineStr">
        <is>
          <t>Czerwiec</t>
        </is>
      </c>
      <c r="G5294" t="inlineStr">
        <is>
          <t>Pt</t>
        </is>
      </c>
      <c r="H5294">
        <f>'Floor Hours Engine'!$E$5</f>
        <v/>
      </c>
      <c r="I5294" t="inlineStr">
        <is>
          <t>W5</t>
        </is>
      </c>
      <c r="J5294" t="inlineStr">
        <is>
          <t>2035_Czerwiec_W5</t>
        </is>
      </c>
    </row>
    <row r="5295">
      <c r="A5295" s="177" t="n">
        <v>49490</v>
      </c>
      <c r="B5295" s="177" t="n">
        <v>49486</v>
      </c>
      <c r="C5295" s="177" t="n">
        <v>49492</v>
      </c>
      <c r="D5295" t="inlineStr">
        <is>
          <t>BW20350626</t>
        </is>
      </c>
      <c r="E5295" t="n">
        <v>2035</v>
      </c>
      <c r="F5295" t="inlineStr">
        <is>
          <t>Czerwiec</t>
        </is>
      </c>
      <c r="G5295" t="inlineStr">
        <is>
          <t>Sob</t>
        </is>
      </c>
      <c r="H5295">
        <f>'Floor Hours Engine'!$E$5</f>
        <v/>
      </c>
      <c r="I5295" t="inlineStr">
        <is>
          <t>W5</t>
        </is>
      </c>
      <c r="J5295" t="inlineStr">
        <is>
          <t>2035_Czerwiec_W5</t>
        </is>
      </c>
    </row>
    <row r="5296">
      <c r="A5296" s="177" t="n">
        <v>49491</v>
      </c>
      <c r="B5296" s="177" t="n">
        <v>49486</v>
      </c>
      <c r="C5296" s="177" t="n">
        <v>49492</v>
      </c>
      <c r="D5296" t="inlineStr">
        <is>
          <t>BW20350626</t>
        </is>
      </c>
      <c r="E5296" t="n">
        <v>2035</v>
      </c>
      <c r="F5296" t="inlineStr">
        <is>
          <t>Lipiec</t>
        </is>
      </c>
      <c r="G5296" t="inlineStr">
        <is>
          <t>Nd</t>
        </is>
      </c>
      <c r="H5296">
        <f>'Floor Hours Engine'!$E$6</f>
        <v/>
      </c>
      <c r="I5296" t="inlineStr">
        <is>
          <t>W1</t>
        </is>
      </c>
      <c r="J5296" t="inlineStr">
        <is>
          <t>2035_Lipiec_W1</t>
        </is>
      </c>
    </row>
    <row r="5297">
      <c r="A5297" s="177" t="n">
        <v>49492</v>
      </c>
      <c r="B5297" s="177" t="n">
        <v>49486</v>
      </c>
      <c r="C5297" s="177" t="n">
        <v>49492</v>
      </c>
      <c r="D5297" t="inlineStr">
        <is>
          <t>BW20350626</t>
        </is>
      </c>
      <c r="E5297" t="n">
        <v>2035</v>
      </c>
      <c r="F5297" t="inlineStr">
        <is>
          <t>Lipiec</t>
        </is>
      </c>
      <c r="G5297" t="inlineStr">
        <is>
          <t>Pn</t>
        </is>
      </c>
      <c r="H5297">
        <f>'Floor Hours Engine'!$E$4</f>
        <v/>
      </c>
      <c r="I5297" t="inlineStr">
        <is>
          <t>W1</t>
        </is>
      </c>
      <c r="J5297" t="inlineStr">
        <is>
          <t>2035_Lipiec_W1</t>
        </is>
      </c>
    </row>
    <row r="5298">
      <c r="A5298" s="177" t="n">
        <v>49493</v>
      </c>
      <c r="B5298" s="177" t="n">
        <v>49493</v>
      </c>
      <c r="C5298" s="177" t="n">
        <v>49499</v>
      </c>
      <c r="D5298" t="inlineStr">
        <is>
          <t>BW20350703</t>
        </is>
      </c>
      <c r="E5298" t="n">
        <v>2035</v>
      </c>
      <c r="F5298" t="inlineStr">
        <is>
          <t>Lipiec</t>
        </is>
      </c>
      <c r="G5298" t="inlineStr">
        <is>
          <t>Wt</t>
        </is>
      </c>
      <c r="H5298">
        <f>'Floor Hours Engine'!$E$4</f>
        <v/>
      </c>
      <c r="I5298" t="inlineStr">
        <is>
          <t>W2</t>
        </is>
      </c>
      <c r="J5298" t="inlineStr">
        <is>
          <t>2035_Lipiec_W2</t>
        </is>
      </c>
    </row>
    <row r="5299">
      <c r="A5299" s="177" t="n">
        <v>49494</v>
      </c>
      <c r="B5299" s="177" t="n">
        <v>49493</v>
      </c>
      <c r="C5299" s="177" t="n">
        <v>49499</v>
      </c>
      <c r="D5299" t="inlineStr">
        <is>
          <t>BW20350703</t>
        </is>
      </c>
      <c r="E5299" t="n">
        <v>2035</v>
      </c>
      <c r="F5299" t="inlineStr">
        <is>
          <t>Lipiec</t>
        </is>
      </c>
      <c r="G5299" t="inlineStr">
        <is>
          <t>Śr</t>
        </is>
      </c>
      <c r="H5299">
        <f>'Floor Hours Engine'!$E$4</f>
        <v/>
      </c>
      <c r="I5299" t="inlineStr">
        <is>
          <t>W2</t>
        </is>
      </c>
      <c r="J5299" t="inlineStr">
        <is>
          <t>2035_Lipiec_W2</t>
        </is>
      </c>
    </row>
    <row r="5300">
      <c r="A5300" s="177" t="n">
        <v>49495</v>
      </c>
      <c r="B5300" s="177" t="n">
        <v>49493</v>
      </c>
      <c r="C5300" s="177" t="n">
        <v>49499</v>
      </c>
      <c r="D5300" t="inlineStr">
        <is>
          <t>BW20350703</t>
        </is>
      </c>
      <c r="E5300" t="n">
        <v>2035</v>
      </c>
      <c r="F5300" t="inlineStr">
        <is>
          <t>Lipiec</t>
        </is>
      </c>
      <c r="G5300" t="inlineStr">
        <is>
          <t>Czw</t>
        </is>
      </c>
      <c r="H5300">
        <f>'Floor Hours Engine'!$E$4</f>
        <v/>
      </c>
      <c r="I5300" t="inlineStr">
        <is>
          <t>W2</t>
        </is>
      </c>
      <c r="J5300" t="inlineStr">
        <is>
          <t>2035_Lipiec_W2</t>
        </is>
      </c>
    </row>
    <row r="5301">
      <c r="A5301" s="177" t="n">
        <v>49496</v>
      </c>
      <c r="B5301" s="177" t="n">
        <v>49493</v>
      </c>
      <c r="C5301" s="177" t="n">
        <v>49499</v>
      </c>
      <c r="D5301" t="inlineStr">
        <is>
          <t>BW20350703</t>
        </is>
      </c>
      <c r="E5301" t="n">
        <v>2035</v>
      </c>
      <c r="F5301" t="inlineStr">
        <is>
          <t>Lipiec</t>
        </is>
      </c>
      <c r="G5301" t="inlineStr">
        <is>
          <t>Pt</t>
        </is>
      </c>
      <c r="H5301">
        <f>'Floor Hours Engine'!$E$5</f>
        <v/>
      </c>
      <c r="I5301" t="inlineStr">
        <is>
          <t>W2</t>
        </is>
      </c>
      <c r="J5301" t="inlineStr">
        <is>
          <t>2035_Lipiec_W2</t>
        </is>
      </c>
    </row>
    <row r="5302">
      <c r="A5302" s="177" t="n">
        <v>49497</v>
      </c>
      <c r="B5302" s="177" t="n">
        <v>49493</v>
      </c>
      <c r="C5302" s="177" t="n">
        <v>49499</v>
      </c>
      <c r="D5302" t="inlineStr">
        <is>
          <t>BW20350703</t>
        </is>
      </c>
      <c r="E5302" t="n">
        <v>2035</v>
      </c>
      <c r="F5302" t="inlineStr">
        <is>
          <t>Lipiec</t>
        </is>
      </c>
      <c r="G5302" t="inlineStr">
        <is>
          <t>Sob</t>
        </is>
      </c>
      <c r="H5302">
        <f>'Floor Hours Engine'!$E$5</f>
        <v/>
      </c>
      <c r="I5302" t="inlineStr">
        <is>
          <t>W2</t>
        </is>
      </c>
      <c r="J5302" t="inlineStr">
        <is>
          <t>2035_Lipiec_W2</t>
        </is>
      </c>
    </row>
    <row r="5303">
      <c r="A5303" s="177" t="n">
        <v>49498</v>
      </c>
      <c r="B5303" s="177" t="n">
        <v>49493</v>
      </c>
      <c r="C5303" s="177" t="n">
        <v>49499</v>
      </c>
      <c r="D5303" t="inlineStr">
        <is>
          <t>BW20350703</t>
        </is>
      </c>
      <c r="E5303" t="n">
        <v>2035</v>
      </c>
      <c r="F5303" t="inlineStr">
        <is>
          <t>Lipiec</t>
        </is>
      </c>
      <c r="G5303" t="inlineStr">
        <is>
          <t>Nd</t>
        </is>
      </c>
      <c r="H5303">
        <f>'Floor Hours Engine'!$E$6</f>
        <v/>
      </c>
      <c r="I5303" t="inlineStr">
        <is>
          <t>W2</t>
        </is>
      </c>
      <c r="J5303" t="inlineStr">
        <is>
          <t>2035_Lipiec_W2</t>
        </is>
      </c>
    </row>
    <row r="5304">
      <c r="A5304" s="177" t="n">
        <v>49499</v>
      </c>
      <c r="B5304" s="177" t="n">
        <v>49493</v>
      </c>
      <c r="C5304" s="177" t="n">
        <v>49499</v>
      </c>
      <c r="D5304" t="inlineStr">
        <is>
          <t>BW20350703</t>
        </is>
      </c>
      <c r="E5304" t="n">
        <v>2035</v>
      </c>
      <c r="F5304" t="inlineStr">
        <is>
          <t>Lipiec</t>
        </is>
      </c>
      <c r="G5304" t="inlineStr">
        <is>
          <t>Pn</t>
        </is>
      </c>
      <c r="H5304">
        <f>'Floor Hours Engine'!$E$4</f>
        <v/>
      </c>
      <c r="I5304" t="inlineStr">
        <is>
          <t>W2</t>
        </is>
      </c>
      <c r="J5304" t="inlineStr">
        <is>
          <t>2035_Lipiec_W2</t>
        </is>
      </c>
    </row>
    <row r="5305">
      <c r="A5305" s="177" t="n">
        <v>49500</v>
      </c>
      <c r="B5305" s="177" t="n">
        <v>49500</v>
      </c>
      <c r="C5305" s="177" t="n">
        <v>49506</v>
      </c>
      <c r="D5305" t="inlineStr">
        <is>
          <t>BW20350710</t>
        </is>
      </c>
      <c r="E5305" t="n">
        <v>2035</v>
      </c>
      <c r="F5305" t="inlineStr">
        <is>
          <t>Lipiec</t>
        </is>
      </c>
      <c r="G5305" t="inlineStr">
        <is>
          <t>Wt</t>
        </is>
      </c>
      <c r="H5305">
        <f>'Floor Hours Engine'!$E$4</f>
        <v/>
      </c>
      <c r="I5305" t="inlineStr">
        <is>
          <t>W3</t>
        </is>
      </c>
      <c r="J5305" t="inlineStr">
        <is>
          <t>2035_Lipiec_W3</t>
        </is>
      </c>
    </row>
    <row r="5306">
      <c r="A5306" s="177" t="n">
        <v>49501</v>
      </c>
      <c r="B5306" s="177" t="n">
        <v>49500</v>
      </c>
      <c r="C5306" s="177" t="n">
        <v>49506</v>
      </c>
      <c r="D5306" t="inlineStr">
        <is>
          <t>BW20350710</t>
        </is>
      </c>
      <c r="E5306" t="n">
        <v>2035</v>
      </c>
      <c r="F5306" t="inlineStr">
        <is>
          <t>Lipiec</t>
        </is>
      </c>
      <c r="G5306" t="inlineStr">
        <is>
          <t>Śr</t>
        </is>
      </c>
      <c r="H5306">
        <f>'Floor Hours Engine'!$E$4</f>
        <v/>
      </c>
      <c r="I5306" t="inlineStr">
        <is>
          <t>W3</t>
        </is>
      </c>
      <c r="J5306" t="inlineStr">
        <is>
          <t>2035_Lipiec_W3</t>
        </is>
      </c>
    </row>
    <row r="5307">
      <c r="A5307" s="177" t="n">
        <v>49502</v>
      </c>
      <c r="B5307" s="177" t="n">
        <v>49500</v>
      </c>
      <c r="C5307" s="177" t="n">
        <v>49506</v>
      </c>
      <c r="D5307" t="inlineStr">
        <is>
          <t>BW20350710</t>
        </is>
      </c>
      <c r="E5307" t="n">
        <v>2035</v>
      </c>
      <c r="F5307" t="inlineStr">
        <is>
          <t>Lipiec</t>
        </is>
      </c>
      <c r="G5307" t="inlineStr">
        <is>
          <t>Czw</t>
        </is>
      </c>
      <c r="H5307">
        <f>'Floor Hours Engine'!$E$4</f>
        <v/>
      </c>
      <c r="I5307" t="inlineStr">
        <is>
          <t>W3</t>
        </is>
      </c>
      <c r="J5307" t="inlineStr">
        <is>
          <t>2035_Lipiec_W3</t>
        </is>
      </c>
    </row>
    <row r="5308">
      <c r="A5308" s="177" t="n">
        <v>49503</v>
      </c>
      <c r="B5308" s="177" t="n">
        <v>49500</v>
      </c>
      <c r="C5308" s="177" t="n">
        <v>49506</v>
      </c>
      <c r="D5308" t="inlineStr">
        <is>
          <t>BW20350710</t>
        </is>
      </c>
      <c r="E5308" t="n">
        <v>2035</v>
      </c>
      <c r="F5308" t="inlineStr">
        <is>
          <t>Lipiec</t>
        </is>
      </c>
      <c r="G5308" t="inlineStr">
        <is>
          <t>Pt</t>
        </is>
      </c>
      <c r="H5308">
        <f>'Floor Hours Engine'!$E$5</f>
        <v/>
      </c>
      <c r="I5308" t="inlineStr">
        <is>
          <t>W3</t>
        </is>
      </c>
      <c r="J5308" t="inlineStr">
        <is>
          <t>2035_Lipiec_W3</t>
        </is>
      </c>
    </row>
    <row r="5309">
      <c r="A5309" s="177" t="n">
        <v>49504</v>
      </c>
      <c r="B5309" s="177" t="n">
        <v>49500</v>
      </c>
      <c r="C5309" s="177" t="n">
        <v>49506</v>
      </c>
      <c r="D5309" t="inlineStr">
        <is>
          <t>BW20350710</t>
        </is>
      </c>
      <c r="E5309" t="n">
        <v>2035</v>
      </c>
      <c r="F5309" t="inlineStr">
        <is>
          <t>Lipiec</t>
        </is>
      </c>
      <c r="G5309" t="inlineStr">
        <is>
          <t>Sob</t>
        </is>
      </c>
      <c r="H5309">
        <f>'Floor Hours Engine'!$E$5</f>
        <v/>
      </c>
      <c r="I5309" t="inlineStr">
        <is>
          <t>W3</t>
        </is>
      </c>
      <c r="J5309" t="inlineStr">
        <is>
          <t>2035_Lipiec_W3</t>
        </is>
      </c>
    </row>
    <row r="5310">
      <c r="A5310" s="177" t="n">
        <v>49505</v>
      </c>
      <c r="B5310" s="177" t="n">
        <v>49500</v>
      </c>
      <c r="C5310" s="177" t="n">
        <v>49506</v>
      </c>
      <c r="D5310" t="inlineStr">
        <is>
          <t>BW20350710</t>
        </is>
      </c>
      <c r="E5310" t="n">
        <v>2035</v>
      </c>
      <c r="F5310" t="inlineStr">
        <is>
          <t>Lipiec</t>
        </is>
      </c>
      <c r="G5310" t="inlineStr">
        <is>
          <t>Nd</t>
        </is>
      </c>
      <c r="H5310">
        <f>'Floor Hours Engine'!$E$6</f>
        <v/>
      </c>
      <c r="I5310" t="inlineStr">
        <is>
          <t>W3</t>
        </is>
      </c>
      <c r="J5310" t="inlineStr">
        <is>
          <t>2035_Lipiec_W3</t>
        </is>
      </c>
    </row>
    <row r="5311">
      <c r="A5311" s="177" t="n">
        <v>49506</v>
      </c>
      <c r="B5311" s="177" t="n">
        <v>49500</v>
      </c>
      <c r="C5311" s="177" t="n">
        <v>49506</v>
      </c>
      <c r="D5311" t="inlineStr">
        <is>
          <t>BW20350710</t>
        </is>
      </c>
      <c r="E5311" t="n">
        <v>2035</v>
      </c>
      <c r="F5311" t="inlineStr">
        <is>
          <t>Lipiec</t>
        </is>
      </c>
      <c r="G5311" t="inlineStr">
        <is>
          <t>Pn</t>
        </is>
      </c>
      <c r="H5311">
        <f>'Floor Hours Engine'!$E$4</f>
        <v/>
      </c>
      <c r="I5311" t="inlineStr">
        <is>
          <t>W3</t>
        </is>
      </c>
      <c r="J5311" t="inlineStr">
        <is>
          <t>2035_Lipiec_W3</t>
        </is>
      </c>
    </row>
    <row r="5312">
      <c r="A5312" s="177" t="n">
        <v>49507</v>
      </c>
      <c r="B5312" s="177" t="n">
        <v>49507</v>
      </c>
      <c r="C5312" s="177" t="n">
        <v>49513</v>
      </c>
      <c r="D5312" t="inlineStr">
        <is>
          <t>BW20350717</t>
        </is>
      </c>
      <c r="E5312" t="n">
        <v>2035</v>
      </c>
      <c r="F5312" t="inlineStr">
        <is>
          <t>Lipiec</t>
        </is>
      </c>
      <c r="G5312" t="inlineStr">
        <is>
          <t>Wt</t>
        </is>
      </c>
      <c r="H5312">
        <f>'Floor Hours Engine'!$E$4</f>
        <v/>
      </c>
      <c r="I5312" t="inlineStr">
        <is>
          <t>W4</t>
        </is>
      </c>
      <c r="J5312" t="inlineStr">
        <is>
          <t>2035_Lipiec_W4</t>
        </is>
      </c>
    </row>
    <row r="5313">
      <c r="A5313" s="177" t="n">
        <v>49508</v>
      </c>
      <c r="B5313" s="177" t="n">
        <v>49507</v>
      </c>
      <c r="C5313" s="177" t="n">
        <v>49513</v>
      </c>
      <c r="D5313" t="inlineStr">
        <is>
          <t>BW20350717</t>
        </is>
      </c>
      <c r="E5313" t="n">
        <v>2035</v>
      </c>
      <c r="F5313" t="inlineStr">
        <is>
          <t>Lipiec</t>
        </is>
      </c>
      <c r="G5313" t="inlineStr">
        <is>
          <t>Śr</t>
        </is>
      </c>
      <c r="H5313">
        <f>'Floor Hours Engine'!$E$4</f>
        <v/>
      </c>
      <c r="I5313" t="inlineStr">
        <is>
          <t>W4</t>
        </is>
      </c>
      <c r="J5313" t="inlineStr">
        <is>
          <t>2035_Lipiec_W4</t>
        </is>
      </c>
    </row>
    <row r="5314">
      <c r="A5314" s="177" t="n">
        <v>49509</v>
      </c>
      <c r="B5314" s="177" t="n">
        <v>49507</v>
      </c>
      <c r="C5314" s="177" t="n">
        <v>49513</v>
      </c>
      <c r="D5314" t="inlineStr">
        <is>
          <t>BW20350717</t>
        </is>
      </c>
      <c r="E5314" t="n">
        <v>2035</v>
      </c>
      <c r="F5314" t="inlineStr">
        <is>
          <t>Lipiec</t>
        </is>
      </c>
      <c r="G5314" t="inlineStr">
        <is>
          <t>Czw</t>
        </is>
      </c>
      <c r="H5314">
        <f>'Floor Hours Engine'!$E$4</f>
        <v/>
      </c>
      <c r="I5314" t="inlineStr">
        <is>
          <t>W4</t>
        </is>
      </c>
      <c r="J5314" t="inlineStr">
        <is>
          <t>2035_Lipiec_W4</t>
        </is>
      </c>
    </row>
    <row r="5315">
      <c r="A5315" s="177" t="n">
        <v>49510</v>
      </c>
      <c r="B5315" s="177" t="n">
        <v>49507</v>
      </c>
      <c r="C5315" s="177" t="n">
        <v>49513</v>
      </c>
      <c r="D5315" t="inlineStr">
        <is>
          <t>BW20350717</t>
        </is>
      </c>
      <c r="E5315" t="n">
        <v>2035</v>
      </c>
      <c r="F5315" t="inlineStr">
        <is>
          <t>Lipiec</t>
        </is>
      </c>
      <c r="G5315" t="inlineStr">
        <is>
          <t>Pt</t>
        </is>
      </c>
      <c r="H5315">
        <f>'Floor Hours Engine'!$E$5</f>
        <v/>
      </c>
      <c r="I5315" t="inlineStr">
        <is>
          <t>W4</t>
        </is>
      </c>
      <c r="J5315" t="inlineStr">
        <is>
          <t>2035_Lipiec_W4</t>
        </is>
      </c>
    </row>
    <row r="5316">
      <c r="A5316" s="177" t="n">
        <v>49511</v>
      </c>
      <c r="B5316" s="177" t="n">
        <v>49507</v>
      </c>
      <c r="C5316" s="177" t="n">
        <v>49513</v>
      </c>
      <c r="D5316" t="inlineStr">
        <is>
          <t>BW20350717</t>
        </is>
      </c>
      <c r="E5316" t="n">
        <v>2035</v>
      </c>
      <c r="F5316" t="inlineStr">
        <is>
          <t>Lipiec</t>
        </is>
      </c>
      <c r="G5316" t="inlineStr">
        <is>
          <t>Sob</t>
        </is>
      </c>
      <c r="H5316">
        <f>'Floor Hours Engine'!$E$5</f>
        <v/>
      </c>
      <c r="I5316" t="inlineStr">
        <is>
          <t>W4</t>
        </is>
      </c>
      <c r="J5316" t="inlineStr">
        <is>
          <t>2035_Lipiec_W4</t>
        </is>
      </c>
    </row>
    <row r="5317">
      <c r="A5317" s="177" t="n">
        <v>49512</v>
      </c>
      <c r="B5317" s="177" t="n">
        <v>49507</v>
      </c>
      <c r="C5317" s="177" t="n">
        <v>49513</v>
      </c>
      <c r="D5317" t="inlineStr">
        <is>
          <t>BW20350717</t>
        </is>
      </c>
      <c r="E5317" t="n">
        <v>2035</v>
      </c>
      <c r="F5317" t="inlineStr">
        <is>
          <t>Lipiec</t>
        </is>
      </c>
      <c r="G5317" t="inlineStr">
        <is>
          <t>Nd</t>
        </is>
      </c>
      <c r="H5317">
        <f>'Floor Hours Engine'!$E$6</f>
        <v/>
      </c>
      <c r="I5317" t="inlineStr">
        <is>
          <t>W4</t>
        </is>
      </c>
      <c r="J5317" t="inlineStr">
        <is>
          <t>2035_Lipiec_W4</t>
        </is>
      </c>
    </row>
    <row r="5318">
      <c r="A5318" s="177" t="n">
        <v>49513</v>
      </c>
      <c r="B5318" s="177" t="n">
        <v>49507</v>
      </c>
      <c r="C5318" s="177" t="n">
        <v>49513</v>
      </c>
      <c r="D5318" t="inlineStr">
        <is>
          <t>BW20350717</t>
        </is>
      </c>
      <c r="E5318" t="n">
        <v>2035</v>
      </c>
      <c r="F5318" t="inlineStr">
        <is>
          <t>Lipiec</t>
        </is>
      </c>
      <c r="G5318" t="inlineStr">
        <is>
          <t>Pn</t>
        </is>
      </c>
      <c r="H5318">
        <f>'Floor Hours Engine'!$E$4</f>
        <v/>
      </c>
      <c r="I5318" t="inlineStr">
        <is>
          <t>W4</t>
        </is>
      </c>
      <c r="J5318" t="inlineStr">
        <is>
          <t>2035_Lipiec_W4</t>
        </is>
      </c>
    </row>
    <row r="5319">
      <c r="A5319" s="177" t="n">
        <v>49514</v>
      </c>
      <c r="B5319" s="177" t="n">
        <v>49514</v>
      </c>
      <c r="C5319" s="177" t="n">
        <v>49520</v>
      </c>
      <c r="D5319" t="inlineStr">
        <is>
          <t>BW20350724</t>
        </is>
      </c>
      <c r="E5319" t="n">
        <v>2035</v>
      </c>
      <c r="F5319" t="inlineStr">
        <is>
          <t>Lipiec</t>
        </is>
      </c>
      <c r="G5319" t="inlineStr">
        <is>
          <t>Wt</t>
        </is>
      </c>
      <c r="H5319">
        <f>'Floor Hours Engine'!$E$4</f>
        <v/>
      </c>
      <c r="I5319" t="inlineStr">
        <is>
          <t>W5</t>
        </is>
      </c>
      <c r="J5319" t="inlineStr">
        <is>
          <t>2035_Lipiec_W5</t>
        </is>
      </c>
    </row>
    <row r="5320">
      <c r="A5320" s="177" t="n">
        <v>49515</v>
      </c>
      <c r="B5320" s="177" t="n">
        <v>49514</v>
      </c>
      <c r="C5320" s="177" t="n">
        <v>49520</v>
      </c>
      <c r="D5320" t="inlineStr">
        <is>
          <t>BW20350724</t>
        </is>
      </c>
      <c r="E5320" t="n">
        <v>2035</v>
      </c>
      <c r="F5320" t="inlineStr">
        <is>
          <t>Lipiec</t>
        </is>
      </c>
      <c r="G5320" t="inlineStr">
        <is>
          <t>Śr</t>
        </is>
      </c>
      <c r="H5320">
        <f>'Floor Hours Engine'!$E$4</f>
        <v/>
      </c>
      <c r="I5320" t="inlineStr">
        <is>
          <t>W5</t>
        </is>
      </c>
      <c r="J5320" t="inlineStr">
        <is>
          <t>2035_Lipiec_W5</t>
        </is>
      </c>
    </row>
    <row r="5321">
      <c r="A5321" s="177" t="n">
        <v>49516</v>
      </c>
      <c r="B5321" s="177" t="n">
        <v>49514</v>
      </c>
      <c r="C5321" s="177" t="n">
        <v>49520</v>
      </c>
      <c r="D5321" t="inlineStr">
        <is>
          <t>BW20350724</t>
        </is>
      </c>
      <c r="E5321" t="n">
        <v>2035</v>
      </c>
      <c r="F5321" t="inlineStr">
        <is>
          <t>Lipiec</t>
        </is>
      </c>
      <c r="G5321" t="inlineStr">
        <is>
          <t>Czw</t>
        </is>
      </c>
      <c r="H5321">
        <f>'Floor Hours Engine'!$E$4</f>
        <v/>
      </c>
      <c r="I5321" t="inlineStr">
        <is>
          <t>W5</t>
        </is>
      </c>
      <c r="J5321" t="inlineStr">
        <is>
          <t>2035_Lipiec_W5</t>
        </is>
      </c>
    </row>
    <row r="5322">
      <c r="A5322" s="177" t="n">
        <v>49517</v>
      </c>
      <c r="B5322" s="177" t="n">
        <v>49514</v>
      </c>
      <c r="C5322" s="177" t="n">
        <v>49520</v>
      </c>
      <c r="D5322" t="inlineStr">
        <is>
          <t>BW20350724</t>
        </is>
      </c>
      <c r="E5322" t="n">
        <v>2035</v>
      </c>
      <c r="F5322" t="inlineStr">
        <is>
          <t>Lipiec</t>
        </is>
      </c>
      <c r="G5322" t="inlineStr">
        <is>
          <t>Pt</t>
        </is>
      </c>
      <c r="H5322">
        <f>'Floor Hours Engine'!$E$5</f>
        <v/>
      </c>
      <c r="I5322" t="inlineStr">
        <is>
          <t>W5</t>
        </is>
      </c>
      <c r="J5322" t="inlineStr">
        <is>
          <t>2035_Lipiec_W5</t>
        </is>
      </c>
    </row>
    <row r="5323">
      <c r="A5323" s="177" t="n">
        <v>49518</v>
      </c>
      <c r="B5323" s="177" t="n">
        <v>49514</v>
      </c>
      <c r="C5323" s="177" t="n">
        <v>49520</v>
      </c>
      <c r="D5323" t="inlineStr">
        <is>
          <t>BW20350724</t>
        </is>
      </c>
      <c r="E5323" t="n">
        <v>2035</v>
      </c>
      <c r="F5323" t="inlineStr">
        <is>
          <t>Lipiec</t>
        </is>
      </c>
      <c r="G5323" t="inlineStr">
        <is>
          <t>Sob</t>
        </is>
      </c>
      <c r="H5323">
        <f>'Floor Hours Engine'!$E$5</f>
        <v/>
      </c>
      <c r="I5323" t="inlineStr">
        <is>
          <t>W5</t>
        </is>
      </c>
      <c r="J5323" t="inlineStr">
        <is>
          <t>2035_Lipiec_W5</t>
        </is>
      </c>
    </row>
    <row r="5324">
      <c r="A5324" s="177" t="n">
        <v>49519</v>
      </c>
      <c r="B5324" s="177" t="n">
        <v>49514</v>
      </c>
      <c r="C5324" s="177" t="n">
        <v>49520</v>
      </c>
      <c r="D5324" t="inlineStr">
        <is>
          <t>BW20350724</t>
        </is>
      </c>
      <c r="E5324" t="n">
        <v>2035</v>
      </c>
      <c r="F5324" t="inlineStr">
        <is>
          <t>Lipiec</t>
        </is>
      </c>
      <c r="G5324" t="inlineStr">
        <is>
          <t>Nd</t>
        </is>
      </c>
      <c r="H5324">
        <f>'Floor Hours Engine'!$E$6</f>
        <v/>
      </c>
      <c r="I5324" t="inlineStr">
        <is>
          <t>W5</t>
        </is>
      </c>
      <c r="J5324" t="inlineStr">
        <is>
          <t>2035_Lipiec_W5</t>
        </is>
      </c>
    </row>
    <row r="5325">
      <c r="A5325" s="177" t="n">
        <v>49520</v>
      </c>
      <c r="B5325" s="177" t="n">
        <v>49514</v>
      </c>
      <c r="C5325" s="177" t="n">
        <v>49520</v>
      </c>
      <c r="D5325" t="inlineStr">
        <is>
          <t>BW20350724</t>
        </is>
      </c>
      <c r="E5325" t="n">
        <v>2035</v>
      </c>
      <c r="F5325" t="inlineStr">
        <is>
          <t>Lipiec</t>
        </is>
      </c>
      <c r="G5325" t="inlineStr">
        <is>
          <t>Pn</t>
        </is>
      </c>
      <c r="H5325">
        <f>'Floor Hours Engine'!$E$4</f>
        <v/>
      </c>
      <c r="I5325" t="inlineStr">
        <is>
          <t>W5</t>
        </is>
      </c>
      <c r="J5325" t="inlineStr">
        <is>
          <t>2035_Lipiec_W5</t>
        </is>
      </c>
    </row>
    <row r="5326">
      <c r="A5326" s="177" t="n">
        <v>49521</v>
      </c>
      <c r="B5326" s="177" t="n">
        <v>49521</v>
      </c>
      <c r="C5326" s="177" t="n">
        <v>49527</v>
      </c>
      <c r="D5326" t="inlineStr">
        <is>
          <t>BW20350731</t>
        </is>
      </c>
      <c r="E5326" t="n">
        <v>2035</v>
      </c>
      <c r="F5326" t="inlineStr">
        <is>
          <t>Lipiec</t>
        </is>
      </c>
      <c r="G5326" t="inlineStr">
        <is>
          <t>Wt</t>
        </is>
      </c>
      <c r="H5326">
        <f>'Floor Hours Engine'!$E$4</f>
        <v/>
      </c>
      <c r="I5326" t="inlineStr">
        <is>
          <t>W6</t>
        </is>
      </c>
      <c r="J5326" t="inlineStr">
        <is>
          <t>2035_Lipiec_W6</t>
        </is>
      </c>
    </row>
    <row r="5327">
      <c r="A5327" s="177" t="n">
        <v>49522</v>
      </c>
      <c r="B5327" s="177" t="n">
        <v>49521</v>
      </c>
      <c r="C5327" s="177" t="n">
        <v>49527</v>
      </c>
      <c r="D5327" t="inlineStr">
        <is>
          <t>BW20350731</t>
        </is>
      </c>
      <c r="E5327" t="n">
        <v>2035</v>
      </c>
      <c r="F5327" t="inlineStr">
        <is>
          <t>Sierpień</t>
        </is>
      </c>
      <c r="G5327" t="inlineStr">
        <is>
          <t>Śr</t>
        </is>
      </c>
      <c r="H5327">
        <f>'Floor Hours Engine'!$E$4</f>
        <v/>
      </c>
      <c r="I5327" t="inlineStr">
        <is>
          <t>W1</t>
        </is>
      </c>
      <c r="J5327" t="inlineStr">
        <is>
          <t>2035_Sierpień_W1</t>
        </is>
      </c>
    </row>
    <row r="5328">
      <c r="A5328" s="177" t="n">
        <v>49523</v>
      </c>
      <c r="B5328" s="177" t="n">
        <v>49521</v>
      </c>
      <c r="C5328" s="177" t="n">
        <v>49527</v>
      </c>
      <c r="D5328" t="inlineStr">
        <is>
          <t>BW20350731</t>
        </is>
      </c>
      <c r="E5328" t="n">
        <v>2035</v>
      </c>
      <c r="F5328" t="inlineStr">
        <is>
          <t>Sierpień</t>
        </is>
      </c>
      <c r="G5328" t="inlineStr">
        <is>
          <t>Czw</t>
        </is>
      </c>
      <c r="H5328">
        <f>'Floor Hours Engine'!$E$4</f>
        <v/>
      </c>
      <c r="I5328" t="inlineStr">
        <is>
          <t>W1</t>
        </is>
      </c>
      <c r="J5328" t="inlineStr">
        <is>
          <t>2035_Sierpień_W1</t>
        </is>
      </c>
    </row>
    <row r="5329">
      <c r="A5329" s="177" t="n">
        <v>49524</v>
      </c>
      <c r="B5329" s="177" t="n">
        <v>49521</v>
      </c>
      <c r="C5329" s="177" t="n">
        <v>49527</v>
      </c>
      <c r="D5329" t="inlineStr">
        <is>
          <t>BW20350731</t>
        </is>
      </c>
      <c r="E5329" t="n">
        <v>2035</v>
      </c>
      <c r="F5329" t="inlineStr">
        <is>
          <t>Sierpień</t>
        </is>
      </c>
      <c r="G5329" t="inlineStr">
        <is>
          <t>Pt</t>
        </is>
      </c>
      <c r="H5329">
        <f>'Floor Hours Engine'!$E$5</f>
        <v/>
      </c>
      <c r="I5329" t="inlineStr">
        <is>
          <t>W1</t>
        </is>
      </c>
      <c r="J5329" t="inlineStr">
        <is>
          <t>2035_Sierpień_W1</t>
        </is>
      </c>
    </row>
    <row r="5330">
      <c r="A5330" s="177" t="n">
        <v>49525</v>
      </c>
      <c r="B5330" s="177" t="n">
        <v>49521</v>
      </c>
      <c r="C5330" s="177" t="n">
        <v>49527</v>
      </c>
      <c r="D5330" t="inlineStr">
        <is>
          <t>BW20350731</t>
        </is>
      </c>
      <c r="E5330" t="n">
        <v>2035</v>
      </c>
      <c r="F5330" t="inlineStr">
        <is>
          <t>Sierpień</t>
        </is>
      </c>
      <c r="G5330" t="inlineStr">
        <is>
          <t>Sob</t>
        </is>
      </c>
      <c r="H5330">
        <f>'Floor Hours Engine'!$E$5</f>
        <v/>
      </c>
      <c r="I5330" t="inlineStr">
        <is>
          <t>W1</t>
        </is>
      </c>
      <c r="J5330" t="inlineStr">
        <is>
          <t>2035_Sierpień_W1</t>
        </is>
      </c>
    </row>
    <row r="5331">
      <c r="A5331" s="177" t="n">
        <v>49526</v>
      </c>
      <c r="B5331" s="177" t="n">
        <v>49521</v>
      </c>
      <c r="C5331" s="177" t="n">
        <v>49527</v>
      </c>
      <c r="D5331" t="inlineStr">
        <is>
          <t>BW20350731</t>
        </is>
      </c>
      <c r="E5331" t="n">
        <v>2035</v>
      </c>
      <c r="F5331" t="inlineStr">
        <is>
          <t>Sierpień</t>
        </is>
      </c>
      <c r="G5331" t="inlineStr">
        <is>
          <t>Nd</t>
        </is>
      </c>
      <c r="H5331">
        <f>'Floor Hours Engine'!$E$6</f>
        <v/>
      </c>
      <c r="I5331" t="inlineStr">
        <is>
          <t>W1</t>
        </is>
      </c>
      <c r="J5331" t="inlineStr">
        <is>
          <t>2035_Sierpień_W1</t>
        </is>
      </c>
    </row>
    <row r="5332">
      <c r="A5332" s="177" t="n">
        <v>49527</v>
      </c>
      <c r="B5332" s="177" t="n">
        <v>49521</v>
      </c>
      <c r="C5332" s="177" t="n">
        <v>49527</v>
      </c>
      <c r="D5332" t="inlineStr">
        <is>
          <t>BW20350731</t>
        </is>
      </c>
      <c r="E5332" t="n">
        <v>2035</v>
      </c>
      <c r="F5332" t="inlineStr">
        <is>
          <t>Sierpień</t>
        </is>
      </c>
      <c r="G5332" t="inlineStr">
        <is>
          <t>Pn</t>
        </is>
      </c>
      <c r="H5332">
        <f>'Floor Hours Engine'!$E$4</f>
        <v/>
      </c>
      <c r="I5332" t="inlineStr">
        <is>
          <t>W1</t>
        </is>
      </c>
      <c r="J5332" t="inlineStr">
        <is>
          <t>2035_Sierpień_W1</t>
        </is>
      </c>
    </row>
    <row r="5333">
      <c r="A5333" s="177" t="n">
        <v>49528</v>
      </c>
      <c r="B5333" s="177" t="n">
        <v>49528</v>
      </c>
      <c r="C5333" s="177" t="n">
        <v>49534</v>
      </c>
      <c r="D5333" t="inlineStr">
        <is>
          <t>BW20350807</t>
        </is>
      </c>
      <c r="E5333" t="n">
        <v>2035</v>
      </c>
      <c r="F5333" t="inlineStr">
        <is>
          <t>Sierpień</t>
        </is>
      </c>
      <c r="G5333" t="inlineStr">
        <is>
          <t>Wt</t>
        </is>
      </c>
      <c r="H5333">
        <f>'Floor Hours Engine'!$E$4</f>
        <v/>
      </c>
      <c r="I5333" t="inlineStr">
        <is>
          <t>W2</t>
        </is>
      </c>
      <c r="J5333" t="inlineStr">
        <is>
          <t>2035_Sierpień_W2</t>
        </is>
      </c>
    </row>
    <row r="5334">
      <c r="A5334" s="177" t="n">
        <v>49529</v>
      </c>
      <c r="B5334" s="177" t="n">
        <v>49528</v>
      </c>
      <c r="C5334" s="177" t="n">
        <v>49534</v>
      </c>
      <c r="D5334" t="inlineStr">
        <is>
          <t>BW20350807</t>
        </is>
      </c>
      <c r="E5334" t="n">
        <v>2035</v>
      </c>
      <c r="F5334" t="inlineStr">
        <is>
          <t>Sierpień</t>
        </is>
      </c>
      <c r="G5334" t="inlineStr">
        <is>
          <t>Śr</t>
        </is>
      </c>
      <c r="H5334">
        <f>'Floor Hours Engine'!$E$4</f>
        <v/>
      </c>
      <c r="I5334" t="inlineStr">
        <is>
          <t>W2</t>
        </is>
      </c>
      <c r="J5334" t="inlineStr">
        <is>
          <t>2035_Sierpień_W2</t>
        </is>
      </c>
    </row>
    <row r="5335">
      <c r="A5335" s="177" t="n">
        <v>49530</v>
      </c>
      <c r="B5335" s="177" t="n">
        <v>49528</v>
      </c>
      <c r="C5335" s="177" t="n">
        <v>49534</v>
      </c>
      <c r="D5335" t="inlineStr">
        <is>
          <t>BW20350807</t>
        </is>
      </c>
      <c r="E5335" t="n">
        <v>2035</v>
      </c>
      <c r="F5335" t="inlineStr">
        <is>
          <t>Sierpień</t>
        </is>
      </c>
      <c r="G5335" t="inlineStr">
        <is>
          <t>Czw</t>
        </is>
      </c>
      <c r="H5335">
        <f>'Floor Hours Engine'!$E$4</f>
        <v/>
      </c>
      <c r="I5335" t="inlineStr">
        <is>
          <t>W2</t>
        </is>
      </c>
      <c r="J5335" t="inlineStr">
        <is>
          <t>2035_Sierpień_W2</t>
        </is>
      </c>
    </row>
    <row r="5336">
      <c r="A5336" s="177" t="n">
        <v>49531</v>
      </c>
      <c r="B5336" s="177" t="n">
        <v>49528</v>
      </c>
      <c r="C5336" s="177" t="n">
        <v>49534</v>
      </c>
      <c r="D5336" t="inlineStr">
        <is>
          <t>BW20350807</t>
        </is>
      </c>
      <c r="E5336" t="n">
        <v>2035</v>
      </c>
      <c r="F5336" t="inlineStr">
        <is>
          <t>Sierpień</t>
        </is>
      </c>
      <c r="G5336" t="inlineStr">
        <is>
          <t>Pt</t>
        </is>
      </c>
      <c r="H5336">
        <f>'Floor Hours Engine'!$E$5</f>
        <v/>
      </c>
      <c r="I5336" t="inlineStr">
        <is>
          <t>W2</t>
        </is>
      </c>
      <c r="J5336" t="inlineStr">
        <is>
          <t>2035_Sierpień_W2</t>
        </is>
      </c>
    </row>
    <row r="5337">
      <c r="A5337" s="177" t="n">
        <v>49532</v>
      </c>
      <c r="B5337" s="177" t="n">
        <v>49528</v>
      </c>
      <c r="C5337" s="177" t="n">
        <v>49534</v>
      </c>
      <c r="D5337" t="inlineStr">
        <is>
          <t>BW20350807</t>
        </is>
      </c>
      <c r="E5337" t="n">
        <v>2035</v>
      </c>
      <c r="F5337" t="inlineStr">
        <is>
          <t>Sierpień</t>
        </is>
      </c>
      <c r="G5337" t="inlineStr">
        <is>
          <t>Sob</t>
        </is>
      </c>
      <c r="H5337">
        <f>'Floor Hours Engine'!$E$5</f>
        <v/>
      </c>
      <c r="I5337" t="inlineStr">
        <is>
          <t>W2</t>
        </is>
      </c>
      <c r="J5337" t="inlineStr">
        <is>
          <t>2035_Sierpień_W2</t>
        </is>
      </c>
    </row>
    <row r="5338">
      <c r="A5338" s="177" t="n">
        <v>49533</v>
      </c>
      <c r="B5338" s="177" t="n">
        <v>49528</v>
      </c>
      <c r="C5338" s="177" t="n">
        <v>49534</v>
      </c>
      <c r="D5338" t="inlineStr">
        <is>
          <t>BW20350807</t>
        </is>
      </c>
      <c r="E5338" t="n">
        <v>2035</v>
      </c>
      <c r="F5338" t="inlineStr">
        <is>
          <t>Sierpień</t>
        </is>
      </c>
      <c r="G5338" t="inlineStr">
        <is>
          <t>Nd</t>
        </is>
      </c>
      <c r="H5338">
        <f>'Floor Hours Engine'!$E$6</f>
        <v/>
      </c>
      <c r="I5338" t="inlineStr">
        <is>
          <t>W2</t>
        </is>
      </c>
      <c r="J5338" t="inlineStr">
        <is>
          <t>2035_Sierpień_W2</t>
        </is>
      </c>
    </row>
    <row r="5339">
      <c r="A5339" s="177" t="n">
        <v>49534</v>
      </c>
      <c r="B5339" s="177" t="n">
        <v>49528</v>
      </c>
      <c r="C5339" s="177" t="n">
        <v>49534</v>
      </c>
      <c r="D5339" t="inlineStr">
        <is>
          <t>BW20350807</t>
        </is>
      </c>
      <c r="E5339" t="n">
        <v>2035</v>
      </c>
      <c r="F5339" t="inlineStr">
        <is>
          <t>Sierpień</t>
        </is>
      </c>
      <c r="G5339" t="inlineStr">
        <is>
          <t>Pn</t>
        </is>
      </c>
      <c r="H5339">
        <f>'Floor Hours Engine'!$E$4</f>
        <v/>
      </c>
      <c r="I5339" t="inlineStr">
        <is>
          <t>W2</t>
        </is>
      </c>
      <c r="J5339" t="inlineStr">
        <is>
          <t>2035_Sierpień_W2</t>
        </is>
      </c>
    </row>
    <row r="5340">
      <c r="A5340" s="177" t="n">
        <v>49535</v>
      </c>
      <c r="B5340" s="177" t="n">
        <v>49535</v>
      </c>
      <c r="C5340" s="177" t="n">
        <v>49541</v>
      </c>
      <c r="D5340" t="inlineStr">
        <is>
          <t>BW20350814</t>
        </is>
      </c>
      <c r="E5340" t="n">
        <v>2035</v>
      </c>
      <c r="F5340" t="inlineStr">
        <is>
          <t>Sierpień</t>
        </is>
      </c>
      <c r="G5340" t="inlineStr">
        <is>
          <t>Wt</t>
        </is>
      </c>
      <c r="H5340">
        <f>'Floor Hours Engine'!$E$4</f>
        <v/>
      </c>
      <c r="I5340" t="inlineStr">
        <is>
          <t>W3</t>
        </is>
      </c>
      <c r="J5340" t="inlineStr">
        <is>
          <t>2035_Sierpień_W3</t>
        </is>
      </c>
    </row>
    <row r="5341">
      <c r="A5341" s="177" t="n">
        <v>49536</v>
      </c>
      <c r="B5341" s="177" t="n">
        <v>49535</v>
      </c>
      <c r="C5341" s="177" t="n">
        <v>49541</v>
      </c>
      <c r="D5341" t="inlineStr">
        <is>
          <t>BW20350814</t>
        </is>
      </c>
      <c r="E5341" t="n">
        <v>2035</v>
      </c>
      <c r="F5341" t="inlineStr">
        <is>
          <t>Sierpień</t>
        </is>
      </c>
      <c r="G5341" t="inlineStr">
        <is>
          <t>Śr</t>
        </is>
      </c>
      <c r="H5341">
        <f>'Floor Hours Engine'!$E$4</f>
        <v/>
      </c>
      <c r="I5341" t="inlineStr">
        <is>
          <t>W3</t>
        </is>
      </c>
      <c r="J5341" t="inlineStr">
        <is>
          <t>2035_Sierpień_W3</t>
        </is>
      </c>
    </row>
    <row r="5342">
      <c r="A5342" s="177" t="n">
        <v>49537</v>
      </c>
      <c r="B5342" s="177" t="n">
        <v>49535</v>
      </c>
      <c r="C5342" s="177" t="n">
        <v>49541</v>
      </c>
      <c r="D5342" t="inlineStr">
        <is>
          <t>BW20350814</t>
        </is>
      </c>
      <c r="E5342" t="n">
        <v>2035</v>
      </c>
      <c r="F5342" t="inlineStr">
        <is>
          <t>Sierpień</t>
        </is>
      </c>
      <c r="G5342" t="inlineStr">
        <is>
          <t>Czw</t>
        </is>
      </c>
      <c r="H5342">
        <f>'Floor Hours Engine'!$E$4</f>
        <v/>
      </c>
      <c r="I5342" t="inlineStr">
        <is>
          <t>W3</t>
        </is>
      </c>
      <c r="J5342" t="inlineStr">
        <is>
          <t>2035_Sierpień_W3</t>
        </is>
      </c>
    </row>
    <row r="5343">
      <c r="A5343" s="177" t="n">
        <v>49538</v>
      </c>
      <c r="B5343" s="177" t="n">
        <v>49535</v>
      </c>
      <c r="C5343" s="177" t="n">
        <v>49541</v>
      </c>
      <c r="D5343" t="inlineStr">
        <is>
          <t>BW20350814</t>
        </is>
      </c>
      <c r="E5343" t="n">
        <v>2035</v>
      </c>
      <c r="F5343" t="inlineStr">
        <is>
          <t>Sierpień</t>
        </is>
      </c>
      <c r="G5343" t="inlineStr">
        <is>
          <t>Pt</t>
        </is>
      </c>
      <c r="H5343">
        <f>'Floor Hours Engine'!$E$5</f>
        <v/>
      </c>
      <c r="I5343" t="inlineStr">
        <is>
          <t>W3</t>
        </is>
      </c>
      <c r="J5343" t="inlineStr">
        <is>
          <t>2035_Sierpień_W3</t>
        </is>
      </c>
    </row>
    <row r="5344">
      <c r="A5344" s="177" t="n">
        <v>49539</v>
      </c>
      <c r="B5344" s="177" t="n">
        <v>49535</v>
      </c>
      <c r="C5344" s="177" t="n">
        <v>49541</v>
      </c>
      <c r="D5344" t="inlineStr">
        <is>
          <t>BW20350814</t>
        </is>
      </c>
      <c r="E5344" t="n">
        <v>2035</v>
      </c>
      <c r="F5344" t="inlineStr">
        <is>
          <t>Sierpień</t>
        </is>
      </c>
      <c r="G5344" t="inlineStr">
        <is>
          <t>Sob</t>
        </is>
      </c>
      <c r="H5344">
        <f>'Floor Hours Engine'!$E$5</f>
        <v/>
      </c>
      <c r="I5344" t="inlineStr">
        <is>
          <t>W3</t>
        </is>
      </c>
      <c r="J5344" t="inlineStr">
        <is>
          <t>2035_Sierpień_W3</t>
        </is>
      </c>
    </row>
    <row r="5345">
      <c r="A5345" s="177" t="n">
        <v>49540</v>
      </c>
      <c r="B5345" s="177" t="n">
        <v>49535</v>
      </c>
      <c r="C5345" s="177" t="n">
        <v>49541</v>
      </c>
      <c r="D5345" t="inlineStr">
        <is>
          <t>BW20350814</t>
        </is>
      </c>
      <c r="E5345" t="n">
        <v>2035</v>
      </c>
      <c r="F5345" t="inlineStr">
        <is>
          <t>Sierpień</t>
        </is>
      </c>
      <c r="G5345" t="inlineStr">
        <is>
          <t>Nd</t>
        </is>
      </c>
      <c r="H5345">
        <f>'Floor Hours Engine'!$E$6</f>
        <v/>
      </c>
      <c r="I5345" t="inlineStr">
        <is>
          <t>W3</t>
        </is>
      </c>
      <c r="J5345" t="inlineStr">
        <is>
          <t>2035_Sierpień_W3</t>
        </is>
      </c>
    </row>
    <row r="5346">
      <c r="A5346" s="177" t="n">
        <v>49541</v>
      </c>
      <c r="B5346" s="177" t="n">
        <v>49535</v>
      </c>
      <c r="C5346" s="177" t="n">
        <v>49541</v>
      </c>
      <c r="D5346" t="inlineStr">
        <is>
          <t>BW20350814</t>
        </is>
      </c>
      <c r="E5346" t="n">
        <v>2035</v>
      </c>
      <c r="F5346" t="inlineStr">
        <is>
          <t>Sierpień</t>
        </is>
      </c>
      <c r="G5346" t="inlineStr">
        <is>
          <t>Pn</t>
        </is>
      </c>
      <c r="H5346">
        <f>'Floor Hours Engine'!$E$4</f>
        <v/>
      </c>
      <c r="I5346" t="inlineStr">
        <is>
          <t>W3</t>
        </is>
      </c>
      <c r="J5346" t="inlineStr">
        <is>
          <t>2035_Sierpień_W3</t>
        </is>
      </c>
    </row>
    <row r="5347">
      <c r="A5347" s="177" t="n">
        <v>49542</v>
      </c>
      <c r="B5347" s="177" t="n">
        <v>49542</v>
      </c>
      <c r="C5347" s="177" t="n">
        <v>49548</v>
      </c>
      <c r="D5347" t="inlineStr">
        <is>
          <t>BW20350821</t>
        </is>
      </c>
      <c r="E5347" t="n">
        <v>2035</v>
      </c>
      <c r="F5347" t="inlineStr">
        <is>
          <t>Sierpień</t>
        </is>
      </c>
      <c r="G5347" t="inlineStr">
        <is>
          <t>Wt</t>
        </is>
      </c>
      <c r="H5347">
        <f>'Floor Hours Engine'!$E$4</f>
        <v/>
      </c>
      <c r="I5347" t="inlineStr">
        <is>
          <t>W4</t>
        </is>
      </c>
      <c r="J5347" t="inlineStr">
        <is>
          <t>2035_Sierpień_W4</t>
        </is>
      </c>
    </row>
    <row r="5348">
      <c r="A5348" s="177" t="n">
        <v>49543</v>
      </c>
      <c r="B5348" s="177" t="n">
        <v>49542</v>
      </c>
      <c r="C5348" s="177" t="n">
        <v>49548</v>
      </c>
      <c r="D5348" t="inlineStr">
        <is>
          <t>BW20350821</t>
        </is>
      </c>
      <c r="E5348" t="n">
        <v>2035</v>
      </c>
      <c r="F5348" t="inlineStr">
        <is>
          <t>Sierpień</t>
        </is>
      </c>
      <c r="G5348" t="inlineStr">
        <is>
          <t>Śr</t>
        </is>
      </c>
      <c r="H5348">
        <f>'Floor Hours Engine'!$E$4</f>
        <v/>
      </c>
      <c r="I5348" t="inlineStr">
        <is>
          <t>W4</t>
        </is>
      </c>
      <c r="J5348" t="inlineStr">
        <is>
          <t>2035_Sierpień_W4</t>
        </is>
      </c>
    </row>
    <row r="5349">
      <c r="A5349" s="177" t="n">
        <v>49544</v>
      </c>
      <c r="B5349" s="177" t="n">
        <v>49542</v>
      </c>
      <c r="C5349" s="177" t="n">
        <v>49548</v>
      </c>
      <c r="D5349" t="inlineStr">
        <is>
          <t>BW20350821</t>
        </is>
      </c>
      <c r="E5349" t="n">
        <v>2035</v>
      </c>
      <c r="F5349" t="inlineStr">
        <is>
          <t>Sierpień</t>
        </is>
      </c>
      <c r="G5349" t="inlineStr">
        <is>
          <t>Czw</t>
        </is>
      </c>
      <c r="H5349">
        <f>'Floor Hours Engine'!$E$4</f>
        <v/>
      </c>
      <c r="I5349" t="inlineStr">
        <is>
          <t>W4</t>
        </is>
      </c>
      <c r="J5349" t="inlineStr">
        <is>
          <t>2035_Sierpień_W4</t>
        </is>
      </c>
    </row>
    <row r="5350">
      <c r="A5350" s="177" t="n">
        <v>49545</v>
      </c>
      <c r="B5350" s="177" t="n">
        <v>49542</v>
      </c>
      <c r="C5350" s="177" t="n">
        <v>49548</v>
      </c>
      <c r="D5350" t="inlineStr">
        <is>
          <t>BW20350821</t>
        </is>
      </c>
      <c r="E5350" t="n">
        <v>2035</v>
      </c>
      <c r="F5350" t="inlineStr">
        <is>
          <t>Sierpień</t>
        </is>
      </c>
      <c r="G5350" t="inlineStr">
        <is>
          <t>Pt</t>
        </is>
      </c>
      <c r="H5350">
        <f>'Floor Hours Engine'!$E$5</f>
        <v/>
      </c>
      <c r="I5350" t="inlineStr">
        <is>
          <t>W4</t>
        </is>
      </c>
      <c r="J5350" t="inlineStr">
        <is>
          <t>2035_Sierpień_W4</t>
        </is>
      </c>
    </row>
    <row r="5351">
      <c r="A5351" s="177" t="n">
        <v>49546</v>
      </c>
      <c r="B5351" s="177" t="n">
        <v>49542</v>
      </c>
      <c r="C5351" s="177" t="n">
        <v>49548</v>
      </c>
      <c r="D5351" t="inlineStr">
        <is>
          <t>BW20350821</t>
        </is>
      </c>
      <c r="E5351" t="n">
        <v>2035</v>
      </c>
      <c r="F5351" t="inlineStr">
        <is>
          <t>Sierpień</t>
        </is>
      </c>
      <c r="G5351" t="inlineStr">
        <is>
          <t>Sob</t>
        </is>
      </c>
      <c r="H5351">
        <f>'Floor Hours Engine'!$E$5</f>
        <v/>
      </c>
      <c r="I5351" t="inlineStr">
        <is>
          <t>W4</t>
        </is>
      </c>
      <c r="J5351" t="inlineStr">
        <is>
          <t>2035_Sierpień_W4</t>
        </is>
      </c>
    </row>
    <row r="5352">
      <c r="A5352" s="177" t="n">
        <v>49547</v>
      </c>
      <c r="B5352" s="177" t="n">
        <v>49542</v>
      </c>
      <c r="C5352" s="177" t="n">
        <v>49548</v>
      </c>
      <c r="D5352" t="inlineStr">
        <is>
          <t>BW20350821</t>
        </is>
      </c>
      <c r="E5352" t="n">
        <v>2035</v>
      </c>
      <c r="F5352" t="inlineStr">
        <is>
          <t>Sierpień</t>
        </is>
      </c>
      <c r="G5352" t="inlineStr">
        <is>
          <t>Nd</t>
        </is>
      </c>
      <c r="H5352">
        <f>'Floor Hours Engine'!$E$6</f>
        <v/>
      </c>
      <c r="I5352" t="inlineStr">
        <is>
          <t>W4</t>
        </is>
      </c>
      <c r="J5352" t="inlineStr">
        <is>
          <t>2035_Sierpień_W4</t>
        </is>
      </c>
    </row>
    <row r="5353">
      <c r="A5353" s="177" t="n">
        <v>49548</v>
      </c>
      <c r="B5353" s="177" t="n">
        <v>49542</v>
      </c>
      <c r="C5353" s="177" t="n">
        <v>49548</v>
      </c>
      <c r="D5353" t="inlineStr">
        <is>
          <t>BW20350821</t>
        </is>
      </c>
      <c r="E5353" t="n">
        <v>2035</v>
      </c>
      <c r="F5353" t="inlineStr">
        <is>
          <t>Sierpień</t>
        </is>
      </c>
      <c r="G5353" t="inlineStr">
        <is>
          <t>Pn</t>
        </is>
      </c>
      <c r="H5353">
        <f>'Floor Hours Engine'!$E$4</f>
        <v/>
      </c>
      <c r="I5353" t="inlineStr">
        <is>
          <t>W4</t>
        </is>
      </c>
      <c r="J5353" t="inlineStr">
        <is>
          <t>2035_Sierpień_W4</t>
        </is>
      </c>
    </row>
    <row r="5354">
      <c r="A5354" s="177" t="n">
        <v>49549</v>
      </c>
      <c r="B5354" s="177" t="n">
        <v>49549</v>
      </c>
      <c r="C5354" s="177" t="n">
        <v>49555</v>
      </c>
      <c r="D5354" t="inlineStr">
        <is>
          <t>BW20350828</t>
        </is>
      </c>
      <c r="E5354" t="n">
        <v>2035</v>
      </c>
      <c r="F5354" t="inlineStr">
        <is>
          <t>Sierpień</t>
        </is>
      </c>
      <c r="G5354" t="inlineStr">
        <is>
          <t>Wt</t>
        </is>
      </c>
      <c r="H5354">
        <f>'Floor Hours Engine'!$E$4</f>
        <v/>
      </c>
      <c r="I5354" t="inlineStr">
        <is>
          <t>W5</t>
        </is>
      </c>
      <c r="J5354" t="inlineStr">
        <is>
          <t>2035_Sierpień_W5</t>
        </is>
      </c>
    </row>
    <row r="5355">
      <c r="A5355" s="177" t="n">
        <v>49550</v>
      </c>
      <c r="B5355" s="177" t="n">
        <v>49549</v>
      </c>
      <c r="C5355" s="177" t="n">
        <v>49555</v>
      </c>
      <c r="D5355" t="inlineStr">
        <is>
          <t>BW20350828</t>
        </is>
      </c>
      <c r="E5355" t="n">
        <v>2035</v>
      </c>
      <c r="F5355" t="inlineStr">
        <is>
          <t>Sierpień</t>
        </is>
      </c>
      <c r="G5355" t="inlineStr">
        <is>
          <t>Śr</t>
        </is>
      </c>
      <c r="H5355">
        <f>'Floor Hours Engine'!$E$4</f>
        <v/>
      </c>
      <c r="I5355" t="inlineStr">
        <is>
          <t>W5</t>
        </is>
      </c>
      <c r="J5355" t="inlineStr">
        <is>
          <t>2035_Sierpień_W5</t>
        </is>
      </c>
    </row>
    <row r="5356">
      <c r="A5356" s="177" t="n">
        <v>49551</v>
      </c>
      <c r="B5356" s="177" t="n">
        <v>49549</v>
      </c>
      <c r="C5356" s="177" t="n">
        <v>49555</v>
      </c>
      <c r="D5356" t="inlineStr">
        <is>
          <t>BW20350828</t>
        </is>
      </c>
      <c r="E5356" t="n">
        <v>2035</v>
      </c>
      <c r="F5356" t="inlineStr">
        <is>
          <t>Sierpień</t>
        </is>
      </c>
      <c r="G5356" t="inlineStr">
        <is>
          <t>Czw</t>
        </is>
      </c>
      <c r="H5356">
        <f>'Floor Hours Engine'!$E$4</f>
        <v/>
      </c>
      <c r="I5356" t="inlineStr">
        <is>
          <t>W5</t>
        </is>
      </c>
      <c r="J5356" t="inlineStr">
        <is>
          <t>2035_Sierpień_W5</t>
        </is>
      </c>
    </row>
    <row r="5357">
      <c r="A5357" s="177" t="n">
        <v>49552</v>
      </c>
      <c r="B5357" s="177" t="n">
        <v>49549</v>
      </c>
      <c r="C5357" s="177" t="n">
        <v>49555</v>
      </c>
      <c r="D5357" t="inlineStr">
        <is>
          <t>BW20350828</t>
        </is>
      </c>
      <c r="E5357" t="n">
        <v>2035</v>
      </c>
      <c r="F5357" t="inlineStr">
        <is>
          <t>Sierpień</t>
        </is>
      </c>
      <c r="G5357" t="inlineStr">
        <is>
          <t>Pt</t>
        </is>
      </c>
      <c r="H5357">
        <f>'Floor Hours Engine'!$E$5</f>
        <v/>
      </c>
      <c r="I5357" t="inlineStr">
        <is>
          <t>W5</t>
        </is>
      </c>
      <c r="J5357" t="inlineStr">
        <is>
          <t>2035_Sierpień_W5</t>
        </is>
      </c>
    </row>
    <row r="5358">
      <c r="A5358" s="177" t="n">
        <v>49553</v>
      </c>
      <c r="B5358" s="177" t="n">
        <v>49549</v>
      </c>
      <c r="C5358" s="177" t="n">
        <v>49555</v>
      </c>
      <c r="D5358" t="inlineStr">
        <is>
          <t>BW20350828</t>
        </is>
      </c>
      <c r="E5358" t="n">
        <v>2035</v>
      </c>
      <c r="F5358" t="inlineStr">
        <is>
          <t>Wrzesień</t>
        </is>
      </c>
      <c r="G5358" t="inlineStr">
        <is>
          <t>Sob</t>
        </is>
      </c>
      <c r="H5358">
        <f>'Floor Hours Engine'!$E$5</f>
        <v/>
      </c>
      <c r="I5358" t="inlineStr">
        <is>
          <t>W1</t>
        </is>
      </c>
      <c r="J5358" t="inlineStr">
        <is>
          <t>2035_Wrzesień_W1</t>
        </is>
      </c>
    </row>
    <row r="5359">
      <c r="A5359" s="177" t="n">
        <v>49554</v>
      </c>
      <c r="B5359" s="177" t="n">
        <v>49549</v>
      </c>
      <c r="C5359" s="177" t="n">
        <v>49555</v>
      </c>
      <c r="D5359" t="inlineStr">
        <is>
          <t>BW20350828</t>
        </is>
      </c>
      <c r="E5359" t="n">
        <v>2035</v>
      </c>
      <c r="F5359" t="inlineStr">
        <is>
          <t>Wrzesień</t>
        </is>
      </c>
      <c r="G5359" t="inlineStr">
        <is>
          <t>Nd</t>
        </is>
      </c>
      <c r="H5359">
        <f>'Floor Hours Engine'!$E$6</f>
        <v/>
      </c>
      <c r="I5359" t="inlineStr">
        <is>
          <t>W1</t>
        </is>
      </c>
      <c r="J5359" t="inlineStr">
        <is>
          <t>2035_Wrzesień_W1</t>
        </is>
      </c>
    </row>
    <row r="5360">
      <c r="A5360" s="177" t="n">
        <v>49555</v>
      </c>
      <c r="B5360" s="177" t="n">
        <v>49549</v>
      </c>
      <c r="C5360" s="177" t="n">
        <v>49555</v>
      </c>
      <c r="D5360" t="inlineStr">
        <is>
          <t>BW20350828</t>
        </is>
      </c>
      <c r="E5360" t="n">
        <v>2035</v>
      </c>
      <c r="F5360" t="inlineStr">
        <is>
          <t>Wrzesień</t>
        </is>
      </c>
      <c r="G5360" t="inlineStr">
        <is>
          <t>Pn</t>
        </is>
      </c>
      <c r="H5360">
        <f>'Floor Hours Engine'!$E$4</f>
        <v/>
      </c>
      <c r="I5360" t="inlineStr">
        <is>
          <t>W1</t>
        </is>
      </c>
      <c r="J5360" t="inlineStr">
        <is>
          <t>2035_Wrzesień_W1</t>
        </is>
      </c>
    </row>
    <row r="5361">
      <c r="A5361" s="177" t="n">
        <v>49556</v>
      </c>
      <c r="B5361" s="177" t="n">
        <v>49556</v>
      </c>
      <c r="C5361" s="177" t="n">
        <v>49562</v>
      </c>
      <c r="D5361" t="inlineStr">
        <is>
          <t>BW20350904</t>
        </is>
      </c>
      <c r="E5361" t="n">
        <v>2035</v>
      </c>
      <c r="F5361" t="inlineStr">
        <is>
          <t>Wrzesień</t>
        </is>
      </c>
      <c r="G5361" t="inlineStr">
        <is>
          <t>Wt</t>
        </is>
      </c>
      <c r="H5361">
        <f>'Floor Hours Engine'!$E$4</f>
        <v/>
      </c>
      <c r="I5361" t="inlineStr">
        <is>
          <t>W2</t>
        </is>
      </c>
      <c r="J5361" t="inlineStr">
        <is>
          <t>2035_Wrzesień_W2</t>
        </is>
      </c>
    </row>
    <row r="5362">
      <c r="A5362" s="177" t="n">
        <v>49557</v>
      </c>
      <c r="B5362" s="177" t="n">
        <v>49556</v>
      </c>
      <c r="C5362" s="177" t="n">
        <v>49562</v>
      </c>
      <c r="D5362" t="inlineStr">
        <is>
          <t>BW20350904</t>
        </is>
      </c>
      <c r="E5362" t="n">
        <v>2035</v>
      </c>
      <c r="F5362" t="inlineStr">
        <is>
          <t>Wrzesień</t>
        </is>
      </c>
      <c r="G5362" t="inlineStr">
        <is>
          <t>Śr</t>
        </is>
      </c>
      <c r="H5362">
        <f>'Floor Hours Engine'!$E$4</f>
        <v/>
      </c>
      <c r="I5362" t="inlineStr">
        <is>
          <t>W2</t>
        </is>
      </c>
      <c r="J5362" t="inlineStr">
        <is>
          <t>2035_Wrzesień_W2</t>
        </is>
      </c>
    </row>
    <row r="5363">
      <c r="A5363" s="177" t="n">
        <v>49558</v>
      </c>
      <c r="B5363" s="177" t="n">
        <v>49556</v>
      </c>
      <c r="C5363" s="177" t="n">
        <v>49562</v>
      </c>
      <c r="D5363" t="inlineStr">
        <is>
          <t>BW20350904</t>
        </is>
      </c>
      <c r="E5363" t="n">
        <v>2035</v>
      </c>
      <c r="F5363" t="inlineStr">
        <is>
          <t>Wrzesień</t>
        </is>
      </c>
      <c r="G5363" t="inlineStr">
        <is>
          <t>Czw</t>
        </is>
      </c>
      <c r="H5363">
        <f>'Floor Hours Engine'!$E$4</f>
        <v/>
      </c>
      <c r="I5363" t="inlineStr">
        <is>
          <t>W2</t>
        </is>
      </c>
      <c r="J5363" t="inlineStr">
        <is>
          <t>2035_Wrzesień_W2</t>
        </is>
      </c>
    </row>
    <row r="5364">
      <c r="A5364" s="177" t="n">
        <v>49559</v>
      </c>
      <c r="B5364" s="177" t="n">
        <v>49556</v>
      </c>
      <c r="C5364" s="177" t="n">
        <v>49562</v>
      </c>
      <c r="D5364" t="inlineStr">
        <is>
          <t>BW20350904</t>
        </is>
      </c>
      <c r="E5364" t="n">
        <v>2035</v>
      </c>
      <c r="F5364" t="inlineStr">
        <is>
          <t>Wrzesień</t>
        </is>
      </c>
      <c r="G5364" t="inlineStr">
        <is>
          <t>Pt</t>
        </is>
      </c>
      <c r="H5364">
        <f>'Floor Hours Engine'!$E$5</f>
        <v/>
      </c>
      <c r="I5364" t="inlineStr">
        <is>
          <t>W2</t>
        </is>
      </c>
      <c r="J5364" t="inlineStr">
        <is>
          <t>2035_Wrzesień_W2</t>
        </is>
      </c>
    </row>
    <row r="5365">
      <c r="A5365" s="177" t="n">
        <v>49560</v>
      </c>
      <c r="B5365" s="177" t="n">
        <v>49556</v>
      </c>
      <c r="C5365" s="177" t="n">
        <v>49562</v>
      </c>
      <c r="D5365" t="inlineStr">
        <is>
          <t>BW20350904</t>
        </is>
      </c>
      <c r="E5365" t="n">
        <v>2035</v>
      </c>
      <c r="F5365" t="inlineStr">
        <is>
          <t>Wrzesień</t>
        </is>
      </c>
      <c r="G5365" t="inlineStr">
        <is>
          <t>Sob</t>
        </is>
      </c>
      <c r="H5365">
        <f>'Floor Hours Engine'!$E$5</f>
        <v/>
      </c>
      <c r="I5365" t="inlineStr">
        <is>
          <t>W2</t>
        </is>
      </c>
      <c r="J5365" t="inlineStr">
        <is>
          <t>2035_Wrzesień_W2</t>
        </is>
      </c>
    </row>
    <row r="5366">
      <c r="A5366" s="177" t="n">
        <v>49561</v>
      </c>
      <c r="B5366" s="177" t="n">
        <v>49556</v>
      </c>
      <c r="C5366" s="177" t="n">
        <v>49562</v>
      </c>
      <c r="D5366" t="inlineStr">
        <is>
          <t>BW20350904</t>
        </is>
      </c>
      <c r="E5366" t="n">
        <v>2035</v>
      </c>
      <c r="F5366" t="inlineStr">
        <is>
          <t>Wrzesień</t>
        </is>
      </c>
      <c r="G5366" t="inlineStr">
        <is>
          <t>Nd</t>
        </is>
      </c>
      <c r="H5366">
        <f>'Floor Hours Engine'!$E$6</f>
        <v/>
      </c>
      <c r="I5366" t="inlineStr">
        <is>
          <t>W2</t>
        </is>
      </c>
      <c r="J5366" t="inlineStr">
        <is>
          <t>2035_Wrzesień_W2</t>
        </is>
      </c>
    </row>
    <row r="5367">
      <c r="A5367" s="177" t="n">
        <v>49562</v>
      </c>
      <c r="B5367" s="177" t="n">
        <v>49556</v>
      </c>
      <c r="C5367" s="177" t="n">
        <v>49562</v>
      </c>
      <c r="D5367" t="inlineStr">
        <is>
          <t>BW20350904</t>
        </is>
      </c>
      <c r="E5367" t="n">
        <v>2035</v>
      </c>
      <c r="F5367" t="inlineStr">
        <is>
          <t>Wrzesień</t>
        </is>
      </c>
      <c r="G5367" t="inlineStr">
        <is>
          <t>Pn</t>
        </is>
      </c>
      <c r="H5367">
        <f>'Floor Hours Engine'!$E$4</f>
        <v/>
      </c>
      <c r="I5367" t="inlineStr">
        <is>
          <t>W2</t>
        </is>
      </c>
      <c r="J5367" t="inlineStr">
        <is>
          <t>2035_Wrzesień_W2</t>
        </is>
      </c>
    </row>
    <row r="5368">
      <c r="A5368" s="177" t="n">
        <v>49563</v>
      </c>
      <c r="B5368" s="177" t="n">
        <v>49563</v>
      </c>
      <c r="C5368" s="177" t="n">
        <v>49569</v>
      </c>
      <c r="D5368" t="inlineStr">
        <is>
          <t>BW20350911</t>
        </is>
      </c>
      <c r="E5368" t="n">
        <v>2035</v>
      </c>
      <c r="F5368" t="inlineStr">
        <is>
          <t>Wrzesień</t>
        </is>
      </c>
      <c r="G5368" t="inlineStr">
        <is>
          <t>Wt</t>
        </is>
      </c>
      <c r="H5368">
        <f>'Floor Hours Engine'!$E$4</f>
        <v/>
      </c>
      <c r="I5368" t="inlineStr">
        <is>
          <t>W3</t>
        </is>
      </c>
      <c r="J5368" t="inlineStr">
        <is>
          <t>2035_Wrzesień_W3</t>
        </is>
      </c>
    </row>
    <row r="5369">
      <c r="A5369" s="177" t="n">
        <v>49564</v>
      </c>
      <c r="B5369" s="177" t="n">
        <v>49563</v>
      </c>
      <c r="C5369" s="177" t="n">
        <v>49569</v>
      </c>
      <c r="D5369" t="inlineStr">
        <is>
          <t>BW20350911</t>
        </is>
      </c>
      <c r="E5369" t="n">
        <v>2035</v>
      </c>
      <c r="F5369" t="inlineStr">
        <is>
          <t>Wrzesień</t>
        </is>
      </c>
      <c r="G5369" t="inlineStr">
        <is>
          <t>Śr</t>
        </is>
      </c>
      <c r="H5369">
        <f>'Floor Hours Engine'!$E$4</f>
        <v/>
      </c>
      <c r="I5369" t="inlineStr">
        <is>
          <t>W3</t>
        </is>
      </c>
      <c r="J5369" t="inlineStr">
        <is>
          <t>2035_Wrzesień_W3</t>
        </is>
      </c>
    </row>
    <row r="5370">
      <c r="A5370" s="177" t="n">
        <v>49565</v>
      </c>
      <c r="B5370" s="177" t="n">
        <v>49563</v>
      </c>
      <c r="C5370" s="177" t="n">
        <v>49569</v>
      </c>
      <c r="D5370" t="inlineStr">
        <is>
          <t>BW20350911</t>
        </is>
      </c>
      <c r="E5370" t="n">
        <v>2035</v>
      </c>
      <c r="F5370" t="inlineStr">
        <is>
          <t>Wrzesień</t>
        </is>
      </c>
      <c r="G5370" t="inlineStr">
        <is>
          <t>Czw</t>
        </is>
      </c>
      <c r="H5370">
        <f>'Floor Hours Engine'!$E$4</f>
        <v/>
      </c>
      <c r="I5370" t="inlineStr">
        <is>
          <t>W3</t>
        </is>
      </c>
      <c r="J5370" t="inlineStr">
        <is>
          <t>2035_Wrzesień_W3</t>
        </is>
      </c>
    </row>
    <row r="5371">
      <c r="A5371" s="177" t="n">
        <v>49566</v>
      </c>
      <c r="B5371" s="177" t="n">
        <v>49563</v>
      </c>
      <c r="C5371" s="177" t="n">
        <v>49569</v>
      </c>
      <c r="D5371" t="inlineStr">
        <is>
          <t>BW20350911</t>
        </is>
      </c>
      <c r="E5371" t="n">
        <v>2035</v>
      </c>
      <c r="F5371" t="inlineStr">
        <is>
          <t>Wrzesień</t>
        </is>
      </c>
      <c r="G5371" t="inlineStr">
        <is>
          <t>Pt</t>
        </is>
      </c>
      <c r="H5371">
        <f>'Floor Hours Engine'!$E$5</f>
        <v/>
      </c>
      <c r="I5371" t="inlineStr">
        <is>
          <t>W3</t>
        </is>
      </c>
      <c r="J5371" t="inlineStr">
        <is>
          <t>2035_Wrzesień_W3</t>
        </is>
      </c>
    </row>
    <row r="5372">
      <c r="A5372" s="177" t="n">
        <v>49567</v>
      </c>
      <c r="B5372" s="177" t="n">
        <v>49563</v>
      </c>
      <c r="C5372" s="177" t="n">
        <v>49569</v>
      </c>
      <c r="D5372" t="inlineStr">
        <is>
          <t>BW20350911</t>
        </is>
      </c>
      <c r="E5372" t="n">
        <v>2035</v>
      </c>
      <c r="F5372" t="inlineStr">
        <is>
          <t>Wrzesień</t>
        </is>
      </c>
      <c r="G5372" t="inlineStr">
        <is>
          <t>Sob</t>
        </is>
      </c>
      <c r="H5372">
        <f>'Floor Hours Engine'!$E$5</f>
        <v/>
      </c>
      <c r="I5372" t="inlineStr">
        <is>
          <t>W3</t>
        </is>
      </c>
      <c r="J5372" t="inlineStr">
        <is>
          <t>2035_Wrzesień_W3</t>
        </is>
      </c>
    </row>
    <row r="5373">
      <c r="A5373" s="177" t="n">
        <v>49568</v>
      </c>
      <c r="B5373" s="177" t="n">
        <v>49563</v>
      </c>
      <c r="C5373" s="177" t="n">
        <v>49569</v>
      </c>
      <c r="D5373" t="inlineStr">
        <is>
          <t>BW20350911</t>
        </is>
      </c>
      <c r="E5373" t="n">
        <v>2035</v>
      </c>
      <c r="F5373" t="inlineStr">
        <is>
          <t>Wrzesień</t>
        </is>
      </c>
      <c r="G5373" t="inlineStr">
        <is>
          <t>Nd</t>
        </is>
      </c>
      <c r="H5373">
        <f>'Floor Hours Engine'!$E$6</f>
        <v/>
      </c>
      <c r="I5373" t="inlineStr">
        <is>
          <t>W3</t>
        </is>
      </c>
      <c r="J5373" t="inlineStr">
        <is>
          <t>2035_Wrzesień_W3</t>
        </is>
      </c>
    </row>
    <row r="5374">
      <c r="A5374" s="177" t="n">
        <v>49569</v>
      </c>
      <c r="B5374" s="177" t="n">
        <v>49563</v>
      </c>
      <c r="C5374" s="177" t="n">
        <v>49569</v>
      </c>
      <c r="D5374" t="inlineStr">
        <is>
          <t>BW20350911</t>
        </is>
      </c>
      <c r="E5374" t="n">
        <v>2035</v>
      </c>
      <c r="F5374" t="inlineStr">
        <is>
          <t>Wrzesień</t>
        </is>
      </c>
      <c r="G5374" t="inlineStr">
        <is>
          <t>Pn</t>
        </is>
      </c>
      <c r="H5374">
        <f>'Floor Hours Engine'!$E$4</f>
        <v/>
      </c>
      <c r="I5374" t="inlineStr">
        <is>
          <t>W3</t>
        </is>
      </c>
      <c r="J5374" t="inlineStr">
        <is>
          <t>2035_Wrzesień_W3</t>
        </is>
      </c>
    </row>
    <row r="5375">
      <c r="A5375" s="177" t="n">
        <v>49570</v>
      </c>
      <c r="B5375" s="177" t="n">
        <v>49570</v>
      </c>
      <c r="C5375" s="177" t="n">
        <v>49576</v>
      </c>
      <c r="D5375" t="inlineStr">
        <is>
          <t>BW20350918</t>
        </is>
      </c>
      <c r="E5375" t="n">
        <v>2035</v>
      </c>
      <c r="F5375" t="inlineStr">
        <is>
          <t>Wrzesień</t>
        </is>
      </c>
      <c r="G5375" t="inlineStr">
        <is>
          <t>Wt</t>
        </is>
      </c>
      <c r="H5375">
        <f>'Floor Hours Engine'!$E$4</f>
        <v/>
      </c>
      <c r="I5375" t="inlineStr">
        <is>
          <t>W4</t>
        </is>
      </c>
      <c r="J5375" t="inlineStr">
        <is>
          <t>2035_Wrzesień_W4</t>
        </is>
      </c>
    </row>
    <row r="5376">
      <c r="A5376" s="177" t="n">
        <v>49571</v>
      </c>
      <c r="B5376" s="177" t="n">
        <v>49570</v>
      </c>
      <c r="C5376" s="177" t="n">
        <v>49576</v>
      </c>
      <c r="D5376" t="inlineStr">
        <is>
          <t>BW20350918</t>
        </is>
      </c>
      <c r="E5376" t="n">
        <v>2035</v>
      </c>
      <c r="F5376" t="inlineStr">
        <is>
          <t>Wrzesień</t>
        </is>
      </c>
      <c r="G5376" t="inlineStr">
        <is>
          <t>Śr</t>
        </is>
      </c>
      <c r="H5376">
        <f>'Floor Hours Engine'!$E$4</f>
        <v/>
      </c>
      <c r="I5376" t="inlineStr">
        <is>
          <t>W4</t>
        </is>
      </c>
      <c r="J5376" t="inlineStr">
        <is>
          <t>2035_Wrzesień_W4</t>
        </is>
      </c>
    </row>
    <row r="5377">
      <c r="A5377" s="177" t="n">
        <v>49572</v>
      </c>
      <c r="B5377" s="177" t="n">
        <v>49570</v>
      </c>
      <c r="C5377" s="177" t="n">
        <v>49576</v>
      </c>
      <c r="D5377" t="inlineStr">
        <is>
          <t>BW20350918</t>
        </is>
      </c>
      <c r="E5377" t="n">
        <v>2035</v>
      </c>
      <c r="F5377" t="inlineStr">
        <is>
          <t>Wrzesień</t>
        </is>
      </c>
      <c r="G5377" t="inlineStr">
        <is>
          <t>Czw</t>
        </is>
      </c>
      <c r="H5377">
        <f>'Floor Hours Engine'!$E$4</f>
        <v/>
      </c>
      <c r="I5377" t="inlineStr">
        <is>
          <t>W4</t>
        </is>
      </c>
      <c r="J5377" t="inlineStr">
        <is>
          <t>2035_Wrzesień_W4</t>
        </is>
      </c>
    </row>
    <row r="5378">
      <c r="A5378" s="177" t="n">
        <v>49573</v>
      </c>
      <c r="B5378" s="177" t="n">
        <v>49570</v>
      </c>
      <c r="C5378" s="177" t="n">
        <v>49576</v>
      </c>
      <c r="D5378" t="inlineStr">
        <is>
          <t>BW20350918</t>
        </is>
      </c>
      <c r="E5378" t="n">
        <v>2035</v>
      </c>
      <c r="F5378" t="inlineStr">
        <is>
          <t>Wrzesień</t>
        </is>
      </c>
      <c r="G5378" t="inlineStr">
        <is>
          <t>Pt</t>
        </is>
      </c>
      <c r="H5378">
        <f>'Floor Hours Engine'!$E$5</f>
        <v/>
      </c>
      <c r="I5378" t="inlineStr">
        <is>
          <t>W4</t>
        </is>
      </c>
      <c r="J5378" t="inlineStr">
        <is>
          <t>2035_Wrzesień_W4</t>
        </is>
      </c>
    </row>
    <row r="5379">
      <c r="A5379" s="177" t="n">
        <v>49574</v>
      </c>
      <c r="B5379" s="177" t="n">
        <v>49570</v>
      </c>
      <c r="C5379" s="177" t="n">
        <v>49576</v>
      </c>
      <c r="D5379" t="inlineStr">
        <is>
          <t>BW20350918</t>
        </is>
      </c>
      <c r="E5379" t="n">
        <v>2035</v>
      </c>
      <c r="F5379" t="inlineStr">
        <is>
          <t>Wrzesień</t>
        </is>
      </c>
      <c r="G5379" t="inlineStr">
        <is>
          <t>Sob</t>
        </is>
      </c>
      <c r="H5379">
        <f>'Floor Hours Engine'!$E$5</f>
        <v/>
      </c>
      <c r="I5379" t="inlineStr">
        <is>
          <t>W4</t>
        </is>
      </c>
      <c r="J5379" t="inlineStr">
        <is>
          <t>2035_Wrzesień_W4</t>
        </is>
      </c>
    </row>
    <row r="5380">
      <c r="A5380" s="177" t="n">
        <v>49575</v>
      </c>
      <c r="B5380" s="177" t="n">
        <v>49570</v>
      </c>
      <c r="C5380" s="177" t="n">
        <v>49576</v>
      </c>
      <c r="D5380" t="inlineStr">
        <is>
          <t>BW20350918</t>
        </is>
      </c>
      <c r="E5380" t="n">
        <v>2035</v>
      </c>
      <c r="F5380" t="inlineStr">
        <is>
          <t>Wrzesień</t>
        </is>
      </c>
      <c r="G5380" t="inlineStr">
        <is>
          <t>Nd</t>
        </is>
      </c>
      <c r="H5380">
        <f>'Floor Hours Engine'!$E$6</f>
        <v/>
      </c>
      <c r="I5380" t="inlineStr">
        <is>
          <t>W4</t>
        </is>
      </c>
      <c r="J5380" t="inlineStr">
        <is>
          <t>2035_Wrzesień_W4</t>
        </is>
      </c>
    </row>
    <row r="5381">
      <c r="A5381" s="177" t="n">
        <v>49576</v>
      </c>
      <c r="B5381" s="177" t="n">
        <v>49570</v>
      </c>
      <c r="C5381" s="177" t="n">
        <v>49576</v>
      </c>
      <c r="D5381" t="inlineStr">
        <is>
          <t>BW20350918</t>
        </is>
      </c>
      <c r="E5381" t="n">
        <v>2035</v>
      </c>
      <c r="F5381" t="inlineStr">
        <is>
          <t>Wrzesień</t>
        </is>
      </c>
      <c r="G5381" t="inlineStr">
        <is>
          <t>Pn</t>
        </is>
      </c>
      <c r="H5381">
        <f>'Floor Hours Engine'!$E$4</f>
        <v/>
      </c>
      <c r="I5381" t="inlineStr">
        <is>
          <t>W4</t>
        </is>
      </c>
      <c r="J5381" t="inlineStr">
        <is>
          <t>2035_Wrzesień_W4</t>
        </is>
      </c>
    </row>
    <row r="5382">
      <c r="A5382" s="177" t="n">
        <v>49577</v>
      </c>
      <c r="B5382" s="177" t="n">
        <v>49577</v>
      </c>
      <c r="C5382" s="177" t="n">
        <v>49583</v>
      </c>
      <c r="D5382" t="inlineStr">
        <is>
          <t>BW20350925</t>
        </is>
      </c>
      <c r="E5382" t="n">
        <v>2035</v>
      </c>
      <c r="F5382" t="inlineStr">
        <is>
          <t>Wrzesień</t>
        </is>
      </c>
      <c r="G5382" t="inlineStr">
        <is>
          <t>Wt</t>
        </is>
      </c>
      <c r="H5382">
        <f>'Floor Hours Engine'!$E$4</f>
        <v/>
      </c>
      <c r="I5382" t="inlineStr">
        <is>
          <t>W5</t>
        </is>
      </c>
      <c r="J5382" t="inlineStr">
        <is>
          <t>2035_Wrzesień_W5</t>
        </is>
      </c>
    </row>
    <row r="5383">
      <c r="A5383" s="177" t="n">
        <v>49578</v>
      </c>
      <c r="B5383" s="177" t="n">
        <v>49577</v>
      </c>
      <c r="C5383" s="177" t="n">
        <v>49583</v>
      </c>
      <c r="D5383" t="inlineStr">
        <is>
          <t>BW20350925</t>
        </is>
      </c>
      <c r="E5383" t="n">
        <v>2035</v>
      </c>
      <c r="F5383" t="inlineStr">
        <is>
          <t>Wrzesień</t>
        </is>
      </c>
      <c r="G5383" t="inlineStr">
        <is>
          <t>Śr</t>
        </is>
      </c>
      <c r="H5383">
        <f>'Floor Hours Engine'!$E$4</f>
        <v/>
      </c>
      <c r="I5383" t="inlineStr">
        <is>
          <t>W5</t>
        </is>
      </c>
      <c r="J5383" t="inlineStr">
        <is>
          <t>2035_Wrzesień_W5</t>
        </is>
      </c>
    </row>
    <row r="5384">
      <c r="A5384" s="177" t="n">
        <v>49579</v>
      </c>
      <c r="B5384" s="177" t="n">
        <v>49577</v>
      </c>
      <c r="C5384" s="177" t="n">
        <v>49583</v>
      </c>
      <c r="D5384" t="inlineStr">
        <is>
          <t>BW20350925</t>
        </is>
      </c>
      <c r="E5384" t="n">
        <v>2035</v>
      </c>
      <c r="F5384" t="inlineStr">
        <is>
          <t>Wrzesień</t>
        </is>
      </c>
      <c r="G5384" t="inlineStr">
        <is>
          <t>Czw</t>
        </is>
      </c>
      <c r="H5384">
        <f>'Floor Hours Engine'!$E$4</f>
        <v/>
      </c>
      <c r="I5384" t="inlineStr">
        <is>
          <t>W5</t>
        </is>
      </c>
      <c r="J5384" t="inlineStr">
        <is>
          <t>2035_Wrzesień_W5</t>
        </is>
      </c>
    </row>
    <row r="5385">
      <c r="A5385" s="177" t="n">
        <v>49580</v>
      </c>
      <c r="B5385" s="177" t="n">
        <v>49577</v>
      </c>
      <c r="C5385" s="177" t="n">
        <v>49583</v>
      </c>
      <c r="D5385" t="inlineStr">
        <is>
          <t>BW20350925</t>
        </is>
      </c>
      <c r="E5385" t="n">
        <v>2035</v>
      </c>
      <c r="F5385" t="inlineStr">
        <is>
          <t>Wrzesień</t>
        </is>
      </c>
      <c r="G5385" t="inlineStr">
        <is>
          <t>Pt</t>
        </is>
      </c>
      <c r="H5385">
        <f>'Floor Hours Engine'!$E$5</f>
        <v/>
      </c>
      <c r="I5385" t="inlineStr">
        <is>
          <t>W5</t>
        </is>
      </c>
      <c r="J5385" t="inlineStr">
        <is>
          <t>2035_Wrzesień_W5</t>
        </is>
      </c>
    </row>
    <row r="5386">
      <c r="A5386" s="177" t="n">
        <v>49581</v>
      </c>
      <c r="B5386" s="177" t="n">
        <v>49577</v>
      </c>
      <c r="C5386" s="177" t="n">
        <v>49583</v>
      </c>
      <c r="D5386" t="inlineStr">
        <is>
          <t>BW20350925</t>
        </is>
      </c>
      <c r="E5386" t="n">
        <v>2035</v>
      </c>
      <c r="F5386" t="inlineStr">
        <is>
          <t>Wrzesień</t>
        </is>
      </c>
      <c r="G5386" t="inlineStr">
        <is>
          <t>Sob</t>
        </is>
      </c>
      <c r="H5386">
        <f>'Floor Hours Engine'!$E$5</f>
        <v/>
      </c>
      <c r="I5386" t="inlineStr">
        <is>
          <t>W5</t>
        </is>
      </c>
      <c r="J5386" t="inlineStr">
        <is>
          <t>2035_Wrzesień_W5</t>
        </is>
      </c>
    </row>
    <row r="5387">
      <c r="A5387" s="177" t="n">
        <v>49582</v>
      </c>
      <c r="B5387" s="177" t="n">
        <v>49577</v>
      </c>
      <c r="C5387" s="177" t="n">
        <v>49583</v>
      </c>
      <c r="D5387" t="inlineStr">
        <is>
          <t>BW20350925</t>
        </is>
      </c>
      <c r="E5387" t="n">
        <v>2035</v>
      </c>
      <c r="F5387" t="inlineStr">
        <is>
          <t>Wrzesień</t>
        </is>
      </c>
      <c r="G5387" t="inlineStr">
        <is>
          <t>Nd</t>
        </is>
      </c>
      <c r="H5387">
        <f>'Floor Hours Engine'!$E$6</f>
        <v/>
      </c>
      <c r="I5387" t="inlineStr">
        <is>
          <t>W5</t>
        </is>
      </c>
      <c r="J5387" t="inlineStr">
        <is>
          <t>2035_Wrzesień_W5</t>
        </is>
      </c>
    </row>
    <row r="5388">
      <c r="A5388" s="177" t="n">
        <v>49583</v>
      </c>
      <c r="B5388" s="177" t="n">
        <v>49577</v>
      </c>
      <c r="C5388" s="177" t="n">
        <v>49583</v>
      </c>
      <c r="D5388" t="inlineStr">
        <is>
          <t>BW20350925</t>
        </is>
      </c>
      <c r="E5388" t="n">
        <v>2035</v>
      </c>
      <c r="F5388" t="inlineStr">
        <is>
          <t>Październik</t>
        </is>
      </c>
      <c r="G5388" t="inlineStr">
        <is>
          <t>Pn</t>
        </is>
      </c>
      <c r="H5388">
        <f>'Floor Hours Engine'!$E$4</f>
        <v/>
      </c>
      <c r="I5388" t="inlineStr">
        <is>
          <t>W1</t>
        </is>
      </c>
      <c r="J5388" t="inlineStr">
        <is>
          <t>2035_Październik_W1</t>
        </is>
      </c>
    </row>
    <row r="5389">
      <c r="A5389" s="177" t="n">
        <v>49584</v>
      </c>
      <c r="B5389" s="177" t="n">
        <v>49584</v>
      </c>
      <c r="C5389" s="177" t="n">
        <v>49590</v>
      </c>
      <c r="D5389" t="inlineStr">
        <is>
          <t>BW20351002</t>
        </is>
      </c>
      <c r="E5389" t="n">
        <v>2035</v>
      </c>
      <c r="F5389" t="inlineStr">
        <is>
          <t>Październik</t>
        </is>
      </c>
      <c r="G5389" t="inlineStr">
        <is>
          <t>Wt</t>
        </is>
      </c>
      <c r="H5389">
        <f>'Floor Hours Engine'!$E$4</f>
        <v/>
      </c>
      <c r="I5389" t="inlineStr">
        <is>
          <t>W2</t>
        </is>
      </c>
      <c r="J5389" t="inlineStr">
        <is>
          <t>2035_Październik_W2</t>
        </is>
      </c>
    </row>
    <row r="5390">
      <c r="A5390" s="177" t="n">
        <v>49585</v>
      </c>
      <c r="B5390" s="177" t="n">
        <v>49584</v>
      </c>
      <c r="C5390" s="177" t="n">
        <v>49590</v>
      </c>
      <c r="D5390" t="inlineStr">
        <is>
          <t>BW20351002</t>
        </is>
      </c>
      <c r="E5390" t="n">
        <v>2035</v>
      </c>
      <c r="F5390" t="inlineStr">
        <is>
          <t>Październik</t>
        </is>
      </c>
      <c r="G5390" t="inlineStr">
        <is>
          <t>Śr</t>
        </is>
      </c>
      <c r="H5390">
        <f>'Floor Hours Engine'!$E$4</f>
        <v/>
      </c>
      <c r="I5390" t="inlineStr">
        <is>
          <t>W2</t>
        </is>
      </c>
      <c r="J5390" t="inlineStr">
        <is>
          <t>2035_Październik_W2</t>
        </is>
      </c>
    </row>
    <row r="5391">
      <c r="A5391" s="177" t="n">
        <v>49586</v>
      </c>
      <c r="B5391" s="177" t="n">
        <v>49584</v>
      </c>
      <c r="C5391" s="177" t="n">
        <v>49590</v>
      </c>
      <c r="D5391" t="inlineStr">
        <is>
          <t>BW20351002</t>
        </is>
      </c>
      <c r="E5391" t="n">
        <v>2035</v>
      </c>
      <c r="F5391" t="inlineStr">
        <is>
          <t>Październik</t>
        </is>
      </c>
      <c r="G5391" t="inlineStr">
        <is>
          <t>Czw</t>
        </is>
      </c>
      <c r="H5391">
        <f>'Floor Hours Engine'!$E$4</f>
        <v/>
      </c>
      <c r="I5391" t="inlineStr">
        <is>
          <t>W2</t>
        </is>
      </c>
      <c r="J5391" t="inlineStr">
        <is>
          <t>2035_Październik_W2</t>
        </is>
      </c>
    </row>
    <row r="5392">
      <c r="A5392" s="177" t="n">
        <v>49587</v>
      </c>
      <c r="B5392" s="177" t="n">
        <v>49584</v>
      </c>
      <c r="C5392" s="177" t="n">
        <v>49590</v>
      </c>
      <c r="D5392" t="inlineStr">
        <is>
          <t>BW20351002</t>
        </is>
      </c>
      <c r="E5392" t="n">
        <v>2035</v>
      </c>
      <c r="F5392" t="inlineStr">
        <is>
          <t>Październik</t>
        </is>
      </c>
      <c r="G5392" t="inlineStr">
        <is>
          <t>Pt</t>
        </is>
      </c>
      <c r="H5392">
        <f>'Floor Hours Engine'!$E$5</f>
        <v/>
      </c>
      <c r="I5392" t="inlineStr">
        <is>
          <t>W2</t>
        </is>
      </c>
      <c r="J5392" t="inlineStr">
        <is>
          <t>2035_Październik_W2</t>
        </is>
      </c>
    </row>
    <row r="5393">
      <c r="A5393" s="177" t="n">
        <v>49588</v>
      </c>
      <c r="B5393" s="177" t="n">
        <v>49584</v>
      </c>
      <c r="C5393" s="177" t="n">
        <v>49590</v>
      </c>
      <c r="D5393" t="inlineStr">
        <is>
          <t>BW20351002</t>
        </is>
      </c>
      <c r="E5393" t="n">
        <v>2035</v>
      </c>
      <c r="F5393" t="inlineStr">
        <is>
          <t>Październik</t>
        </is>
      </c>
      <c r="G5393" t="inlineStr">
        <is>
          <t>Sob</t>
        </is>
      </c>
      <c r="H5393">
        <f>'Floor Hours Engine'!$E$5</f>
        <v/>
      </c>
      <c r="I5393" t="inlineStr">
        <is>
          <t>W2</t>
        </is>
      </c>
      <c r="J5393" t="inlineStr">
        <is>
          <t>2035_Październik_W2</t>
        </is>
      </c>
    </row>
    <row r="5394">
      <c r="A5394" s="177" t="n">
        <v>49589</v>
      </c>
      <c r="B5394" s="177" t="n">
        <v>49584</v>
      </c>
      <c r="C5394" s="177" t="n">
        <v>49590</v>
      </c>
      <c r="D5394" t="inlineStr">
        <is>
          <t>BW20351002</t>
        </is>
      </c>
      <c r="E5394" t="n">
        <v>2035</v>
      </c>
      <c r="F5394" t="inlineStr">
        <is>
          <t>Październik</t>
        </is>
      </c>
      <c r="G5394" t="inlineStr">
        <is>
          <t>Nd</t>
        </is>
      </c>
      <c r="H5394">
        <f>'Floor Hours Engine'!$E$6</f>
        <v/>
      </c>
      <c r="I5394" t="inlineStr">
        <is>
          <t>W2</t>
        </is>
      </c>
      <c r="J5394" t="inlineStr">
        <is>
          <t>2035_Październik_W2</t>
        </is>
      </c>
    </row>
    <row r="5395">
      <c r="A5395" s="177" t="n">
        <v>49590</v>
      </c>
      <c r="B5395" s="177" t="n">
        <v>49584</v>
      </c>
      <c r="C5395" s="177" t="n">
        <v>49590</v>
      </c>
      <c r="D5395" t="inlineStr">
        <is>
          <t>BW20351002</t>
        </is>
      </c>
      <c r="E5395" t="n">
        <v>2035</v>
      </c>
      <c r="F5395" t="inlineStr">
        <is>
          <t>Październik</t>
        </is>
      </c>
      <c r="G5395" t="inlineStr">
        <is>
          <t>Pn</t>
        </is>
      </c>
      <c r="H5395">
        <f>'Floor Hours Engine'!$E$4</f>
        <v/>
      </c>
      <c r="I5395" t="inlineStr">
        <is>
          <t>W2</t>
        </is>
      </c>
      <c r="J5395" t="inlineStr">
        <is>
          <t>2035_Październik_W2</t>
        </is>
      </c>
    </row>
    <row r="5396">
      <c r="A5396" s="177" t="n">
        <v>49591</v>
      </c>
      <c r="B5396" s="177" t="n">
        <v>49591</v>
      </c>
      <c r="C5396" s="177" t="n">
        <v>49597</v>
      </c>
      <c r="D5396" t="inlineStr">
        <is>
          <t>BW20351009</t>
        </is>
      </c>
      <c r="E5396" t="n">
        <v>2035</v>
      </c>
      <c r="F5396" t="inlineStr">
        <is>
          <t>Październik</t>
        </is>
      </c>
      <c r="G5396" t="inlineStr">
        <is>
          <t>Wt</t>
        </is>
      </c>
      <c r="H5396">
        <f>'Floor Hours Engine'!$E$4</f>
        <v/>
      </c>
      <c r="I5396" t="inlineStr">
        <is>
          <t>W3</t>
        </is>
      </c>
      <c r="J5396" t="inlineStr">
        <is>
          <t>2035_Październik_W3</t>
        </is>
      </c>
    </row>
    <row r="5397">
      <c r="A5397" s="177" t="n">
        <v>49592</v>
      </c>
      <c r="B5397" s="177" t="n">
        <v>49591</v>
      </c>
      <c r="C5397" s="177" t="n">
        <v>49597</v>
      </c>
      <c r="D5397" t="inlineStr">
        <is>
          <t>BW20351009</t>
        </is>
      </c>
      <c r="E5397" t="n">
        <v>2035</v>
      </c>
      <c r="F5397" t="inlineStr">
        <is>
          <t>Październik</t>
        </is>
      </c>
      <c r="G5397" t="inlineStr">
        <is>
          <t>Śr</t>
        </is>
      </c>
      <c r="H5397">
        <f>'Floor Hours Engine'!$E$4</f>
        <v/>
      </c>
      <c r="I5397" t="inlineStr">
        <is>
          <t>W3</t>
        </is>
      </c>
      <c r="J5397" t="inlineStr">
        <is>
          <t>2035_Październik_W3</t>
        </is>
      </c>
    </row>
    <row r="5398">
      <c r="A5398" s="177" t="n">
        <v>49593</v>
      </c>
      <c r="B5398" s="177" t="n">
        <v>49591</v>
      </c>
      <c r="C5398" s="177" t="n">
        <v>49597</v>
      </c>
      <c r="D5398" t="inlineStr">
        <is>
          <t>BW20351009</t>
        </is>
      </c>
      <c r="E5398" t="n">
        <v>2035</v>
      </c>
      <c r="F5398" t="inlineStr">
        <is>
          <t>Październik</t>
        </is>
      </c>
      <c r="G5398" t="inlineStr">
        <is>
          <t>Czw</t>
        </is>
      </c>
      <c r="H5398">
        <f>'Floor Hours Engine'!$E$4</f>
        <v/>
      </c>
      <c r="I5398" t="inlineStr">
        <is>
          <t>W3</t>
        </is>
      </c>
      <c r="J5398" t="inlineStr">
        <is>
          <t>2035_Październik_W3</t>
        </is>
      </c>
    </row>
    <row r="5399">
      <c r="A5399" s="177" t="n">
        <v>49594</v>
      </c>
      <c r="B5399" s="177" t="n">
        <v>49591</v>
      </c>
      <c r="C5399" s="177" t="n">
        <v>49597</v>
      </c>
      <c r="D5399" t="inlineStr">
        <is>
          <t>BW20351009</t>
        </is>
      </c>
      <c r="E5399" t="n">
        <v>2035</v>
      </c>
      <c r="F5399" t="inlineStr">
        <is>
          <t>Październik</t>
        </is>
      </c>
      <c r="G5399" t="inlineStr">
        <is>
          <t>Pt</t>
        </is>
      </c>
      <c r="H5399">
        <f>'Floor Hours Engine'!$E$5</f>
        <v/>
      </c>
      <c r="I5399" t="inlineStr">
        <is>
          <t>W3</t>
        </is>
      </c>
      <c r="J5399" t="inlineStr">
        <is>
          <t>2035_Październik_W3</t>
        </is>
      </c>
    </row>
    <row r="5400">
      <c r="A5400" s="177" t="n">
        <v>49595</v>
      </c>
      <c r="B5400" s="177" t="n">
        <v>49591</v>
      </c>
      <c r="C5400" s="177" t="n">
        <v>49597</v>
      </c>
      <c r="D5400" t="inlineStr">
        <is>
          <t>BW20351009</t>
        </is>
      </c>
      <c r="E5400" t="n">
        <v>2035</v>
      </c>
      <c r="F5400" t="inlineStr">
        <is>
          <t>Październik</t>
        </is>
      </c>
      <c r="G5400" t="inlineStr">
        <is>
          <t>Sob</t>
        </is>
      </c>
      <c r="H5400">
        <f>'Floor Hours Engine'!$E$5</f>
        <v/>
      </c>
      <c r="I5400" t="inlineStr">
        <is>
          <t>W3</t>
        </is>
      </c>
      <c r="J5400" t="inlineStr">
        <is>
          <t>2035_Październik_W3</t>
        </is>
      </c>
    </row>
    <row r="5401">
      <c r="A5401" s="177" t="n">
        <v>49596</v>
      </c>
      <c r="B5401" s="177" t="n">
        <v>49591</v>
      </c>
      <c r="C5401" s="177" t="n">
        <v>49597</v>
      </c>
      <c r="D5401" t="inlineStr">
        <is>
          <t>BW20351009</t>
        </is>
      </c>
      <c r="E5401" t="n">
        <v>2035</v>
      </c>
      <c r="F5401" t="inlineStr">
        <is>
          <t>Październik</t>
        </is>
      </c>
      <c r="G5401" t="inlineStr">
        <is>
          <t>Nd</t>
        </is>
      </c>
      <c r="H5401">
        <f>'Floor Hours Engine'!$E$6</f>
        <v/>
      </c>
      <c r="I5401" t="inlineStr">
        <is>
          <t>W3</t>
        </is>
      </c>
      <c r="J5401" t="inlineStr">
        <is>
          <t>2035_Październik_W3</t>
        </is>
      </c>
    </row>
    <row r="5402">
      <c r="A5402" s="177" t="n">
        <v>49597</v>
      </c>
      <c r="B5402" s="177" t="n">
        <v>49591</v>
      </c>
      <c r="C5402" s="177" t="n">
        <v>49597</v>
      </c>
      <c r="D5402" t="inlineStr">
        <is>
          <t>BW20351009</t>
        </is>
      </c>
      <c r="E5402" t="n">
        <v>2035</v>
      </c>
      <c r="F5402" t="inlineStr">
        <is>
          <t>Październik</t>
        </is>
      </c>
      <c r="G5402" t="inlineStr">
        <is>
          <t>Pn</t>
        </is>
      </c>
      <c r="H5402">
        <f>'Floor Hours Engine'!$E$4</f>
        <v/>
      </c>
      <c r="I5402" t="inlineStr">
        <is>
          <t>W3</t>
        </is>
      </c>
      <c r="J5402" t="inlineStr">
        <is>
          <t>2035_Październik_W3</t>
        </is>
      </c>
    </row>
    <row r="5403">
      <c r="A5403" s="177" t="n">
        <v>49598</v>
      </c>
      <c r="B5403" s="177" t="n">
        <v>49598</v>
      </c>
      <c r="C5403" s="177" t="n">
        <v>49604</v>
      </c>
      <c r="D5403" t="inlineStr">
        <is>
          <t>BW20351016</t>
        </is>
      </c>
      <c r="E5403" t="n">
        <v>2035</v>
      </c>
      <c r="F5403" t="inlineStr">
        <is>
          <t>Październik</t>
        </is>
      </c>
      <c r="G5403" t="inlineStr">
        <is>
          <t>Wt</t>
        </is>
      </c>
      <c r="H5403">
        <f>'Floor Hours Engine'!$E$4</f>
        <v/>
      </c>
      <c r="I5403" t="inlineStr">
        <is>
          <t>W4</t>
        </is>
      </c>
      <c r="J5403" t="inlineStr">
        <is>
          <t>2035_Październik_W4</t>
        </is>
      </c>
    </row>
    <row r="5404">
      <c r="A5404" s="177" t="n">
        <v>49599</v>
      </c>
      <c r="B5404" s="177" t="n">
        <v>49598</v>
      </c>
      <c r="C5404" s="177" t="n">
        <v>49604</v>
      </c>
      <c r="D5404" t="inlineStr">
        <is>
          <t>BW20351016</t>
        </is>
      </c>
      <c r="E5404" t="n">
        <v>2035</v>
      </c>
      <c r="F5404" t="inlineStr">
        <is>
          <t>Październik</t>
        </is>
      </c>
      <c r="G5404" t="inlineStr">
        <is>
          <t>Śr</t>
        </is>
      </c>
      <c r="H5404">
        <f>'Floor Hours Engine'!$E$4</f>
        <v/>
      </c>
      <c r="I5404" t="inlineStr">
        <is>
          <t>W4</t>
        </is>
      </c>
      <c r="J5404" t="inlineStr">
        <is>
          <t>2035_Październik_W4</t>
        </is>
      </c>
    </row>
    <row r="5405">
      <c r="A5405" s="177" t="n">
        <v>49600</v>
      </c>
      <c r="B5405" s="177" t="n">
        <v>49598</v>
      </c>
      <c r="C5405" s="177" t="n">
        <v>49604</v>
      </c>
      <c r="D5405" t="inlineStr">
        <is>
          <t>BW20351016</t>
        </is>
      </c>
      <c r="E5405" t="n">
        <v>2035</v>
      </c>
      <c r="F5405" t="inlineStr">
        <is>
          <t>Październik</t>
        </is>
      </c>
      <c r="G5405" t="inlineStr">
        <is>
          <t>Czw</t>
        </is>
      </c>
      <c r="H5405">
        <f>'Floor Hours Engine'!$E$4</f>
        <v/>
      </c>
      <c r="I5405" t="inlineStr">
        <is>
          <t>W4</t>
        </is>
      </c>
      <c r="J5405" t="inlineStr">
        <is>
          <t>2035_Październik_W4</t>
        </is>
      </c>
    </row>
    <row r="5406">
      <c r="A5406" s="177" t="n">
        <v>49601</v>
      </c>
      <c r="B5406" s="177" t="n">
        <v>49598</v>
      </c>
      <c r="C5406" s="177" t="n">
        <v>49604</v>
      </c>
      <c r="D5406" t="inlineStr">
        <is>
          <t>BW20351016</t>
        </is>
      </c>
      <c r="E5406" t="n">
        <v>2035</v>
      </c>
      <c r="F5406" t="inlineStr">
        <is>
          <t>Październik</t>
        </is>
      </c>
      <c r="G5406" t="inlineStr">
        <is>
          <t>Pt</t>
        </is>
      </c>
      <c r="H5406">
        <f>'Floor Hours Engine'!$E$5</f>
        <v/>
      </c>
      <c r="I5406" t="inlineStr">
        <is>
          <t>W4</t>
        </is>
      </c>
      <c r="J5406" t="inlineStr">
        <is>
          <t>2035_Październik_W4</t>
        </is>
      </c>
    </row>
    <row r="5407">
      <c r="A5407" s="177" t="n">
        <v>49602</v>
      </c>
      <c r="B5407" s="177" t="n">
        <v>49598</v>
      </c>
      <c r="C5407" s="177" t="n">
        <v>49604</v>
      </c>
      <c r="D5407" t="inlineStr">
        <is>
          <t>BW20351016</t>
        </is>
      </c>
      <c r="E5407" t="n">
        <v>2035</v>
      </c>
      <c r="F5407" t="inlineStr">
        <is>
          <t>Październik</t>
        </is>
      </c>
      <c r="G5407" t="inlineStr">
        <is>
          <t>Sob</t>
        </is>
      </c>
      <c r="H5407">
        <f>'Floor Hours Engine'!$E$5</f>
        <v/>
      </c>
      <c r="I5407" t="inlineStr">
        <is>
          <t>W4</t>
        </is>
      </c>
      <c r="J5407" t="inlineStr">
        <is>
          <t>2035_Październik_W4</t>
        </is>
      </c>
    </row>
    <row r="5408">
      <c r="A5408" s="177" t="n">
        <v>49603</v>
      </c>
      <c r="B5408" s="177" t="n">
        <v>49598</v>
      </c>
      <c r="C5408" s="177" t="n">
        <v>49604</v>
      </c>
      <c r="D5408" t="inlineStr">
        <is>
          <t>BW20351016</t>
        </is>
      </c>
      <c r="E5408" t="n">
        <v>2035</v>
      </c>
      <c r="F5408" t="inlineStr">
        <is>
          <t>Październik</t>
        </is>
      </c>
      <c r="G5408" t="inlineStr">
        <is>
          <t>Nd</t>
        </is>
      </c>
      <c r="H5408">
        <f>'Floor Hours Engine'!$E$6</f>
        <v/>
      </c>
      <c r="I5408" t="inlineStr">
        <is>
          <t>W4</t>
        </is>
      </c>
      <c r="J5408" t="inlineStr">
        <is>
          <t>2035_Październik_W4</t>
        </is>
      </c>
    </row>
    <row r="5409">
      <c r="A5409" s="177" t="n">
        <v>49604</v>
      </c>
      <c r="B5409" s="177" t="n">
        <v>49598</v>
      </c>
      <c r="C5409" s="177" t="n">
        <v>49604</v>
      </c>
      <c r="D5409" t="inlineStr">
        <is>
          <t>BW20351016</t>
        </is>
      </c>
      <c r="E5409" t="n">
        <v>2035</v>
      </c>
      <c r="F5409" t="inlineStr">
        <is>
          <t>Październik</t>
        </is>
      </c>
      <c r="G5409" t="inlineStr">
        <is>
          <t>Pn</t>
        </is>
      </c>
      <c r="H5409">
        <f>'Floor Hours Engine'!$E$4</f>
        <v/>
      </c>
      <c r="I5409" t="inlineStr">
        <is>
          <t>W4</t>
        </is>
      </c>
      <c r="J5409" t="inlineStr">
        <is>
          <t>2035_Październik_W4</t>
        </is>
      </c>
    </row>
    <row r="5410">
      <c r="A5410" s="177" t="n">
        <v>49605</v>
      </c>
      <c r="B5410" s="177" t="n">
        <v>49605</v>
      </c>
      <c r="C5410" s="177" t="n">
        <v>49611</v>
      </c>
      <c r="D5410" t="inlineStr">
        <is>
          <t>BW20351023</t>
        </is>
      </c>
      <c r="E5410" t="n">
        <v>2035</v>
      </c>
      <c r="F5410" t="inlineStr">
        <is>
          <t>Październik</t>
        </is>
      </c>
      <c r="G5410" t="inlineStr">
        <is>
          <t>Wt</t>
        </is>
      </c>
      <c r="H5410">
        <f>'Floor Hours Engine'!$E$4</f>
        <v/>
      </c>
      <c r="I5410" t="inlineStr">
        <is>
          <t>W5</t>
        </is>
      </c>
      <c r="J5410" t="inlineStr">
        <is>
          <t>2035_Październik_W5</t>
        </is>
      </c>
    </row>
    <row r="5411">
      <c r="A5411" s="177" t="n">
        <v>49606</v>
      </c>
      <c r="B5411" s="177" t="n">
        <v>49605</v>
      </c>
      <c r="C5411" s="177" t="n">
        <v>49611</v>
      </c>
      <c r="D5411" t="inlineStr">
        <is>
          <t>BW20351023</t>
        </is>
      </c>
      <c r="E5411" t="n">
        <v>2035</v>
      </c>
      <c r="F5411" t="inlineStr">
        <is>
          <t>Październik</t>
        </is>
      </c>
      <c r="G5411" t="inlineStr">
        <is>
          <t>Śr</t>
        </is>
      </c>
      <c r="H5411">
        <f>'Floor Hours Engine'!$E$4</f>
        <v/>
      </c>
      <c r="I5411" t="inlineStr">
        <is>
          <t>W5</t>
        </is>
      </c>
      <c r="J5411" t="inlineStr">
        <is>
          <t>2035_Październik_W5</t>
        </is>
      </c>
    </row>
    <row r="5412">
      <c r="A5412" s="177" t="n">
        <v>49607</v>
      </c>
      <c r="B5412" s="177" t="n">
        <v>49605</v>
      </c>
      <c r="C5412" s="177" t="n">
        <v>49611</v>
      </c>
      <c r="D5412" t="inlineStr">
        <is>
          <t>BW20351023</t>
        </is>
      </c>
      <c r="E5412" t="n">
        <v>2035</v>
      </c>
      <c r="F5412" t="inlineStr">
        <is>
          <t>Październik</t>
        </is>
      </c>
      <c r="G5412" t="inlineStr">
        <is>
          <t>Czw</t>
        </is>
      </c>
      <c r="H5412">
        <f>'Floor Hours Engine'!$E$4</f>
        <v/>
      </c>
      <c r="I5412" t="inlineStr">
        <is>
          <t>W5</t>
        </is>
      </c>
      <c r="J5412" t="inlineStr">
        <is>
          <t>2035_Październik_W5</t>
        </is>
      </c>
    </row>
    <row r="5413">
      <c r="A5413" s="177" t="n">
        <v>49608</v>
      </c>
      <c r="B5413" s="177" t="n">
        <v>49605</v>
      </c>
      <c r="C5413" s="177" t="n">
        <v>49611</v>
      </c>
      <c r="D5413" t="inlineStr">
        <is>
          <t>BW20351023</t>
        </is>
      </c>
      <c r="E5413" t="n">
        <v>2035</v>
      </c>
      <c r="F5413" t="inlineStr">
        <is>
          <t>Październik</t>
        </is>
      </c>
      <c r="G5413" t="inlineStr">
        <is>
          <t>Pt</t>
        </is>
      </c>
      <c r="H5413">
        <f>'Floor Hours Engine'!$E$5</f>
        <v/>
      </c>
      <c r="I5413" t="inlineStr">
        <is>
          <t>W5</t>
        </is>
      </c>
      <c r="J5413" t="inlineStr">
        <is>
          <t>2035_Październik_W5</t>
        </is>
      </c>
    </row>
    <row r="5414">
      <c r="A5414" s="177" t="n">
        <v>49609</v>
      </c>
      <c r="B5414" s="177" t="n">
        <v>49605</v>
      </c>
      <c r="C5414" s="177" t="n">
        <v>49611</v>
      </c>
      <c r="D5414" t="inlineStr">
        <is>
          <t>BW20351023</t>
        </is>
      </c>
      <c r="E5414" t="n">
        <v>2035</v>
      </c>
      <c r="F5414" t="inlineStr">
        <is>
          <t>Październik</t>
        </is>
      </c>
      <c r="G5414" t="inlineStr">
        <is>
          <t>Sob</t>
        </is>
      </c>
      <c r="H5414">
        <f>'Floor Hours Engine'!$E$5</f>
        <v/>
      </c>
      <c r="I5414" t="inlineStr">
        <is>
          <t>W5</t>
        </is>
      </c>
      <c r="J5414" t="inlineStr">
        <is>
          <t>2035_Październik_W5</t>
        </is>
      </c>
    </row>
    <row r="5415">
      <c r="A5415" s="177" t="n">
        <v>49610</v>
      </c>
      <c r="B5415" s="177" t="n">
        <v>49605</v>
      </c>
      <c r="C5415" s="177" t="n">
        <v>49611</v>
      </c>
      <c r="D5415" t="inlineStr">
        <is>
          <t>BW20351023</t>
        </is>
      </c>
      <c r="E5415" t="n">
        <v>2035</v>
      </c>
      <c r="F5415" t="inlineStr">
        <is>
          <t>Październik</t>
        </is>
      </c>
      <c r="G5415" t="inlineStr">
        <is>
          <t>Nd</t>
        </is>
      </c>
      <c r="H5415">
        <f>'Floor Hours Engine'!$E$6</f>
        <v/>
      </c>
      <c r="I5415" t="inlineStr">
        <is>
          <t>W5</t>
        </is>
      </c>
      <c r="J5415" t="inlineStr">
        <is>
          <t>2035_Październik_W5</t>
        </is>
      </c>
    </row>
    <row r="5416">
      <c r="A5416" s="177" t="n">
        <v>49611</v>
      </c>
      <c r="B5416" s="177" t="n">
        <v>49605</v>
      </c>
      <c r="C5416" s="177" t="n">
        <v>49611</v>
      </c>
      <c r="D5416" t="inlineStr">
        <is>
          <t>BW20351023</t>
        </is>
      </c>
      <c r="E5416" t="n">
        <v>2035</v>
      </c>
      <c r="F5416" t="inlineStr">
        <is>
          <t>Październik</t>
        </is>
      </c>
      <c r="G5416" t="inlineStr">
        <is>
          <t>Pn</t>
        </is>
      </c>
      <c r="H5416">
        <f>'Floor Hours Engine'!$E$4</f>
        <v/>
      </c>
      <c r="I5416" t="inlineStr">
        <is>
          <t>W5</t>
        </is>
      </c>
      <c r="J5416" t="inlineStr">
        <is>
          <t>2035_Październik_W5</t>
        </is>
      </c>
    </row>
    <row r="5417">
      <c r="A5417" s="177" t="n">
        <v>49612</v>
      </c>
      <c r="B5417" s="177" t="n">
        <v>49612</v>
      </c>
      <c r="C5417" s="177" t="n">
        <v>49618</v>
      </c>
      <c r="D5417" t="inlineStr">
        <is>
          <t>BW20351030</t>
        </is>
      </c>
      <c r="E5417" t="n">
        <v>2035</v>
      </c>
      <c r="F5417" t="inlineStr">
        <is>
          <t>Październik</t>
        </is>
      </c>
      <c r="G5417" t="inlineStr">
        <is>
          <t>Wt</t>
        </is>
      </c>
      <c r="H5417">
        <f>'Floor Hours Engine'!$E$4</f>
        <v/>
      </c>
      <c r="I5417" t="inlineStr">
        <is>
          <t>W6</t>
        </is>
      </c>
      <c r="J5417" t="inlineStr">
        <is>
          <t>2035_Październik_W6</t>
        </is>
      </c>
    </row>
    <row r="5418">
      <c r="A5418" s="177" t="n">
        <v>49613</v>
      </c>
      <c r="B5418" s="177" t="n">
        <v>49612</v>
      </c>
      <c r="C5418" s="177" t="n">
        <v>49618</v>
      </c>
      <c r="D5418" t="inlineStr">
        <is>
          <t>BW20351030</t>
        </is>
      </c>
      <c r="E5418" t="n">
        <v>2035</v>
      </c>
      <c r="F5418" t="inlineStr">
        <is>
          <t>Październik</t>
        </is>
      </c>
      <c r="G5418" t="inlineStr">
        <is>
          <t>Śr</t>
        </is>
      </c>
      <c r="H5418">
        <f>'Floor Hours Engine'!$E$4</f>
        <v/>
      </c>
      <c r="I5418" t="inlineStr">
        <is>
          <t>W6</t>
        </is>
      </c>
      <c r="J5418" t="inlineStr">
        <is>
          <t>2035_Październik_W6</t>
        </is>
      </c>
    </row>
    <row r="5419">
      <c r="A5419" s="177" t="n">
        <v>49614</v>
      </c>
      <c r="B5419" s="177" t="n">
        <v>49612</v>
      </c>
      <c r="C5419" s="177" t="n">
        <v>49618</v>
      </c>
      <c r="D5419" t="inlineStr">
        <is>
          <t>BW20351030</t>
        </is>
      </c>
      <c r="E5419" t="n">
        <v>2035</v>
      </c>
      <c r="F5419" t="inlineStr">
        <is>
          <t>Listopad</t>
        </is>
      </c>
      <c r="G5419" t="inlineStr">
        <is>
          <t>Czw</t>
        </is>
      </c>
      <c r="H5419">
        <f>'Floor Hours Engine'!$E$4</f>
        <v/>
      </c>
      <c r="I5419" t="inlineStr">
        <is>
          <t>W1</t>
        </is>
      </c>
      <c r="J5419" t="inlineStr">
        <is>
          <t>2035_Listopad_W1</t>
        </is>
      </c>
    </row>
    <row r="5420">
      <c r="A5420" s="177" t="n">
        <v>49615</v>
      </c>
      <c r="B5420" s="177" t="n">
        <v>49612</v>
      </c>
      <c r="C5420" s="177" t="n">
        <v>49618</v>
      </c>
      <c r="D5420" t="inlineStr">
        <is>
          <t>BW20351030</t>
        </is>
      </c>
      <c r="E5420" t="n">
        <v>2035</v>
      </c>
      <c r="F5420" t="inlineStr">
        <is>
          <t>Listopad</t>
        </is>
      </c>
      <c r="G5420" t="inlineStr">
        <is>
          <t>Pt</t>
        </is>
      </c>
      <c r="H5420">
        <f>'Floor Hours Engine'!$E$5</f>
        <v/>
      </c>
      <c r="I5420" t="inlineStr">
        <is>
          <t>W1</t>
        </is>
      </c>
      <c r="J5420" t="inlineStr">
        <is>
          <t>2035_Listopad_W1</t>
        </is>
      </c>
    </row>
    <row r="5421">
      <c r="A5421" s="177" t="n">
        <v>49616</v>
      </c>
      <c r="B5421" s="177" t="n">
        <v>49612</v>
      </c>
      <c r="C5421" s="177" t="n">
        <v>49618</v>
      </c>
      <c r="D5421" t="inlineStr">
        <is>
          <t>BW20351030</t>
        </is>
      </c>
      <c r="E5421" t="n">
        <v>2035</v>
      </c>
      <c r="F5421" t="inlineStr">
        <is>
          <t>Listopad</t>
        </is>
      </c>
      <c r="G5421" t="inlineStr">
        <is>
          <t>Sob</t>
        </is>
      </c>
      <c r="H5421">
        <f>'Floor Hours Engine'!$E$5</f>
        <v/>
      </c>
      <c r="I5421" t="inlineStr">
        <is>
          <t>W1</t>
        </is>
      </c>
      <c r="J5421" t="inlineStr">
        <is>
          <t>2035_Listopad_W1</t>
        </is>
      </c>
    </row>
    <row r="5422">
      <c r="A5422" s="177" t="n">
        <v>49617</v>
      </c>
      <c r="B5422" s="177" t="n">
        <v>49612</v>
      </c>
      <c r="C5422" s="177" t="n">
        <v>49618</v>
      </c>
      <c r="D5422" t="inlineStr">
        <is>
          <t>BW20351030</t>
        </is>
      </c>
      <c r="E5422" t="n">
        <v>2035</v>
      </c>
      <c r="F5422" t="inlineStr">
        <is>
          <t>Listopad</t>
        </is>
      </c>
      <c r="G5422" t="inlineStr">
        <is>
          <t>Nd</t>
        </is>
      </c>
      <c r="H5422">
        <f>'Floor Hours Engine'!$E$6</f>
        <v/>
      </c>
      <c r="I5422" t="inlineStr">
        <is>
          <t>W1</t>
        </is>
      </c>
      <c r="J5422" t="inlineStr">
        <is>
          <t>2035_Listopad_W1</t>
        </is>
      </c>
    </row>
    <row r="5423">
      <c r="A5423" s="177" t="n">
        <v>49618</v>
      </c>
      <c r="B5423" s="177" t="n">
        <v>49612</v>
      </c>
      <c r="C5423" s="177" t="n">
        <v>49618</v>
      </c>
      <c r="D5423" t="inlineStr">
        <is>
          <t>BW20351030</t>
        </is>
      </c>
      <c r="E5423" t="n">
        <v>2035</v>
      </c>
      <c r="F5423" t="inlineStr">
        <is>
          <t>Listopad</t>
        </is>
      </c>
      <c r="G5423" t="inlineStr">
        <is>
          <t>Pn</t>
        </is>
      </c>
      <c r="H5423">
        <f>'Floor Hours Engine'!$E$4</f>
        <v/>
      </c>
      <c r="I5423" t="inlineStr">
        <is>
          <t>W1</t>
        </is>
      </c>
      <c r="J5423" t="inlineStr">
        <is>
          <t>2035_Listopad_W1</t>
        </is>
      </c>
    </row>
    <row r="5424">
      <c r="A5424" s="177" t="n">
        <v>49619</v>
      </c>
      <c r="B5424" s="177" t="n">
        <v>49619</v>
      </c>
      <c r="C5424" s="177" t="n">
        <v>49625</v>
      </c>
      <c r="D5424" t="inlineStr">
        <is>
          <t>BW20351106</t>
        </is>
      </c>
      <c r="E5424" t="n">
        <v>2035</v>
      </c>
      <c r="F5424" t="inlineStr">
        <is>
          <t>Listopad</t>
        </is>
      </c>
      <c r="G5424" t="inlineStr">
        <is>
          <t>Wt</t>
        </is>
      </c>
      <c r="H5424">
        <f>'Floor Hours Engine'!$E$4</f>
        <v/>
      </c>
      <c r="I5424" t="inlineStr">
        <is>
          <t>W2</t>
        </is>
      </c>
      <c r="J5424" t="inlineStr">
        <is>
          <t>2035_Listopad_W2</t>
        </is>
      </c>
    </row>
    <row r="5425">
      <c r="A5425" s="177" t="n">
        <v>49620</v>
      </c>
      <c r="B5425" s="177" t="n">
        <v>49619</v>
      </c>
      <c r="C5425" s="177" t="n">
        <v>49625</v>
      </c>
      <c r="D5425" t="inlineStr">
        <is>
          <t>BW20351106</t>
        </is>
      </c>
      <c r="E5425" t="n">
        <v>2035</v>
      </c>
      <c r="F5425" t="inlineStr">
        <is>
          <t>Listopad</t>
        </is>
      </c>
      <c r="G5425" t="inlineStr">
        <is>
          <t>Śr</t>
        </is>
      </c>
      <c r="H5425">
        <f>'Floor Hours Engine'!$E$4</f>
        <v/>
      </c>
      <c r="I5425" t="inlineStr">
        <is>
          <t>W2</t>
        </is>
      </c>
      <c r="J5425" t="inlineStr">
        <is>
          <t>2035_Listopad_W2</t>
        </is>
      </c>
    </row>
    <row r="5426">
      <c r="A5426" s="177" t="n">
        <v>49621</v>
      </c>
      <c r="B5426" s="177" t="n">
        <v>49619</v>
      </c>
      <c r="C5426" s="177" t="n">
        <v>49625</v>
      </c>
      <c r="D5426" t="inlineStr">
        <is>
          <t>BW20351106</t>
        </is>
      </c>
      <c r="E5426" t="n">
        <v>2035</v>
      </c>
      <c r="F5426" t="inlineStr">
        <is>
          <t>Listopad</t>
        </is>
      </c>
      <c r="G5426" t="inlineStr">
        <is>
          <t>Czw</t>
        </is>
      </c>
      <c r="H5426">
        <f>'Floor Hours Engine'!$E$4</f>
        <v/>
      </c>
      <c r="I5426" t="inlineStr">
        <is>
          <t>W2</t>
        </is>
      </c>
      <c r="J5426" t="inlineStr">
        <is>
          <t>2035_Listopad_W2</t>
        </is>
      </c>
    </row>
    <row r="5427">
      <c r="A5427" s="177" t="n">
        <v>49622</v>
      </c>
      <c r="B5427" s="177" t="n">
        <v>49619</v>
      </c>
      <c r="C5427" s="177" t="n">
        <v>49625</v>
      </c>
      <c r="D5427" t="inlineStr">
        <is>
          <t>BW20351106</t>
        </is>
      </c>
      <c r="E5427" t="n">
        <v>2035</v>
      </c>
      <c r="F5427" t="inlineStr">
        <is>
          <t>Listopad</t>
        </is>
      </c>
      <c r="G5427" t="inlineStr">
        <is>
          <t>Pt</t>
        </is>
      </c>
      <c r="H5427">
        <f>'Floor Hours Engine'!$E$5</f>
        <v/>
      </c>
      <c r="I5427" t="inlineStr">
        <is>
          <t>W2</t>
        </is>
      </c>
      <c r="J5427" t="inlineStr">
        <is>
          <t>2035_Listopad_W2</t>
        </is>
      </c>
    </row>
    <row r="5428">
      <c r="A5428" s="177" t="n">
        <v>49623</v>
      </c>
      <c r="B5428" s="177" t="n">
        <v>49619</v>
      </c>
      <c r="C5428" s="177" t="n">
        <v>49625</v>
      </c>
      <c r="D5428" t="inlineStr">
        <is>
          <t>BW20351106</t>
        </is>
      </c>
      <c r="E5428" t="n">
        <v>2035</v>
      </c>
      <c r="F5428" t="inlineStr">
        <is>
          <t>Listopad</t>
        </is>
      </c>
      <c r="G5428" t="inlineStr">
        <is>
          <t>Sob</t>
        </is>
      </c>
      <c r="H5428">
        <f>'Floor Hours Engine'!$E$5</f>
        <v/>
      </c>
      <c r="I5428" t="inlineStr">
        <is>
          <t>W2</t>
        </is>
      </c>
      <c r="J5428" t="inlineStr">
        <is>
          <t>2035_Listopad_W2</t>
        </is>
      </c>
    </row>
    <row r="5429">
      <c r="A5429" s="177" t="n">
        <v>49624</v>
      </c>
      <c r="B5429" s="177" t="n">
        <v>49619</v>
      </c>
      <c r="C5429" s="177" t="n">
        <v>49625</v>
      </c>
      <c r="D5429" t="inlineStr">
        <is>
          <t>BW20351106</t>
        </is>
      </c>
      <c r="E5429" t="n">
        <v>2035</v>
      </c>
      <c r="F5429" t="inlineStr">
        <is>
          <t>Listopad</t>
        </is>
      </c>
      <c r="G5429" t="inlineStr">
        <is>
          <t>Nd</t>
        </is>
      </c>
      <c r="H5429">
        <f>'Floor Hours Engine'!$E$6</f>
        <v/>
      </c>
      <c r="I5429" t="inlineStr">
        <is>
          <t>W2</t>
        </is>
      </c>
      <c r="J5429" t="inlineStr">
        <is>
          <t>2035_Listopad_W2</t>
        </is>
      </c>
    </row>
    <row r="5430">
      <c r="A5430" s="177" t="n">
        <v>49625</v>
      </c>
      <c r="B5430" s="177" t="n">
        <v>49619</v>
      </c>
      <c r="C5430" s="177" t="n">
        <v>49625</v>
      </c>
      <c r="D5430" t="inlineStr">
        <is>
          <t>BW20351106</t>
        </is>
      </c>
      <c r="E5430" t="n">
        <v>2035</v>
      </c>
      <c r="F5430" t="inlineStr">
        <is>
          <t>Listopad</t>
        </is>
      </c>
      <c r="G5430" t="inlineStr">
        <is>
          <t>Pn</t>
        </is>
      </c>
      <c r="H5430">
        <f>'Floor Hours Engine'!$E$4</f>
        <v/>
      </c>
      <c r="I5430" t="inlineStr">
        <is>
          <t>W2</t>
        </is>
      </c>
      <c r="J5430" t="inlineStr">
        <is>
          <t>2035_Listopad_W2</t>
        </is>
      </c>
    </row>
    <row r="5431">
      <c r="A5431" s="177" t="n">
        <v>49626</v>
      </c>
      <c r="B5431" s="177" t="n">
        <v>49626</v>
      </c>
      <c r="C5431" s="177" t="n">
        <v>49632</v>
      </c>
      <c r="D5431" t="inlineStr">
        <is>
          <t>BW20351113</t>
        </is>
      </c>
      <c r="E5431" t="n">
        <v>2035</v>
      </c>
      <c r="F5431" t="inlineStr">
        <is>
          <t>Listopad</t>
        </is>
      </c>
      <c r="G5431" t="inlineStr">
        <is>
          <t>Wt</t>
        </is>
      </c>
      <c r="H5431">
        <f>'Floor Hours Engine'!$E$4</f>
        <v/>
      </c>
      <c r="I5431" t="inlineStr">
        <is>
          <t>W3</t>
        </is>
      </c>
      <c r="J5431" t="inlineStr">
        <is>
          <t>2035_Listopad_W3</t>
        </is>
      </c>
    </row>
    <row r="5432">
      <c r="A5432" s="177" t="n">
        <v>49627</v>
      </c>
      <c r="B5432" s="177" t="n">
        <v>49626</v>
      </c>
      <c r="C5432" s="177" t="n">
        <v>49632</v>
      </c>
      <c r="D5432" t="inlineStr">
        <is>
          <t>BW20351113</t>
        </is>
      </c>
      <c r="E5432" t="n">
        <v>2035</v>
      </c>
      <c r="F5432" t="inlineStr">
        <is>
          <t>Listopad</t>
        </is>
      </c>
      <c r="G5432" t="inlineStr">
        <is>
          <t>Śr</t>
        </is>
      </c>
      <c r="H5432">
        <f>'Floor Hours Engine'!$E$4</f>
        <v/>
      </c>
      <c r="I5432" t="inlineStr">
        <is>
          <t>W3</t>
        </is>
      </c>
      <c r="J5432" t="inlineStr">
        <is>
          <t>2035_Listopad_W3</t>
        </is>
      </c>
    </row>
    <row r="5433">
      <c r="A5433" s="177" t="n">
        <v>49628</v>
      </c>
      <c r="B5433" s="177" t="n">
        <v>49626</v>
      </c>
      <c r="C5433" s="177" t="n">
        <v>49632</v>
      </c>
      <c r="D5433" t="inlineStr">
        <is>
          <t>BW20351113</t>
        </is>
      </c>
      <c r="E5433" t="n">
        <v>2035</v>
      </c>
      <c r="F5433" t="inlineStr">
        <is>
          <t>Listopad</t>
        </is>
      </c>
      <c r="G5433" t="inlineStr">
        <is>
          <t>Czw</t>
        </is>
      </c>
      <c r="H5433">
        <f>'Floor Hours Engine'!$E$4</f>
        <v/>
      </c>
      <c r="I5433" t="inlineStr">
        <is>
          <t>W3</t>
        </is>
      </c>
      <c r="J5433" t="inlineStr">
        <is>
          <t>2035_Listopad_W3</t>
        </is>
      </c>
    </row>
    <row r="5434">
      <c r="A5434" s="177" t="n">
        <v>49629</v>
      </c>
      <c r="B5434" s="177" t="n">
        <v>49626</v>
      </c>
      <c r="C5434" s="177" t="n">
        <v>49632</v>
      </c>
      <c r="D5434" t="inlineStr">
        <is>
          <t>BW20351113</t>
        </is>
      </c>
      <c r="E5434" t="n">
        <v>2035</v>
      </c>
      <c r="F5434" t="inlineStr">
        <is>
          <t>Listopad</t>
        </is>
      </c>
      <c r="G5434" t="inlineStr">
        <is>
          <t>Pt</t>
        </is>
      </c>
      <c r="H5434">
        <f>'Floor Hours Engine'!$E$5</f>
        <v/>
      </c>
      <c r="I5434" t="inlineStr">
        <is>
          <t>W3</t>
        </is>
      </c>
      <c r="J5434" t="inlineStr">
        <is>
          <t>2035_Listopad_W3</t>
        </is>
      </c>
    </row>
    <row r="5435">
      <c r="A5435" s="177" t="n">
        <v>49630</v>
      </c>
      <c r="B5435" s="177" t="n">
        <v>49626</v>
      </c>
      <c r="C5435" s="177" t="n">
        <v>49632</v>
      </c>
      <c r="D5435" t="inlineStr">
        <is>
          <t>BW20351113</t>
        </is>
      </c>
      <c r="E5435" t="n">
        <v>2035</v>
      </c>
      <c r="F5435" t="inlineStr">
        <is>
          <t>Listopad</t>
        </is>
      </c>
      <c r="G5435" t="inlineStr">
        <is>
          <t>Sob</t>
        </is>
      </c>
      <c r="H5435">
        <f>'Floor Hours Engine'!$E$5</f>
        <v/>
      </c>
      <c r="I5435" t="inlineStr">
        <is>
          <t>W3</t>
        </is>
      </c>
      <c r="J5435" t="inlineStr">
        <is>
          <t>2035_Listopad_W3</t>
        </is>
      </c>
    </row>
    <row r="5436">
      <c r="A5436" s="177" t="n">
        <v>49631</v>
      </c>
      <c r="B5436" s="177" t="n">
        <v>49626</v>
      </c>
      <c r="C5436" s="177" t="n">
        <v>49632</v>
      </c>
      <c r="D5436" t="inlineStr">
        <is>
          <t>BW20351113</t>
        </is>
      </c>
      <c r="E5436" t="n">
        <v>2035</v>
      </c>
      <c r="F5436" t="inlineStr">
        <is>
          <t>Listopad</t>
        </is>
      </c>
      <c r="G5436" t="inlineStr">
        <is>
          <t>Nd</t>
        </is>
      </c>
      <c r="H5436">
        <f>'Floor Hours Engine'!$E$6</f>
        <v/>
      </c>
      <c r="I5436" t="inlineStr">
        <is>
          <t>W3</t>
        </is>
      </c>
      <c r="J5436" t="inlineStr">
        <is>
          <t>2035_Listopad_W3</t>
        </is>
      </c>
    </row>
    <row r="5437">
      <c r="A5437" s="177" t="n">
        <v>49632</v>
      </c>
      <c r="B5437" s="177" t="n">
        <v>49626</v>
      </c>
      <c r="C5437" s="177" t="n">
        <v>49632</v>
      </c>
      <c r="D5437" t="inlineStr">
        <is>
          <t>BW20351113</t>
        </is>
      </c>
      <c r="E5437" t="n">
        <v>2035</v>
      </c>
      <c r="F5437" t="inlineStr">
        <is>
          <t>Listopad</t>
        </is>
      </c>
      <c r="G5437" t="inlineStr">
        <is>
          <t>Pn</t>
        </is>
      </c>
      <c r="H5437">
        <f>'Floor Hours Engine'!$E$4</f>
        <v/>
      </c>
      <c r="I5437" t="inlineStr">
        <is>
          <t>W3</t>
        </is>
      </c>
      <c r="J5437" t="inlineStr">
        <is>
          <t>2035_Listopad_W3</t>
        </is>
      </c>
    </row>
    <row r="5438">
      <c r="A5438" s="177" t="n">
        <v>49633</v>
      </c>
      <c r="B5438" s="177" t="n">
        <v>49633</v>
      </c>
      <c r="C5438" s="177" t="n">
        <v>49639</v>
      </c>
      <c r="D5438" t="inlineStr">
        <is>
          <t>BW20351120</t>
        </is>
      </c>
      <c r="E5438" t="n">
        <v>2035</v>
      </c>
      <c r="F5438" t="inlineStr">
        <is>
          <t>Listopad</t>
        </is>
      </c>
      <c r="G5438" t="inlineStr">
        <is>
          <t>Wt</t>
        </is>
      </c>
      <c r="H5438">
        <f>'Floor Hours Engine'!$E$4</f>
        <v/>
      </c>
      <c r="I5438" t="inlineStr">
        <is>
          <t>W4</t>
        </is>
      </c>
      <c r="J5438" t="inlineStr">
        <is>
          <t>2035_Listopad_W4</t>
        </is>
      </c>
    </row>
    <row r="5439">
      <c r="A5439" s="177" t="n">
        <v>49634</v>
      </c>
      <c r="B5439" s="177" t="n">
        <v>49633</v>
      </c>
      <c r="C5439" s="177" t="n">
        <v>49639</v>
      </c>
      <c r="D5439" t="inlineStr">
        <is>
          <t>BW20351120</t>
        </is>
      </c>
      <c r="E5439" t="n">
        <v>2035</v>
      </c>
      <c r="F5439" t="inlineStr">
        <is>
          <t>Listopad</t>
        </is>
      </c>
      <c r="G5439" t="inlineStr">
        <is>
          <t>Śr</t>
        </is>
      </c>
      <c r="H5439">
        <f>'Floor Hours Engine'!$E$4</f>
        <v/>
      </c>
      <c r="I5439" t="inlineStr">
        <is>
          <t>W4</t>
        </is>
      </c>
      <c r="J5439" t="inlineStr">
        <is>
          <t>2035_Listopad_W4</t>
        </is>
      </c>
    </row>
    <row r="5440">
      <c r="A5440" s="177" t="n">
        <v>49635</v>
      </c>
      <c r="B5440" s="177" t="n">
        <v>49633</v>
      </c>
      <c r="C5440" s="177" t="n">
        <v>49639</v>
      </c>
      <c r="D5440" t="inlineStr">
        <is>
          <t>BW20351120</t>
        </is>
      </c>
      <c r="E5440" t="n">
        <v>2035</v>
      </c>
      <c r="F5440" t="inlineStr">
        <is>
          <t>Listopad</t>
        </is>
      </c>
      <c r="G5440" t="inlineStr">
        <is>
          <t>Czw</t>
        </is>
      </c>
      <c r="H5440">
        <f>'Floor Hours Engine'!$E$4</f>
        <v/>
      </c>
      <c r="I5440" t="inlineStr">
        <is>
          <t>W4</t>
        </is>
      </c>
      <c r="J5440" t="inlineStr">
        <is>
          <t>2035_Listopad_W4</t>
        </is>
      </c>
    </row>
    <row r="5441">
      <c r="A5441" s="177" t="n">
        <v>49636</v>
      </c>
      <c r="B5441" s="177" t="n">
        <v>49633</v>
      </c>
      <c r="C5441" s="177" t="n">
        <v>49639</v>
      </c>
      <c r="D5441" t="inlineStr">
        <is>
          <t>BW20351120</t>
        </is>
      </c>
      <c r="E5441" t="n">
        <v>2035</v>
      </c>
      <c r="F5441" t="inlineStr">
        <is>
          <t>Listopad</t>
        </is>
      </c>
      <c r="G5441" t="inlineStr">
        <is>
          <t>Pt</t>
        </is>
      </c>
      <c r="H5441">
        <f>'Floor Hours Engine'!$E$5</f>
        <v/>
      </c>
      <c r="I5441" t="inlineStr">
        <is>
          <t>W4</t>
        </is>
      </c>
      <c r="J5441" t="inlineStr">
        <is>
          <t>2035_Listopad_W4</t>
        </is>
      </c>
    </row>
    <row r="5442">
      <c r="A5442" s="177" t="n">
        <v>49637</v>
      </c>
      <c r="B5442" s="177" t="n">
        <v>49633</v>
      </c>
      <c r="C5442" s="177" t="n">
        <v>49639</v>
      </c>
      <c r="D5442" t="inlineStr">
        <is>
          <t>BW20351120</t>
        </is>
      </c>
      <c r="E5442" t="n">
        <v>2035</v>
      </c>
      <c r="F5442" t="inlineStr">
        <is>
          <t>Listopad</t>
        </is>
      </c>
      <c r="G5442" t="inlineStr">
        <is>
          <t>Sob</t>
        </is>
      </c>
      <c r="H5442">
        <f>'Floor Hours Engine'!$E$5</f>
        <v/>
      </c>
      <c r="I5442" t="inlineStr">
        <is>
          <t>W4</t>
        </is>
      </c>
      <c r="J5442" t="inlineStr">
        <is>
          <t>2035_Listopad_W4</t>
        </is>
      </c>
    </row>
    <row r="5443">
      <c r="A5443" s="177" t="n">
        <v>49638</v>
      </c>
      <c r="B5443" s="177" t="n">
        <v>49633</v>
      </c>
      <c r="C5443" s="177" t="n">
        <v>49639</v>
      </c>
      <c r="D5443" t="inlineStr">
        <is>
          <t>BW20351120</t>
        </is>
      </c>
      <c r="E5443" t="n">
        <v>2035</v>
      </c>
      <c r="F5443" t="inlineStr">
        <is>
          <t>Listopad</t>
        </is>
      </c>
      <c r="G5443" t="inlineStr">
        <is>
          <t>Nd</t>
        </is>
      </c>
      <c r="H5443">
        <f>'Floor Hours Engine'!$E$6</f>
        <v/>
      </c>
      <c r="I5443" t="inlineStr">
        <is>
          <t>W4</t>
        </is>
      </c>
      <c r="J5443" t="inlineStr">
        <is>
          <t>2035_Listopad_W4</t>
        </is>
      </c>
    </row>
    <row r="5444">
      <c r="A5444" s="177" t="n">
        <v>49639</v>
      </c>
      <c r="B5444" s="177" t="n">
        <v>49633</v>
      </c>
      <c r="C5444" s="177" t="n">
        <v>49639</v>
      </c>
      <c r="D5444" t="inlineStr">
        <is>
          <t>BW20351120</t>
        </is>
      </c>
      <c r="E5444" t="n">
        <v>2035</v>
      </c>
      <c r="F5444" t="inlineStr">
        <is>
          <t>Listopad</t>
        </is>
      </c>
      <c r="G5444" t="inlineStr">
        <is>
          <t>Pn</t>
        </is>
      </c>
      <c r="H5444">
        <f>'Floor Hours Engine'!$E$4</f>
        <v/>
      </c>
      <c r="I5444" t="inlineStr">
        <is>
          <t>W4</t>
        </is>
      </c>
      <c r="J5444" t="inlineStr">
        <is>
          <t>2035_Listopad_W4</t>
        </is>
      </c>
    </row>
    <row r="5445">
      <c r="A5445" s="177" t="n">
        <v>49640</v>
      </c>
      <c r="B5445" s="177" t="n">
        <v>49640</v>
      </c>
      <c r="C5445" s="177" t="n">
        <v>49646</v>
      </c>
      <c r="D5445" t="inlineStr">
        <is>
          <t>BW20351127</t>
        </is>
      </c>
      <c r="E5445" t="n">
        <v>2035</v>
      </c>
      <c r="F5445" t="inlineStr">
        <is>
          <t>Listopad</t>
        </is>
      </c>
      <c r="G5445" t="inlineStr">
        <is>
          <t>Wt</t>
        </is>
      </c>
      <c r="H5445">
        <f>'Floor Hours Engine'!$E$4</f>
        <v/>
      </c>
      <c r="I5445" t="inlineStr">
        <is>
          <t>W5</t>
        </is>
      </c>
      <c r="J5445" t="inlineStr">
        <is>
          <t>2035_Listopad_W5</t>
        </is>
      </c>
    </row>
    <row r="5446">
      <c r="A5446" s="177" t="n">
        <v>49641</v>
      </c>
      <c r="B5446" s="177" t="n">
        <v>49640</v>
      </c>
      <c r="C5446" s="177" t="n">
        <v>49646</v>
      </c>
      <c r="D5446" t="inlineStr">
        <is>
          <t>BW20351127</t>
        </is>
      </c>
      <c r="E5446" t="n">
        <v>2035</v>
      </c>
      <c r="F5446" t="inlineStr">
        <is>
          <t>Listopad</t>
        </is>
      </c>
      <c r="G5446" t="inlineStr">
        <is>
          <t>Śr</t>
        </is>
      </c>
      <c r="H5446">
        <f>'Floor Hours Engine'!$E$4</f>
        <v/>
      </c>
      <c r="I5446" t="inlineStr">
        <is>
          <t>W5</t>
        </is>
      </c>
      <c r="J5446" t="inlineStr">
        <is>
          <t>2035_Listopad_W5</t>
        </is>
      </c>
    </row>
    <row r="5447">
      <c r="A5447" s="177" t="n">
        <v>49642</v>
      </c>
      <c r="B5447" s="177" t="n">
        <v>49640</v>
      </c>
      <c r="C5447" s="177" t="n">
        <v>49646</v>
      </c>
      <c r="D5447" t="inlineStr">
        <is>
          <t>BW20351127</t>
        </is>
      </c>
      <c r="E5447" t="n">
        <v>2035</v>
      </c>
      <c r="F5447" t="inlineStr">
        <is>
          <t>Listopad</t>
        </is>
      </c>
      <c r="G5447" t="inlineStr">
        <is>
          <t>Czw</t>
        </is>
      </c>
      <c r="H5447">
        <f>'Floor Hours Engine'!$E$4</f>
        <v/>
      </c>
      <c r="I5447" t="inlineStr">
        <is>
          <t>W5</t>
        </is>
      </c>
      <c r="J5447" t="inlineStr">
        <is>
          <t>2035_Listopad_W5</t>
        </is>
      </c>
    </row>
    <row r="5448">
      <c r="A5448" s="177" t="n">
        <v>49643</v>
      </c>
      <c r="B5448" s="177" t="n">
        <v>49640</v>
      </c>
      <c r="C5448" s="177" t="n">
        <v>49646</v>
      </c>
      <c r="D5448" t="inlineStr">
        <is>
          <t>BW20351127</t>
        </is>
      </c>
      <c r="E5448" t="n">
        <v>2035</v>
      </c>
      <c r="F5448" t="inlineStr">
        <is>
          <t>Listopad</t>
        </is>
      </c>
      <c r="G5448" t="inlineStr">
        <is>
          <t>Pt</t>
        </is>
      </c>
      <c r="H5448">
        <f>'Floor Hours Engine'!$E$5</f>
        <v/>
      </c>
      <c r="I5448" t="inlineStr">
        <is>
          <t>W5</t>
        </is>
      </c>
      <c r="J5448" t="inlineStr">
        <is>
          <t>2035_Listopad_W5</t>
        </is>
      </c>
    </row>
    <row r="5449">
      <c r="A5449" s="177" t="n">
        <v>49644</v>
      </c>
      <c r="B5449" s="177" t="n">
        <v>49640</v>
      </c>
      <c r="C5449" s="177" t="n">
        <v>49646</v>
      </c>
      <c r="D5449" t="inlineStr">
        <is>
          <t>BW20351127</t>
        </is>
      </c>
      <c r="E5449" t="n">
        <v>2035</v>
      </c>
      <c r="F5449" t="inlineStr">
        <is>
          <t>Grudzień</t>
        </is>
      </c>
      <c r="G5449" t="inlineStr">
        <is>
          <t>Sob</t>
        </is>
      </c>
      <c r="H5449">
        <f>'Floor Hours Engine'!$E$5</f>
        <v/>
      </c>
      <c r="I5449" t="inlineStr">
        <is>
          <t>W1</t>
        </is>
      </c>
      <c r="J5449" t="inlineStr">
        <is>
          <t>2035_Grudzień_W1</t>
        </is>
      </c>
    </row>
    <row r="5450">
      <c r="A5450" s="177" t="n">
        <v>49645</v>
      </c>
      <c r="B5450" s="177" t="n">
        <v>49640</v>
      </c>
      <c r="C5450" s="177" t="n">
        <v>49646</v>
      </c>
      <c r="D5450" t="inlineStr">
        <is>
          <t>BW20351127</t>
        </is>
      </c>
      <c r="E5450" t="n">
        <v>2035</v>
      </c>
      <c r="F5450" t="inlineStr">
        <is>
          <t>Grudzień</t>
        </is>
      </c>
      <c r="G5450" t="inlineStr">
        <is>
          <t>Nd</t>
        </is>
      </c>
      <c r="H5450">
        <f>'Floor Hours Engine'!$E$6</f>
        <v/>
      </c>
      <c r="I5450" t="inlineStr">
        <is>
          <t>W1</t>
        </is>
      </c>
      <c r="J5450" t="inlineStr">
        <is>
          <t>2035_Grudzień_W1</t>
        </is>
      </c>
    </row>
    <row r="5451">
      <c r="A5451" s="177" t="n">
        <v>49646</v>
      </c>
      <c r="B5451" s="177" t="n">
        <v>49640</v>
      </c>
      <c r="C5451" s="177" t="n">
        <v>49646</v>
      </c>
      <c r="D5451" t="inlineStr">
        <is>
          <t>BW20351127</t>
        </is>
      </c>
      <c r="E5451" t="n">
        <v>2035</v>
      </c>
      <c r="F5451" t="inlineStr">
        <is>
          <t>Grudzień</t>
        </is>
      </c>
      <c r="G5451" t="inlineStr">
        <is>
          <t>Pn</t>
        </is>
      </c>
      <c r="H5451">
        <f>'Floor Hours Engine'!$E$4</f>
        <v/>
      </c>
      <c r="I5451" t="inlineStr">
        <is>
          <t>W1</t>
        </is>
      </c>
      <c r="J5451" t="inlineStr">
        <is>
          <t>2035_Grudzień_W1</t>
        </is>
      </c>
    </row>
    <row r="5452">
      <c r="A5452" s="177" t="n">
        <v>49647</v>
      </c>
      <c r="B5452" s="177" t="n">
        <v>49647</v>
      </c>
      <c r="C5452" s="177" t="n">
        <v>49653</v>
      </c>
      <c r="D5452" t="inlineStr">
        <is>
          <t>BW20351204</t>
        </is>
      </c>
      <c r="E5452" t="n">
        <v>2035</v>
      </c>
      <c r="F5452" t="inlineStr">
        <is>
          <t>Grudzień</t>
        </is>
      </c>
      <c r="G5452" t="inlineStr">
        <is>
          <t>Wt</t>
        </is>
      </c>
      <c r="H5452">
        <f>'Floor Hours Engine'!$E$4</f>
        <v/>
      </c>
      <c r="I5452" t="inlineStr">
        <is>
          <t>W2</t>
        </is>
      </c>
      <c r="J5452" t="inlineStr">
        <is>
          <t>2035_Grudzień_W2</t>
        </is>
      </c>
    </row>
    <row r="5453">
      <c r="A5453" s="177" t="n">
        <v>49648</v>
      </c>
      <c r="B5453" s="177" t="n">
        <v>49647</v>
      </c>
      <c r="C5453" s="177" t="n">
        <v>49653</v>
      </c>
      <c r="D5453" t="inlineStr">
        <is>
          <t>BW20351204</t>
        </is>
      </c>
      <c r="E5453" t="n">
        <v>2035</v>
      </c>
      <c r="F5453" t="inlineStr">
        <is>
          <t>Grudzień</t>
        </is>
      </c>
      <c r="G5453" t="inlineStr">
        <is>
          <t>Śr</t>
        </is>
      </c>
      <c r="H5453">
        <f>'Floor Hours Engine'!$E$4</f>
        <v/>
      </c>
      <c r="I5453" t="inlineStr">
        <is>
          <t>W2</t>
        </is>
      </c>
      <c r="J5453" t="inlineStr">
        <is>
          <t>2035_Grudzień_W2</t>
        </is>
      </c>
    </row>
    <row r="5454">
      <c r="A5454" s="177" t="n">
        <v>49649</v>
      </c>
      <c r="B5454" s="177" t="n">
        <v>49647</v>
      </c>
      <c r="C5454" s="177" t="n">
        <v>49653</v>
      </c>
      <c r="D5454" t="inlineStr">
        <is>
          <t>BW20351204</t>
        </is>
      </c>
      <c r="E5454" t="n">
        <v>2035</v>
      </c>
      <c r="F5454" t="inlineStr">
        <is>
          <t>Grudzień</t>
        </is>
      </c>
      <c r="G5454" t="inlineStr">
        <is>
          <t>Czw</t>
        </is>
      </c>
      <c r="H5454">
        <f>'Floor Hours Engine'!$E$4</f>
        <v/>
      </c>
      <c r="I5454" t="inlineStr">
        <is>
          <t>W2</t>
        </is>
      </c>
      <c r="J5454" t="inlineStr">
        <is>
          <t>2035_Grudzień_W2</t>
        </is>
      </c>
    </row>
    <row r="5455">
      <c r="A5455" s="177" t="n">
        <v>49650</v>
      </c>
      <c r="B5455" s="177" t="n">
        <v>49647</v>
      </c>
      <c r="C5455" s="177" t="n">
        <v>49653</v>
      </c>
      <c r="D5455" t="inlineStr">
        <is>
          <t>BW20351204</t>
        </is>
      </c>
      <c r="E5455" t="n">
        <v>2035</v>
      </c>
      <c r="F5455" t="inlineStr">
        <is>
          <t>Grudzień</t>
        </is>
      </c>
      <c r="G5455" t="inlineStr">
        <is>
          <t>Pt</t>
        </is>
      </c>
      <c r="H5455">
        <f>'Floor Hours Engine'!$E$5</f>
        <v/>
      </c>
      <c r="I5455" t="inlineStr">
        <is>
          <t>W2</t>
        </is>
      </c>
      <c r="J5455" t="inlineStr">
        <is>
          <t>2035_Grudzień_W2</t>
        </is>
      </c>
    </row>
    <row r="5456">
      <c r="A5456" s="177" t="n">
        <v>49651</v>
      </c>
      <c r="B5456" s="177" t="n">
        <v>49647</v>
      </c>
      <c r="C5456" s="177" t="n">
        <v>49653</v>
      </c>
      <c r="D5456" t="inlineStr">
        <is>
          <t>BW20351204</t>
        </is>
      </c>
      <c r="E5456" t="n">
        <v>2035</v>
      </c>
      <c r="F5456" t="inlineStr">
        <is>
          <t>Grudzień</t>
        </is>
      </c>
      <c r="G5456" t="inlineStr">
        <is>
          <t>Sob</t>
        </is>
      </c>
      <c r="H5456">
        <f>'Floor Hours Engine'!$E$5</f>
        <v/>
      </c>
      <c r="I5456" t="inlineStr">
        <is>
          <t>W2</t>
        </is>
      </c>
      <c r="J5456" t="inlineStr">
        <is>
          <t>2035_Grudzień_W2</t>
        </is>
      </c>
    </row>
    <row r="5457">
      <c r="A5457" s="177" t="n">
        <v>49652</v>
      </c>
      <c r="B5457" s="177" t="n">
        <v>49647</v>
      </c>
      <c r="C5457" s="177" t="n">
        <v>49653</v>
      </c>
      <c r="D5457" t="inlineStr">
        <is>
          <t>BW20351204</t>
        </is>
      </c>
      <c r="E5457" t="n">
        <v>2035</v>
      </c>
      <c r="F5457" t="inlineStr">
        <is>
          <t>Grudzień</t>
        </is>
      </c>
      <c r="G5457" t="inlineStr">
        <is>
          <t>Nd</t>
        </is>
      </c>
      <c r="H5457">
        <f>'Floor Hours Engine'!$E$6</f>
        <v/>
      </c>
      <c r="I5457" t="inlineStr">
        <is>
          <t>W2</t>
        </is>
      </c>
      <c r="J5457" t="inlineStr">
        <is>
          <t>2035_Grudzień_W2</t>
        </is>
      </c>
    </row>
    <row r="5458">
      <c r="A5458" s="177" t="n">
        <v>49653</v>
      </c>
      <c r="B5458" s="177" t="n">
        <v>49647</v>
      </c>
      <c r="C5458" s="177" t="n">
        <v>49653</v>
      </c>
      <c r="D5458" t="inlineStr">
        <is>
          <t>BW20351204</t>
        </is>
      </c>
      <c r="E5458" t="n">
        <v>2035</v>
      </c>
      <c r="F5458" t="inlineStr">
        <is>
          <t>Grudzień</t>
        </is>
      </c>
      <c r="G5458" t="inlineStr">
        <is>
          <t>Pn</t>
        </is>
      </c>
      <c r="H5458">
        <f>'Floor Hours Engine'!$E$4</f>
        <v/>
      </c>
      <c r="I5458" t="inlineStr">
        <is>
          <t>W2</t>
        </is>
      </c>
      <c r="J5458" t="inlineStr">
        <is>
          <t>2035_Grudzień_W2</t>
        </is>
      </c>
    </row>
    <row r="5459">
      <c r="A5459" s="177" t="n">
        <v>49654</v>
      </c>
      <c r="B5459" s="177" t="n">
        <v>49654</v>
      </c>
      <c r="C5459" s="177" t="n">
        <v>49660</v>
      </c>
      <c r="D5459" t="inlineStr">
        <is>
          <t>BW20351211</t>
        </is>
      </c>
      <c r="E5459" t="n">
        <v>2035</v>
      </c>
      <c r="F5459" t="inlineStr">
        <is>
          <t>Grudzień</t>
        </is>
      </c>
      <c r="G5459" t="inlineStr">
        <is>
          <t>Wt</t>
        </is>
      </c>
      <c r="H5459">
        <f>'Floor Hours Engine'!$E$4</f>
        <v/>
      </c>
      <c r="I5459" t="inlineStr">
        <is>
          <t>W3</t>
        </is>
      </c>
      <c r="J5459" t="inlineStr">
        <is>
          <t>2035_Grudzień_W3</t>
        </is>
      </c>
    </row>
    <row r="5460">
      <c r="A5460" s="177" t="n">
        <v>49655</v>
      </c>
      <c r="B5460" s="177" t="n">
        <v>49654</v>
      </c>
      <c r="C5460" s="177" t="n">
        <v>49660</v>
      </c>
      <c r="D5460" t="inlineStr">
        <is>
          <t>BW20351211</t>
        </is>
      </c>
      <c r="E5460" t="n">
        <v>2035</v>
      </c>
      <c r="F5460" t="inlineStr">
        <is>
          <t>Grudzień</t>
        </is>
      </c>
      <c r="G5460" t="inlineStr">
        <is>
          <t>Śr</t>
        </is>
      </c>
      <c r="H5460">
        <f>'Floor Hours Engine'!$E$4</f>
        <v/>
      </c>
      <c r="I5460" t="inlineStr">
        <is>
          <t>W3</t>
        </is>
      </c>
      <c r="J5460" t="inlineStr">
        <is>
          <t>2035_Grudzień_W3</t>
        </is>
      </c>
    </row>
    <row r="5461">
      <c r="A5461" s="177" t="n">
        <v>49656</v>
      </c>
      <c r="B5461" s="177" t="n">
        <v>49654</v>
      </c>
      <c r="C5461" s="177" t="n">
        <v>49660</v>
      </c>
      <c r="D5461" t="inlineStr">
        <is>
          <t>BW20351211</t>
        </is>
      </c>
      <c r="E5461" t="n">
        <v>2035</v>
      </c>
      <c r="F5461" t="inlineStr">
        <is>
          <t>Grudzień</t>
        </is>
      </c>
      <c r="G5461" t="inlineStr">
        <is>
          <t>Czw</t>
        </is>
      </c>
      <c r="H5461">
        <f>'Floor Hours Engine'!$E$4</f>
        <v/>
      </c>
      <c r="I5461" t="inlineStr">
        <is>
          <t>W3</t>
        </is>
      </c>
      <c r="J5461" t="inlineStr">
        <is>
          <t>2035_Grudzień_W3</t>
        </is>
      </c>
    </row>
    <row r="5462">
      <c r="A5462" s="177" t="n">
        <v>49657</v>
      </c>
      <c r="B5462" s="177" t="n">
        <v>49654</v>
      </c>
      <c r="C5462" s="177" t="n">
        <v>49660</v>
      </c>
      <c r="D5462" t="inlineStr">
        <is>
          <t>BW20351211</t>
        </is>
      </c>
      <c r="E5462" t="n">
        <v>2035</v>
      </c>
      <c r="F5462" t="inlineStr">
        <is>
          <t>Grudzień</t>
        </is>
      </c>
      <c r="G5462" t="inlineStr">
        <is>
          <t>Pt</t>
        </is>
      </c>
      <c r="H5462">
        <f>'Floor Hours Engine'!$E$5</f>
        <v/>
      </c>
      <c r="I5462" t="inlineStr">
        <is>
          <t>W3</t>
        </is>
      </c>
      <c r="J5462" t="inlineStr">
        <is>
          <t>2035_Grudzień_W3</t>
        </is>
      </c>
    </row>
    <row r="5463">
      <c r="A5463" s="177" t="n">
        <v>49658</v>
      </c>
      <c r="B5463" s="177" t="n">
        <v>49654</v>
      </c>
      <c r="C5463" s="177" t="n">
        <v>49660</v>
      </c>
      <c r="D5463" t="inlineStr">
        <is>
          <t>BW20351211</t>
        </is>
      </c>
      <c r="E5463" t="n">
        <v>2035</v>
      </c>
      <c r="F5463" t="inlineStr">
        <is>
          <t>Grudzień</t>
        </is>
      </c>
      <c r="G5463" t="inlineStr">
        <is>
          <t>Sob</t>
        </is>
      </c>
      <c r="H5463">
        <f>'Floor Hours Engine'!$E$5</f>
        <v/>
      </c>
      <c r="I5463" t="inlineStr">
        <is>
          <t>W3</t>
        </is>
      </c>
      <c r="J5463" t="inlineStr">
        <is>
          <t>2035_Grudzień_W3</t>
        </is>
      </c>
    </row>
    <row r="5464">
      <c r="A5464" s="177" t="n">
        <v>49659</v>
      </c>
      <c r="B5464" s="177" t="n">
        <v>49654</v>
      </c>
      <c r="C5464" s="177" t="n">
        <v>49660</v>
      </c>
      <c r="D5464" t="inlineStr">
        <is>
          <t>BW20351211</t>
        </is>
      </c>
      <c r="E5464" t="n">
        <v>2035</v>
      </c>
      <c r="F5464" t="inlineStr">
        <is>
          <t>Grudzień</t>
        </is>
      </c>
      <c r="G5464" t="inlineStr">
        <is>
          <t>Nd</t>
        </is>
      </c>
      <c r="H5464">
        <f>'Floor Hours Engine'!$E$6</f>
        <v/>
      </c>
      <c r="I5464" t="inlineStr">
        <is>
          <t>W3</t>
        </is>
      </c>
      <c r="J5464" t="inlineStr">
        <is>
          <t>2035_Grudzień_W3</t>
        </is>
      </c>
    </row>
    <row r="5465">
      <c r="A5465" s="177" t="n">
        <v>49660</v>
      </c>
      <c r="B5465" s="177" t="n">
        <v>49654</v>
      </c>
      <c r="C5465" s="177" t="n">
        <v>49660</v>
      </c>
      <c r="D5465" t="inlineStr">
        <is>
          <t>BW20351211</t>
        </is>
      </c>
      <c r="E5465" t="n">
        <v>2035</v>
      </c>
      <c r="F5465" t="inlineStr">
        <is>
          <t>Grudzień</t>
        </is>
      </c>
      <c r="G5465" t="inlineStr">
        <is>
          <t>Pn</t>
        </is>
      </c>
      <c r="H5465">
        <f>'Floor Hours Engine'!$E$4</f>
        <v/>
      </c>
      <c r="I5465" t="inlineStr">
        <is>
          <t>W3</t>
        </is>
      </c>
      <c r="J5465" t="inlineStr">
        <is>
          <t>2035_Grudzień_W3</t>
        </is>
      </c>
    </row>
    <row r="5466">
      <c r="A5466" s="177" t="n">
        <v>49661</v>
      </c>
      <c r="B5466" s="177" t="n">
        <v>49661</v>
      </c>
      <c r="C5466" s="177" t="n">
        <v>49667</v>
      </c>
      <c r="D5466" t="inlineStr">
        <is>
          <t>BW20351218</t>
        </is>
      </c>
      <c r="E5466" t="n">
        <v>2035</v>
      </c>
      <c r="F5466" t="inlineStr">
        <is>
          <t>Grudzień</t>
        </is>
      </c>
      <c r="G5466" t="inlineStr">
        <is>
          <t>Wt</t>
        </is>
      </c>
      <c r="H5466">
        <f>'Floor Hours Engine'!$E$4</f>
        <v/>
      </c>
      <c r="I5466" t="inlineStr">
        <is>
          <t>W4</t>
        </is>
      </c>
      <c r="J5466" t="inlineStr">
        <is>
          <t>2035_Grudzień_W4</t>
        </is>
      </c>
    </row>
    <row r="5467">
      <c r="A5467" s="177" t="n">
        <v>49662</v>
      </c>
      <c r="B5467" s="177" t="n">
        <v>49661</v>
      </c>
      <c r="C5467" s="177" t="n">
        <v>49667</v>
      </c>
      <c r="D5467" t="inlineStr">
        <is>
          <t>BW20351218</t>
        </is>
      </c>
      <c r="E5467" t="n">
        <v>2035</v>
      </c>
      <c r="F5467" t="inlineStr">
        <is>
          <t>Grudzień</t>
        </is>
      </c>
      <c r="G5467" t="inlineStr">
        <is>
          <t>Śr</t>
        </is>
      </c>
      <c r="H5467">
        <f>'Floor Hours Engine'!$E$4</f>
        <v/>
      </c>
      <c r="I5467" t="inlineStr">
        <is>
          <t>W4</t>
        </is>
      </c>
      <c r="J5467" t="inlineStr">
        <is>
          <t>2035_Grudzień_W4</t>
        </is>
      </c>
    </row>
    <row r="5468">
      <c r="A5468" s="177" t="n">
        <v>49663</v>
      </c>
      <c r="B5468" s="177" t="n">
        <v>49661</v>
      </c>
      <c r="C5468" s="177" t="n">
        <v>49667</v>
      </c>
      <c r="D5468" t="inlineStr">
        <is>
          <t>BW20351218</t>
        </is>
      </c>
      <c r="E5468" t="n">
        <v>2035</v>
      </c>
      <c r="F5468" t="inlineStr">
        <is>
          <t>Grudzień</t>
        </is>
      </c>
      <c r="G5468" t="inlineStr">
        <is>
          <t>Czw</t>
        </is>
      </c>
      <c r="H5468">
        <f>'Floor Hours Engine'!$E$4</f>
        <v/>
      </c>
      <c r="I5468" t="inlineStr">
        <is>
          <t>W4</t>
        </is>
      </c>
      <c r="J5468" t="inlineStr">
        <is>
          <t>2035_Grudzień_W4</t>
        </is>
      </c>
    </row>
    <row r="5469">
      <c r="A5469" s="177" t="n">
        <v>49664</v>
      </c>
      <c r="B5469" s="177" t="n">
        <v>49661</v>
      </c>
      <c r="C5469" s="177" t="n">
        <v>49667</v>
      </c>
      <c r="D5469" t="inlineStr">
        <is>
          <t>BW20351218</t>
        </is>
      </c>
      <c r="E5469" t="n">
        <v>2035</v>
      </c>
      <c r="F5469" t="inlineStr">
        <is>
          <t>Grudzień</t>
        </is>
      </c>
      <c r="G5469" t="inlineStr">
        <is>
          <t>Pt</t>
        </is>
      </c>
      <c r="H5469">
        <f>'Floor Hours Engine'!$E$5</f>
        <v/>
      </c>
      <c r="I5469" t="inlineStr">
        <is>
          <t>W4</t>
        </is>
      </c>
      <c r="J5469" t="inlineStr">
        <is>
          <t>2035_Grudzień_W4</t>
        </is>
      </c>
    </row>
    <row r="5470">
      <c r="A5470" s="177" t="n">
        <v>49665</v>
      </c>
      <c r="B5470" s="177" t="n">
        <v>49661</v>
      </c>
      <c r="C5470" s="177" t="n">
        <v>49667</v>
      </c>
      <c r="D5470" t="inlineStr">
        <is>
          <t>BW20351218</t>
        </is>
      </c>
      <c r="E5470" t="n">
        <v>2035</v>
      </c>
      <c r="F5470" t="inlineStr">
        <is>
          <t>Grudzień</t>
        </is>
      </c>
      <c r="G5470" t="inlineStr">
        <is>
          <t>Sob</t>
        </is>
      </c>
      <c r="H5470">
        <f>'Floor Hours Engine'!$E$5</f>
        <v/>
      </c>
      <c r="I5470" t="inlineStr">
        <is>
          <t>W4</t>
        </is>
      </c>
      <c r="J5470" t="inlineStr">
        <is>
          <t>2035_Grudzień_W4</t>
        </is>
      </c>
    </row>
    <row r="5471">
      <c r="A5471" s="177" t="n">
        <v>49666</v>
      </c>
      <c r="B5471" s="177" t="n">
        <v>49661</v>
      </c>
      <c r="C5471" s="177" t="n">
        <v>49667</v>
      </c>
      <c r="D5471" t="inlineStr">
        <is>
          <t>BW20351218</t>
        </is>
      </c>
      <c r="E5471" t="n">
        <v>2035</v>
      </c>
      <c r="F5471" t="inlineStr">
        <is>
          <t>Grudzień</t>
        </is>
      </c>
      <c r="G5471" t="inlineStr">
        <is>
          <t>Nd</t>
        </is>
      </c>
      <c r="H5471">
        <f>'Floor Hours Engine'!$E$6</f>
        <v/>
      </c>
      <c r="I5471" t="inlineStr">
        <is>
          <t>W4</t>
        </is>
      </c>
      <c r="J5471" t="inlineStr">
        <is>
          <t>2035_Grudzień_W4</t>
        </is>
      </c>
    </row>
    <row r="5472">
      <c r="A5472" s="177" t="n">
        <v>49667</v>
      </c>
      <c r="B5472" s="177" t="n">
        <v>49661</v>
      </c>
      <c r="C5472" s="177" t="n">
        <v>49667</v>
      </c>
      <c r="D5472" t="inlineStr">
        <is>
          <t>BW20351218</t>
        </is>
      </c>
      <c r="E5472" t="n">
        <v>2035</v>
      </c>
      <c r="F5472" t="inlineStr">
        <is>
          <t>Grudzień</t>
        </is>
      </c>
      <c r="G5472" t="inlineStr">
        <is>
          <t>Pn</t>
        </is>
      </c>
      <c r="H5472">
        <f>'Floor Hours Engine'!$E$4</f>
        <v/>
      </c>
      <c r="I5472" t="inlineStr">
        <is>
          <t>W4</t>
        </is>
      </c>
      <c r="J5472" t="inlineStr">
        <is>
          <t>2035_Grudzień_W4</t>
        </is>
      </c>
    </row>
    <row r="5473">
      <c r="A5473" s="177" t="n">
        <v>49668</v>
      </c>
      <c r="B5473" s="177" t="n">
        <v>49668</v>
      </c>
      <c r="C5473" s="177" t="n">
        <v>49674</v>
      </c>
      <c r="D5473" t="inlineStr">
        <is>
          <t>BW20351225</t>
        </is>
      </c>
      <c r="E5473" t="n">
        <v>2035</v>
      </c>
      <c r="F5473" t="inlineStr">
        <is>
          <t>Grudzień</t>
        </is>
      </c>
      <c r="G5473" t="inlineStr">
        <is>
          <t>Wt</t>
        </is>
      </c>
      <c r="H5473">
        <f>'Floor Hours Engine'!$E$4</f>
        <v/>
      </c>
      <c r="I5473" t="inlineStr">
        <is>
          <t>W5</t>
        </is>
      </c>
      <c r="J5473" t="inlineStr">
        <is>
          <t>2035_Grudzień_W5</t>
        </is>
      </c>
    </row>
    <row r="5474">
      <c r="A5474" s="177" t="n">
        <v>49669</v>
      </c>
      <c r="B5474" s="177" t="n">
        <v>49668</v>
      </c>
      <c r="C5474" s="177" t="n">
        <v>49674</v>
      </c>
      <c r="D5474" t="inlineStr">
        <is>
          <t>BW20351225</t>
        </is>
      </c>
      <c r="E5474" t="n">
        <v>2035</v>
      </c>
      <c r="F5474" t="inlineStr">
        <is>
          <t>Grudzień</t>
        </is>
      </c>
      <c r="G5474" t="inlineStr">
        <is>
          <t>Śr</t>
        </is>
      </c>
      <c r="H5474">
        <f>'Floor Hours Engine'!$E$4</f>
        <v/>
      </c>
      <c r="I5474" t="inlineStr">
        <is>
          <t>W5</t>
        </is>
      </c>
      <c r="J5474" t="inlineStr">
        <is>
          <t>2035_Grudzień_W5</t>
        </is>
      </c>
    </row>
    <row r="5475">
      <c r="A5475" s="177" t="n">
        <v>49670</v>
      </c>
      <c r="B5475" s="177" t="n">
        <v>49668</v>
      </c>
      <c r="C5475" s="177" t="n">
        <v>49674</v>
      </c>
      <c r="D5475" t="inlineStr">
        <is>
          <t>BW20351225</t>
        </is>
      </c>
      <c r="E5475" t="n">
        <v>2035</v>
      </c>
      <c r="F5475" t="inlineStr">
        <is>
          <t>Grudzień</t>
        </is>
      </c>
      <c r="G5475" t="inlineStr">
        <is>
          <t>Czw</t>
        </is>
      </c>
      <c r="H5475">
        <f>'Floor Hours Engine'!$E$4</f>
        <v/>
      </c>
      <c r="I5475" t="inlineStr">
        <is>
          <t>W5</t>
        </is>
      </c>
      <c r="J5475" t="inlineStr">
        <is>
          <t>2035_Grudzień_W5</t>
        </is>
      </c>
    </row>
    <row r="5476">
      <c r="A5476" s="177" t="n">
        <v>49671</v>
      </c>
      <c r="B5476" s="177" t="n">
        <v>49668</v>
      </c>
      <c r="C5476" s="177" t="n">
        <v>49674</v>
      </c>
      <c r="D5476" t="inlineStr">
        <is>
          <t>BW20351225</t>
        </is>
      </c>
      <c r="E5476" t="n">
        <v>2035</v>
      </c>
      <c r="F5476" t="inlineStr">
        <is>
          <t>Grudzień</t>
        </is>
      </c>
      <c r="G5476" t="inlineStr">
        <is>
          <t>Pt</t>
        </is>
      </c>
      <c r="H5476">
        <f>'Floor Hours Engine'!$E$5</f>
        <v/>
      </c>
      <c r="I5476" t="inlineStr">
        <is>
          <t>W5</t>
        </is>
      </c>
      <c r="J5476" t="inlineStr">
        <is>
          <t>2035_Grudzień_W5</t>
        </is>
      </c>
    </row>
    <row r="5477">
      <c r="A5477" s="177" t="n">
        <v>49672</v>
      </c>
      <c r="B5477" s="177" t="n">
        <v>49668</v>
      </c>
      <c r="C5477" s="177" t="n">
        <v>49674</v>
      </c>
      <c r="D5477" t="inlineStr">
        <is>
          <t>BW20351225</t>
        </is>
      </c>
      <c r="E5477" t="n">
        <v>2035</v>
      </c>
      <c r="F5477" t="inlineStr">
        <is>
          <t>Grudzień</t>
        </is>
      </c>
      <c r="G5477" t="inlineStr">
        <is>
          <t>Sob</t>
        </is>
      </c>
      <c r="H5477">
        <f>'Floor Hours Engine'!$E$5</f>
        <v/>
      </c>
      <c r="I5477" t="inlineStr">
        <is>
          <t>W5</t>
        </is>
      </c>
      <c r="J5477" t="inlineStr">
        <is>
          <t>2035_Grudzień_W5</t>
        </is>
      </c>
    </row>
    <row r="5478">
      <c r="A5478" s="177" t="n">
        <v>49673</v>
      </c>
      <c r="B5478" s="177" t="n">
        <v>49668</v>
      </c>
      <c r="C5478" s="177" t="n">
        <v>49674</v>
      </c>
      <c r="D5478" t="inlineStr">
        <is>
          <t>BW20351225</t>
        </is>
      </c>
      <c r="E5478" t="n">
        <v>2035</v>
      </c>
      <c r="F5478" t="inlineStr">
        <is>
          <t>Grudzień</t>
        </is>
      </c>
      <c r="G5478" t="inlineStr">
        <is>
          <t>Nd</t>
        </is>
      </c>
      <c r="H5478">
        <f>'Floor Hours Engine'!$E$6</f>
        <v/>
      </c>
      <c r="I5478" t="inlineStr">
        <is>
          <t>W5</t>
        </is>
      </c>
      <c r="J5478" t="inlineStr">
        <is>
          <t>2035_Grudzień_W5</t>
        </is>
      </c>
    </row>
    <row r="5479">
      <c r="A5479" s="177" t="n">
        <v>49674</v>
      </c>
      <c r="B5479" s="177" t="n">
        <v>49668</v>
      </c>
      <c r="C5479" s="177" t="n">
        <v>49674</v>
      </c>
      <c r="D5479" t="inlineStr">
        <is>
          <t>BW20351225</t>
        </is>
      </c>
      <c r="E5479" t="n">
        <v>2035</v>
      </c>
      <c r="F5479" t="inlineStr">
        <is>
          <t>Grudzień</t>
        </is>
      </c>
      <c r="G5479" t="inlineStr">
        <is>
          <t>Pn</t>
        </is>
      </c>
      <c r="H5479">
        <f>'Floor Hours Engine'!$E$4</f>
        <v/>
      </c>
      <c r="I5479" t="inlineStr">
        <is>
          <t>W5</t>
        </is>
      </c>
      <c r="J5479" t="inlineStr">
        <is>
          <t>2035_Grudzień_W5</t>
        </is>
      </c>
    </row>
    <row r="5480">
      <c r="A5480" s="177" t="n">
        <v>49675</v>
      </c>
      <c r="B5480" s="177" t="n">
        <v>49675</v>
      </c>
      <c r="C5480" s="177" t="n">
        <v>49681</v>
      </c>
      <c r="D5480" t="inlineStr">
        <is>
          <t>BW20360101</t>
        </is>
      </c>
      <c r="E5480" t="n">
        <v>2036</v>
      </c>
      <c r="F5480" t="inlineStr">
        <is>
          <t>Styczeń</t>
        </is>
      </c>
      <c r="G5480" t="inlineStr">
        <is>
          <t>Wt</t>
        </is>
      </c>
      <c r="H5480">
        <f>'Floor Hours Engine'!$E$4</f>
        <v/>
      </c>
      <c r="I5480" t="inlineStr">
        <is>
          <t>W1</t>
        </is>
      </c>
      <c r="J5480" t="inlineStr">
        <is>
          <t>2036_Styczeń_W1</t>
        </is>
      </c>
    </row>
    <row r="5481">
      <c r="A5481" s="177" t="n">
        <v>49676</v>
      </c>
      <c r="B5481" s="177" t="n">
        <v>49675</v>
      </c>
      <c r="C5481" s="177" t="n">
        <v>49681</v>
      </c>
      <c r="D5481" t="inlineStr">
        <is>
          <t>BW20360101</t>
        </is>
      </c>
      <c r="E5481" t="n">
        <v>2036</v>
      </c>
      <c r="F5481" t="inlineStr">
        <is>
          <t>Styczeń</t>
        </is>
      </c>
      <c r="G5481" t="inlineStr">
        <is>
          <t>Śr</t>
        </is>
      </c>
      <c r="H5481">
        <f>'Floor Hours Engine'!$E$4</f>
        <v/>
      </c>
      <c r="I5481" t="inlineStr">
        <is>
          <t>W1</t>
        </is>
      </c>
      <c r="J5481" t="inlineStr">
        <is>
          <t>2036_Styczeń_W1</t>
        </is>
      </c>
    </row>
    <row r="5482">
      <c r="A5482" s="177" t="n">
        <v>49677</v>
      </c>
      <c r="B5482" s="177" t="n">
        <v>49675</v>
      </c>
      <c r="C5482" s="177" t="n">
        <v>49681</v>
      </c>
      <c r="D5482" t="inlineStr">
        <is>
          <t>BW20360101</t>
        </is>
      </c>
      <c r="E5482" t="n">
        <v>2036</v>
      </c>
      <c r="F5482" t="inlineStr">
        <is>
          <t>Styczeń</t>
        </is>
      </c>
      <c r="G5482" t="inlineStr">
        <is>
          <t>Czw</t>
        </is>
      </c>
      <c r="H5482">
        <f>'Floor Hours Engine'!$E$4</f>
        <v/>
      </c>
      <c r="I5482" t="inlineStr">
        <is>
          <t>W1</t>
        </is>
      </c>
      <c r="J5482" t="inlineStr">
        <is>
          <t>2036_Styczeń_W1</t>
        </is>
      </c>
    </row>
    <row r="5483">
      <c r="A5483" s="177" t="n">
        <v>49678</v>
      </c>
      <c r="B5483" s="177" t="n">
        <v>49675</v>
      </c>
      <c r="C5483" s="177" t="n">
        <v>49681</v>
      </c>
      <c r="D5483" t="inlineStr">
        <is>
          <t>BW20360101</t>
        </is>
      </c>
      <c r="E5483" t="n">
        <v>2036</v>
      </c>
      <c r="F5483" t="inlineStr">
        <is>
          <t>Styczeń</t>
        </is>
      </c>
      <c r="G5483" t="inlineStr">
        <is>
          <t>Pt</t>
        </is>
      </c>
      <c r="H5483">
        <f>'Floor Hours Engine'!$E$5</f>
        <v/>
      </c>
      <c r="I5483" t="inlineStr">
        <is>
          <t>W1</t>
        </is>
      </c>
      <c r="J5483" t="inlineStr">
        <is>
          <t>2036_Styczeń_W1</t>
        </is>
      </c>
    </row>
    <row r="5484">
      <c r="A5484" s="177" t="n">
        <v>49679</v>
      </c>
      <c r="B5484" s="177" t="n">
        <v>49675</v>
      </c>
      <c r="C5484" s="177" t="n">
        <v>49681</v>
      </c>
      <c r="D5484" t="inlineStr">
        <is>
          <t>BW20360101</t>
        </is>
      </c>
      <c r="E5484" t="n">
        <v>2036</v>
      </c>
      <c r="F5484" t="inlineStr">
        <is>
          <t>Styczeń</t>
        </is>
      </c>
      <c r="G5484" t="inlineStr">
        <is>
          <t>Sob</t>
        </is>
      </c>
      <c r="H5484">
        <f>'Floor Hours Engine'!$E$5</f>
        <v/>
      </c>
      <c r="I5484" t="inlineStr">
        <is>
          <t>W1</t>
        </is>
      </c>
      <c r="J5484" t="inlineStr">
        <is>
          <t>2036_Styczeń_W1</t>
        </is>
      </c>
    </row>
    <row r="5485">
      <c r="A5485" s="177" t="n">
        <v>49680</v>
      </c>
      <c r="B5485" s="177" t="n">
        <v>49675</v>
      </c>
      <c r="C5485" s="177" t="n">
        <v>49681</v>
      </c>
      <c r="D5485" t="inlineStr">
        <is>
          <t>BW20360101</t>
        </is>
      </c>
      <c r="E5485" t="n">
        <v>2036</v>
      </c>
      <c r="F5485" t="inlineStr">
        <is>
          <t>Styczeń</t>
        </is>
      </c>
      <c r="G5485" t="inlineStr">
        <is>
          <t>Nd</t>
        </is>
      </c>
      <c r="H5485">
        <f>'Floor Hours Engine'!$E$6</f>
        <v/>
      </c>
      <c r="I5485" t="inlineStr">
        <is>
          <t>W1</t>
        </is>
      </c>
      <c r="J5485" t="inlineStr">
        <is>
          <t>2036_Styczeń_W1</t>
        </is>
      </c>
    </row>
    <row r="5486">
      <c r="A5486" s="177" t="n">
        <v>49681</v>
      </c>
      <c r="B5486" s="177" t="n">
        <v>49675</v>
      </c>
      <c r="C5486" s="177" t="n">
        <v>49681</v>
      </c>
      <c r="D5486" t="inlineStr">
        <is>
          <t>BW20360101</t>
        </is>
      </c>
      <c r="E5486" t="n">
        <v>2036</v>
      </c>
      <c r="F5486" t="inlineStr">
        <is>
          <t>Styczeń</t>
        </is>
      </c>
      <c r="G5486" t="inlineStr">
        <is>
          <t>Pn</t>
        </is>
      </c>
      <c r="H5486">
        <f>'Floor Hours Engine'!$E$4</f>
        <v/>
      </c>
      <c r="I5486" t="inlineStr">
        <is>
          <t>W1</t>
        </is>
      </c>
      <c r="J5486" t="inlineStr">
        <is>
          <t>2036_Styczeń_W1</t>
        </is>
      </c>
    </row>
    <row r="5487">
      <c r="A5487" s="177" t="n">
        <v>49682</v>
      </c>
      <c r="B5487" s="177" t="n">
        <v>49682</v>
      </c>
      <c r="C5487" s="177" t="n">
        <v>49688</v>
      </c>
      <c r="D5487" t="inlineStr">
        <is>
          <t>BW20360108</t>
        </is>
      </c>
      <c r="E5487" t="n">
        <v>2036</v>
      </c>
      <c r="F5487" t="inlineStr">
        <is>
          <t>Styczeń</t>
        </is>
      </c>
      <c r="G5487" t="inlineStr">
        <is>
          <t>Wt</t>
        </is>
      </c>
      <c r="H5487">
        <f>'Floor Hours Engine'!$E$4</f>
        <v/>
      </c>
      <c r="I5487" t="inlineStr">
        <is>
          <t>W2</t>
        </is>
      </c>
      <c r="J5487" t="inlineStr">
        <is>
          <t>2036_Styczeń_W2</t>
        </is>
      </c>
    </row>
    <row r="5488">
      <c r="A5488" s="177" t="n">
        <v>49683</v>
      </c>
      <c r="B5488" s="177" t="n">
        <v>49682</v>
      </c>
      <c r="C5488" s="177" t="n">
        <v>49688</v>
      </c>
      <c r="D5488" t="inlineStr">
        <is>
          <t>BW20360108</t>
        </is>
      </c>
      <c r="E5488" t="n">
        <v>2036</v>
      </c>
      <c r="F5488" t="inlineStr">
        <is>
          <t>Styczeń</t>
        </is>
      </c>
      <c r="G5488" t="inlineStr">
        <is>
          <t>Śr</t>
        </is>
      </c>
      <c r="H5488">
        <f>'Floor Hours Engine'!$E$4</f>
        <v/>
      </c>
      <c r="I5488" t="inlineStr">
        <is>
          <t>W2</t>
        </is>
      </c>
      <c r="J5488" t="inlineStr">
        <is>
          <t>2036_Styczeń_W2</t>
        </is>
      </c>
    </row>
    <row r="5489">
      <c r="A5489" s="177" t="n">
        <v>49684</v>
      </c>
      <c r="B5489" s="177" t="n">
        <v>49682</v>
      </c>
      <c r="C5489" s="177" t="n">
        <v>49688</v>
      </c>
      <c r="D5489" t="inlineStr">
        <is>
          <t>BW20360108</t>
        </is>
      </c>
      <c r="E5489" t="n">
        <v>2036</v>
      </c>
      <c r="F5489" t="inlineStr">
        <is>
          <t>Styczeń</t>
        </is>
      </c>
      <c r="G5489" t="inlineStr">
        <is>
          <t>Czw</t>
        </is>
      </c>
      <c r="H5489">
        <f>'Floor Hours Engine'!$E$4</f>
        <v/>
      </c>
      <c r="I5489" t="inlineStr">
        <is>
          <t>W2</t>
        </is>
      </c>
      <c r="J5489" t="inlineStr">
        <is>
          <t>2036_Styczeń_W2</t>
        </is>
      </c>
    </row>
    <row r="5490">
      <c r="A5490" s="177" t="n">
        <v>49685</v>
      </c>
      <c r="B5490" s="177" t="n">
        <v>49682</v>
      </c>
      <c r="C5490" s="177" t="n">
        <v>49688</v>
      </c>
      <c r="D5490" t="inlineStr">
        <is>
          <t>BW20360108</t>
        </is>
      </c>
      <c r="E5490" t="n">
        <v>2036</v>
      </c>
      <c r="F5490" t="inlineStr">
        <is>
          <t>Styczeń</t>
        </is>
      </c>
      <c r="G5490" t="inlineStr">
        <is>
          <t>Pt</t>
        </is>
      </c>
      <c r="H5490">
        <f>'Floor Hours Engine'!$E$5</f>
        <v/>
      </c>
      <c r="I5490" t="inlineStr">
        <is>
          <t>W2</t>
        </is>
      </c>
      <c r="J5490" t="inlineStr">
        <is>
          <t>2036_Styczeń_W2</t>
        </is>
      </c>
    </row>
    <row r="5491">
      <c r="A5491" s="177" t="n">
        <v>49686</v>
      </c>
      <c r="B5491" s="177" t="n">
        <v>49682</v>
      </c>
      <c r="C5491" s="177" t="n">
        <v>49688</v>
      </c>
      <c r="D5491" t="inlineStr">
        <is>
          <t>BW20360108</t>
        </is>
      </c>
      <c r="E5491" t="n">
        <v>2036</v>
      </c>
      <c r="F5491" t="inlineStr">
        <is>
          <t>Styczeń</t>
        </is>
      </c>
      <c r="G5491" t="inlineStr">
        <is>
          <t>Sob</t>
        </is>
      </c>
      <c r="H5491">
        <f>'Floor Hours Engine'!$E$5</f>
        <v/>
      </c>
      <c r="I5491" t="inlineStr">
        <is>
          <t>W2</t>
        </is>
      </c>
      <c r="J5491" t="inlineStr">
        <is>
          <t>2036_Styczeń_W2</t>
        </is>
      </c>
    </row>
    <row r="5492">
      <c r="A5492" s="177" t="n">
        <v>49687</v>
      </c>
      <c r="B5492" s="177" t="n">
        <v>49682</v>
      </c>
      <c r="C5492" s="177" t="n">
        <v>49688</v>
      </c>
      <c r="D5492" t="inlineStr">
        <is>
          <t>BW20360108</t>
        </is>
      </c>
      <c r="E5492" t="n">
        <v>2036</v>
      </c>
      <c r="F5492" t="inlineStr">
        <is>
          <t>Styczeń</t>
        </is>
      </c>
      <c r="G5492" t="inlineStr">
        <is>
          <t>Nd</t>
        </is>
      </c>
      <c r="H5492">
        <f>'Floor Hours Engine'!$E$6</f>
        <v/>
      </c>
      <c r="I5492" t="inlineStr">
        <is>
          <t>W2</t>
        </is>
      </c>
      <c r="J5492" t="inlineStr">
        <is>
          <t>2036_Styczeń_W2</t>
        </is>
      </c>
    </row>
    <row r="5493">
      <c r="A5493" s="177" t="n">
        <v>49688</v>
      </c>
      <c r="B5493" s="177" t="n">
        <v>49682</v>
      </c>
      <c r="C5493" s="177" t="n">
        <v>49688</v>
      </c>
      <c r="D5493" t="inlineStr">
        <is>
          <t>BW20360108</t>
        </is>
      </c>
      <c r="E5493" t="n">
        <v>2036</v>
      </c>
      <c r="F5493" t="inlineStr">
        <is>
          <t>Styczeń</t>
        </is>
      </c>
      <c r="G5493" t="inlineStr">
        <is>
          <t>Pn</t>
        </is>
      </c>
      <c r="H5493">
        <f>'Floor Hours Engine'!$E$4</f>
        <v/>
      </c>
      <c r="I5493" t="inlineStr">
        <is>
          <t>W2</t>
        </is>
      </c>
      <c r="J5493" t="inlineStr">
        <is>
          <t>2036_Styczeń_W2</t>
        </is>
      </c>
    </row>
    <row r="5494">
      <c r="A5494" s="177" t="n">
        <v>49689</v>
      </c>
      <c r="B5494" s="177" t="n">
        <v>49689</v>
      </c>
      <c r="C5494" s="177" t="n">
        <v>49695</v>
      </c>
      <c r="D5494" t="inlineStr">
        <is>
          <t>BW20360115</t>
        </is>
      </c>
      <c r="E5494" t="n">
        <v>2036</v>
      </c>
      <c r="F5494" t="inlineStr">
        <is>
          <t>Styczeń</t>
        </is>
      </c>
      <c r="G5494" t="inlineStr">
        <is>
          <t>Wt</t>
        </is>
      </c>
      <c r="H5494">
        <f>'Floor Hours Engine'!$E$4</f>
        <v/>
      </c>
      <c r="I5494" t="inlineStr">
        <is>
          <t>W3</t>
        </is>
      </c>
      <c r="J5494" t="inlineStr">
        <is>
          <t>2036_Styczeń_W3</t>
        </is>
      </c>
    </row>
    <row r="5495">
      <c r="A5495" s="177" t="n">
        <v>49690</v>
      </c>
      <c r="B5495" s="177" t="n">
        <v>49689</v>
      </c>
      <c r="C5495" s="177" t="n">
        <v>49695</v>
      </c>
      <c r="D5495" t="inlineStr">
        <is>
          <t>BW20360115</t>
        </is>
      </c>
      <c r="E5495" t="n">
        <v>2036</v>
      </c>
      <c r="F5495" t="inlineStr">
        <is>
          <t>Styczeń</t>
        </is>
      </c>
      <c r="G5495" t="inlineStr">
        <is>
          <t>Śr</t>
        </is>
      </c>
      <c r="H5495">
        <f>'Floor Hours Engine'!$E$4</f>
        <v/>
      </c>
      <c r="I5495" t="inlineStr">
        <is>
          <t>W3</t>
        </is>
      </c>
      <c r="J5495" t="inlineStr">
        <is>
          <t>2036_Styczeń_W3</t>
        </is>
      </c>
    </row>
    <row r="5496">
      <c r="A5496" s="177" t="n">
        <v>49691</v>
      </c>
      <c r="B5496" s="177" t="n">
        <v>49689</v>
      </c>
      <c r="C5496" s="177" t="n">
        <v>49695</v>
      </c>
      <c r="D5496" t="inlineStr">
        <is>
          <t>BW20360115</t>
        </is>
      </c>
      <c r="E5496" t="n">
        <v>2036</v>
      </c>
      <c r="F5496" t="inlineStr">
        <is>
          <t>Styczeń</t>
        </is>
      </c>
      <c r="G5496" t="inlineStr">
        <is>
          <t>Czw</t>
        </is>
      </c>
      <c r="H5496">
        <f>'Floor Hours Engine'!$E$4</f>
        <v/>
      </c>
      <c r="I5496" t="inlineStr">
        <is>
          <t>W3</t>
        </is>
      </c>
      <c r="J5496" t="inlineStr">
        <is>
          <t>2036_Styczeń_W3</t>
        </is>
      </c>
    </row>
    <row r="5497">
      <c r="A5497" s="177" t="n">
        <v>49692</v>
      </c>
      <c r="B5497" s="177" t="n">
        <v>49689</v>
      </c>
      <c r="C5497" s="177" t="n">
        <v>49695</v>
      </c>
      <c r="D5497" t="inlineStr">
        <is>
          <t>BW20360115</t>
        </is>
      </c>
      <c r="E5497" t="n">
        <v>2036</v>
      </c>
      <c r="F5497" t="inlineStr">
        <is>
          <t>Styczeń</t>
        </is>
      </c>
      <c r="G5497" t="inlineStr">
        <is>
          <t>Pt</t>
        </is>
      </c>
      <c r="H5497">
        <f>'Floor Hours Engine'!$E$5</f>
        <v/>
      </c>
      <c r="I5497" t="inlineStr">
        <is>
          <t>W3</t>
        </is>
      </c>
      <c r="J5497" t="inlineStr">
        <is>
          <t>2036_Styczeń_W3</t>
        </is>
      </c>
    </row>
    <row r="5498">
      <c r="A5498" s="177" t="n">
        <v>49693</v>
      </c>
      <c r="B5498" s="177" t="n">
        <v>49689</v>
      </c>
      <c r="C5498" s="177" t="n">
        <v>49695</v>
      </c>
      <c r="D5498" t="inlineStr">
        <is>
          <t>BW20360115</t>
        </is>
      </c>
      <c r="E5498" t="n">
        <v>2036</v>
      </c>
      <c r="F5498" t="inlineStr">
        <is>
          <t>Styczeń</t>
        </is>
      </c>
      <c r="G5498" t="inlineStr">
        <is>
          <t>Sob</t>
        </is>
      </c>
      <c r="H5498">
        <f>'Floor Hours Engine'!$E$5</f>
        <v/>
      </c>
      <c r="I5498" t="inlineStr">
        <is>
          <t>W3</t>
        </is>
      </c>
      <c r="J5498" t="inlineStr">
        <is>
          <t>2036_Styczeń_W3</t>
        </is>
      </c>
    </row>
    <row r="5499">
      <c r="A5499" s="177" t="n">
        <v>49694</v>
      </c>
      <c r="B5499" s="177" t="n">
        <v>49689</v>
      </c>
      <c r="C5499" s="177" t="n">
        <v>49695</v>
      </c>
      <c r="D5499" t="inlineStr">
        <is>
          <t>BW20360115</t>
        </is>
      </c>
      <c r="E5499" t="n">
        <v>2036</v>
      </c>
      <c r="F5499" t="inlineStr">
        <is>
          <t>Styczeń</t>
        </is>
      </c>
      <c r="G5499" t="inlineStr">
        <is>
          <t>Nd</t>
        </is>
      </c>
      <c r="H5499">
        <f>'Floor Hours Engine'!$E$6</f>
        <v/>
      </c>
      <c r="I5499" t="inlineStr">
        <is>
          <t>W3</t>
        </is>
      </c>
      <c r="J5499" t="inlineStr">
        <is>
          <t>2036_Styczeń_W3</t>
        </is>
      </c>
    </row>
    <row r="5500">
      <c r="A5500" s="177" t="n">
        <v>49695</v>
      </c>
      <c r="B5500" s="177" t="n">
        <v>49689</v>
      </c>
      <c r="C5500" s="177" t="n">
        <v>49695</v>
      </c>
      <c r="D5500" t="inlineStr">
        <is>
          <t>BW20360115</t>
        </is>
      </c>
      <c r="E5500" t="n">
        <v>2036</v>
      </c>
      <c r="F5500" t="inlineStr">
        <is>
          <t>Styczeń</t>
        </is>
      </c>
      <c r="G5500" t="inlineStr">
        <is>
          <t>Pn</t>
        </is>
      </c>
      <c r="H5500">
        <f>'Floor Hours Engine'!$E$4</f>
        <v/>
      </c>
      <c r="I5500" t="inlineStr">
        <is>
          <t>W3</t>
        </is>
      </c>
      <c r="J5500" t="inlineStr">
        <is>
          <t>2036_Styczeń_W3</t>
        </is>
      </c>
    </row>
    <row r="5501">
      <c r="A5501" s="177" t="n">
        <v>49696</v>
      </c>
      <c r="B5501" s="177" t="n">
        <v>49696</v>
      </c>
      <c r="C5501" s="177" t="n">
        <v>49702</v>
      </c>
      <c r="D5501" t="inlineStr">
        <is>
          <t>BW20360122</t>
        </is>
      </c>
      <c r="E5501" t="n">
        <v>2036</v>
      </c>
      <c r="F5501" t="inlineStr">
        <is>
          <t>Styczeń</t>
        </is>
      </c>
      <c r="G5501" t="inlineStr">
        <is>
          <t>Wt</t>
        </is>
      </c>
      <c r="H5501">
        <f>'Floor Hours Engine'!$E$4</f>
        <v/>
      </c>
      <c r="I5501" t="inlineStr">
        <is>
          <t>W4</t>
        </is>
      </c>
      <c r="J5501" t="inlineStr">
        <is>
          <t>2036_Styczeń_W4</t>
        </is>
      </c>
    </row>
    <row r="5502">
      <c r="A5502" s="177" t="n">
        <v>49697</v>
      </c>
      <c r="B5502" s="177" t="n">
        <v>49696</v>
      </c>
      <c r="C5502" s="177" t="n">
        <v>49702</v>
      </c>
      <c r="D5502" t="inlineStr">
        <is>
          <t>BW20360122</t>
        </is>
      </c>
      <c r="E5502" t="n">
        <v>2036</v>
      </c>
      <c r="F5502" t="inlineStr">
        <is>
          <t>Styczeń</t>
        </is>
      </c>
      <c r="G5502" t="inlineStr">
        <is>
          <t>Śr</t>
        </is>
      </c>
      <c r="H5502">
        <f>'Floor Hours Engine'!$E$4</f>
        <v/>
      </c>
      <c r="I5502" t="inlineStr">
        <is>
          <t>W4</t>
        </is>
      </c>
      <c r="J5502" t="inlineStr">
        <is>
          <t>2036_Styczeń_W4</t>
        </is>
      </c>
    </row>
    <row r="5503">
      <c r="A5503" s="177" t="n">
        <v>49698</v>
      </c>
      <c r="B5503" s="177" t="n">
        <v>49696</v>
      </c>
      <c r="C5503" s="177" t="n">
        <v>49702</v>
      </c>
      <c r="D5503" t="inlineStr">
        <is>
          <t>BW20360122</t>
        </is>
      </c>
      <c r="E5503" t="n">
        <v>2036</v>
      </c>
      <c r="F5503" t="inlineStr">
        <is>
          <t>Styczeń</t>
        </is>
      </c>
      <c r="G5503" t="inlineStr">
        <is>
          <t>Czw</t>
        </is>
      </c>
      <c r="H5503">
        <f>'Floor Hours Engine'!$E$4</f>
        <v/>
      </c>
      <c r="I5503" t="inlineStr">
        <is>
          <t>W4</t>
        </is>
      </c>
      <c r="J5503" t="inlineStr">
        <is>
          <t>2036_Styczeń_W4</t>
        </is>
      </c>
    </row>
    <row r="5504">
      <c r="A5504" s="177" t="n">
        <v>49699</v>
      </c>
      <c r="B5504" s="177" t="n">
        <v>49696</v>
      </c>
      <c r="C5504" s="177" t="n">
        <v>49702</v>
      </c>
      <c r="D5504" t="inlineStr">
        <is>
          <t>BW20360122</t>
        </is>
      </c>
      <c r="E5504" t="n">
        <v>2036</v>
      </c>
      <c r="F5504" t="inlineStr">
        <is>
          <t>Styczeń</t>
        </is>
      </c>
      <c r="G5504" t="inlineStr">
        <is>
          <t>Pt</t>
        </is>
      </c>
      <c r="H5504">
        <f>'Floor Hours Engine'!$E$5</f>
        <v/>
      </c>
      <c r="I5504" t="inlineStr">
        <is>
          <t>W4</t>
        </is>
      </c>
      <c r="J5504" t="inlineStr">
        <is>
          <t>2036_Styczeń_W4</t>
        </is>
      </c>
    </row>
    <row r="5505">
      <c r="A5505" s="177" t="n">
        <v>49700</v>
      </c>
      <c r="B5505" s="177" t="n">
        <v>49696</v>
      </c>
      <c r="C5505" s="177" t="n">
        <v>49702</v>
      </c>
      <c r="D5505" t="inlineStr">
        <is>
          <t>BW20360122</t>
        </is>
      </c>
      <c r="E5505" t="n">
        <v>2036</v>
      </c>
      <c r="F5505" t="inlineStr">
        <is>
          <t>Styczeń</t>
        </is>
      </c>
      <c r="G5505" t="inlineStr">
        <is>
          <t>Sob</t>
        </is>
      </c>
      <c r="H5505">
        <f>'Floor Hours Engine'!$E$5</f>
        <v/>
      </c>
      <c r="I5505" t="inlineStr">
        <is>
          <t>W4</t>
        </is>
      </c>
      <c r="J5505" t="inlineStr">
        <is>
          <t>2036_Styczeń_W4</t>
        </is>
      </c>
    </row>
    <row r="5506">
      <c r="A5506" s="177" t="n">
        <v>49701</v>
      </c>
      <c r="B5506" s="177" t="n">
        <v>49696</v>
      </c>
      <c r="C5506" s="177" t="n">
        <v>49702</v>
      </c>
      <c r="D5506" t="inlineStr">
        <is>
          <t>BW20360122</t>
        </is>
      </c>
      <c r="E5506" t="n">
        <v>2036</v>
      </c>
      <c r="F5506" t="inlineStr">
        <is>
          <t>Styczeń</t>
        </is>
      </c>
      <c r="G5506" t="inlineStr">
        <is>
          <t>Nd</t>
        </is>
      </c>
      <c r="H5506">
        <f>'Floor Hours Engine'!$E$6</f>
        <v/>
      </c>
      <c r="I5506" t="inlineStr">
        <is>
          <t>W4</t>
        </is>
      </c>
      <c r="J5506" t="inlineStr">
        <is>
          <t>2036_Styczeń_W4</t>
        </is>
      </c>
    </row>
    <row r="5507">
      <c r="A5507" s="177" t="n">
        <v>49702</v>
      </c>
      <c r="B5507" s="177" t="n">
        <v>49696</v>
      </c>
      <c r="C5507" s="177" t="n">
        <v>49702</v>
      </c>
      <c r="D5507" t="inlineStr">
        <is>
          <t>BW20360122</t>
        </is>
      </c>
      <c r="E5507" t="n">
        <v>2036</v>
      </c>
      <c r="F5507" t="inlineStr">
        <is>
          <t>Styczeń</t>
        </is>
      </c>
      <c r="G5507" t="inlineStr">
        <is>
          <t>Pn</t>
        </is>
      </c>
      <c r="H5507">
        <f>'Floor Hours Engine'!$E$4</f>
        <v/>
      </c>
      <c r="I5507" t="inlineStr">
        <is>
          <t>W4</t>
        </is>
      </c>
      <c r="J5507" t="inlineStr">
        <is>
          <t>2036_Styczeń_W4</t>
        </is>
      </c>
    </row>
    <row r="5508">
      <c r="A5508" s="177" t="n">
        <v>49703</v>
      </c>
      <c r="B5508" s="177" t="n">
        <v>49703</v>
      </c>
      <c r="C5508" s="177" t="n">
        <v>49709</v>
      </c>
      <c r="D5508" t="inlineStr">
        <is>
          <t>BW20360129</t>
        </is>
      </c>
      <c r="E5508" t="n">
        <v>2036</v>
      </c>
      <c r="F5508" t="inlineStr">
        <is>
          <t>Styczeń</t>
        </is>
      </c>
      <c r="G5508" t="inlineStr">
        <is>
          <t>Wt</t>
        </is>
      </c>
      <c r="H5508">
        <f>'Floor Hours Engine'!$E$4</f>
        <v/>
      </c>
      <c r="I5508" t="inlineStr">
        <is>
          <t>W5</t>
        </is>
      </c>
      <c r="J5508" t="inlineStr">
        <is>
          <t>2036_Styczeń_W5</t>
        </is>
      </c>
    </row>
    <row r="5509">
      <c r="A5509" s="177" t="n">
        <v>49704</v>
      </c>
      <c r="B5509" s="177" t="n">
        <v>49703</v>
      </c>
      <c r="C5509" s="177" t="n">
        <v>49709</v>
      </c>
      <c r="D5509" t="inlineStr">
        <is>
          <t>BW20360129</t>
        </is>
      </c>
      <c r="E5509" t="n">
        <v>2036</v>
      </c>
      <c r="F5509" t="inlineStr">
        <is>
          <t>Styczeń</t>
        </is>
      </c>
      <c r="G5509" t="inlineStr">
        <is>
          <t>Śr</t>
        </is>
      </c>
      <c r="H5509">
        <f>'Floor Hours Engine'!$E$4</f>
        <v/>
      </c>
      <c r="I5509" t="inlineStr">
        <is>
          <t>W5</t>
        </is>
      </c>
      <c r="J5509" t="inlineStr">
        <is>
          <t>2036_Styczeń_W5</t>
        </is>
      </c>
    </row>
    <row r="5510">
      <c r="A5510" s="177" t="n">
        <v>49705</v>
      </c>
      <c r="B5510" s="177" t="n">
        <v>49703</v>
      </c>
      <c r="C5510" s="177" t="n">
        <v>49709</v>
      </c>
      <c r="D5510" t="inlineStr">
        <is>
          <t>BW20360129</t>
        </is>
      </c>
      <c r="E5510" t="n">
        <v>2036</v>
      </c>
      <c r="F5510" t="inlineStr">
        <is>
          <t>Styczeń</t>
        </is>
      </c>
      <c r="G5510" t="inlineStr">
        <is>
          <t>Czw</t>
        </is>
      </c>
      <c r="H5510">
        <f>'Floor Hours Engine'!$E$4</f>
        <v/>
      </c>
      <c r="I5510" t="inlineStr">
        <is>
          <t>W5</t>
        </is>
      </c>
      <c r="J5510" t="inlineStr">
        <is>
          <t>2036_Styczeń_W5</t>
        </is>
      </c>
    </row>
    <row r="5511">
      <c r="A5511" s="177" t="n">
        <v>49706</v>
      </c>
      <c r="B5511" s="177" t="n">
        <v>49703</v>
      </c>
      <c r="C5511" s="177" t="n">
        <v>49709</v>
      </c>
      <c r="D5511" t="inlineStr">
        <is>
          <t>BW20360129</t>
        </is>
      </c>
      <c r="E5511" t="n">
        <v>2036</v>
      </c>
      <c r="F5511" t="inlineStr">
        <is>
          <t>Luty</t>
        </is>
      </c>
      <c r="G5511" t="inlineStr">
        <is>
          <t>Pt</t>
        </is>
      </c>
      <c r="H5511">
        <f>'Floor Hours Engine'!$E$5</f>
        <v/>
      </c>
      <c r="I5511" t="inlineStr">
        <is>
          <t>W1</t>
        </is>
      </c>
      <c r="J5511" t="inlineStr">
        <is>
          <t>2036_Luty_W1</t>
        </is>
      </c>
    </row>
    <row r="5512">
      <c r="A5512" s="177" t="n">
        <v>49707</v>
      </c>
      <c r="B5512" s="177" t="n">
        <v>49703</v>
      </c>
      <c r="C5512" s="177" t="n">
        <v>49709</v>
      </c>
      <c r="D5512" t="inlineStr">
        <is>
          <t>BW20360129</t>
        </is>
      </c>
      <c r="E5512" t="n">
        <v>2036</v>
      </c>
      <c r="F5512" t="inlineStr">
        <is>
          <t>Luty</t>
        </is>
      </c>
      <c r="G5512" t="inlineStr">
        <is>
          <t>Sob</t>
        </is>
      </c>
      <c r="H5512">
        <f>'Floor Hours Engine'!$E$5</f>
        <v/>
      </c>
      <c r="I5512" t="inlineStr">
        <is>
          <t>W1</t>
        </is>
      </c>
      <c r="J5512" t="inlineStr">
        <is>
          <t>2036_Luty_W1</t>
        </is>
      </c>
    </row>
    <row r="5513">
      <c r="A5513" s="177" t="n">
        <v>49708</v>
      </c>
      <c r="B5513" s="177" t="n">
        <v>49703</v>
      </c>
      <c r="C5513" s="177" t="n">
        <v>49709</v>
      </c>
      <c r="D5513" t="inlineStr">
        <is>
          <t>BW20360129</t>
        </is>
      </c>
      <c r="E5513" t="n">
        <v>2036</v>
      </c>
      <c r="F5513" t="inlineStr">
        <is>
          <t>Luty</t>
        </is>
      </c>
      <c r="G5513" t="inlineStr">
        <is>
          <t>Nd</t>
        </is>
      </c>
      <c r="H5513">
        <f>'Floor Hours Engine'!$E$6</f>
        <v/>
      </c>
      <c r="I5513" t="inlineStr">
        <is>
          <t>W1</t>
        </is>
      </c>
      <c r="J5513" t="inlineStr">
        <is>
          <t>2036_Luty_W1</t>
        </is>
      </c>
    </row>
    <row r="5514">
      <c r="A5514" s="177" t="n">
        <v>49709</v>
      </c>
      <c r="B5514" s="177" t="n">
        <v>49703</v>
      </c>
      <c r="C5514" s="177" t="n">
        <v>49709</v>
      </c>
      <c r="D5514" t="inlineStr">
        <is>
          <t>BW20360129</t>
        </is>
      </c>
      <c r="E5514" t="n">
        <v>2036</v>
      </c>
      <c r="F5514" t="inlineStr">
        <is>
          <t>Luty</t>
        </is>
      </c>
      <c r="G5514" t="inlineStr">
        <is>
          <t>Pn</t>
        </is>
      </c>
      <c r="H5514">
        <f>'Floor Hours Engine'!$E$4</f>
        <v/>
      </c>
      <c r="I5514" t="inlineStr">
        <is>
          <t>W1</t>
        </is>
      </c>
      <c r="J5514" t="inlineStr">
        <is>
          <t>2036_Luty_W1</t>
        </is>
      </c>
    </row>
    <row r="5515">
      <c r="A5515" s="177" t="n">
        <v>49710</v>
      </c>
      <c r="B5515" s="177" t="n">
        <v>49710</v>
      </c>
      <c r="C5515" s="177" t="n">
        <v>49716</v>
      </c>
      <c r="D5515" t="inlineStr">
        <is>
          <t>BW20360205</t>
        </is>
      </c>
      <c r="E5515" t="n">
        <v>2036</v>
      </c>
      <c r="F5515" t="inlineStr">
        <is>
          <t>Luty</t>
        </is>
      </c>
      <c r="G5515" t="inlineStr">
        <is>
          <t>Wt</t>
        </is>
      </c>
      <c r="H5515">
        <f>'Floor Hours Engine'!$E$4</f>
        <v/>
      </c>
      <c r="I5515" t="inlineStr">
        <is>
          <t>W2</t>
        </is>
      </c>
      <c r="J5515" t="inlineStr">
        <is>
          <t>2036_Luty_W2</t>
        </is>
      </c>
    </row>
    <row r="5516">
      <c r="A5516" s="177" t="n">
        <v>49711</v>
      </c>
      <c r="B5516" s="177" t="n">
        <v>49710</v>
      </c>
      <c r="C5516" s="177" t="n">
        <v>49716</v>
      </c>
      <c r="D5516" t="inlineStr">
        <is>
          <t>BW20360205</t>
        </is>
      </c>
      <c r="E5516" t="n">
        <v>2036</v>
      </c>
      <c r="F5516" t="inlineStr">
        <is>
          <t>Luty</t>
        </is>
      </c>
      <c r="G5516" t="inlineStr">
        <is>
          <t>Śr</t>
        </is>
      </c>
      <c r="H5516">
        <f>'Floor Hours Engine'!$E$4</f>
        <v/>
      </c>
      <c r="I5516" t="inlineStr">
        <is>
          <t>W2</t>
        </is>
      </c>
      <c r="J5516" t="inlineStr">
        <is>
          <t>2036_Luty_W2</t>
        </is>
      </c>
    </row>
    <row r="5517">
      <c r="A5517" s="177" t="n">
        <v>49712</v>
      </c>
      <c r="B5517" s="177" t="n">
        <v>49710</v>
      </c>
      <c r="C5517" s="177" t="n">
        <v>49716</v>
      </c>
      <c r="D5517" t="inlineStr">
        <is>
          <t>BW20360205</t>
        </is>
      </c>
      <c r="E5517" t="n">
        <v>2036</v>
      </c>
      <c r="F5517" t="inlineStr">
        <is>
          <t>Luty</t>
        </is>
      </c>
      <c r="G5517" t="inlineStr">
        <is>
          <t>Czw</t>
        </is>
      </c>
      <c r="H5517">
        <f>'Floor Hours Engine'!$E$4</f>
        <v/>
      </c>
      <c r="I5517" t="inlineStr">
        <is>
          <t>W2</t>
        </is>
      </c>
      <c r="J5517" t="inlineStr">
        <is>
          <t>2036_Luty_W2</t>
        </is>
      </c>
    </row>
    <row r="5518">
      <c r="A5518" s="177" t="n">
        <v>49713</v>
      </c>
      <c r="B5518" s="177" t="n">
        <v>49710</v>
      </c>
      <c r="C5518" s="177" t="n">
        <v>49716</v>
      </c>
      <c r="D5518" t="inlineStr">
        <is>
          <t>BW20360205</t>
        </is>
      </c>
      <c r="E5518" t="n">
        <v>2036</v>
      </c>
      <c r="F5518" t="inlineStr">
        <is>
          <t>Luty</t>
        </is>
      </c>
      <c r="G5518" t="inlineStr">
        <is>
          <t>Pt</t>
        </is>
      </c>
      <c r="H5518">
        <f>'Floor Hours Engine'!$E$5</f>
        <v/>
      </c>
      <c r="I5518" t="inlineStr">
        <is>
          <t>W2</t>
        </is>
      </c>
      <c r="J5518" t="inlineStr">
        <is>
          <t>2036_Luty_W2</t>
        </is>
      </c>
    </row>
    <row r="5519">
      <c r="A5519" s="177" t="n">
        <v>49714</v>
      </c>
      <c r="B5519" s="177" t="n">
        <v>49710</v>
      </c>
      <c r="C5519" s="177" t="n">
        <v>49716</v>
      </c>
      <c r="D5519" t="inlineStr">
        <is>
          <t>BW20360205</t>
        </is>
      </c>
      <c r="E5519" t="n">
        <v>2036</v>
      </c>
      <c r="F5519" t="inlineStr">
        <is>
          <t>Luty</t>
        </is>
      </c>
      <c r="G5519" t="inlineStr">
        <is>
          <t>Sob</t>
        </is>
      </c>
      <c r="H5519">
        <f>'Floor Hours Engine'!$E$5</f>
        <v/>
      </c>
      <c r="I5519" t="inlineStr">
        <is>
          <t>W2</t>
        </is>
      </c>
      <c r="J5519" t="inlineStr">
        <is>
          <t>2036_Luty_W2</t>
        </is>
      </c>
    </row>
    <row r="5520">
      <c r="A5520" s="177" t="n">
        <v>49715</v>
      </c>
      <c r="B5520" s="177" t="n">
        <v>49710</v>
      </c>
      <c r="C5520" s="177" t="n">
        <v>49716</v>
      </c>
      <c r="D5520" t="inlineStr">
        <is>
          <t>BW20360205</t>
        </is>
      </c>
      <c r="E5520" t="n">
        <v>2036</v>
      </c>
      <c r="F5520" t="inlineStr">
        <is>
          <t>Luty</t>
        </is>
      </c>
      <c r="G5520" t="inlineStr">
        <is>
          <t>Nd</t>
        </is>
      </c>
      <c r="H5520">
        <f>'Floor Hours Engine'!$E$6</f>
        <v/>
      </c>
      <c r="I5520" t="inlineStr">
        <is>
          <t>W2</t>
        </is>
      </c>
      <c r="J5520" t="inlineStr">
        <is>
          <t>2036_Luty_W2</t>
        </is>
      </c>
    </row>
    <row r="5521">
      <c r="A5521" s="177" t="n">
        <v>49716</v>
      </c>
      <c r="B5521" s="177" t="n">
        <v>49710</v>
      </c>
      <c r="C5521" s="177" t="n">
        <v>49716</v>
      </c>
      <c r="D5521" t="inlineStr">
        <is>
          <t>BW20360205</t>
        </is>
      </c>
      <c r="E5521" t="n">
        <v>2036</v>
      </c>
      <c r="F5521" t="inlineStr">
        <is>
          <t>Luty</t>
        </is>
      </c>
      <c r="G5521" t="inlineStr">
        <is>
          <t>Pn</t>
        </is>
      </c>
      <c r="H5521">
        <f>'Floor Hours Engine'!$E$4</f>
        <v/>
      </c>
      <c r="I5521" t="inlineStr">
        <is>
          <t>W2</t>
        </is>
      </c>
      <c r="J5521" t="inlineStr">
        <is>
          <t>2036_Luty_W2</t>
        </is>
      </c>
    </row>
    <row r="5522">
      <c r="A5522" s="177" t="n">
        <v>49717</v>
      </c>
      <c r="B5522" s="177" t="n">
        <v>49717</v>
      </c>
      <c r="C5522" s="177" t="n">
        <v>49723</v>
      </c>
      <c r="D5522" t="inlineStr">
        <is>
          <t>BW20360212</t>
        </is>
      </c>
      <c r="E5522" t="n">
        <v>2036</v>
      </c>
      <c r="F5522" t="inlineStr">
        <is>
          <t>Luty</t>
        </is>
      </c>
      <c r="G5522" t="inlineStr">
        <is>
          <t>Wt</t>
        </is>
      </c>
      <c r="H5522">
        <f>'Floor Hours Engine'!$E$4</f>
        <v/>
      </c>
      <c r="I5522" t="inlineStr">
        <is>
          <t>W3</t>
        </is>
      </c>
      <c r="J5522" t="inlineStr">
        <is>
          <t>2036_Luty_W3</t>
        </is>
      </c>
    </row>
    <row r="5523">
      <c r="A5523" s="177" t="n">
        <v>49718</v>
      </c>
      <c r="B5523" s="177" t="n">
        <v>49717</v>
      </c>
      <c r="C5523" s="177" t="n">
        <v>49723</v>
      </c>
      <c r="D5523" t="inlineStr">
        <is>
          <t>BW20360212</t>
        </is>
      </c>
      <c r="E5523" t="n">
        <v>2036</v>
      </c>
      <c r="F5523" t="inlineStr">
        <is>
          <t>Luty</t>
        </is>
      </c>
      <c r="G5523" t="inlineStr">
        <is>
          <t>Śr</t>
        </is>
      </c>
      <c r="H5523">
        <f>'Floor Hours Engine'!$E$4</f>
        <v/>
      </c>
      <c r="I5523" t="inlineStr">
        <is>
          <t>W3</t>
        </is>
      </c>
      <c r="J5523" t="inlineStr">
        <is>
          <t>2036_Luty_W3</t>
        </is>
      </c>
    </row>
    <row r="5524">
      <c r="A5524" s="177" t="n">
        <v>49719</v>
      </c>
      <c r="B5524" s="177" t="n">
        <v>49717</v>
      </c>
      <c r="C5524" s="177" t="n">
        <v>49723</v>
      </c>
      <c r="D5524" t="inlineStr">
        <is>
          <t>BW20360212</t>
        </is>
      </c>
      <c r="E5524" t="n">
        <v>2036</v>
      </c>
      <c r="F5524" t="inlineStr">
        <is>
          <t>Luty</t>
        </is>
      </c>
      <c r="G5524" t="inlineStr">
        <is>
          <t>Czw</t>
        </is>
      </c>
      <c r="H5524">
        <f>'Floor Hours Engine'!$E$4</f>
        <v/>
      </c>
      <c r="I5524" t="inlineStr">
        <is>
          <t>W3</t>
        </is>
      </c>
      <c r="J5524" t="inlineStr">
        <is>
          <t>2036_Luty_W3</t>
        </is>
      </c>
    </row>
    <row r="5525">
      <c r="A5525" s="177" t="n">
        <v>49720</v>
      </c>
      <c r="B5525" s="177" t="n">
        <v>49717</v>
      </c>
      <c r="C5525" s="177" t="n">
        <v>49723</v>
      </c>
      <c r="D5525" t="inlineStr">
        <is>
          <t>BW20360212</t>
        </is>
      </c>
      <c r="E5525" t="n">
        <v>2036</v>
      </c>
      <c r="F5525" t="inlineStr">
        <is>
          <t>Luty</t>
        </is>
      </c>
      <c r="G5525" t="inlineStr">
        <is>
          <t>Pt</t>
        </is>
      </c>
      <c r="H5525">
        <f>'Floor Hours Engine'!$E$5</f>
        <v/>
      </c>
      <c r="I5525" t="inlineStr">
        <is>
          <t>W3</t>
        </is>
      </c>
      <c r="J5525" t="inlineStr">
        <is>
          <t>2036_Luty_W3</t>
        </is>
      </c>
    </row>
    <row r="5526">
      <c r="A5526" s="177" t="n">
        <v>49721</v>
      </c>
      <c r="B5526" s="177" t="n">
        <v>49717</v>
      </c>
      <c r="C5526" s="177" t="n">
        <v>49723</v>
      </c>
      <c r="D5526" t="inlineStr">
        <is>
          <t>BW20360212</t>
        </is>
      </c>
      <c r="E5526" t="n">
        <v>2036</v>
      </c>
      <c r="F5526" t="inlineStr">
        <is>
          <t>Luty</t>
        </is>
      </c>
      <c r="G5526" t="inlineStr">
        <is>
          <t>Sob</t>
        </is>
      </c>
      <c r="H5526">
        <f>'Floor Hours Engine'!$E$5</f>
        <v/>
      </c>
      <c r="I5526" t="inlineStr">
        <is>
          <t>W3</t>
        </is>
      </c>
      <c r="J5526" t="inlineStr">
        <is>
          <t>2036_Luty_W3</t>
        </is>
      </c>
    </row>
    <row r="5527">
      <c r="A5527" s="177" t="n">
        <v>49722</v>
      </c>
      <c r="B5527" s="177" t="n">
        <v>49717</v>
      </c>
      <c r="C5527" s="177" t="n">
        <v>49723</v>
      </c>
      <c r="D5527" t="inlineStr">
        <is>
          <t>BW20360212</t>
        </is>
      </c>
      <c r="E5527" t="n">
        <v>2036</v>
      </c>
      <c r="F5527" t="inlineStr">
        <is>
          <t>Luty</t>
        </is>
      </c>
      <c r="G5527" t="inlineStr">
        <is>
          <t>Nd</t>
        </is>
      </c>
      <c r="H5527">
        <f>'Floor Hours Engine'!$E$6</f>
        <v/>
      </c>
      <c r="I5527" t="inlineStr">
        <is>
          <t>W3</t>
        </is>
      </c>
      <c r="J5527" t="inlineStr">
        <is>
          <t>2036_Luty_W3</t>
        </is>
      </c>
    </row>
    <row r="5528">
      <c r="A5528" s="177" t="n">
        <v>49723</v>
      </c>
      <c r="B5528" s="177" t="n">
        <v>49717</v>
      </c>
      <c r="C5528" s="177" t="n">
        <v>49723</v>
      </c>
      <c r="D5528" t="inlineStr">
        <is>
          <t>BW20360212</t>
        </is>
      </c>
      <c r="E5528" t="n">
        <v>2036</v>
      </c>
      <c r="F5528" t="inlineStr">
        <is>
          <t>Luty</t>
        </is>
      </c>
      <c r="G5528" t="inlineStr">
        <is>
          <t>Pn</t>
        </is>
      </c>
      <c r="H5528">
        <f>'Floor Hours Engine'!$E$4</f>
        <v/>
      </c>
      <c r="I5528" t="inlineStr">
        <is>
          <t>W3</t>
        </is>
      </c>
      <c r="J5528" t="inlineStr">
        <is>
          <t>2036_Luty_W3</t>
        </is>
      </c>
    </row>
    <row r="5529">
      <c r="A5529" s="177" t="n">
        <v>49724</v>
      </c>
      <c r="B5529" s="177" t="n">
        <v>49724</v>
      </c>
      <c r="C5529" s="177" t="n">
        <v>49730</v>
      </c>
      <c r="D5529" t="inlineStr">
        <is>
          <t>BW20360219</t>
        </is>
      </c>
      <c r="E5529" t="n">
        <v>2036</v>
      </c>
      <c r="F5529" t="inlineStr">
        <is>
          <t>Luty</t>
        </is>
      </c>
      <c r="G5529" t="inlineStr">
        <is>
          <t>Wt</t>
        </is>
      </c>
      <c r="H5529">
        <f>'Floor Hours Engine'!$E$4</f>
        <v/>
      </c>
      <c r="I5529" t="inlineStr">
        <is>
          <t>W4</t>
        </is>
      </c>
      <c r="J5529" t="inlineStr">
        <is>
          <t>2036_Luty_W4</t>
        </is>
      </c>
    </row>
    <row r="5530">
      <c r="A5530" s="177" t="n">
        <v>49725</v>
      </c>
      <c r="B5530" s="177" t="n">
        <v>49724</v>
      </c>
      <c r="C5530" s="177" t="n">
        <v>49730</v>
      </c>
      <c r="D5530" t="inlineStr">
        <is>
          <t>BW20360219</t>
        </is>
      </c>
      <c r="E5530" t="n">
        <v>2036</v>
      </c>
      <c r="F5530" t="inlineStr">
        <is>
          <t>Luty</t>
        </is>
      </c>
      <c r="G5530" t="inlineStr">
        <is>
          <t>Śr</t>
        </is>
      </c>
      <c r="H5530">
        <f>'Floor Hours Engine'!$E$4</f>
        <v/>
      </c>
      <c r="I5530" t="inlineStr">
        <is>
          <t>W4</t>
        </is>
      </c>
      <c r="J5530" t="inlineStr">
        <is>
          <t>2036_Luty_W4</t>
        </is>
      </c>
    </row>
    <row r="5531">
      <c r="A5531" s="177" t="n">
        <v>49726</v>
      </c>
      <c r="B5531" s="177" t="n">
        <v>49724</v>
      </c>
      <c r="C5531" s="177" t="n">
        <v>49730</v>
      </c>
      <c r="D5531" t="inlineStr">
        <is>
          <t>BW20360219</t>
        </is>
      </c>
      <c r="E5531" t="n">
        <v>2036</v>
      </c>
      <c r="F5531" t="inlineStr">
        <is>
          <t>Luty</t>
        </is>
      </c>
      <c r="G5531" t="inlineStr">
        <is>
          <t>Czw</t>
        </is>
      </c>
      <c r="H5531">
        <f>'Floor Hours Engine'!$E$4</f>
        <v/>
      </c>
      <c r="I5531" t="inlineStr">
        <is>
          <t>W4</t>
        </is>
      </c>
      <c r="J5531" t="inlineStr">
        <is>
          <t>2036_Luty_W4</t>
        </is>
      </c>
    </row>
    <row r="5532">
      <c r="A5532" s="177" t="n">
        <v>49727</v>
      </c>
      <c r="B5532" s="177" t="n">
        <v>49724</v>
      </c>
      <c r="C5532" s="177" t="n">
        <v>49730</v>
      </c>
      <c r="D5532" t="inlineStr">
        <is>
          <t>BW20360219</t>
        </is>
      </c>
      <c r="E5532" t="n">
        <v>2036</v>
      </c>
      <c r="F5532" t="inlineStr">
        <is>
          <t>Luty</t>
        </is>
      </c>
      <c r="G5532" t="inlineStr">
        <is>
          <t>Pt</t>
        </is>
      </c>
      <c r="H5532">
        <f>'Floor Hours Engine'!$E$5</f>
        <v/>
      </c>
      <c r="I5532" t="inlineStr">
        <is>
          <t>W4</t>
        </is>
      </c>
      <c r="J5532" t="inlineStr">
        <is>
          <t>2036_Luty_W4</t>
        </is>
      </c>
    </row>
    <row r="5533">
      <c r="A5533" s="177" t="n">
        <v>49728</v>
      </c>
      <c r="B5533" s="177" t="n">
        <v>49724</v>
      </c>
      <c r="C5533" s="177" t="n">
        <v>49730</v>
      </c>
      <c r="D5533" t="inlineStr">
        <is>
          <t>BW20360219</t>
        </is>
      </c>
      <c r="E5533" t="n">
        <v>2036</v>
      </c>
      <c r="F5533" t="inlineStr">
        <is>
          <t>Luty</t>
        </is>
      </c>
      <c r="G5533" t="inlineStr">
        <is>
          <t>Sob</t>
        </is>
      </c>
      <c r="H5533">
        <f>'Floor Hours Engine'!$E$5</f>
        <v/>
      </c>
      <c r="I5533" t="inlineStr">
        <is>
          <t>W4</t>
        </is>
      </c>
      <c r="J5533" t="inlineStr">
        <is>
          <t>2036_Luty_W4</t>
        </is>
      </c>
    </row>
    <row r="5534">
      <c r="A5534" s="177" t="n">
        <v>49729</v>
      </c>
      <c r="B5534" s="177" t="n">
        <v>49724</v>
      </c>
      <c r="C5534" s="177" t="n">
        <v>49730</v>
      </c>
      <c r="D5534" t="inlineStr">
        <is>
          <t>BW20360219</t>
        </is>
      </c>
      <c r="E5534" t="n">
        <v>2036</v>
      </c>
      <c r="F5534" t="inlineStr">
        <is>
          <t>Luty</t>
        </is>
      </c>
      <c r="G5534" t="inlineStr">
        <is>
          <t>Nd</t>
        </is>
      </c>
      <c r="H5534">
        <f>'Floor Hours Engine'!$E$6</f>
        <v/>
      </c>
      <c r="I5534" t="inlineStr">
        <is>
          <t>W4</t>
        </is>
      </c>
      <c r="J5534" t="inlineStr">
        <is>
          <t>2036_Luty_W4</t>
        </is>
      </c>
    </row>
    <row r="5535">
      <c r="A5535" s="177" t="n">
        <v>49730</v>
      </c>
      <c r="B5535" s="177" t="n">
        <v>49724</v>
      </c>
      <c r="C5535" s="177" t="n">
        <v>49730</v>
      </c>
      <c r="D5535" t="inlineStr">
        <is>
          <t>BW20360219</t>
        </is>
      </c>
      <c r="E5535" t="n">
        <v>2036</v>
      </c>
      <c r="F5535" t="inlineStr">
        <is>
          <t>Luty</t>
        </is>
      </c>
      <c r="G5535" t="inlineStr">
        <is>
          <t>Pn</t>
        </is>
      </c>
      <c r="H5535">
        <f>'Floor Hours Engine'!$E$4</f>
        <v/>
      </c>
      <c r="I5535" t="inlineStr">
        <is>
          <t>W4</t>
        </is>
      </c>
      <c r="J5535" t="inlineStr">
        <is>
          <t>2036_Luty_W4</t>
        </is>
      </c>
    </row>
    <row r="5536">
      <c r="A5536" s="177" t="n">
        <v>49731</v>
      </c>
      <c r="B5536" s="177" t="n">
        <v>49731</v>
      </c>
      <c r="C5536" s="177" t="n">
        <v>49737</v>
      </c>
      <c r="D5536" t="inlineStr">
        <is>
          <t>BW20360226</t>
        </is>
      </c>
      <c r="E5536" t="n">
        <v>2036</v>
      </c>
      <c r="F5536" t="inlineStr">
        <is>
          <t>Luty</t>
        </is>
      </c>
      <c r="G5536" t="inlineStr">
        <is>
          <t>Wt</t>
        </is>
      </c>
      <c r="H5536">
        <f>'Floor Hours Engine'!$E$4</f>
        <v/>
      </c>
      <c r="I5536" t="inlineStr">
        <is>
          <t>W5</t>
        </is>
      </c>
      <c r="J5536" t="inlineStr">
        <is>
          <t>2036_Luty_W5</t>
        </is>
      </c>
    </row>
    <row r="5537">
      <c r="A5537" s="177" t="n">
        <v>49732</v>
      </c>
      <c r="B5537" s="177" t="n">
        <v>49731</v>
      </c>
      <c r="C5537" s="177" t="n">
        <v>49737</v>
      </c>
      <c r="D5537" t="inlineStr">
        <is>
          <t>BW20360226</t>
        </is>
      </c>
      <c r="E5537" t="n">
        <v>2036</v>
      </c>
      <c r="F5537" t="inlineStr">
        <is>
          <t>Luty</t>
        </is>
      </c>
      <c r="G5537" t="inlineStr">
        <is>
          <t>Śr</t>
        </is>
      </c>
      <c r="H5537">
        <f>'Floor Hours Engine'!$E$4</f>
        <v/>
      </c>
      <c r="I5537" t="inlineStr">
        <is>
          <t>W5</t>
        </is>
      </c>
      <c r="J5537" t="inlineStr">
        <is>
          <t>2036_Luty_W5</t>
        </is>
      </c>
    </row>
    <row r="5538">
      <c r="A5538" s="177" t="n">
        <v>49733</v>
      </c>
      <c r="B5538" s="177" t="n">
        <v>49731</v>
      </c>
      <c r="C5538" s="177" t="n">
        <v>49737</v>
      </c>
      <c r="D5538" t="inlineStr">
        <is>
          <t>BW20360226</t>
        </is>
      </c>
      <c r="E5538" t="n">
        <v>2036</v>
      </c>
      <c r="F5538" t="inlineStr">
        <is>
          <t>Luty</t>
        </is>
      </c>
      <c r="G5538" t="inlineStr">
        <is>
          <t>Czw</t>
        </is>
      </c>
      <c r="H5538">
        <f>'Floor Hours Engine'!$E$4</f>
        <v/>
      </c>
      <c r="I5538" t="inlineStr">
        <is>
          <t>W5</t>
        </is>
      </c>
      <c r="J5538" t="inlineStr">
        <is>
          <t>2036_Luty_W5</t>
        </is>
      </c>
    </row>
    <row r="5539">
      <c r="A5539" s="177" t="n">
        <v>49734</v>
      </c>
      <c r="B5539" s="177" t="n">
        <v>49731</v>
      </c>
      <c r="C5539" s="177" t="n">
        <v>49737</v>
      </c>
      <c r="D5539" t="inlineStr">
        <is>
          <t>BW20360226</t>
        </is>
      </c>
      <c r="E5539" t="n">
        <v>2036</v>
      </c>
      <c r="F5539" t="inlineStr">
        <is>
          <t>Luty</t>
        </is>
      </c>
      <c r="G5539" t="inlineStr">
        <is>
          <t>Pt</t>
        </is>
      </c>
      <c r="H5539">
        <f>'Floor Hours Engine'!$E$5</f>
        <v/>
      </c>
      <c r="I5539" t="inlineStr">
        <is>
          <t>W5</t>
        </is>
      </c>
      <c r="J5539" t="inlineStr">
        <is>
          <t>2036_Luty_W5</t>
        </is>
      </c>
    </row>
    <row r="5540">
      <c r="A5540" s="177" t="n">
        <v>49735</v>
      </c>
      <c r="B5540" s="177" t="n">
        <v>49731</v>
      </c>
      <c r="C5540" s="177" t="n">
        <v>49737</v>
      </c>
      <c r="D5540" t="inlineStr">
        <is>
          <t>BW20360226</t>
        </is>
      </c>
      <c r="E5540" t="n">
        <v>2036</v>
      </c>
      <c r="F5540" t="inlineStr">
        <is>
          <t>Marzec</t>
        </is>
      </c>
      <c r="G5540" t="inlineStr">
        <is>
          <t>Sob</t>
        </is>
      </c>
      <c r="H5540">
        <f>'Floor Hours Engine'!$E$5</f>
        <v/>
      </c>
      <c r="I5540" t="inlineStr">
        <is>
          <t>W1</t>
        </is>
      </c>
      <c r="J5540" t="inlineStr">
        <is>
          <t>2036_Marzec_W1</t>
        </is>
      </c>
    </row>
    <row r="5541">
      <c r="A5541" s="177" t="n">
        <v>49736</v>
      </c>
      <c r="B5541" s="177" t="n">
        <v>49731</v>
      </c>
      <c r="C5541" s="177" t="n">
        <v>49737</v>
      </c>
      <c r="D5541" t="inlineStr">
        <is>
          <t>BW20360226</t>
        </is>
      </c>
      <c r="E5541" t="n">
        <v>2036</v>
      </c>
      <c r="F5541" t="inlineStr">
        <is>
          <t>Marzec</t>
        </is>
      </c>
      <c r="G5541" t="inlineStr">
        <is>
          <t>Nd</t>
        </is>
      </c>
      <c r="H5541">
        <f>'Floor Hours Engine'!$E$6</f>
        <v/>
      </c>
      <c r="I5541" t="inlineStr">
        <is>
          <t>W1</t>
        </is>
      </c>
      <c r="J5541" t="inlineStr">
        <is>
          <t>2036_Marzec_W1</t>
        </is>
      </c>
    </row>
    <row r="5542">
      <c r="A5542" s="177" t="n">
        <v>49737</v>
      </c>
      <c r="B5542" s="177" t="n">
        <v>49731</v>
      </c>
      <c r="C5542" s="177" t="n">
        <v>49737</v>
      </c>
      <c r="D5542" t="inlineStr">
        <is>
          <t>BW20360226</t>
        </is>
      </c>
      <c r="E5542" t="n">
        <v>2036</v>
      </c>
      <c r="F5542" t="inlineStr">
        <is>
          <t>Marzec</t>
        </is>
      </c>
      <c r="G5542" t="inlineStr">
        <is>
          <t>Pn</t>
        </is>
      </c>
      <c r="H5542">
        <f>'Floor Hours Engine'!$E$4</f>
        <v/>
      </c>
      <c r="I5542" t="inlineStr">
        <is>
          <t>W1</t>
        </is>
      </c>
      <c r="J5542" t="inlineStr">
        <is>
          <t>2036_Marzec_W1</t>
        </is>
      </c>
    </row>
    <row r="5543">
      <c r="A5543" s="177" t="n">
        <v>49738</v>
      </c>
      <c r="B5543" s="177" t="n">
        <v>49738</v>
      </c>
      <c r="C5543" s="177" t="n">
        <v>49744</v>
      </c>
      <c r="D5543" t="inlineStr">
        <is>
          <t>BW20360304</t>
        </is>
      </c>
      <c r="E5543" t="n">
        <v>2036</v>
      </c>
      <c r="F5543" t="inlineStr">
        <is>
          <t>Marzec</t>
        </is>
      </c>
      <c r="G5543" t="inlineStr">
        <is>
          <t>Wt</t>
        </is>
      </c>
      <c r="H5543">
        <f>'Floor Hours Engine'!$E$4</f>
        <v/>
      </c>
      <c r="I5543" t="inlineStr">
        <is>
          <t>W2</t>
        </is>
      </c>
      <c r="J5543" t="inlineStr">
        <is>
          <t>2036_Marzec_W2</t>
        </is>
      </c>
    </row>
    <row r="5544">
      <c r="A5544" s="177" t="n">
        <v>49739</v>
      </c>
      <c r="B5544" s="177" t="n">
        <v>49738</v>
      </c>
      <c r="C5544" s="177" t="n">
        <v>49744</v>
      </c>
      <c r="D5544" t="inlineStr">
        <is>
          <t>BW20360304</t>
        </is>
      </c>
      <c r="E5544" t="n">
        <v>2036</v>
      </c>
      <c r="F5544" t="inlineStr">
        <is>
          <t>Marzec</t>
        </is>
      </c>
      <c r="G5544" t="inlineStr">
        <is>
          <t>Śr</t>
        </is>
      </c>
      <c r="H5544">
        <f>'Floor Hours Engine'!$E$4</f>
        <v/>
      </c>
      <c r="I5544" t="inlineStr">
        <is>
          <t>W2</t>
        </is>
      </c>
      <c r="J5544" t="inlineStr">
        <is>
          <t>2036_Marzec_W2</t>
        </is>
      </c>
    </row>
    <row r="5545">
      <c r="A5545" s="177" t="n">
        <v>49740</v>
      </c>
      <c r="B5545" s="177" t="n">
        <v>49738</v>
      </c>
      <c r="C5545" s="177" t="n">
        <v>49744</v>
      </c>
      <c r="D5545" t="inlineStr">
        <is>
          <t>BW20360304</t>
        </is>
      </c>
      <c r="E5545" t="n">
        <v>2036</v>
      </c>
      <c r="F5545" t="inlineStr">
        <is>
          <t>Marzec</t>
        </is>
      </c>
      <c r="G5545" t="inlineStr">
        <is>
          <t>Czw</t>
        </is>
      </c>
      <c r="H5545">
        <f>'Floor Hours Engine'!$E$4</f>
        <v/>
      </c>
      <c r="I5545" t="inlineStr">
        <is>
          <t>W2</t>
        </is>
      </c>
      <c r="J5545" t="inlineStr">
        <is>
          <t>2036_Marzec_W2</t>
        </is>
      </c>
    </row>
    <row r="5546">
      <c r="A5546" s="177" t="n">
        <v>49741</v>
      </c>
      <c r="B5546" s="177" t="n">
        <v>49738</v>
      </c>
      <c r="C5546" s="177" t="n">
        <v>49744</v>
      </c>
      <c r="D5546" t="inlineStr">
        <is>
          <t>BW20360304</t>
        </is>
      </c>
      <c r="E5546" t="n">
        <v>2036</v>
      </c>
      <c r="F5546" t="inlineStr">
        <is>
          <t>Marzec</t>
        </is>
      </c>
      <c r="G5546" t="inlineStr">
        <is>
          <t>Pt</t>
        </is>
      </c>
      <c r="H5546">
        <f>'Floor Hours Engine'!$E$5</f>
        <v/>
      </c>
      <c r="I5546" t="inlineStr">
        <is>
          <t>W2</t>
        </is>
      </c>
      <c r="J5546" t="inlineStr">
        <is>
          <t>2036_Marzec_W2</t>
        </is>
      </c>
    </row>
    <row r="5547">
      <c r="A5547" s="177" t="n">
        <v>49742</v>
      </c>
      <c r="B5547" s="177" t="n">
        <v>49738</v>
      </c>
      <c r="C5547" s="177" t="n">
        <v>49744</v>
      </c>
      <c r="D5547" t="inlineStr">
        <is>
          <t>BW20360304</t>
        </is>
      </c>
      <c r="E5547" t="n">
        <v>2036</v>
      </c>
      <c r="F5547" t="inlineStr">
        <is>
          <t>Marzec</t>
        </is>
      </c>
      <c r="G5547" t="inlineStr">
        <is>
          <t>Sob</t>
        </is>
      </c>
      <c r="H5547">
        <f>'Floor Hours Engine'!$E$5</f>
        <v/>
      </c>
      <c r="I5547" t="inlineStr">
        <is>
          <t>W2</t>
        </is>
      </c>
      <c r="J5547" t="inlineStr">
        <is>
          <t>2036_Marzec_W2</t>
        </is>
      </c>
    </row>
    <row r="5548">
      <c r="A5548" s="177" t="n">
        <v>49743</v>
      </c>
      <c r="B5548" s="177" t="n">
        <v>49738</v>
      </c>
      <c r="C5548" s="177" t="n">
        <v>49744</v>
      </c>
      <c r="D5548" t="inlineStr">
        <is>
          <t>BW20360304</t>
        </is>
      </c>
      <c r="E5548" t="n">
        <v>2036</v>
      </c>
      <c r="F5548" t="inlineStr">
        <is>
          <t>Marzec</t>
        </is>
      </c>
      <c r="G5548" t="inlineStr">
        <is>
          <t>Nd</t>
        </is>
      </c>
      <c r="H5548">
        <f>'Floor Hours Engine'!$E$6</f>
        <v/>
      </c>
      <c r="I5548" t="inlineStr">
        <is>
          <t>W2</t>
        </is>
      </c>
      <c r="J5548" t="inlineStr">
        <is>
          <t>2036_Marzec_W2</t>
        </is>
      </c>
    </row>
    <row r="5549">
      <c r="A5549" s="177" t="n">
        <v>49744</v>
      </c>
      <c r="B5549" s="177" t="n">
        <v>49738</v>
      </c>
      <c r="C5549" s="177" t="n">
        <v>49744</v>
      </c>
      <c r="D5549" t="inlineStr">
        <is>
          <t>BW20360304</t>
        </is>
      </c>
      <c r="E5549" t="n">
        <v>2036</v>
      </c>
      <c r="F5549" t="inlineStr">
        <is>
          <t>Marzec</t>
        </is>
      </c>
      <c r="G5549" t="inlineStr">
        <is>
          <t>Pn</t>
        </is>
      </c>
      <c r="H5549">
        <f>'Floor Hours Engine'!$E$4</f>
        <v/>
      </c>
      <c r="I5549" t="inlineStr">
        <is>
          <t>W2</t>
        </is>
      </c>
      <c r="J5549" t="inlineStr">
        <is>
          <t>2036_Marzec_W2</t>
        </is>
      </c>
    </row>
    <row r="5550">
      <c r="A5550" s="177" t="n">
        <v>49745</v>
      </c>
      <c r="B5550" s="177" t="n">
        <v>49745</v>
      </c>
      <c r="C5550" s="177" t="n">
        <v>49751</v>
      </c>
      <c r="D5550" t="inlineStr">
        <is>
          <t>BW20360311</t>
        </is>
      </c>
      <c r="E5550" t="n">
        <v>2036</v>
      </c>
      <c r="F5550" t="inlineStr">
        <is>
          <t>Marzec</t>
        </is>
      </c>
      <c r="G5550" t="inlineStr">
        <is>
          <t>Wt</t>
        </is>
      </c>
      <c r="H5550">
        <f>'Floor Hours Engine'!$E$4</f>
        <v/>
      </c>
      <c r="I5550" t="inlineStr">
        <is>
          <t>W3</t>
        </is>
      </c>
      <c r="J5550" t="inlineStr">
        <is>
          <t>2036_Marzec_W3</t>
        </is>
      </c>
    </row>
    <row r="5551">
      <c r="A5551" s="177" t="n">
        <v>49746</v>
      </c>
      <c r="B5551" s="177" t="n">
        <v>49745</v>
      </c>
      <c r="C5551" s="177" t="n">
        <v>49751</v>
      </c>
      <c r="D5551" t="inlineStr">
        <is>
          <t>BW20360311</t>
        </is>
      </c>
      <c r="E5551" t="n">
        <v>2036</v>
      </c>
      <c r="F5551" t="inlineStr">
        <is>
          <t>Marzec</t>
        </is>
      </c>
      <c r="G5551" t="inlineStr">
        <is>
          <t>Śr</t>
        </is>
      </c>
      <c r="H5551">
        <f>'Floor Hours Engine'!$E$4</f>
        <v/>
      </c>
      <c r="I5551" t="inlineStr">
        <is>
          <t>W3</t>
        </is>
      </c>
      <c r="J5551" t="inlineStr">
        <is>
          <t>2036_Marzec_W3</t>
        </is>
      </c>
    </row>
    <row r="5552">
      <c r="A5552" s="177" t="n">
        <v>49747</v>
      </c>
      <c r="B5552" s="177" t="n">
        <v>49745</v>
      </c>
      <c r="C5552" s="177" t="n">
        <v>49751</v>
      </c>
      <c r="D5552" t="inlineStr">
        <is>
          <t>BW20360311</t>
        </is>
      </c>
      <c r="E5552" t="n">
        <v>2036</v>
      </c>
      <c r="F5552" t="inlineStr">
        <is>
          <t>Marzec</t>
        </is>
      </c>
      <c r="G5552" t="inlineStr">
        <is>
          <t>Czw</t>
        </is>
      </c>
      <c r="H5552">
        <f>'Floor Hours Engine'!$E$4</f>
        <v/>
      </c>
      <c r="I5552" t="inlineStr">
        <is>
          <t>W3</t>
        </is>
      </c>
      <c r="J5552" t="inlineStr">
        <is>
          <t>2036_Marzec_W3</t>
        </is>
      </c>
    </row>
    <row r="5553">
      <c r="A5553" s="177" t="n">
        <v>49748</v>
      </c>
      <c r="B5553" s="177" t="n">
        <v>49745</v>
      </c>
      <c r="C5553" s="177" t="n">
        <v>49751</v>
      </c>
      <c r="D5553" t="inlineStr">
        <is>
          <t>BW20360311</t>
        </is>
      </c>
      <c r="E5553" t="n">
        <v>2036</v>
      </c>
      <c r="F5553" t="inlineStr">
        <is>
          <t>Marzec</t>
        </is>
      </c>
      <c r="G5553" t="inlineStr">
        <is>
          <t>Pt</t>
        </is>
      </c>
      <c r="H5553">
        <f>'Floor Hours Engine'!$E$5</f>
        <v/>
      </c>
      <c r="I5553" t="inlineStr">
        <is>
          <t>W3</t>
        </is>
      </c>
      <c r="J5553" t="inlineStr">
        <is>
          <t>2036_Marzec_W3</t>
        </is>
      </c>
    </row>
    <row r="5554">
      <c r="A5554" s="177" t="n">
        <v>49749</v>
      </c>
      <c r="B5554" s="177" t="n">
        <v>49745</v>
      </c>
      <c r="C5554" s="177" t="n">
        <v>49751</v>
      </c>
      <c r="D5554" t="inlineStr">
        <is>
          <t>BW20360311</t>
        </is>
      </c>
      <c r="E5554" t="n">
        <v>2036</v>
      </c>
      <c r="F5554" t="inlineStr">
        <is>
          <t>Marzec</t>
        </is>
      </c>
      <c r="G5554" t="inlineStr">
        <is>
          <t>Sob</t>
        </is>
      </c>
      <c r="H5554">
        <f>'Floor Hours Engine'!$E$5</f>
        <v/>
      </c>
      <c r="I5554" t="inlineStr">
        <is>
          <t>W3</t>
        </is>
      </c>
      <c r="J5554" t="inlineStr">
        <is>
          <t>2036_Marzec_W3</t>
        </is>
      </c>
    </row>
    <row r="5555">
      <c r="A5555" s="177" t="n">
        <v>49750</v>
      </c>
      <c r="B5555" s="177" t="n">
        <v>49745</v>
      </c>
      <c r="C5555" s="177" t="n">
        <v>49751</v>
      </c>
      <c r="D5555" t="inlineStr">
        <is>
          <t>BW20360311</t>
        </is>
      </c>
      <c r="E5555" t="n">
        <v>2036</v>
      </c>
      <c r="F5555" t="inlineStr">
        <is>
          <t>Marzec</t>
        </is>
      </c>
      <c r="G5555" t="inlineStr">
        <is>
          <t>Nd</t>
        </is>
      </c>
      <c r="H5555">
        <f>'Floor Hours Engine'!$E$6</f>
        <v/>
      </c>
      <c r="I5555" t="inlineStr">
        <is>
          <t>W3</t>
        </is>
      </c>
      <c r="J5555" t="inlineStr">
        <is>
          <t>2036_Marzec_W3</t>
        </is>
      </c>
    </row>
    <row r="5556">
      <c r="A5556" s="177" t="n">
        <v>49751</v>
      </c>
      <c r="B5556" s="177" t="n">
        <v>49745</v>
      </c>
      <c r="C5556" s="177" t="n">
        <v>49751</v>
      </c>
      <c r="D5556" t="inlineStr">
        <is>
          <t>BW20360311</t>
        </is>
      </c>
      <c r="E5556" t="n">
        <v>2036</v>
      </c>
      <c r="F5556" t="inlineStr">
        <is>
          <t>Marzec</t>
        </is>
      </c>
      <c r="G5556" t="inlineStr">
        <is>
          <t>Pn</t>
        </is>
      </c>
      <c r="H5556">
        <f>'Floor Hours Engine'!$E$4</f>
        <v/>
      </c>
      <c r="I5556" t="inlineStr">
        <is>
          <t>W3</t>
        </is>
      </c>
      <c r="J5556" t="inlineStr">
        <is>
          <t>2036_Marzec_W3</t>
        </is>
      </c>
    </row>
    <row r="5557">
      <c r="A5557" s="177" t="n">
        <v>49752</v>
      </c>
      <c r="B5557" s="177" t="n">
        <v>49752</v>
      </c>
      <c r="C5557" s="177" t="n">
        <v>49758</v>
      </c>
      <c r="D5557" t="inlineStr">
        <is>
          <t>BW20360318</t>
        </is>
      </c>
      <c r="E5557" t="n">
        <v>2036</v>
      </c>
      <c r="F5557" t="inlineStr">
        <is>
          <t>Marzec</t>
        </is>
      </c>
      <c r="G5557" t="inlineStr">
        <is>
          <t>Wt</t>
        </is>
      </c>
      <c r="H5557">
        <f>'Floor Hours Engine'!$E$4</f>
        <v/>
      </c>
      <c r="I5557" t="inlineStr">
        <is>
          <t>W4</t>
        </is>
      </c>
      <c r="J5557" t="inlineStr">
        <is>
          <t>2036_Marzec_W4</t>
        </is>
      </c>
    </row>
    <row r="5558">
      <c r="A5558" s="177" t="n">
        <v>49753</v>
      </c>
      <c r="B5558" s="177" t="n">
        <v>49752</v>
      </c>
      <c r="C5558" s="177" t="n">
        <v>49758</v>
      </c>
      <c r="D5558" t="inlineStr">
        <is>
          <t>BW20360318</t>
        </is>
      </c>
      <c r="E5558" t="n">
        <v>2036</v>
      </c>
      <c r="F5558" t="inlineStr">
        <is>
          <t>Marzec</t>
        </is>
      </c>
      <c r="G5558" t="inlineStr">
        <is>
          <t>Śr</t>
        </is>
      </c>
      <c r="H5558">
        <f>'Floor Hours Engine'!$E$4</f>
        <v/>
      </c>
      <c r="I5558" t="inlineStr">
        <is>
          <t>W4</t>
        </is>
      </c>
      <c r="J5558" t="inlineStr">
        <is>
          <t>2036_Marzec_W4</t>
        </is>
      </c>
    </row>
    <row r="5559">
      <c r="A5559" s="177" t="n">
        <v>49754</v>
      </c>
      <c r="B5559" s="177" t="n">
        <v>49752</v>
      </c>
      <c r="C5559" s="177" t="n">
        <v>49758</v>
      </c>
      <c r="D5559" t="inlineStr">
        <is>
          <t>BW20360318</t>
        </is>
      </c>
      <c r="E5559" t="n">
        <v>2036</v>
      </c>
      <c r="F5559" t="inlineStr">
        <is>
          <t>Marzec</t>
        </is>
      </c>
      <c r="G5559" t="inlineStr">
        <is>
          <t>Czw</t>
        </is>
      </c>
      <c r="H5559">
        <f>'Floor Hours Engine'!$E$4</f>
        <v/>
      </c>
      <c r="I5559" t="inlineStr">
        <is>
          <t>W4</t>
        </is>
      </c>
      <c r="J5559" t="inlineStr">
        <is>
          <t>2036_Marzec_W4</t>
        </is>
      </c>
    </row>
    <row r="5560">
      <c r="A5560" s="177" t="n">
        <v>49755</v>
      </c>
      <c r="B5560" s="177" t="n">
        <v>49752</v>
      </c>
      <c r="C5560" s="177" t="n">
        <v>49758</v>
      </c>
      <c r="D5560" t="inlineStr">
        <is>
          <t>BW20360318</t>
        </is>
      </c>
      <c r="E5560" t="n">
        <v>2036</v>
      </c>
      <c r="F5560" t="inlineStr">
        <is>
          <t>Marzec</t>
        </is>
      </c>
      <c r="G5560" t="inlineStr">
        <is>
          <t>Pt</t>
        </is>
      </c>
      <c r="H5560">
        <f>'Floor Hours Engine'!$E$5</f>
        <v/>
      </c>
      <c r="I5560" t="inlineStr">
        <is>
          <t>W4</t>
        </is>
      </c>
      <c r="J5560" t="inlineStr">
        <is>
          <t>2036_Marzec_W4</t>
        </is>
      </c>
    </row>
    <row r="5561">
      <c r="A5561" s="177" t="n">
        <v>49756</v>
      </c>
      <c r="B5561" s="177" t="n">
        <v>49752</v>
      </c>
      <c r="C5561" s="177" t="n">
        <v>49758</v>
      </c>
      <c r="D5561" t="inlineStr">
        <is>
          <t>BW20360318</t>
        </is>
      </c>
      <c r="E5561" t="n">
        <v>2036</v>
      </c>
      <c r="F5561" t="inlineStr">
        <is>
          <t>Marzec</t>
        </is>
      </c>
      <c r="G5561" t="inlineStr">
        <is>
          <t>Sob</t>
        </is>
      </c>
      <c r="H5561">
        <f>'Floor Hours Engine'!$E$5</f>
        <v/>
      </c>
      <c r="I5561" t="inlineStr">
        <is>
          <t>W4</t>
        </is>
      </c>
      <c r="J5561" t="inlineStr">
        <is>
          <t>2036_Marzec_W4</t>
        </is>
      </c>
    </row>
    <row r="5562">
      <c r="A5562" s="177" t="n">
        <v>49757</v>
      </c>
      <c r="B5562" s="177" t="n">
        <v>49752</v>
      </c>
      <c r="C5562" s="177" t="n">
        <v>49758</v>
      </c>
      <c r="D5562" t="inlineStr">
        <is>
          <t>BW20360318</t>
        </is>
      </c>
      <c r="E5562" t="n">
        <v>2036</v>
      </c>
      <c r="F5562" t="inlineStr">
        <is>
          <t>Marzec</t>
        </is>
      </c>
      <c r="G5562" t="inlineStr">
        <is>
          <t>Nd</t>
        </is>
      </c>
      <c r="H5562">
        <f>'Floor Hours Engine'!$E$6</f>
        <v/>
      </c>
      <c r="I5562" t="inlineStr">
        <is>
          <t>W4</t>
        </is>
      </c>
      <c r="J5562" t="inlineStr">
        <is>
          <t>2036_Marzec_W4</t>
        </is>
      </c>
    </row>
    <row r="5563">
      <c r="A5563" s="177" t="n">
        <v>49758</v>
      </c>
      <c r="B5563" s="177" t="n">
        <v>49752</v>
      </c>
      <c r="C5563" s="177" t="n">
        <v>49758</v>
      </c>
      <c r="D5563" t="inlineStr">
        <is>
          <t>BW20360318</t>
        </is>
      </c>
      <c r="E5563" t="n">
        <v>2036</v>
      </c>
      <c r="F5563" t="inlineStr">
        <is>
          <t>Marzec</t>
        </is>
      </c>
      <c r="G5563" t="inlineStr">
        <is>
          <t>Pn</t>
        </is>
      </c>
      <c r="H5563">
        <f>'Floor Hours Engine'!$E$4</f>
        <v/>
      </c>
      <c r="I5563" t="inlineStr">
        <is>
          <t>W4</t>
        </is>
      </c>
      <c r="J5563" t="inlineStr">
        <is>
          <t>2036_Marzec_W4</t>
        </is>
      </c>
    </row>
    <row r="5564">
      <c r="A5564" s="177" t="n">
        <v>49759</v>
      </c>
      <c r="B5564" s="177" t="n">
        <v>49759</v>
      </c>
      <c r="C5564" s="177" t="n">
        <v>49765</v>
      </c>
      <c r="D5564" t="inlineStr">
        <is>
          <t>BW20360325</t>
        </is>
      </c>
      <c r="E5564" t="n">
        <v>2036</v>
      </c>
      <c r="F5564" t="inlineStr">
        <is>
          <t>Marzec</t>
        </is>
      </c>
      <c r="G5564" t="inlineStr">
        <is>
          <t>Wt</t>
        </is>
      </c>
      <c r="H5564">
        <f>'Floor Hours Engine'!$E$4</f>
        <v/>
      </c>
      <c r="I5564" t="inlineStr">
        <is>
          <t>W5</t>
        </is>
      </c>
      <c r="J5564" t="inlineStr">
        <is>
          <t>2036_Marzec_W5</t>
        </is>
      </c>
    </row>
    <row r="5565">
      <c r="A5565" s="177" t="n">
        <v>49760</v>
      </c>
      <c r="B5565" s="177" t="n">
        <v>49759</v>
      </c>
      <c r="C5565" s="177" t="n">
        <v>49765</v>
      </c>
      <c r="D5565" t="inlineStr">
        <is>
          <t>BW20360325</t>
        </is>
      </c>
      <c r="E5565" t="n">
        <v>2036</v>
      </c>
      <c r="F5565" t="inlineStr">
        <is>
          <t>Marzec</t>
        </is>
      </c>
      <c r="G5565" t="inlineStr">
        <is>
          <t>Śr</t>
        </is>
      </c>
      <c r="H5565">
        <f>'Floor Hours Engine'!$E$4</f>
        <v/>
      </c>
      <c r="I5565" t="inlineStr">
        <is>
          <t>W5</t>
        </is>
      </c>
      <c r="J5565" t="inlineStr">
        <is>
          <t>2036_Marzec_W5</t>
        </is>
      </c>
    </row>
    <row r="5566">
      <c r="A5566" s="177" t="n">
        <v>49761</v>
      </c>
      <c r="B5566" s="177" t="n">
        <v>49759</v>
      </c>
      <c r="C5566" s="177" t="n">
        <v>49765</v>
      </c>
      <c r="D5566" t="inlineStr">
        <is>
          <t>BW20360325</t>
        </is>
      </c>
      <c r="E5566" t="n">
        <v>2036</v>
      </c>
      <c r="F5566" t="inlineStr">
        <is>
          <t>Marzec</t>
        </is>
      </c>
      <c r="G5566" t="inlineStr">
        <is>
          <t>Czw</t>
        </is>
      </c>
      <c r="H5566">
        <f>'Floor Hours Engine'!$E$4</f>
        <v/>
      </c>
      <c r="I5566" t="inlineStr">
        <is>
          <t>W5</t>
        </is>
      </c>
      <c r="J5566" t="inlineStr">
        <is>
          <t>2036_Marzec_W5</t>
        </is>
      </c>
    </row>
    <row r="5567">
      <c r="A5567" s="177" t="n">
        <v>49762</v>
      </c>
      <c r="B5567" s="177" t="n">
        <v>49759</v>
      </c>
      <c r="C5567" s="177" t="n">
        <v>49765</v>
      </c>
      <c r="D5567" t="inlineStr">
        <is>
          <t>BW20360325</t>
        </is>
      </c>
      <c r="E5567" t="n">
        <v>2036</v>
      </c>
      <c r="F5567" t="inlineStr">
        <is>
          <t>Marzec</t>
        </is>
      </c>
      <c r="G5567" t="inlineStr">
        <is>
          <t>Pt</t>
        </is>
      </c>
      <c r="H5567">
        <f>'Floor Hours Engine'!$E$5</f>
        <v/>
      </c>
      <c r="I5567" t="inlineStr">
        <is>
          <t>W5</t>
        </is>
      </c>
      <c r="J5567" t="inlineStr">
        <is>
          <t>2036_Marzec_W5</t>
        </is>
      </c>
    </row>
    <row r="5568">
      <c r="A5568" s="177" t="n">
        <v>49763</v>
      </c>
      <c r="B5568" s="177" t="n">
        <v>49759</v>
      </c>
      <c r="C5568" s="177" t="n">
        <v>49765</v>
      </c>
      <c r="D5568" t="inlineStr">
        <is>
          <t>BW20360325</t>
        </is>
      </c>
      <c r="E5568" t="n">
        <v>2036</v>
      </c>
      <c r="F5568" t="inlineStr">
        <is>
          <t>Marzec</t>
        </is>
      </c>
      <c r="G5568" t="inlineStr">
        <is>
          <t>Sob</t>
        </is>
      </c>
      <c r="H5568">
        <f>'Floor Hours Engine'!$E$5</f>
        <v/>
      </c>
      <c r="I5568" t="inlineStr">
        <is>
          <t>W5</t>
        </is>
      </c>
      <c r="J5568" t="inlineStr">
        <is>
          <t>2036_Marzec_W5</t>
        </is>
      </c>
    </row>
    <row r="5569">
      <c r="A5569" s="177" t="n">
        <v>49764</v>
      </c>
      <c r="B5569" s="177" t="n">
        <v>49759</v>
      </c>
      <c r="C5569" s="177" t="n">
        <v>49765</v>
      </c>
      <c r="D5569" t="inlineStr">
        <is>
          <t>BW20360325</t>
        </is>
      </c>
      <c r="E5569" t="n">
        <v>2036</v>
      </c>
      <c r="F5569" t="inlineStr">
        <is>
          <t>Marzec</t>
        </is>
      </c>
      <c r="G5569" t="inlineStr">
        <is>
          <t>Nd</t>
        </is>
      </c>
      <c r="H5569">
        <f>'Floor Hours Engine'!$E$6</f>
        <v/>
      </c>
      <c r="I5569" t="inlineStr">
        <is>
          <t>W5</t>
        </is>
      </c>
      <c r="J5569" t="inlineStr">
        <is>
          <t>2036_Marzec_W5</t>
        </is>
      </c>
    </row>
    <row r="5570">
      <c r="A5570" s="177" t="n">
        <v>49765</v>
      </c>
      <c r="B5570" s="177" t="n">
        <v>49759</v>
      </c>
      <c r="C5570" s="177" t="n">
        <v>49765</v>
      </c>
      <c r="D5570" t="inlineStr">
        <is>
          <t>BW20360325</t>
        </is>
      </c>
      <c r="E5570" t="n">
        <v>2036</v>
      </c>
      <c r="F5570" t="inlineStr">
        <is>
          <t>Marzec</t>
        </is>
      </c>
      <c r="G5570" t="inlineStr">
        <is>
          <t>Pn</t>
        </is>
      </c>
      <c r="H5570">
        <f>'Floor Hours Engine'!$E$4</f>
        <v/>
      </c>
      <c r="I5570" t="inlineStr">
        <is>
          <t>W5</t>
        </is>
      </c>
      <c r="J5570" t="inlineStr">
        <is>
          <t>2036_Marzec_W5</t>
        </is>
      </c>
    </row>
    <row r="5571">
      <c r="A5571" s="177" t="n">
        <v>49766</v>
      </c>
      <c r="B5571" s="177" t="n">
        <v>49766</v>
      </c>
      <c r="C5571" s="177" t="n">
        <v>49772</v>
      </c>
      <c r="D5571" t="inlineStr">
        <is>
          <t>BW20360401</t>
        </is>
      </c>
      <c r="E5571" t="n">
        <v>2036</v>
      </c>
      <c r="F5571" t="inlineStr">
        <is>
          <t>Kwiecień</t>
        </is>
      </c>
      <c r="G5571" t="inlineStr">
        <is>
          <t>Wt</t>
        </is>
      </c>
      <c r="H5571">
        <f>'Floor Hours Engine'!$E$4</f>
        <v/>
      </c>
      <c r="I5571" t="inlineStr">
        <is>
          <t>W1</t>
        </is>
      </c>
      <c r="J5571" t="inlineStr">
        <is>
          <t>2036_Kwiecień_W1</t>
        </is>
      </c>
    </row>
    <row r="5572">
      <c r="A5572" s="177" t="n">
        <v>49767</v>
      </c>
      <c r="B5572" s="177" t="n">
        <v>49766</v>
      </c>
      <c r="C5572" s="177" t="n">
        <v>49772</v>
      </c>
      <c r="D5572" t="inlineStr">
        <is>
          <t>BW20360401</t>
        </is>
      </c>
      <c r="E5572" t="n">
        <v>2036</v>
      </c>
      <c r="F5572" t="inlineStr">
        <is>
          <t>Kwiecień</t>
        </is>
      </c>
      <c r="G5572" t="inlineStr">
        <is>
          <t>Śr</t>
        </is>
      </c>
      <c r="H5572">
        <f>'Floor Hours Engine'!$E$4</f>
        <v/>
      </c>
      <c r="I5572" t="inlineStr">
        <is>
          <t>W1</t>
        </is>
      </c>
      <c r="J5572" t="inlineStr">
        <is>
          <t>2036_Kwiecień_W1</t>
        </is>
      </c>
    </row>
    <row r="5573">
      <c r="A5573" s="177" t="n">
        <v>49768</v>
      </c>
      <c r="B5573" s="177" t="n">
        <v>49766</v>
      </c>
      <c r="C5573" s="177" t="n">
        <v>49772</v>
      </c>
      <c r="D5573" t="inlineStr">
        <is>
          <t>BW20360401</t>
        </is>
      </c>
      <c r="E5573" t="n">
        <v>2036</v>
      </c>
      <c r="F5573" t="inlineStr">
        <is>
          <t>Kwiecień</t>
        </is>
      </c>
      <c r="G5573" t="inlineStr">
        <is>
          <t>Czw</t>
        </is>
      </c>
      <c r="H5573">
        <f>'Floor Hours Engine'!$E$4</f>
        <v/>
      </c>
      <c r="I5573" t="inlineStr">
        <is>
          <t>W1</t>
        </is>
      </c>
      <c r="J5573" t="inlineStr">
        <is>
          <t>2036_Kwiecień_W1</t>
        </is>
      </c>
    </row>
    <row r="5574">
      <c r="A5574" s="177" t="n">
        <v>49769</v>
      </c>
      <c r="B5574" s="177" t="n">
        <v>49766</v>
      </c>
      <c r="C5574" s="177" t="n">
        <v>49772</v>
      </c>
      <c r="D5574" t="inlineStr">
        <is>
          <t>BW20360401</t>
        </is>
      </c>
      <c r="E5574" t="n">
        <v>2036</v>
      </c>
      <c r="F5574" t="inlineStr">
        <is>
          <t>Kwiecień</t>
        </is>
      </c>
      <c r="G5574" t="inlineStr">
        <is>
          <t>Pt</t>
        </is>
      </c>
      <c r="H5574">
        <f>'Floor Hours Engine'!$E$5</f>
        <v/>
      </c>
      <c r="I5574" t="inlineStr">
        <is>
          <t>W1</t>
        </is>
      </c>
      <c r="J5574" t="inlineStr">
        <is>
          <t>2036_Kwiecień_W1</t>
        </is>
      </c>
    </row>
    <row r="5575">
      <c r="A5575" s="177" t="n">
        <v>49770</v>
      </c>
      <c r="B5575" s="177" t="n">
        <v>49766</v>
      </c>
      <c r="C5575" s="177" t="n">
        <v>49772</v>
      </c>
      <c r="D5575" t="inlineStr">
        <is>
          <t>BW20360401</t>
        </is>
      </c>
      <c r="E5575" t="n">
        <v>2036</v>
      </c>
      <c r="F5575" t="inlineStr">
        <is>
          <t>Kwiecień</t>
        </is>
      </c>
      <c r="G5575" t="inlineStr">
        <is>
          <t>Sob</t>
        </is>
      </c>
      <c r="H5575">
        <f>'Floor Hours Engine'!$E$5</f>
        <v/>
      </c>
      <c r="I5575" t="inlineStr">
        <is>
          <t>W1</t>
        </is>
      </c>
      <c r="J5575" t="inlineStr">
        <is>
          <t>2036_Kwiecień_W1</t>
        </is>
      </c>
    </row>
    <row r="5576">
      <c r="A5576" s="177" t="n">
        <v>49771</v>
      </c>
      <c r="B5576" s="177" t="n">
        <v>49766</v>
      </c>
      <c r="C5576" s="177" t="n">
        <v>49772</v>
      </c>
      <c r="D5576" t="inlineStr">
        <is>
          <t>BW20360401</t>
        </is>
      </c>
      <c r="E5576" t="n">
        <v>2036</v>
      </c>
      <c r="F5576" t="inlineStr">
        <is>
          <t>Kwiecień</t>
        </is>
      </c>
      <c r="G5576" t="inlineStr">
        <is>
          <t>Nd</t>
        </is>
      </c>
      <c r="H5576">
        <f>'Floor Hours Engine'!$E$6</f>
        <v/>
      </c>
      <c r="I5576" t="inlineStr">
        <is>
          <t>W1</t>
        </is>
      </c>
      <c r="J5576" t="inlineStr">
        <is>
          <t>2036_Kwiecień_W1</t>
        </is>
      </c>
    </row>
    <row r="5577">
      <c r="A5577" s="177" t="n">
        <v>49772</v>
      </c>
      <c r="B5577" s="177" t="n">
        <v>49766</v>
      </c>
      <c r="C5577" s="177" t="n">
        <v>49772</v>
      </c>
      <c r="D5577" t="inlineStr">
        <is>
          <t>BW20360401</t>
        </is>
      </c>
      <c r="E5577" t="n">
        <v>2036</v>
      </c>
      <c r="F5577" t="inlineStr">
        <is>
          <t>Kwiecień</t>
        </is>
      </c>
      <c r="G5577" t="inlineStr">
        <is>
          <t>Pn</t>
        </is>
      </c>
      <c r="H5577">
        <f>'Floor Hours Engine'!$E$4</f>
        <v/>
      </c>
      <c r="I5577" t="inlineStr">
        <is>
          <t>W1</t>
        </is>
      </c>
      <c r="J5577" t="inlineStr">
        <is>
          <t>2036_Kwiecień_W1</t>
        </is>
      </c>
    </row>
    <row r="5578">
      <c r="A5578" s="177" t="n">
        <v>49773</v>
      </c>
      <c r="B5578" s="177" t="n">
        <v>49773</v>
      </c>
      <c r="C5578" s="177" t="n">
        <v>49779</v>
      </c>
      <c r="D5578" t="inlineStr">
        <is>
          <t>BW20360408</t>
        </is>
      </c>
      <c r="E5578" t="n">
        <v>2036</v>
      </c>
      <c r="F5578" t="inlineStr">
        <is>
          <t>Kwiecień</t>
        </is>
      </c>
      <c r="G5578" t="inlineStr">
        <is>
          <t>Wt</t>
        </is>
      </c>
      <c r="H5578">
        <f>'Floor Hours Engine'!$E$4</f>
        <v/>
      </c>
      <c r="I5578" t="inlineStr">
        <is>
          <t>W2</t>
        </is>
      </c>
      <c r="J5578" t="inlineStr">
        <is>
          <t>2036_Kwiecień_W2</t>
        </is>
      </c>
    </row>
    <row r="5579">
      <c r="A5579" s="177" t="n">
        <v>49774</v>
      </c>
      <c r="B5579" s="177" t="n">
        <v>49773</v>
      </c>
      <c r="C5579" s="177" t="n">
        <v>49779</v>
      </c>
      <c r="D5579" t="inlineStr">
        <is>
          <t>BW20360408</t>
        </is>
      </c>
      <c r="E5579" t="n">
        <v>2036</v>
      </c>
      <c r="F5579" t="inlineStr">
        <is>
          <t>Kwiecień</t>
        </is>
      </c>
      <c r="G5579" t="inlineStr">
        <is>
          <t>Śr</t>
        </is>
      </c>
      <c r="H5579">
        <f>'Floor Hours Engine'!$E$4</f>
        <v/>
      </c>
      <c r="I5579" t="inlineStr">
        <is>
          <t>W2</t>
        </is>
      </c>
      <c r="J5579" t="inlineStr">
        <is>
          <t>2036_Kwiecień_W2</t>
        </is>
      </c>
    </row>
    <row r="5580">
      <c r="A5580" s="177" t="n">
        <v>49775</v>
      </c>
      <c r="B5580" s="177" t="n">
        <v>49773</v>
      </c>
      <c r="C5580" s="177" t="n">
        <v>49779</v>
      </c>
      <c r="D5580" t="inlineStr">
        <is>
          <t>BW20360408</t>
        </is>
      </c>
      <c r="E5580" t="n">
        <v>2036</v>
      </c>
      <c r="F5580" t="inlineStr">
        <is>
          <t>Kwiecień</t>
        </is>
      </c>
      <c r="G5580" t="inlineStr">
        <is>
          <t>Czw</t>
        </is>
      </c>
      <c r="H5580">
        <f>'Floor Hours Engine'!$E$4</f>
        <v/>
      </c>
      <c r="I5580" t="inlineStr">
        <is>
          <t>W2</t>
        </is>
      </c>
      <c r="J5580" t="inlineStr">
        <is>
          <t>2036_Kwiecień_W2</t>
        </is>
      </c>
    </row>
    <row r="5581">
      <c r="A5581" s="177" t="n">
        <v>49776</v>
      </c>
      <c r="B5581" s="177" t="n">
        <v>49773</v>
      </c>
      <c r="C5581" s="177" t="n">
        <v>49779</v>
      </c>
      <c r="D5581" t="inlineStr">
        <is>
          <t>BW20360408</t>
        </is>
      </c>
      <c r="E5581" t="n">
        <v>2036</v>
      </c>
      <c r="F5581" t="inlineStr">
        <is>
          <t>Kwiecień</t>
        </is>
      </c>
      <c r="G5581" t="inlineStr">
        <is>
          <t>Pt</t>
        </is>
      </c>
      <c r="H5581">
        <f>'Floor Hours Engine'!$E$5</f>
        <v/>
      </c>
      <c r="I5581" t="inlineStr">
        <is>
          <t>W2</t>
        </is>
      </c>
      <c r="J5581" t="inlineStr">
        <is>
          <t>2036_Kwiecień_W2</t>
        </is>
      </c>
    </row>
    <row r="5582">
      <c r="A5582" s="177" t="n">
        <v>49777</v>
      </c>
      <c r="B5582" s="177" t="n">
        <v>49773</v>
      </c>
      <c r="C5582" s="177" t="n">
        <v>49779</v>
      </c>
      <c r="D5582" t="inlineStr">
        <is>
          <t>BW20360408</t>
        </is>
      </c>
      <c r="E5582" t="n">
        <v>2036</v>
      </c>
      <c r="F5582" t="inlineStr">
        <is>
          <t>Kwiecień</t>
        </is>
      </c>
      <c r="G5582" t="inlineStr">
        <is>
          <t>Sob</t>
        </is>
      </c>
      <c r="H5582">
        <f>'Floor Hours Engine'!$E$5</f>
        <v/>
      </c>
      <c r="I5582" t="inlineStr">
        <is>
          <t>W2</t>
        </is>
      </c>
      <c r="J5582" t="inlineStr">
        <is>
          <t>2036_Kwiecień_W2</t>
        </is>
      </c>
    </row>
    <row r="5583">
      <c r="A5583" s="177" t="n">
        <v>49778</v>
      </c>
      <c r="B5583" s="177" t="n">
        <v>49773</v>
      </c>
      <c r="C5583" s="177" t="n">
        <v>49779</v>
      </c>
      <c r="D5583" t="inlineStr">
        <is>
          <t>BW20360408</t>
        </is>
      </c>
      <c r="E5583" t="n">
        <v>2036</v>
      </c>
      <c r="F5583" t="inlineStr">
        <is>
          <t>Kwiecień</t>
        </is>
      </c>
      <c r="G5583" t="inlineStr">
        <is>
          <t>Nd</t>
        </is>
      </c>
      <c r="H5583">
        <f>'Floor Hours Engine'!$E$6</f>
        <v/>
      </c>
      <c r="I5583" t="inlineStr">
        <is>
          <t>W2</t>
        </is>
      </c>
      <c r="J5583" t="inlineStr">
        <is>
          <t>2036_Kwiecień_W2</t>
        </is>
      </c>
    </row>
    <row r="5584">
      <c r="A5584" s="177" t="n">
        <v>49779</v>
      </c>
      <c r="B5584" s="177" t="n">
        <v>49773</v>
      </c>
      <c r="C5584" s="177" t="n">
        <v>49779</v>
      </c>
      <c r="D5584" t="inlineStr">
        <is>
          <t>BW20360408</t>
        </is>
      </c>
      <c r="E5584" t="n">
        <v>2036</v>
      </c>
      <c r="F5584" t="inlineStr">
        <is>
          <t>Kwiecień</t>
        </is>
      </c>
      <c r="G5584" t="inlineStr">
        <is>
          <t>Pn</t>
        </is>
      </c>
      <c r="H5584">
        <f>'Floor Hours Engine'!$E$4</f>
        <v/>
      </c>
      <c r="I5584" t="inlineStr">
        <is>
          <t>W2</t>
        </is>
      </c>
      <c r="J5584" t="inlineStr">
        <is>
          <t>2036_Kwiecień_W2</t>
        </is>
      </c>
    </row>
    <row r="5585">
      <c r="A5585" s="177" t="n">
        <v>49780</v>
      </c>
      <c r="B5585" s="177" t="n">
        <v>49780</v>
      </c>
      <c r="C5585" s="177" t="n">
        <v>49786</v>
      </c>
      <c r="D5585" t="inlineStr">
        <is>
          <t>BW20360415</t>
        </is>
      </c>
      <c r="E5585" t="n">
        <v>2036</v>
      </c>
      <c r="F5585" t="inlineStr">
        <is>
          <t>Kwiecień</t>
        </is>
      </c>
      <c r="G5585" t="inlineStr">
        <is>
          <t>Wt</t>
        </is>
      </c>
      <c r="H5585">
        <f>'Floor Hours Engine'!$E$4</f>
        <v/>
      </c>
      <c r="I5585" t="inlineStr">
        <is>
          <t>W3</t>
        </is>
      </c>
      <c r="J5585" t="inlineStr">
        <is>
          <t>2036_Kwiecień_W3</t>
        </is>
      </c>
    </row>
    <row r="5586">
      <c r="A5586" s="177" t="n">
        <v>49781</v>
      </c>
      <c r="B5586" s="177" t="n">
        <v>49780</v>
      </c>
      <c r="C5586" s="177" t="n">
        <v>49786</v>
      </c>
      <c r="D5586" t="inlineStr">
        <is>
          <t>BW20360415</t>
        </is>
      </c>
      <c r="E5586" t="n">
        <v>2036</v>
      </c>
      <c r="F5586" t="inlineStr">
        <is>
          <t>Kwiecień</t>
        </is>
      </c>
      <c r="G5586" t="inlineStr">
        <is>
          <t>Śr</t>
        </is>
      </c>
      <c r="H5586">
        <f>'Floor Hours Engine'!$E$4</f>
        <v/>
      </c>
      <c r="I5586" t="inlineStr">
        <is>
          <t>W3</t>
        </is>
      </c>
      <c r="J5586" t="inlineStr">
        <is>
          <t>2036_Kwiecień_W3</t>
        </is>
      </c>
    </row>
    <row r="5587">
      <c r="A5587" s="177" t="n">
        <v>49782</v>
      </c>
      <c r="B5587" s="177" t="n">
        <v>49780</v>
      </c>
      <c r="C5587" s="177" t="n">
        <v>49786</v>
      </c>
      <c r="D5587" t="inlineStr">
        <is>
          <t>BW20360415</t>
        </is>
      </c>
      <c r="E5587" t="n">
        <v>2036</v>
      </c>
      <c r="F5587" t="inlineStr">
        <is>
          <t>Kwiecień</t>
        </is>
      </c>
      <c r="G5587" t="inlineStr">
        <is>
          <t>Czw</t>
        </is>
      </c>
      <c r="H5587">
        <f>'Floor Hours Engine'!$E$4</f>
        <v/>
      </c>
      <c r="I5587" t="inlineStr">
        <is>
          <t>W3</t>
        </is>
      </c>
      <c r="J5587" t="inlineStr">
        <is>
          <t>2036_Kwiecień_W3</t>
        </is>
      </c>
    </row>
    <row r="5588">
      <c r="A5588" s="177" t="n">
        <v>49783</v>
      </c>
      <c r="B5588" s="177" t="n">
        <v>49780</v>
      </c>
      <c r="C5588" s="177" t="n">
        <v>49786</v>
      </c>
      <c r="D5588" t="inlineStr">
        <is>
          <t>BW20360415</t>
        </is>
      </c>
      <c r="E5588" t="n">
        <v>2036</v>
      </c>
      <c r="F5588" t="inlineStr">
        <is>
          <t>Kwiecień</t>
        </is>
      </c>
      <c r="G5588" t="inlineStr">
        <is>
          <t>Pt</t>
        </is>
      </c>
      <c r="H5588">
        <f>'Floor Hours Engine'!$E$5</f>
        <v/>
      </c>
      <c r="I5588" t="inlineStr">
        <is>
          <t>W3</t>
        </is>
      </c>
      <c r="J5588" t="inlineStr">
        <is>
          <t>2036_Kwiecień_W3</t>
        </is>
      </c>
    </row>
    <row r="5589">
      <c r="A5589" s="177" t="n">
        <v>49784</v>
      </c>
      <c r="B5589" s="177" t="n">
        <v>49780</v>
      </c>
      <c r="C5589" s="177" t="n">
        <v>49786</v>
      </c>
      <c r="D5589" t="inlineStr">
        <is>
          <t>BW20360415</t>
        </is>
      </c>
      <c r="E5589" t="n">
        <v>2036</v>
      </c>
      <c r="F5589" t="inlineStr">
        <is>
          <t>Kwiecień</t>
        </is>
      </c>
      <c r="G5589" t="inlineStr">
        <is>
          <t>Sob</t>
        </is>
      </c>
      <c r="H5589">
        <f>'Floor Hours Engine'!$E$5</f>
        <v/>
      </c>
      <c r="I5589" t="inlineStr">
        <is>
          <t>W3</t>
        </is>
      </c>
      <c r="J5589" t="inlineStr">
        <is>
          <t>2036_Kwiecień_W3</t>
        </is>
      </c>
    </row>
    <row r="5590">
      <c r="A5590" s="177" t="n">
        <v>49785</v>
      </c>
      <c r="B5590" s="177" t="n">
        <v>49780</v>
      </c>
      <c r="C5590" s="177" t="n">
        <v>49786</v>
      </c>
      <c r="D5590" t="inlineStr">
        <is>
          <t>BW20360415</t>
        </is>
      </c>
      <c r="E5590" t="n">
        <v>2036</v>
      </c>
      <c r="F5590" t="inlineStr">
        <is>
          <t>Kwiecień</t>
        </is>
      </c>
      <c r="G5590" t="inlineStr">
        <is>
          <t>Nd</t>
        </is>
      </c>
      <c r="H5590">
        <f>'Floor Hours Engine'!$E$6</f>
        <v/>
      </c>
      <c r="I5590" t="inlineStr">
        <is>
          <t>W3</t>
        </is>
      </c>
      <c r="J5590" t="inlineStr">
        <is>
          <t>2036_Kwiecień_W3</t>
        </is>
      </c>
    </row>
    <row r="5591">
      <c r="A5591" s="177" t="n">
        <v>49786</v>
      </c>
      <c r="B5591" s="177" t="n">
        <v>49780</v>
      </c>
      <c r="C5591" s="177" t="n">
        <v>49786</v>
      </c>
      <c r="D5591" t="inlineStr">
        <is>
          <t>BW20360415</t>
        </is>
      </c>
      <c r="E5591" t="n">
        <v>2036</v>
      </c>
      <c r="F5591" t="inlineStr">
        <is>
          <t>Kwiecień</t>
        </is>
      </c>
      <c r="G5591" t="inlineStr">
        <is>
          <t>Pn</t>
        </is>
      </c>
      <c r="H5591">
        <f>'Floor Hours Engine'!$E$4</f>
        <v/>
      </c>
      <c r="I5591" t="inlineStr">
        <is>
          <t>W3</t>
        </is>
      </c>
      <c r="J5591" t="inlineStr">
        <is>
          <t>2036_Kwiecień_W3</t>
        </is>
      </c>
    </row>
    <row r="5592">
      <c r="A5592" s="177" t="n">
        <v>49787</v>
      </c>
      <c r="B5592" s="177" t="n">
        <v>49787</v>
      </c>
      <c r="C5592" s="177" t="n">
        <v>49793</v>
      </c>
      <c r="D5592" t="inlineStr">
        <is>
          <t>BW20360422</t>
        </is>
      </c>
      <c r="E5592" t="n">
        <v>2036</v>
      </c>
      <c r="F5592" t="inlineStr">
        <is>
          <t>Kwiecień</t>
        </is>
      </c>
      <c r="G5592" t="inlineStr">
        <is>
          <t>Wt</t>
        </is>
      </c>
      <c r="H5592">
        <f>'Floor Hours Engine'!$E$4</f>
        <v/>
      </c>
      <c r="I5592" t="inlineStr">
        <is>
          <t>W4</t>
        </is>
      </c>
      <c r="J5592" t="inlineStr">
        <is>
          <t>2036_Kwiecień_W4</t>
        </is>
      </c>
    </row>
    <row r="5593">
      <c r="A5593" s="177" t="n">
        <v>49788</v>
      </c>
      <c r="B5593" s="177" t="n">
        <v>49787</v>
      </c>
      <c r="C5593" s="177" t="n">
        <v>49793</v>
      </c>
      <c r="D5593" t="inlineStr">
        <is>
          <t>BW20360422</t>
        </is>
      </c>
      <c r="E5593" t="n">
        <v>2036</v>
      </c>
      <c r="F5593" t="inlineStr">
        <is>
          <t>Kwiecień</t>
        </is>
      </c>
      <c r="G5593" t="inlineStr">
        <is>
          <t>Śr</t>
        </is>
      </c>
      <c r="H5593">
        <f>'Floor Hours Engine'!$E$4</f>
        <v/>
      </c>
      <c r="I5593" t="inlineStr">
        <is>
          <t>W4</t>
        </is>
      </c>
      <c r="J5593" t="inlineStr">
        <is>
          <t>2036_Kwiecień_W4</t>
        </is>
      </c>
    </row>
    <row r="5594">
      <c r="A5594" s="177" t="n">
        <v>49789</v>
      </c>
      <c r="B5594" s="177" t="n">
        <v>49787</v>
      </c>
      <c r="C5594" s="177" t="n">
        <v>49793</v>
      </c>
      <c r="D5594" t="inlineStr">
        <is>
          <t>BW20360422</t>
        </is>
      </c>
      <c r="E5594" t="n">
        <v>2036</v>
      </c>
      <c r="F5594" t="inlineStr">
        <is>
          <t>Kwiecień</t>
        </is>
      </c>
      <c r="G5594" t="inlineStr">
        <is>
          <t>Czw</t>
        </is>
      </c>
      <c r="H5594">
        <f>'Floor Hours Engine'!$E$4</f>
        <v/>
      </c>
      <c r="I5594" t="inlineStr">
        <is>
          <t>W4</t>
        </is>
      </c>
      <c r="J5594" t="inlineStr">
        <is>
          <t>2036_Kwiecień_W4</t>
        </is>
      </c>
    </row>
    <row r="5595">
      <c r="A5595" s="177" t="n">
        <v>49790</v>
      </c>
      <c r="B5595" s="177" t="n">
        <v>49787</v>
      </c>
      <c r="C5595" s="177" t="n">
        <v>49793</v>
      </c>
      <c r="D5595" t="inlineStr">
        <is>
          <t>BW20360422</t>
        </is>
      </c>
      <c r="E5595" t="n">
        <v>2036</v>
      </c>
      <c r="F5595" t="inlineStr">
        <is>
          <t>Kwiecień</t>
        </is>
      </c>
      <c r="G5595" t="inlineStr">
        <is>
          <t>Pt</t>
        </is>
      </c>
      <c r="H5595">
        <f>'Floor Hours Engine'!$E$5</f>
        <v/>
      </c>
      <c r="I5595" t="inlineStr">
        <is>
          <t>W4</t>
        </is>
      </c>
      <c r="J5595" t="inlineStr">
        <is>
          <t>2036_Kwiecień_W4</t>
        </is>
      </c>
    </row>
    <row r="5596">
      <c r="A5596" s="177" t="n">
        <v>49791</v>
      </c>
      <c r="B5596" s="177" t="n">
        <v>49787</v>
      </c>
      <c r="C5596" s="177" t="n">
        <v>49793</v>
      </c>
      <c r="D5596" t="inlineStr">
        <is>
          <t>BW20360422</t>
        </is>
      </c>
      <c r="E5596" t="n">
        <v>2036</v>
      </c>
      <c r="F5596" t="inlineStr">
        <is>
          <t>Kwiecień</t>
        </is>
      </c>
      <c r="G5596" t="inlineStr">
        <is>
          <t>Sob</t>
        </is>
      </c>
      <c r="H5596">
        <f>'Floor Hours Engine'!$E$5</f>
        <v/>
      </c>
      <c r="I5596" t="inlineStr">
        <is>
          <t>W4</t>
        </is>
      </c>
      <c r="J5596" t="inlineStr">
        <is>
          <t>2036_Kwiecień_W4</t>
        </is>
      </c>
    </row>
    <row r="5597">
      <c r="A5597" s="177" t="n">
        <v>49792</v>
      </c>
      <c r="B5597" s="177" t="n">
        <v>49787</v>
      </c>
      <c r="C5597" s="177" t="n">
        <v>49793</v>
      </c>
      <c r="D5597" t="inlineStr">
        <is>
          <t>BW20360422</t>
        </is>
      </c>
      <c r="E5597" t="n">
        <v>2036</v>
      </c>
      <c r="F5597" t="inlineStr">
        <is>
          <t>Kwiecień</t>
        </is>
      </c>
      <c r="G5597" t="inlineStr">
        <is>
          <t>Nd</t>
        </is>
      </c>
      <c r="H5597">
        <f>'Floor Hours Engine'!$E$6</f>
        <v/>
      </c>
      <c r="I5597" t="inlineStr">
        <is>
          <t>W4</t>
        </is>
      </c>
      <c r="J5597" t="inlineStr">
        <is>
          <t>2036_Kwiecień_W4</t>
        </is>
      </c>
    </row>
    <row r="5598">
      <c r="A5598" s="177" t="n">
        <v>49793</v>
      </c>
      <c r="B5598" s="177" t="n">
        <v>49787</v>
      </c>
      <c r="C5598" s="177" t="n">
        <v>49793</v>
      </c>
      <c r="D5598" t="inlineStr">
        <is>
          <t>BW20360422</t>
        </is>
      </c>
      <c r="E5598" t="n">
        <v>2036</v>
      </c>
      <c r="F5598" t="inlineStr">
        <is>
          <t>Kwiecień</t>
        </is>
      </c>
      <c r="G5598" t="inlineStr">
        <is>
          <t>Pn</t>
        </is>
      </c>
      <c r="H5598">
        <f>'Floor Hours Engine'!$E$4</f>
        <v/>
      </c>
      <c r="I5598" t="inlineStr">
        <is>
          <t>W4</t>
        </is>
      </c>
      <c r="J5598" t="inlineStr">
        <is>
          <t>2036_Kwiecień_W4</t>
        </is>
      </c>
    </row>
    <row r="5599">
      <c r="A5599" s="177" t="n">
        <v>49794</v>
      </c>
      <c r="B5599" s="177" t="n">
        <v>49794</v>
      </c>
      <c r="C5599" s="177" t="n">
        <v>49800</v>
      </c>
      <c r="D5599" t="inlineStr">
        <is>
          <t>BW20360429</t>
        </is>
      </c>
      <c r="E5599" t="n">
        <v>2036</v>
      </c>
      <c r="F5599" t="inlineStr">
        <is>
          <t>Kwiecień</t>
        </is>
      </c>
      <c r="G5599" t="inlineStr">
        <is>
          <t>Wt</t>
        </is>
      </c>
      <c r="H5599">
        <f>'Floor Hours Engine'!$E$4</f>
        <v/>
      </c>
      <c r="I5599" t="inlineStr">
        <is>
          <t>W5</t>
        </is>
      </c>
      <c r="J5599" t="inlineStr">
        <is>
          <t>2036_Kwiecień_W5</t>
        </is>
      </c>
    </row>
    <row r="5600">
      <c r="A5600" s="177" t="n">
        <v>49795</v>
      </c>
      <c r="B5600" s="177" t="n">
        <v>49794</v>
      </c>
      <c r="C5600" s="177" t="n">
        <v>49800</v>
      </c>
      <c r="D5600" t="inlineStr">
        <is>
          <t>BW20360429</t>
        </is>
      </c>
      <c r="E5600" t="n">
        <v>2036</v>
      </c>
      <c r="F5600" t="inlineStr">
        <is>
          <t>Kwiecień</t>
        </is>
      </c>
      <c r="G5600" t="inlineStr">
        <is>
          <t>Śr</t>
        </is>
      </c>
      <c r="H5600">
        <f>'Floor Hours Engine'!$E$4</f>
        <v/>
      </c>
      <c r="I5600" t="inlineStr">
        <is>
          <t>W5</t>
        </is>
      </c>
      <c r="J5600" t="inlineStr">
        <is>
          <t>2036_Kwiecień_W5</t>
        </is>
      </c>
    </row>
    <row r="5601">
      <c r="A5601" s="177" t="n">
        <v>49796</v>
      </c>
      <c r="B5601" s="177" t="n">
        <v>49794</v>
      </c>
      <c r="C5601" s="177" t="n">
        <v>49800</v>
      </c>
      <c r="D5601" t="inlineStr">
        <is>
          <t>BW20360429</t>
        </is>
      </c>
      <c r="E5601" t="n">
        <v>2036</v>
      </c>
      <c r="F5601" t="inlineStr">
        <is>
          <t>Maj</t>
        </is>
      </c>
      <c r="G5601" t="inlineStr">
        <is>
          <t>Czw</t>
        </is>
      </c>
      <c r="H5601">
        <f>'Floor Hours Engine'!$E$4</f>
        <v/>
      </c>
      <c r="I5601" t="inlineStr">
        <is>
          <t>W1</t>
        </is>
      </c>
      <c r="J5601" t="inlineStr">
        <is>
          <t>2036_Maj_W1</t>
        </is>
      </c>
    </row>
    <row r="5602">
      <c r="A5602" s="177" t="n">
        <v>49797</v>
      </c>
      <c r="B5602" s="177" t="n">
        <v>49794</v>
      </c>
      <c r="C5602" s="177" t="n">
        <v>49800</v>
      </c>
      <c r="D5602" t="inlineStr">
        <is>
          <t>BW20360429</t>
        </is>
      </c>
      <c r="E5602" t="n">
        <v>2036</v>
      </c>
      <c r="F5602" t="inlineStr">
        <is>
          <t>Maj</t>
        </is>
      </c>
      <c r="G5602" t="inlineStr">
        <is>
          <t>Pt</t>
        </is>
      </c>
      <c r="H5602">
        <f>'Floor Hours Engine'!$E$5</f>
        <v/>
      </c>
      <c r="I5602" t="inlineStr">
        <is>
          <t>W1</t>
        </is>
      </c>
      <c r="J5602" t="inlineStr">
        <is>
          <t>2036_Maj_W1</t>
        </is>
      </c>
    </row>
    <row r="5603">
      <c r="A5603" s="177" t="n">
        <v>49798</v>
      </c>
      <c r="B5603" s="177" t="n">
        <v>49794</v>
      </c>
      <c r="C5603" s="177" t="n">
        <v>49800</v>
      </c>
      <c r="D5603" t="inlineStr">
        <is>
          <t>BW20360429</t>
        </is>
      </c>
      <c r="E5603" t="n">
        <v>2036</v>
      </c>
      <c r="F5603" t="inlineStr">
        <is>
          <t>Maj</t>
        </is>
      </c>
      <c r="G5603" t="inlineStr">
        <is>
          <t>Sob</t>
        </is>
      </c>
      <c r="H5603">
        <f>'Floor Hours Engine'!$E$5</f>
        <v/>
      </c>
      <c r="I5603" t="inlineStr">
        <is>
          <t>W1</t>
        </is>
      </c>
      <c r="J5603" t="inlineStr">
        <is>
          <t>2036_Maj_W1</t>
        </is>
      </c>
    </row>
    <row r="5604">
      <c r="A5604" s="177" t="n">
        <v>49799</v>
      </c>
      <c r="B5604" s="177" t="n">
        <v>49794</v>
      </c>
      <c r="C5604" s="177" t="n">
        <v>49800</v>
      </c>
      <c r="D5604" t="inlineStr">
        <is>
          <t>BW20360429</t>
        </is>
      </c>
      <c r="E5604" t="n">
        <v>2036</v>
      </c>
      <c r="F5604" t="inlineStr">
        <is>
          <t>Maj</t>
        </is>
      </c>
      <c r="G5604" t="inlineStr">
        <is>
          <t>Nd</t>
        </is>
      </c>
      <c r="H5604">
        <f>'Floor Hours Engine'!$E$6</f>
        <v/>
      </c>
      <c r="I5604" t="inlineStr">
        <is>
          <t>W1</t>
        </is>
      </c>
      <c r="J5604" t="inlineStr">
        <is>
          <t>2036_Maj_W1</t>
        </is>
      </c>
    </row>
    <row r="5605">
      <c r="A5605" s="177" t="n">
        <v>49800</v>
      </c>
      <c r="B5605" s="177" t="n">
        <v>49794</v>
      </c>
      <c r="C5605" s="177" t="n">
        <v>49800</v>
      </c>
      <c r="D5605" t="inlineStr">
        <is>
          <t>BW20360429</t>
        </is>
      </c>
      <c r="E5605" t="n">
        <v>2036</v>
      </c>
      <c r="F5605" t="inlineStr">
        <is>
          <t>Maj</t>
        </is>
      </c>
      <c r="G5605" t="inlineStr">
        <is>
          <t>Pn</t>
        </is>
      </c>
      <c r="H5605">
        <f>'Floor Hours Engine'!$E$4</f>
        <v/>
      </c>
      <c r="I5605" t="inlineStr">
        <is>
          <t>W1</t>
        </is>
      </c>
      <c r="J5605" t="inlineStr">
        <is>
          <t>2036_Maj_W1</t>
        </is>
      </c>
    </row>
    <row r="5606">
      <c r="A5606" s="177" t="n">
        <v>49801</v>
      </c>
      <c r="B5606" s="177" t="n">
        <v>49801</v>
      </c>
      <c r="C5606" s="177" t="n">
        <v>49807</v>
      </c>
      <c r="D5606" t="inlineStr">
        <is>
          <t>BW20360506</t>
        </is>
      </c>
      <c r="E5606" t="n">
        <v>2036</v>
      </c>
      <c r="F5606" t="inlineStr">
        <is>
          <t>Maj</t>
        </is>
      </c>
      <c r="G5606" t="inlineStr">
        <is>
          <t>Wt</t>
        </is>
      </c>
      <c r="H5606">
        <f>'Floor Hours Engine'!$E$4</f>
        <v/>
      </c>
      <c r="I5606" t="inlineStr">
        <is>
          <t>W2</t>
        </is>
      </c>
      <c r="J5606" t="inlineStr">
        <is>
          <t>2036_Maj_W2</t>
        </is>
      </c>
    </row>
    <row r="5607">
      <c r="A5607" s="177" t="n">
        <v>49802</v>
      </c>
      <c r="B5607" s="177" t="n">
        <v>49801</v>
      </c>
      <c r="C5607" s="177" t="n">
        <v>49807</v>
      </c>
      <c r="D5607" t="inlineStr">
        <is>
          <t>BW20360506</t>
        </is>
      </c>
      <c r="E5607" t="n">
        <v>2036</v>
      </c>
      <c r="F5607" t="inlineStr">
        <is>
          <t>Maj</t>
        </is>
      </c>
      <c r="G5607" t="inlineStr">
        <is>
          <t>Śr</t>
        </is>
      </c>
      <c r="H5607">
        <f>'Floor Hours Engine'!$E$4</f>
        <v/>
      </c>
      <c r="I5607" t="inlineStr">
        <is>
          <t>W2</t>
        </is>
      </c>
      <c r="J5607" t="inlineStr">
        <is>
          <t>2036_Maj_W2</t>
        </is>
      </c>
    </row>
    <row r="5608">
      <c r="A5608" s="177" t="n">
        <v>49803</v>
      </c>
      <c r="B5608" s="177" t="n">
        <v>49801</v>
      </c>
      <c r="C5608" s="177" t="n">
        <v>49807</v>
      </c>
      <c r="D5608" t="inlineStr">
        <is>
          <t>BW20360506</t>
        </is>
      </c>
      <c r="E5608" t="n">
        <v>2036</v>
      </c>
      <c r="F5608" t="inlineStr">
        <is>
          <t>Maj</t>
        </is>
      </c>
      <c r="G5608" t="inlineStr">
        <is>
          <t>Czw</t>
        </is>
      </c>
      <c r="H5608">
        <f>'Floor Hours Engine'!$E$4</f>
        <v/>
      </c>
      <c r="I5608" t="inlineStr">
        <is>
          <t>W2</t>
        </is>
      </c>
      <c r="J5608" t="inlineStr">
        <is>
          <t>2036_Maj_W2</t>
        </is>
      </c>
    </row>
    <row r="5609">
      <c r="A5609" s="177" t="n">
        <v>49804</v>
      </c>
      <c r="B5609" s="177" t="n">
        <v>49801</v>
      </c>
      <c r="C5609" s="177" t="n">
        <v>49807</v>
      </c>
      <c r="D5609" t="inlineStr">
        <is>
          <t>BW20360506</t>
        </is>
      </c>
      <c r="E5609" t="n">
        <v>2036</v>
      </c>
      <c r="F5609" t="inlineStr">
        <is>
          <t>Maj</t>
        </is>
      </c>
      <c r="G5609" t="inlineStr">
        <is>
          <t>Pt</t>
        </is>
      </c>
      <c r="H5609">
        <f>'Floor Hours Engine'!$E$5</f>
        <v/>
      </c>
      <c r="I5609" t="inlineStr">
        <is>
          <t>W2</t>
        </is>
      </c>
      <c r="J5609" t="inlineStr">
        <is>
          <t>2036_Maj_W2</t>
        </is>
      </c>
    </row>
    <row r="5610">
      <c r="A5610" s="177" t="n">
        <v>49805</v>
      </c>
      <c r="B5610" s="177" t="n">
        <v>49801</v>
      </c>
      <c r="C5610" s="177" t="n">
        <v>49807</v>
      </c>
      <c r="D5610" t="inlineStr">
        <is>
          <t>BW20360506</t>
        </is>
      </c>
      <c r="E5610" t="n">
        <v>2036</v>
      </c>
      <c r="F5610" t="inlineStr">
        <is>
          <t>Maj</t>
        </is>
      </c>
      <c r="G5610" t="inlineStr">
        <is>
          <t>Sob</t>
        </is>
      </c>
      <c r="H5610">
        <f>'Floor Hours Engine'!$E$5</f>
        <v/>
      </c>
      <c r="I5610" t="inlineStr">
        <is>
          <t>W2</t>
        </is>
      </c>
      <c r="J5610" t="inlineStr">
        <is>
          <t>2036_Maj_W2</t>
        </is>
      </c>
    </row>
    <row r="5611">
      <c r="A5611" s="177" t="n">
        <v>49806</v>
      </c>
      <c r="B5611" s="177" t="n">
        <v>49801</v>
      </c>
      <c r="C5611" s="177" t="n">
        <v>49807</v>
      </c>
      <c r="D5611" t="inlineStr">
        <is>
          <t>BW20360506</t>
        </is>
      </c>
      <c r="E5611" t="n">
        <v>2036</v>
      </c>
      <c r="F5611" t="inlineStr">
        <is>
          <t>Maj</t>
        </is>
      </c>
      <c r="G5611" t="inlineStr">
        <is>
          <t>Nd</t>
        </is>
      </c>
      <c r="H5611">
        <f>'Floor Hours Engine'!$E$6</f>
        <v/>
      </c>
      <c r="I5611" t="inlineStr">
        <is>
          <t>W2</t>
        </is>
      </c>
      <c r="J5611" t="inlineStr">
        <is>
          <t>2036_Maj_W2</t>
        </is>
      </c>
    </row>
    <row r="5612">
      <c r="A5612" s="177" t="n">
        <v>49807</v>
      </c>
      <c r="B5612" s="177" t="n">
        <v>49801</v>
      </c>
      <c r="C5612" s="177" t="n">
        <v>49807</v>
      </c>
      <c r="D5612" t="inlineStr">
        <is>
          <t>BW20360506</t>
        </is>
      </c>
      <c r="E5612" t="n">
        <v>2036</v>
      </c>
      <c r="F5612" t="inlineStr">
        <is>
          <t>Maj</t>
        </is>
      </c>
      <c r="G5612" t="inlineStr">
        <is>
          <t>Pn</t>
        </is>
      </c>
      <c r="H5612">
        <f>'Floor Hours Engine'!$E$4</f>
        <v/>
      </c>
      <c r="I5612" t="inlineStr">
        <is>
          <t>W2</t>
        </is>
      </c>
      <c r="J5612" t="inlineStr">
        <is>
          <t>2036_Maj_W2</t>
        </is>
      </c>
    </row>
    <row r="5613">
      <c r="A5613" s="177" t="n">
        <v>49808</v>
      </c>
      <c r="B5613" s="177" t="n">
        <v>49808</v>
      </c>
      <c r="C5613" s="177" t="n">
        <v>49814</v>
      </c>
      <c r="D5613" t="inlineStr">
        <is>
          <t>BW20360513</t>
        </is>
      </c>
      <c r="E5613" t="n">
        <v>2036</v>
      </c>
      <c r="F5613" t="inlineStr">
        <is>
          <t>Maj</t>
        </is>
      </c>
      <c r="G5613" t="inlineStr">
        <is>
          <t>Wt</t>
        </is>
      </c>
      <c r="H5613">
        <f>'Floor Hours Engine'!$E$4</f>
        <v/>
      </c>
      <c r="I5613" t="inlineStr">
        <is>
          <t>W3</t>
        </is>
      </c>
      <c r="J5613" t="inlineStr">
        <is>
          <t>2036_Maj_W3</t>
        </is>
      </c>
    </row>
    <row r="5614">
      <c r="A5614" s="177" t="n">
        <v>49809</v>
      </c>
      <c r="B5614" s="177" t="n">
        <v>49808</v>
      </c>
      <c r="C5614" s="177" t="n">
        <v>49814</v>
      </c>
      <c r="D5614" t="inlineStr">
        <is>
          <t>BW20360513</t>
        </is>
      </c>
      <c r="E5614" t="n">
        <v>2036</v>
      </c>
      <c r="F5614" t="inlineStr">
        <is>
          <t>Maj</t>
        </is>
      </c>
      <c r="G5614" t="inlineStr">
        <is>
          <t>Śr</t>
        </is>
      </c>
      <c r="H5614">
        <f>'Floor Hours Engine'!$E$4</f>
        <v/>
      </c>
      <c r="I5614" t="inlineStr">
        <is>
          <t>W3</t>
        </is>
      </c>
      <c r="J5614" t="inlineStr">
        <is>
          <t>2036_Maj_W3</t>
        </is>
      </c>
    </row>
    <row r="5615">
      <c r="A5615" s="177" t="n">
        <v>49810</v>
      </c>
      <c r="B5615" s="177" t="n">
        <v>49808</v>
      </c>
      <c r="C5615" s="177" t="n">
        <v>49814</v>
      </c>
      <c r="D5615" t="inlineStr">
        <is>
          <t>BW20360513</t>
        </is>
      </c>
      <c r="E5615" t="n">
        <v>2036</v>
      </c>
      <c r="F5615" t="inlineStr">
        <is>
          <t>Maj</t>
        </is>
      </c>
      <c r="G5615" t="inlineStr">
        <is>
          <t>Czw</t>
        </is>
      </c>
      <c r="H5615">
        <f>'Floor Hours Engine'!$E$4</f>
        <v/>
      </c>
      <c r="I5615" t="inlineStr">
        <is>
          <t>W3</t>
        </is>
      </c>
      <c r="J5615" t="inlineStr">
        <is>
          <t>2036_Maj_W3</t>
        </is>
      </c>
    </row>
    <row r="5616">
      <c r="A5616" s="177" t="n">
        <v>49811</v>
      </c>
      <c r="B5616" s="177" t="n">
        <v>49808</v>
      </c>
      <c r="C5616" s="177" t="n">
        <v>49814</v>
      </c>
      <c r="D5616" t="inlineStr">
        <is>
          <t>BW20360513</t>
        </is>
      </c>
      <c r="E5616" t="n">
        <v>2036</v>
      </c>
      <c r="F5616" t="inlineStr">
        <is>
          <t>Maj</t>
        </is>
      </c>
      <c r="G5616" t="inlineStr">
        <is>
          <t>Pt</t>
        </is>
      </c>
      <c r="H5616">
        <f>'Floor Hours Engine'!$E$5</f>
        <v/>
      </c>
      <c r="I5616" t="inlineStr">
        <is>
          <t>W3</t>
        </is>
      </c>
      <c r="J5616" t="inlineStr">
        <is>
          <t>2036_Maj_W3</t>
        </is>
      </c>
    </row>
    <row r="5617">
      <c r="A5617" s="177" t="n">
        <v>49812</v>
      </c>
      <c r="B5617" s="177" t="n">
        <v>49808</v>
      </c>
      <c r="C5617" s="177" t="n">
        <v>49814</v>
      </c>
      <c r="D5617" t="inlineStr">
        <is>
          <t>BW20360513</t>
        </is>
      </c>
      <c r="E5617" t="n">
        <v>2036</v>
      </c>
      <c r="F5617" t="inlineStr">
        <is>
          <t>Maj</t>
        </is>
      </c>
      <c r="G5617" t="inlineStr">
        <is>
          <t>Sob</t>
        </is>
      </c>
      <c r="H5617">
        <f>'Floor Hours Engine'!$E$5</f>
        <v/>
      </c>
      <c r="I5617" t="inlineStr">
        <is>
          <t>W3</t>
        </is>
      </c>
      <c r="J5617" t="inlineStr">
        <is>
          <t>2036_Maj_W3</t>
        </is>
      </c>
    </row>
    <row r="5618">
      <c r="A5618" s="177" t="n">
        <v>49813</v>
      </c>
      <c r="B5618" s="177" t="n">
        <v>49808</v>
      </c>
      <c r="C5618" s="177" t="n">
        <v>49814</v>
      </c>
      <c r="D5618" t="inlineStr">
        <is>
          <t>BW20360513</t>
        </is>
      </c>
      <c r="E5618" t="n">
        <v>2036</v>
      </c>
      <c r="F5618" t="inlineStr">
        <is>
          <t>Maj</t>
        </is>
      </c>
      <c r="G5618" t="inlineStr">
        <is>
          <t>Nd</t>
        </is>
      </c>
      <c r="H5618">
        <f>'Floor Hours Engine'!$E$6</f>
        <v/>
      </c>
      <c r="I5618" t="inlineStr">
        <is>
          <t>W3</t>
        </is>
      </c>
      <c r="J5618" t="inlineStr">
        <is>
          <t>2036_Maj_W3</t>
        </is>
      </c>
    </row>
    <row r="5619">
      <c r="A5619" s="177" t="n">
        <v>49814</v>
      </c>
      <c r="B5619" s="177" t="n">
        <v>49808</v>
      </c>
      <c r="C5619" s="177" t="n">
        <v>49814</v>
      </c>
      <c r="D5619" t="inlineStr">
        <is>
          <t>BW20360513</t>
        </is>
      </c>
      <c r="E5619" t="n">
        <v>2036</v>
      </c>
      <c r="F5619" t="inlineStr">
        <is>
          <t>Maj</t>
        </is>
      </c>
      <c r="G5619" t="inlineStr">
        <is>
          <t>Pn</t>
        </is>
      </c>
      <c r="H5619">
        <f>'Floor Hours Engine'!$E$4</f>
        <v/>
      </c>
      <c r="I5619" t="inlineStr">
        <is>
          <t>W3</t>
        </is>
      </c>
      <c r="J5619" t="inlineStr">
        <is>
          <t>2036_Maj_W3</t>
        </is>
      </c>
    </row>
    <row r="5620">
      <c r="A5620" s="177" t="n">
        <v>49815</v>
      </c>
      <c r="B5620" s="177" t="n">
        <v>49815</v>
      </c>
      <c r="C5620" s="177" t="n">
        <v>49821</v>
      </c>
      <c r="D5620" t="inlineStr">
        <is>
          <t>BW20360520</t>
        </is>
      </c>
      <c r="E5620" t="n">
        <v>2036</v>
      </c>
      <c r="F5620" t="inlineStr">
        <is>
          <t>Maj</t>
        </is>
      </c>
      <c r="G5620" t="inlineStr">
        <is>
          <t>Wt</t>
        </is>
      </c>
      <c r="H5620">
        <f>'Floor Hours Engine'!$E$4</f>
        <v/>
      </c>
      <c r="I5620" t="inlineStr">
        <is>
          <t>W4</t>
        </is>
      </c>
      <c r="J5620" t="inlineStr">
        <is>
          <t>2036_Maj_W4</t>
        </is>
      </c>
    </row>
    <row r="5621">
      <c r="A5621" s="177" t="n">
        <v>49816</v>
      </c>
      <c r="B5621" s="177" t="n">
        <v>49815</v>
      </c>
      <c r="C5621" s="177" t="n">
        <v>49821</v>
      </c>
      <c r="D5621" t="inlineStr">
        <is>
          <t>BW20360520</t>
        </is>
      </c>
      <c r="E5621" t="n">
        <v>2036</v>
      </c>
      <c r="F5621" t="inlineStr">
        <is>
          <t>Maj</t>
        </is>
      </c>
      <c r="G5621" t="inlineStr">
        <is>
          <t>Śr</t>
        </is>
      </c>
      <c r="H5621">
        <f>'Floor Hours Engine'!$E$4</f>
        <v/>
      </c>
      <c r="I5621" t="inlineStr">
        <is>
          <t>W4</t>
        </is>
      </c>
      <c r="J5621" t="inlineStr">
        <is>
          <t>2036_Maj_W4</t>
        </is>
      </c>
    </row>
    <row r="5622">
      <c r="A5622" s="177" t="n">
        <v>49817</v>
      </c>
      <c r="B5622" s="177" t="n">
        <v>49815</v>
      </c>
      <c r="C5622" s="177" t="n">
        <v>49821</v>
      </c>
      <c r="D5622" t="inlineStr">
        <is>
          <t>BW20360520</t>
        </is>
      </c>
      <c r="E5622" t="n">
        <v>2036</v>
      </c>
      <c r="F5622" t="inlineStr">
        <is>
          <t>Maj</t>
        </is>
      </c>
      <c r="G5622" t="inlineStr">
        <is>
          <t>Czw</t>
        </is>
      </c>
      <c r="H5622">
        <f>'Floor Hours Engine'!$E$4</f>
        <v/>
      </c>
      <c r="I5622" t="inlineStr">
        <is>
          <t>W4</t>
        </is>
      </c>
      <c r="J5622" t="inlineStr">
        <is>
          <t>2036_Maj_W4</t>
        </is>
      </c>
    </row>
    <row r="5623">
      <c r="A5623" s="177" t="n">
        <v>49818</v>
      </c>
      <c r="B5623" s="177" t="n">
        <v>49815</v>
      </c>
      <c r="C5623" s="177" t="n">
        <v>49821</v>
      </c>
      <c r="D5623" t="inlineStr">
        <is>
          <t>BW20360520</t>
        </is>
      </c>
      <c r="E5623" t="n">
        <v>2036</v>
      </c>
      <c r="F5623" t="inlineStr">
        <is>
          <t>Maj</t>
        </is>
      </c>
      <c r="G5623" t="inlineStr">
        <is>
          <t>Pt</t>
        </is>
      </c>
      <c r="H5623">
        <f>'Floor Hours Engine'!$E$5</f>
        <v/>
      </c>
      <c r="I5623" t="inlineStr">
        <is>
          <t>W4</t>
        </is>
      </c>
      <c r="J5623" t="inlineStr">
        <is>
          <t>2036_Maj_W4</t>
        </is>
      </c>
    </row>
    <row r="5624">
      <c r="A5624" s="177" t="n">
        <v>49819</v>
      </c>
      <c r="B5624" s="177" t="n">
        <v>49815</v>
      </c>
      <c r="C5624" s="177" t="n">
        <v>49821</v>
      </c>
      <c r="D5624" t="inlineStr">
        <is>
          <t>BW20360520</t>
        </is>
      </c>
      <c r="E5624" t="n">
        <v>2036</v>
      </c>
      <c r="F5624" t="inlineStr">
        <is>
          <t>Maj</t>
        </is>
      </c>
      <c r="G5624" t="inlineStr">
        <is>
          <t>Sob</t>
        </is>
      </c>
      <c r="H5624">
        <f>'Floor Hours Engine'!$E$5</f>
        <v/>
      </c>
      <c r="I5624" t="inlineStr">
        <is>
          <t>W4</t>
        </is>
      </c>
      <c r="J5624" t="inlineStr">
        <is>
          <t>2036_Maj_W4</t>
        </is>
      </c>
    </row>
    <row r="5625">
      <c r="A5625" s="177" t="n">
        <v>49820</v>
      </c>
      <c r="B5625" s="177" t="n">
        <v>49815</v>
      </c>
      <c r="C5625" s="177" t="n">
        <v>49821</v>
      </c>
      <c r="D5625" t="inlineStr">
        <is>
          <t>BW20360520</t>
        </is>
      </c>
      <c r="E5625" t="n">
        <v>2036</v>
      </c>
      <c r="F5625" t="inlineStr">
        <is>
          <t>Maj</t>
        </is>
      </c>
      <c r="G5625" t="inlineStr">
        <is>
          <t>Nd</t>
        </is>
      </c>
      <c r="H5625">
        <f>'Floor Hours Engine'!$E$6</f>
        <v/>
      </c>
      <c r="I5625" t="inlineStr">
        <is>
          <t>W4</t>
        </is>
      </c>
      <c r="J5625" t="inlineStr">
        <is>
          <t>2036_Maj_W4</t>
        </is>
      </c>
    </row>
    <row r="5626">
      <c r="A5626" s="177" t="n">
        <v>49821</v>
      </c>
      <c r="B5626" s="177" t="n">
        <v>49815</v>
      </c>
      <c r="C5626" s="177" t="n">
        <v>49821</v>
      </c>
      <c r="D5626" t="inlineStr">
        <is>
          <t>BW20360520</t>
        </is>
      </c>
      <c r="E5626" t="n">
        <v>2036</v>
      </c>
      <c r="F5626" t="inlineStr">
        <is>
          <t>Maj</t>
        </is>
      </c>
      <c r="G5626" t="inlineStr">
        <is>
          <t>Pn</t>
        </is>
      </c>
      <c r="H5626">
        <f>'Floor Hours Engine'!$E$4</f>
        <v/>
      </c>
      <c r="I5626" t="inlineStr">
        <is>
          <t>W4</t>
        </is>
      </c>
      <c r="J5626" t="inlineStr">
        <is>
          <t>2036_Maj_W4</t>
        </is>
      </c>
    </row>
    <row r="5627">
      <c r="A5627" s="177" t="n">
        <v>49822</v>
      </c>
      <c r="B5627" s="177" t="n">
        <v>49822</v>
      </c>
      <c r="C5627" s="177" t="n">
        <v>49828</v>
      </c>
      <c r="D5627" t="inlineStr">
        <is>
          <t>BW20360527</t>
        </is>
      </c>
      <c r="E5627" t="n">
        <v>2036</v>
      </c>
      <c r="F5627" t="inlineStr">
        <is>
          <t>Maj</t>
        </is>
      </c>
      <c r="G5627" t="inlineStr">
        <is>
          <t>Wt</t>
        </is>
      </c>
      <c r="H5627">
        <f>'Floor Hours Engine'!$E$4</f>
        <v/>
      </c>
      <c r="I5627" t="inlineStr">
        <is>
          <t>W5</t>
        </is>
      </c>
      <c r="J5627" t="inlineStr">
        <is>
          <t>2036_Maj_W5</t>
        </is>
      </c>
    </row>
    <row r="5628">
      <c r="A5628" s="177" t="n">
        <v>49823</v>
      </c>
      <c r="B5628" s="177" t="n">
        <v>49822</v>
      </c>
      <c r="C5628" s="177" t="n">
        <v>49828</v>
      </c>
      <c r="D5628" t="inlineStr">
        <is>
          <t>BW20360527</t>
        </is>
      </c>
      <c r="E5628" t="n">
        <v>2036</v>
      </c>
      <c r="F5628" t="inlineStr">
        <is>
          <t>Maj</t>
        </is>
      </c>
      <c r="G5628" t="inlineStr">
        <is>
          <t>Śr</t>
        </is>
      </c>
      <c r="H5628">
        <f>'Floor Hours Engine'!$E$4</f>
        <v/>
      </c>
      <c r="I5628" t="inlineStr">
        <is>
          <t>W5</t>
        </is>
      </c>
      <c r="J5628" t="inlineStr">
        <is>
          <t>2036_Maj_W5</t>
        </is>
      </c>
    </row>
    <row r="5629">
      <c r="A5629" s="177" t="n">
        <v>49824</v>
      </c>
      <c r="B5629" s="177" t="n">
        <v>49822</v>
      </c>
      <c r="C5629" s="177" t="n">
        <v>49828</v>
      </c>
      <c r="D5629" t="inlineStr">
        <is>
          <t>BW20360527</t>
        </is>
      </c>
      <c r="E5629" t="n">
        <v>2036</v>
      </c>
      <c r="F5629" t="inlineStr">
        <is>
          <t>Maj</t>
        </is>
      </c>
      <c r="G5629" t="inlineStr">
        <is>
          <t>Czw</t>
        </is>
      </c>
      <c r="H5629">
        <f>'Floor Hours Engine'!$E$4</f>
        <v/>
      </c>
      <c r="I5629" t="inlineStr">
        <is>
          <t>W5</t>
        </is>
      </c>
      <c r="J5629" t="inlineStr">
        <is>
          <t>2036_Maj_W5</t>
        </is>
      </c>
    </row>
    <row r="5630">
      <c r="A5630" s="177" t="n">
        <v>49825</v>
      </c>
      <c r="B5630" s="177" t="n">
        <v>49822</v>
      </c>
      <c r="C5630" s="177" t="n">
        <v>49828</v>
      </c>
      <c r="D5630" t="inlineStr">
        <is>
          <t>BW20360527</t>
        </is>
      </c>
      <c r="E5630" t="n">
        <v>2036</v>
      </c>
      <c r="F5630" t="inlineStr">
        <is>
          <t>Maj</t>
        </is>
      </c>
      <c r="G5630" t="inlineStr">
        <is>
          <t>Pt</t>
        </is>
      </c>
      <c r="H5630">
        <f>'Floor Hours Engine'!$E$5</f>
        <v/>
      </c>
      <c r="I5630" t="inlineStr">
        <is>
          <t>W5</t>
        </is>
      </c>
      <c r="J5630" t="inlineStr">
        <is>
          <t>2036_Maj_W5</t>
        </is>
      </c>
    </row>
    <row r="5631">
      <c r="A5631" s="177" t="n">
        <v>49826</v>
      </c>
      <c r="B5631" s="177" t="n">
        <v>49822</v>
      </c>
      <c r="C5631" s="177" t="n">
        <v>49828</v>
      </c>
      <c r="D5631" t="inlineStr">
        <is>
          <t>BW20360527</t>
        </is>
      </c>
      <c r="E5631" t="n">
        <v>2036</v>
      </c>
      <c r="F5631" t="inlineStr">
        <is>
          <t>Maj</t>
        </is>
      </c>
      <c r="G5631" t="inlineStr">
        <is>
          <t>Sob</t>
        </is>
      </c>
      <c r="H5631">
        <f>'Floor Hours Engine'!$E$5</f>
        <v/>
      </c>
      <c r="I5631" t="inlineStr">
        <is>
          <t>W5</t>
        </is>
      </c>
      <c r="J5631" t="inlineStr">
        <is>
          <t>2036_Maj_W5</t>
        </is>
      </c>
    </row>
    <row r="5632">
      <c r="A5632" s="177" t="n">
        <v>49827</v>
      </c>
      <c r="B5632" s="177" t="n">
        <v>49822</v>
      </c>
      <c r="C5632" s="177" t="n">
        <v>49828</v>
      </c>
      <c r="D5632" t="inlineStr">
        <is>
          <t>BW20360527</t>
        </is>
      </c>
      <c r="E5632" t="n">
        <v>2036</v>
      </c>
      <c r="F5632" t="inlineStr">
        <is>
          <t>Czerwiec</t>
        </is>
      </c>
      <c r="G5632" t="inlineStr">
        <is>
          <t>Nd</t>
        </is>
      </c>
      <c r="H5632">
        <f>'Floor Hours Engine'!$E$6</f>
        <v/>
      </c>
      <c r="I5632" t="inlineStr">
        <is>
          <t>W1</t>
        </is>
      </c>
      <c r="J5632" t="inlineStr">
        <is>
          <t>2036_Czerwiec_W1</t>
        </is>
      </c>
    </row>
    <row r="5633">
      <c r="A5633" s="177" t="n">
        <v>49828</v>
      </c>
      <c r="B5633" s="177" t="n">
        <v>49822</v>
      </c>
      <c r="C5633" s="177" t="n">
        <v>49828</v>
      </c>
      <c r="D5633" t="inlineStr">
        <is>
          <t>BW20360527</t>
        </is>
      </c>
      <c r="E5633" t="n">
        <v>2036</v>
      </c>
      <c r="F5633" t="inlineStr">
        <is>
          <t>Czerwiec</t>
        </is>
      </c>
      <c r="G5633" t="inlineStr">
        <is>
          <t>Pn</t>
        </is>
      </c>
      <c r="H5633">
        <f>'Floor Hours Engine'!$E$4</f>
        <v/>
      </c>
      <c r="I5633" t="inlineStr">
        <is>
          <t>W1</t>
        </is>
      </c>
      <c r="J5633" t="inlineStr">
        <is>
          <t>2036_Czerwiec_W1</t>
        </is>
      </c>
    </row>
    <row r="5634">
      <c r="A5634" s="177" t="n">
        <v>49829</v>
      </c>
      <c r="B5634" s="177" t="n">
        <v>49829</v>
      </c>
      <c r="C5634" s="177" t="n">
        <v>49835</v>
      </c>
      <c r="D5634" t="inlineStr">
        <is>
          <t>BW20360603</t>
        </is>
      </c>
      <c r="E5634" t="n">
        <v>2036</v>
      </c>
      <c r="F5634" t="inlineStr">
        <is>
          <t>Czerwiec</t>
        </is>
      </c>
      <c r="G5634" t="inlineStr">
        <is>
          <t>Wt</t>
        </is>
      </c>
      <c r="H5634">
        <f>'Floor Hours Engine'!$E$4</f>
        <v/>
      </c>
      <c r="I5634" t="inlineStr">
        <is>
          <t>W2</t>
        </is>
      </c>
      <c r="J5634" t="inlineStr">
        <is>
          <t>2036_Czerwiec_W2</t>
        </is>
      </c>
    </row>
    <row r="5635">
      <c r="A5635" s="177" t="n">
        <v>49830</v>
      </c>
      <c r="B5635" s="177" t="n">
        <v>49829</v>
      </c>
      <c r="C5635" s="177" t="n">
        <v>49835</v>
      </c>
      <c r="D5635" t="inlineStr">
        <is>
          <t>BW20360603</t>
        </is>
      </c>
      <c r="E5635" t="n">
        <v>2036</v>
      </c>
      <c r="F5635" t="inlineStr">
        <is>
          <t>Czerwiec</t>
        </is>
      </c>
      <c r="G5635" t="inlineStr">
        <is>
          <t>Śr</t>
        </is>
      </c>
      <c r="H5635">
        <f>'Floor Hours Engine'!$E$4</f>
        <v/>
      </c>
      <c r="I5635" t="inlineStr">
        <is>
          <t>W2</t>
        </is>
      </c>
      <c r="J5635" t="inlineStr">
        <is>
          <t>2036_Czerwiec_W2</t>
        </is>
      </c>
    </row>
    <row r="5636">
      <c r="A5636" s="177" t="n">
        <v>49831</v>
      </c>
      <c r="B5636" s="177" t="n">
        <v>49829</v>
      </c>
      <c r="C5636" s="177" t="n">
        <v>49835</v>
      </c>
      <c r="D5636" t="inlineStr">
        <is>
          <t>BW20360603</t>
        </is>
      </c>
      <c r="E5636" t="n">
        <v>2036</v>
      </c>
      <c r="F5636" t="inlineStr">
        <is>
          <t>Czerwiec</t>
        </is>
      </c>
      <c r="G5636" t="inlineStr">
        <is>
          <t>Czw</t>
        </is>
      </c>
      <c r="H5636">
        <f>'Floor Hours Engine'!$E$4</f>
        <v/>
      </c>
      <c r="I5636" t="inlineStr">
        <is>
          <t>W2</t>
        </is>
      </c>
      <c r="J5636" t="inlineStr">
        <is>
          <t>2036_Czerwiec_W2</t>
        </is>
      </c>
    </row>
    <row r="5637">
      <c r="A5637" s="177" t="n">
        <v>49832</v>
      </c>
      <c r="B5637" s="177" t="n">
        <v>49829</v>
      </c>
      <c r="C5637" s="177" t="n">
        <v>49835</v>
      </c>
      <c r="D5637" t="inlineStr">
        <is>
          <t>BW20360603</t>
        </is>
      </c>
      <c r="E5637" t="n">
        <v>2036</v>
      </c>
      <c r="F5637" t="inlineStr">
        <is>
          <t>Czerwiec</t>
        </is>
      </c>
      <c r="G5637" t="inlineStr">
        <is>
          <t>Pt</t>
        </is>
      </c>
      <c r="H5637">
        <f>'Floor Hours Engine'!$E$5</f>
        <v/>
      </c>
      <c r="I5637" t="inlineStr">
        <is>
          <t>W2</t>
        </is>
      </c>
      <c r="J5637" t="inlineStr">
        <is>
          <t>2036_Czerwiec_W2</t>
        </is>
      </c>
    </row>
    <row r="5638">
      <c r="A5638" s="177" t="n">
        <v>49833</v>
      </c>
      <c r="B5638" s="177" t="n">
        <v>49829</v>
      </c>
      <c r="C5638" s="177" t="n">
        <v>49835</v>
      </c>
      <c r="D5638" t="inlineStr">
        <is>
          <t>BW20360603</t>
        </is>
      </c>
      <c r="E5638" t="n">
        <v>2036</v>
      </c>
      <c r="F5638" t="inlineStr">
        <is>
          <t>Czerwiec</t>
        </is>
      </c>
      <c r="G5638" t="inlineStr">
        <is>
          <t>Sob</t>
        </is>
      </c>
      <c r="H5638">
        <f>'Floor Hours Engine'!$E$5</f>
        <v/>
      </c>
      <c r="I5638" t="inlineStr">
        <is>
          <t>W2</t>
        </is>
      </c>
      <c r="J5638" t="inlineStr">
        <is>
          <t>2036_Czerwiec_W2</t>
        </is>
      </c>
    </row>
    <row r="5639">
      <c r="A5639" s="177" t="n">
        <v>49834</v>
      </c>
      <c r="B5639" s="177" t="n">
        <v>49829</v>
      </c>
      <c r="C5639" s="177" t="n">
        <v>49835</v>
      </c>
      <c r="D5639" t="inlineStr">
        <is>
          <t>BW20360603</t>
        </is>
      </c>
      <c r="E5639" t="n">
        <v>2036</v>
      </c>
      <c r="F5639" t="inlineStr">
        <is>
          <t>Czerwiec</t>
        </is>
      </c>
      <c r="G5639" t="inlineStr">
        <is>
          <t>Nd</t>
        </is>
      </c>
      <c r="H5639">
        <f>'Floor Hours Engine'!$E$6</f>
        <v/>
      </c>
      <c r="I5639" t="inlineStr">
        <is>
          <t>W2</t>
        </is>
      </c>
      <c r="J5639" t="inlineStr">
        <is>
          <t>2036_Czerwiec_W2</t>
        </is>
      </c>
    </row>
    <row r="5640">
      <c r="A5640" s="177" t="n">
        <v>49835</v>
      </c>
      <c r="B5640" s="177" t="n">
        <v>49829</v>
      </c>
      <c r="C5640" s="177" t="n">
        <v>49835</v>
      </c>
      <c r="D5640" t="inlineStr">
        <is>
          <t>BW20360603</t>
        </is>
      </c>
      <c r="E5640" t="n">
        <v>2036</v>
      </c>
      <c r="F5640" t="inlineStr">
        <is>
          <t>Czerwiec</t>
        </is>
      </c>
      <c r="G5640" t="inlineStr">
        <is>
          <t>Pn</t>
        </is>
      </c>
      <c r="H5640">
        <f>'Floor Hours Engine'!$E$4</f>
        <v/>
      </c>
      <c r="I5640" t="inlineStr">
        <is>
          <t>W2</t>
        </is>
      </c>
      <c r="J5640" t="inlineStr">
        <is>
          <t>2036_Czerwiec_W2</t>
        </is>
      </c>
    </row>
    <row r="5641">
      <c r="A5641" s="177" t="n">
        <v>49836</v>
      </c>
      <c r="B5641" s="177" t="n">
        <v>49836</v>
      </c>
      <c r="C5641" s="177" t="n">
        <v>49842</v>
      </c>
      <c r="D5641" t="inlineStr">
        <is>
          <t>BW20360610</t>
        </is>
      </c>
      <c r="E5641" t="n">
        <v>2036</v>
      </c>
      <c r="F5641" t="inlineStr">
        <is>
          <t>Czerwiec</t>
        </is>
      </c>
      <c r="G5641" t="inlineStr">
        <is>
          <t>Wt</t>
        </is>
      </c>
      <c r="H5641">
        <f>'Floor Hours Engine'!$E$4</f>
        <v/>
      </c>
      <c r="I5641" t="inlineStr">
        <is>
          <t>W3</t>
        </is>
      </c>
      <c r="J5641" t="inlineStr">
        <is>
          <t>2036_Czerwiec_W3</t>
        </is>
      </c>
    </row>
    <row r="5642">
      <c r="A5642" s="177" t="n">
        <v>49837</v>
      </c>
      <c r="B5642" s="177" t="n">
        <v>49836</v>
      </c>
      <c r="C5642" s="177" t="n">
        <v>49842</v>
      </c>
      <c r="D5642" t="inlineStr">
        <is>
          <t>BW20360610</t>
        </is>
      </c>
      <c r="E5642" t="n">
        <v>2036</v>
      </c>
      <c r="F5642" t="inlineStr">
        <is>
          <t>Czerwiec</t>
        </is>
      </c>
      <c r="G5642" t="inlineStr">
        <is>
          <t>Śr</t>
        </is>
      </c>
      <c r="H5642">
        <f>'Floor Hours Engine'!$E$4</f>
        <v/>
      </c>
      <c r="I5642" t="inlineStr">
        <is>
          <t>W3</t>
        </is>
      </c>
      <c r="J5642" t="inlineStr">
        <is>
          <t>2036_Czerwiec_W3</t>
        </is>
      </c>
    </row>
    <row r="5643">
      <c r="A5643" s="177" t="n">
        <v>49838</v>
      </c>
      <c r="B5643" s="177" t="n">
        <v>49836</v>
      </c>
      <c r="C5643" s="177" t="n">
        <v>49842</v>
      </c>
      <c r="D5643" t="inlineStr">
        <is>
          <t>BW20360610</t>
        </is>
      </c>
      <c r="E5643" t="n">
        <v>2036</v>
      </c>
      <c r="F5643" t="inlineStr">
        <is>
          <t>Czerwiec</t>
        </is>
      </c>
      <c r="G5643" t="inlineStr">
        <is>
          <t>Czw</t>
        </is>
      </c>
      <c r="H5643">
        <f>'Floor Hours Engine'!$E$4</f>
        <v/>
      </c>
      <c r="I5643" t="inlineStr">
        <is>
          <t>W3</t>
        </is>
      </c>
      <c r="J5643" t="inlineStr">
        <is>
          <t>2036_Czerwiec_W3</t>
        </is>
      </c>
    </row>
    <row r="5644">
      <c r="A5644" s="177" t="n">
        <v>49839</v>
      </c>
      <c r="B5644" s="177" t="n">
        <v>49836</v>
      </c>
      <c r="C5644" s="177" t="n">
        <v>49842</v>
      </c>
      <c r="D5644" t="inlineStr">
        <is>
          <t>BW20360610</t>
        </is>
      </c>
      <c r="E5644" t="n">
        <v>2036</v>
      </c>
      <c r="F5644" t="inlineStr">
        <is>
          <t>Czerwiec</t>
        </is>
      </c>
      <c r="G5644" t="inlineStr">
        <is>
          <t>Pt</t>
        </is>
      </c>
      <c r="H5644">
        <f>'Floor Hours Engine'!$E$5</f>
        <v/>
      </c>
      <c r="I5644" t="inlineStr">
        <is>
          <t>W3</t>
        </is>
      </c>
      <c r="J5644" t="inlineStr">
        <is>
          <t>2036_Czerwiec_W3</t>
        </is>
      </c>
    </row>
    <row r="5645">
      <c r="A5645" s="177" t="n">
        <v>49840</v>
      </c>
      <c r="B5645" s="177" t="n">
        <v>49836</v>
      </c>
      <c r="C5645" s="177" t="n">
        <v>49842</v>
      </c>
      <c r="D5645" t="inlineStr">
        <is>
          <t>BW20360610</t>
        </is>
      </c>
      <c r="E5645" t="n">
        <v>2036</v>
      </c>
      <c r="F5645" t="inlineStr">
        <is>
          <t>Czerwiec</t>
        </is>
      </c>
      <c r="G5645" t="inlineStr">
        <is>
          <t>Sob</t>
        </is>
      </c>
      <c r="H5645">
        <f>'Floor Hours Engine'!$E$5</f>
        <v/>
      </c>
      <c r="I5645" t="inlineStr">
        <is>
          <t>W3</t>
        </is>
      </c>
      <c r="J5645" t="inlineStr">
        <is>
          <t>2036_Czerwiec_W3</t>
        </is>
      </c>
    </row>
    <row r="5646">
      <c r="A5646" s="177" t="n">
        <v>49841</v>
      </c>
      <c r="B5646" s="177" t="n">
        <v>49836</v>
      </c>
      <c r="C5646" s="177" t="n">
        <v>49842</v>
      </c>
      <c r="D5646" t="inlineStr">
        <is>
          <t>BW20360610</t>
        </is>
      </c>
      <c r="E5646" t="n">
        <v>2036</v>
      </c>
      <c r="F5646" t="inlineStr">
        <is>
          <t>Czerwiec</t>
        </is>
      </c>
      <c r="G5646" t="inlineStr">
        <is>
          <t>Nd</t>
        </is>
      </c>
      <c r="H5646">
        <f>'Floor Hours Engine'!$E$6</f>
        <v/>
      </c>
      <c r="I5646" t="inlineStr">
        <is>
          <t>W3</t>
        </is>
      </c>
      <c r="J5646" t="inlineStr">
        <is>
          <t>2036_Czerwiec_W3</t>
        </is>
      </c>
    </row>
    <row r="5647">
      <c r="A5647" s="177" t="n">
        <v>49842</v>
      </c>
      <c r="B5647" s="177" t="n">
        <v>49836</v>
      </c>
      <c r="C5647" s="177" t="n">
        <v>49842</v>
      </c>
      <c r="D5647" t="inlineStr">
        <is>
          <t>BW20360610</t>
        </is>
      </c>
      <c r="E5647" t="n">
        <v>2036</v>
      </c>
      <c r="F5647" t="inlineStr">
        <is>
          <t>Czerwiec</t>
        </is>
      </c>
      <c r="G5647" t="inlineStr">
        <is>
          <t>Pn</t>
        </is>
      </c>
      <c r="H5647">
        <f>'Floor Hours Engine'!$E$4</f>
        <v/>
      </c>
      <c r="I5647" t="inlineStr">
        <is>
          <t>W3</t>
        </is>
      </c>
      <c r="J5647" t="inlineStr">
        <is>
          <t>2036_Czerwiec_W3</t>
        </is>
      </c>
    </row>
    <row r="5648">
      <c r="A5648" s="177" t="n">
        <v>49843</v>
      </c>
      <c r="B5648" s="177" t="n">
        <v>49843</v>
      </c>
      <c r="C5648" s="177" t="n">
        <v>49849</v>
      </c>
      <c r="D5648" t="inlineStr">
        <is>
          <t>BW20360617</t>
        </is>
      </c>
      <c r="E5648" t="n">
        <v>2036</v>
      </c>
      <c r="F5648" t="inlineStr">
        <is>
          <t>Czerwiec</t>
        </is>
      </c>
      <c r="G5648" t="inlineStr">
        <is>
          <t>Wt</t>
        </is>
      </c>
      <c r="H5648">
        <f>'Floor Hours Engine'!$E$4</f>
        <v/>
      </c>
      <c r="I5648" t="inlineStr">
        <is>
          <t>W4</t>
        </is>
      </c>
      <c r="J5648" t="inlineStr">
        <is>
          <t>2036_Czerwiec_W4</t>
        </is>
      </c>
    </row>
    <row r="5649">
      <c r="A5649" s="177" t="n">
        <v>49844</v>
      </c>
      <c r="B5649" s="177" t="n">
        <v>49843</v>
      </c>
      <c r="C5649" s="177" t="n">
        <v>49849</v>
      </c>
      <c r="D5649" t="inlineStr">
        <is>
          <t>BW20360617</t>
        </is>
      </c>
      <c r="E5649" t="n">
        <v>2036</v>
      </c>
      <c r="F5649" t="inlineStr">
        <is>
          <t>Czerwiec</t>
        </is>
      </c>
      <c r="G5649" t="inlineStr">
        <is>
          <t>Śr</t>
        </is>
      </c>
      <c r="H5649">
        <f>'Floor Hours Engine'!$E$4</f>
        <v/>
      </c>
      <c r="I5649" t="inlineStr">
        <is>
          <t>W4</t>
        </is>
      </c>
      <c r="J5649" t="inlineStr">
        <is>
          <t>2036_Czerwiec_W4</t>
        </is>
      </c>
    </row>
    <row r="5650">
      <c r="A5650" s="177" t="n">
        <v>49845</v>
      </c>
      <c r="B5650" s="177" t="n">
        <v>49843</v>
      </c>
      <c r="C5650" s="177" t="n">
        <v>49849</v>
      </c>
      <c r="D5650" t="inlineStr">
        <is>
          <t>BW20360617</t>
        </is>
      </c>
      <c r="E5650" t="n">
        <v>2036</v>
      </c>
      <c r="F5650" t="inlineStr">
        <is>
          <t>Czerwiec</t>
        </is>
      </c>
      <c r="G5650" t="inlineStr">
        <is>
          <t>Czw</t>
        </is>
      </c>
      <c r="H5650">
        <f>'Floor Hours Engine'!$E$4</f>
        <v/>
      </c>
      <c r="I5650" t="inlineStr">
        <is>
          <t>W4</t>
        </is>
      </c>
      <c r="J5650" t="inlineStr">
        <is>
          <t>2036_Czerwiec_W4</t>
        </is>
      </c>
    </row>
    <row r="5651">
      <c r="A5651" s="177" t="n">
        <v>49846</v>
      </c>
      <c r="B5651" s="177" t="n">
        <v>49843</v>
      </c>
      <c r="C5651" s="177" t="n">
        <v>49849</v>
      </c>
      <c r="D5651" t="inlineStr">
        <is>
          <t>BW20360617</t>
        </is>
      </c>
      <c r="E5651" t="n">
        <v>2036</v>
      </c>
      <c r="F5651" t="inlineStr">
        <is>
          <t>Czerwiec</t>
        </is>
      </c>
      <c r="G5651" t="inlineStr">
        <is>
          <t>Pt</t>
        </is>
      </c>
      <c r="H5651">
        <f>'Floor Hours Engine'!$E$5</f>
        <v/>
      </c>
      <c r="I5651" t="inlineStr">
        <is>
          <t>W4</t>
        </is>
      </c>
      <c r="J5651" t="inlineStr">
        <is>
          <t>2036_Czerwiec_W4</t>
        </is>
      </c>
    </row>
    <row r="5652">
      <c r="A5652" s="177" t="n">
        <v>49847</v>
      </c>
      <c r="B5652" s="177" t="n">
        <v>49843</v>
      </c>
      <c r="C5652" s="177" t="n">
        <v>49849</v>
      </c>
      <c r="D5652" t="inlineStr">
        <is>
          <t>BW20360617</t>
        </is>
      </c>
      <c r="E5652" t="n">
        <v>2036</v>
      </c>
      <c r="F5652" t="inlineStr">
        <is>
          <t>Czerwiec</t>
        </is>
      </c>
      <c r="G5652" t="inlineStr">
        <is>
          <t>Sob</t>
        </is>
      </c>
      <c r="H5652">
        <f>'Floor Hours Engine'!$E$5</f>
        <v/>
      </c>
      <c r="I5652" t="inlineStr">
        <is>
          <t>W4</t>
        </is>
      </c>
      <c r="J5652" t="inlineStr">
        <is>
          <t>2036_Czerwiec_W4</t>
        </is>
      </c>
    </row>
    <row r="5653">
      <c r="A5653" s="177" t="n">
        <v>49848</v>
      </c>
      <c r="B5653" s="177" t="n">
        <v>49843</v>
      </c>
      <c r="C5653" s="177" t="n">
        <v>49849</v>
      </c>
      <c r="D5653" t="inlineStr">
        <is>
          <t>BW20360617</t>
        </is>
      </c>
      <c r="E5653" t="n">
        <v>2036</v>
      </c>
      <c r="F5653" t="inlineStr">
        <is>
          <t>Czerwiec</t>
        </is>
      </c>
      <c r="G5653" t="inlineStr">
        <is>
          <t>Nd</t>
        </is>
      </c>
      <c r="H5653">
        <f>'Floor Hours Engine'!$E$6</f>
        <v/>
      </c>
      <c r="I5653" t="inlineStr">
        <is>
          <t>W4</t>
        </is>
      </c>
      <c r="J5653" t="inlineStr">
        <is>
          <t>2036_Czerwiec_W4</t>
        </is>
      </c>
    </row>
    <row r="5654">
      <c r="A5654" s="177" t="n">
        <v>49849</v>
      </c>
      <c r="B5654" s="177" t="n">
        <v>49843</v>
      </c>
      <c r="C5654" s="177" t="n">
        <v>49849</v>
      </c>
      <c r="D5654" t="inlineStr">
        <is>
          <t>BW20360617</t>
        </is>
      </c>
      <c r="E5654" t="n">
        <v>2036</v>
      </c>
      <c r="F5654" t="inlineStr">
        <is>
          <t>Czerwiec</t>
        </is>
      </c>
      <c r="G5654" t="inlineStr">
        <is>
          <t>Pn</t>
        </is>
      </c>
      <c r="H5654">
        <f>'Floor Hours Engine'!$E$4</f>
        <v/>
      </c>
      <c r="I5654" t="inlineStr">
        <is>
          <t>W4</t>
        </is>
      </c>
      <c r="J5654" t="inlineStr">
        <is>
          <t>2036_Czerwiec_W4</t>
        </is>
      </c>
    </row>
    <row r="5655">
      <c r="A5655" s="177" t="n">
        <v>49850</v>
      </c>
      <c r="B5655" s="177" t="n">
        <v>49850</v>
      </c>
      <c r="C5655" s="177" t="n">
        <v>49856</v>
      </c>
      <c r="D5655" t="inlineStr">
        <is>
          <t>BW20360624</t>
        </is>
      </c>
      <c r="E5655" t="n">
        <v>2036</v>
      </c>
      <c r="F5655" t="inlineStr">
        <is>
          <t>Czerwiec</t>
        </is>
      </c>
      <c r="G5655" t="inlineStr">
        <is>
          <t>Wt</t>
        </is>
      </c>
      <c r="H5655">
        <f>'Floor Hours Engine'!$E$4</f>
        <v/>
      </c>
      <c r="I5655" t="inlineStr">
        <is>
          <t>W5</t>
        </is>
      </c>
      <c r="J5655" t="inlineStr">
        <is>
          <t>2036_Czerwiec_W5</t>
        </is>
      </c>
    </row>
    <row r="5656">
      <c r="A5656" s="177" t="n">
        <v>49851</v>
      </c>
      <c r="B5656" s="177" t="n">
        <v>49850</v>
      </c>
      <c r="C5656" s="177" t="n">
        <v>49856</v>
      </c>
      <c r="D5656" t="inlineStr">
        <is>
          <t>BW20360624</t>
        </is>
      </c>
      <c r="E5656" t="n">
        <v>2036</v>
      </c>
      <c r="F5656" t="inlineStr">
        <is>
          <t>Czerwiec</t>
        </is>
      </c>
      <c r="G5656" t="inlineStr">
        <is>
          <t>Śr</t>
        </is>
      </c>
      <c r="H5656">
        <f>'Floor Hours Engine'!$E$4</f>
        <v/>
      </c>
      <c r="I5656" t="inlineStr">
        <is>
          <t>W5</t>
        </is>
      </c>
      <c r="J5656" t="inlineStr">
        <is>
          <t>2036_Czerwiec_W5</t>
        </is>
      </c>
    </row>
    <row r="5657">
      <c r="A5657" s="177" t="n">
        <v>49852</v>
      </c>
      <c r="B5657" s="177" t="n">
        <v>49850</v>
      </c>
      <c r="C5657" s="177" t="n">
        <v>49856</v>
      </c>
      <c r="D5657" t="inlineStr">
        <is>
          <t>BW20360624</t>
        </is>
      </c>
      <c r="E5657" t="n">
        <v>2036</v>
      </c>
      <c r="F5657" t="inlineStr">
        <is>
          <t>Czerwiec</t>
        </is>
      </c>
      <c r="G5657" t="inlineStr">
        <is>
          <t>Czw</t>
        </is>
      </c>
      <c r="H5657">
        <f>'Floor Hours Engine'!$E$4</f>
        <v/>
      </c>
      <c r="I5657" t="inlineStr">
        <is>
          <t>W5</t>
        </is>
      </c>
      <c r="J5657" t="inlineStr">
        <is>
          <t>2036_Czerwiec_W5</t>
        </is>
      </c>
    </row>
    <row r="5658">
      <c r="A5658" s="177" t="n">
        <v>49853</v>
      </c>
      <c r="B5658" s="177" t="n">
        <v>49850</v>
      </c>
      <c r="C5658" s="177" t="n">
        <v>49856</v>
      </c>
      <c r="D5658" t="inlineStr">
        <is>
          <t>BW20360624</t>
        </is>
      </c>
      <c r="E5658" t="n">
        <v>2036</v>
      </c>
      <c r="F5658" t="inlineStr">
        <is>
          <t>Czerwiec</t>
        </is>
      </c>
      <c r="G5658" t="inlineStr">
        <is>
          <t>Pt</t>
        </is>
      </c>
      <c r="H5658">
        <f>'Floor Hours Engine'!$E$5</f>
        <v/>
      </c>
      <c r="I5658" t="inlineStr">
        <is>
          <t>W5</t>
        </is>
      </c>
      <c r="J5658" t="inlineStr">
        <is>
          <t>2036_Czerwiec_W5</t>
        </is>
      </c>
    </row>
    <row r="5659">
      <c r="A5659" s="177" t="n">
        <v>49854</v>
      </c>
      <c r="B5659" s="177" t="n">
        <v>49850</v>
      </c>
      <c r="C5659" s="177" t="n">
        <v>49856</v>
      </c>
      <c r="D5659" t="inlineStr">
        <is>
          <t>BW20360624</t>
        </is>
      </c>
      <c r="E5659" t="n">
        <v>2036</v>
      </c>
      <c r="F5659" t="inlineStr">
        <is>
          <t>Czerwiec</t>
        </is>
      </c>
      <c r="G5659" t="inlineStr">
        <is>
          <t>Sob</t>
        </is>
      </c>
      <c r="H5659">
        <f>'Floor Hours Engine'!$E$5</f>
        <v/>
      </c>
      <c r="I5659" t="inlineStr">
        <is>
          <t>W5</t>
        </is>
      </c>
      <c r="J5659" t="inlineStr">
        <is>
          <t>2036_Czerwiec_W5</t>
        </is>
      </c>
    </row>
    <row r="5660">
      <c r="A5660" s="177" t="n">
        <v>49855</v>
      </c>
      <c r="B5660" s="177" t="n">
        <v>49850</v>
      </c>
      <c r="C5660" s="177" t="n">
        <v>49856</v>
      </c>
      <c r="D5660" t="inlineStr">
        <is>
          <t>BW20360624</t>
        </is>
      </c>
      <c r="E5660" t="n">
        <v>2036</v>
      </c>
      <c r="F5660" t="inlineStr">
        <is>
          <t>Czerwiec</t>
        </is>
      </c>
      <c r="G5660" t="inlineStr">
        <is>
          <t>Nd</t>
        </is>
      </c>
      <c r="H5660">
        <f>'Floor Hours Engine'!$E$6</f>
        <v/>
      </c>
      <c r="I5660" t="inlineStr">
        <is>
          <t>W5</t>
        </is>
      </c>
      <c r="J5660" t="inlineStr">
        <is>
          <t>2036_Czerwiec_W5</t>
        </is>
      </c>
    </row>
    <row r="5661">
      <c r="A5661" s="177" t="n">
        <v>49856</v>
      </c>
      <c r="B5661" s="177" t="n">
        <v>49850</v>
      </c>
      <c r="C5661" s="177" t="n">
        <v>49856</v>
      </c>
      <c r="D5661" t="inlineStr">
        <is>
          <t>BW20360624</t>
        </is>
      </c>
      <c r="E5661" t="n">
        <v>2036</v>
      </c>
      <c r="F5661" t="inlineStr">
        <is>
          <t>Czerwiec</t>
        </is>
      </c>
      <c r="G5661" t="inlineStr">
        <is>
          <t>Pn</t>
        </is>
      </c>
      <c r="H5661">
        <f>'Floor Hours Engine'!$E$4</f>
        <v/>
      </c>
      <c r="I5661" t="inlineStr">
        <is>
          <t>W5</t>
        </is>
      </c>
      <c r="J5661" t="inlineStr">
        <is>
          <t>2036_Czerwiec_W5</t>
        </is>
      </c>
    </row>
    <row r="5662">
      <c r="A5662" s="177" t="n">
        <v>49857</v>
      </c>
      <c r="B5662" s="177" t="n">
        <v>49857</v>
      </c>
      <c r="C5662" s="177" t="n">
        <v>49863</v>
      </c>
      <c r="D5662" t="inlineStr">
        <is>
          <t>BW20360701</t>
        </is>
      </c>
      <c r="E5662" t="n">
        <v>2036</v>
      </c>
      <c r="F5662" t="inlineStr">
        <is>
          <t>Lipiec</t>
        </is>
      </c>
      <c r="G5662" t="inlineStr">
        <is>
          <t>Wt</t>
        </is>
      </c>
      <c r="H5662">
        <f>'Floor Hours Engine'!$E$4</f>
        <v/>
      </c>
      <c r="I5662" t="inlineStr">
        <is>
          <t>W1</t>
        </is>
      </c>
      <c r="J5662" t="inlineStr">
        <is>
          <t>2036_Lipiec_W1</t>
        </is>
      </c>
    </row>
    <row r="5663">
      <c r="A5663" s="177" t="n">
        <v>49858</v>
      </c>
      <c r="B5663" s="177" t="n">
        <v>49857</v>
      </c>
      <c r="C5663" s="177" t="n">
        <v>49863</v>
      </c>
      <c r="D5663" t="inlineStr">
        <is>
          <t>BW20360701</t>
        </is>
      </c>
      <c r="E5663" t="n">
        <v>2036</v>
      </c>
      <c r="F5663" t="inlineStr">
        <is>
          <t>Lipiec</t>
        </is>
      </c>
      <c r="G5663" t="inlineStr">
        <is>
          <t>Śr</t>
        </is>
      </c>
      <c r="H5663">
        <f>'Floor Hours Engine'!$E$4</f>
        <v/>
      </c>
      <c r="I5663" t="inlineStr">
        <is>
          <t>W1</t>
        </is>
      </c>
      <c r="J5663" t="inlineStr">
        <is>
          <t>2036_Lipiec_W1</t>
        </is>
      </c>
    </row>
    <row r="5664">
      <c r="A5664" s="177" t="n">
        <v>49859</v>
      </c>
      <c r="B5664" s="177" t="n">
        <v>49857</v>
      </c>
      <c r="C5664" s="177" t="n">
        <v>49863</v>
      </c>
      <c r="D5664" t="inlineStr">
        <is>
          <t>BW20360701</t>
        </is>
      </c>
      <c r="E5664" t="n">
        <v>2036</v>
      </c>
      <c r="F5664" t="inlineStr">
        <is>
          <t>Lipiec</t>
        </is>
      </c>
      <c r="G5664" t="inlineStr">
        <is>
          <t>Czw</t>
        </is>
      </c>
      <c r="H5664">
        <f>'Floor Hours Engine'!$E$4</f>
        <v/>
      </c>
      <c r="I5664" t="inlineStr">
        <is>
          <t>W1</t>
        </is>
      </c>
      <c r="J5664" t="inlineStr">
        <is>
          <t>2036_Lipiec_W1</t>
        </is>
      </c>
    </row>
    <row r="5665">
      <c r="A5665" s="177" t="n">
        <v>49860</v>
      </c>
      <c r="B5665" s="177" t="n">
        <v>49857</v>
      </c>
      <c r="C5665" s="177" t="n">
        <v>49863</v>
      </c>
      <c r="D5665" t="inlineStr">
        <is>
          <t>BW20360701</t>
        </is>
      </c>
      <c r="E5665" t="n">
        <v>2036</v>
      </c>
      <c r="F5665" t="inlineStr">
        <is>
          <t>Lipiec</t>
        </is>
      </c>
      <c r="G5665" t="inlineStr">
        <is>
          <t>Pt</t>
        </is>
      </c>
      <c r="H5665">
        <f>'Floor Hours Engine'!$E$5</f>
        <v/>
      </c>
      <c r="I5665" t="inlineStr">
        <is>
          <t>W1</t>
        </is>
      </c>
      <c r="J5665" t="inlineStr">
        <is>
          <t>2036_Lipiec_W1</t>
        </is>
      </c>
    </row>
    <row r="5666">
      <c r="A5666" s="177" t="n">
        <v>49861</v>
      </c>
      <c r="B5666" s="177" t="n">
        <v>49857</v>
      </c>
      <c r="C5666" s="177" t="n">
        <v>49863</v>
      </c>
      <c r="D5666" t="inlineStr">
        <is>
          <t>BW20360701</t>
        </is>
      </c>
      <c r="E5666" t="n">
        <v>2036</v>
      </c>
      <c r="F5666" t="inlineStr">
        <is>
          <t>Lipiec</t>
        </is>
      </c>
      <c r="G5666" t="inlineStr">
        <is>
          <t>Sob</t>
        </is>
      </c>
      <c r="H5666">
        <f>'Floor Hours Engine'!$E$5</f>
        <v/>
      </c>
      <c r="I5666" t="inlineStr">
        <is>
          <t>W1</t>
        </is>
      </c>
      <c r="J5666" t="inlineStr">
        <is>
          <t>2036_Lipiec_W1</t>
        </is>
      </c>
    </row>
    <row r="5667">
      <c r="A5667" s="177" t="n">
        <v>49862</v>
      </c>
      <c r="B5667" s="177" t="n">
        <v>49857</v>
      </c>
      <c r="C5667" s="177" t="n">
        <v>49863</v>
      </c>
      <c r="D5667" t="inlineStr">
        <is>
          <t>BW20360701</t>
        </is>
      </c>
      <c r="E5667" t="n">
        <v>2036</v>
      </c>
      <c r="F5667" t="inlineStr">
        <is>
          <t>Lipiec</t>
        </is>
      </c>
      <c r="G5667" t="inlineStr">
        <is>
          <t>Nd</t>
        </is>
      </c>
      <c r="H5667">
        <f>'Floor Hours Engine'!$E$6</f>
        <v/>
      </c>
      <c r="I5667" t="inlineStr">
        <is>
          <t>W1</t>
        </is>
      </c>
      <c r="J5667" t="inlineStr">
        <is>
          <t>2036_Lipiec_W1</t>
        </is>
      </c>
    </row>
    <row r="5668">
      <c r="A5668" s="177" t="n">
        <v>49863</v>
      </c>
      <c r="B5668" s="177" t="n">
        <v>49857</v>
      </c>
      <c r="C5668" s="177" t="n">
        <v>49863</v>
      </c>
      <c r="D5668" t="inlineStr">
        <is>
          <t>BW20360701</t>
        </is>
      </c>
      <c r="E5668" t="n">
        <v>2036</v>
      </c>
      <c r="F5668" t="inlineStr">
        <is>
          <t>Lipiec</t>
        </is>
      </c>
      <c r="G5668" t="inlineStr">
        <is>
          <t>Pn</t>
        </is>
      </c>
      <c r="H5668">
        <f>'Floor Hours Engine'!$E$4</f>
        <v/>
      </c>
      <c r="I5668" t="inlineStr">
        <is>
          <t>W1</t>
        </is>
      </c>
      <c r="J5668" t="inlineStr">
        <is>
          <t>2036_Lipiec_W1</t>
        </is>
      </c>
    </row>
    <row r="5669">
      <c r="A5669" s="177" t="n">
        <v>49864</v>
      </c>
      <c r="B5669" s="177" t="n">
        <v>49864</v>
      </c>
      <c r="C5669" s="177" t="n">
        <v>49870</v>
      </c>
      <c r="D5669" t="inlineStr">
        <is>
          <t>BW20360708</t>
        </is>
      </c>
      <c r="E5669" t="n">
        <v>2036</v>
      </c>
      <c r="F5669" t="inlineStr">
        <is>
          <t>Lipiec</t>
        </is>
      </c>
      <c r="G5669" t="inlineStr">
        <is>
          <t>Wt</t>
        </is>
      </c>
      <c r="H5669">
        <f>'Floor Hours Engine'!$E$4</f>
        <v/>
      </c>
      <c r="I5669" t="inlineStr">
        <is>
          <t>W2</t>
        </is>
      </c>
      <c r="J5669" t="inlineStr">
        <is>
          <t>2036_Lipiec_W2</t>
        </is>
      </c>
    </row>
    <row r="5670">
      <c r="A5670" s="177" t="n">
        <v>49865</v>
      </c>
      <c r="B5670" s="177" t="n">
        <v>49864</v>
      </c>
      <c r="C5670" s="177" t="n">
        <v>49870</v>
      </c>
      <c r="D5670" t="inlineStr">
        <is>
          <t>BW20360708</t>
        </is>
      </c>
      <c r="E5670" t="n">
        <v>2036</v>
      </c>
      <c r="F5670" t="inlineStr">
        <is>
          <t>Lipiec</t>
        </is>
      </c>
      <c r="G5670" t="inlineStr">
        <is>
          <t>Śr</t>
        </is>
      </c>
      <c r="H5670">
        <f>'Floor Hours Engine'!$E$4</f>
        <v/>
      </c>
      <c r="I5670" t="inlineStr">
        <is>
          <t>W2</t>
        </is>
      </c>
      <c r="J5670" t="inlineStr">
        <is>
          <t>2036_Lipiec_W2</t>
        </is>
      </c>
    </row>
    <row r="5671">
      <c r="A5671" s="177" t="n">
        <v>49866</v>
      </c>
      <c r="B5671" s="177" t="n">
        <v>49864</v>
      </c>
      <c r="C5671" s="177" t="n">
        <v>49870</v>
      </c>
      <c r="D5671" t="inlineStr">
        <is>
          <t>BW20360708</t>
        </is>
      </c>
      <c r="E5671" t="n">
        <v>2036</v>
      </c>
      <c r="F5671" t="inlineStr">
        <is>
          <t>Lipiec</t>
        </is>
      </c>
      <c r="G5671" t="inlineStr">
        <is>
          <t>Czw</t>
        </is>
      </c>
      <c r="H5671">
        <f>'Floor Hours Engine'!$E$4</f>
        <v/>
      </c>
      <c r="I5671" t="inlineStr">
        <is>
          <t>W2</t>
        </is>
      </c>
      <c r="J5671" t="inlineStr">
        <is>
          <t>2036_Lipiec_W2</t>
        </is>
      </c>
    </row>
    <row r="5672">
      <c r="A5672" s="177" t="n">
        <v>49867</v>
      </c>
      <c r="B5672" s="177" t="n">
        <v>49864</v>
      </c>
      <c r="C5672" s="177" t="n">
        <v>49870</v>
      </c>
      <c r="D5672" t="inlineStr">
        <is>
          <t>BW20360708</t>
        </is>
      </c>
      <c r="E5672" t="n">
        <v>2036</v>
      </c>
      <c r="F5672" t="inlineStr">
        <is>
          <t>Lipiec</t>
        </is>
      </c>
      <c r="G5672" t="inlineStr">
        <is>
          <t>Pt</t>
        </is>
      </c>
      <c r="H5672">
        <f>'Floor Hours Engine'!$E$5</f>
        <v/>
      </c>
      <c r="I5672" t="inlineStr">
        <is>
          <t>W2</t>
        </is>
      </c>
      <c r="J5672" t="inlineStr">
        <is>
          <t>2036_Lipiec_W2</t>
        </is>
      </c>
    </row>
    <row r="5673">
      <c r="A5673" s="177" t="n">
        <v>49868</v>
      </c>
      <c r="B5673" s="177" t="n">
        <v>49864</v>
      </c>
      <c r="C5673" s="177" t="n">
        <v>49870</v>
      </c>
      <c r="D5673" t="inlineStr">
        <is>
          <t>BW20360708</t>
        </is>
      </c>
      <c r="E5673" t="n">
        <v>2036</v>
      </c>
      <c r="F5673" t="inlineStr">
        <is>
          <t>Lipiec</t>
        </is>
      </c>
      <c r="G5673" t="inlineStr">
        <is>
          <t>Sob</t>
        </is>
      </c>
      <c r="H5673">
        <f>'Floor Hours Engine'!$E$5</f>
        <v/>
      </c>
      <c r="I5673" t="inlineStr">
        <is>
          <t>W2</t>
        </is>
      </c>
      <c r="J5673" t="inlineStr">
        <is>
          <t>2036_Lipiec_W2</t>
        </is>
      </c>
    </row>
    <row r="5674">
      <c r="A5674" s="177" t="n">
        <v>49869</v>
      </c>
      <c r="B5674" s="177" t="n">
        <v>49864</v>
      </c>
      <c r="C5674" s="177" t="n">
        <v>49870</v>
      </c>
      <c r="D5674" t="inlineStr">
        <is>
          <t>BW20360708</t>
        </is>
      </c>
      <c r="E5674" t="n">
        <v>2036</v>
      </c>
      <c r="F5674" t="inlineStr">
        <is>
          <t>Lipiec</t>
        </is>
      </c>
      <c r="G5674" t="inlineStr">
        <is>
          <t>Nd</t>
        </is>
      </c>
      <c r="H5674">
        <f>'Floor Hours Engine'!$E$6</f>
        <v/>
      </c>
      <c r="I5674" t="inlineStr">
        <is>
          <t>W2</t>
        </is>
      </c>
      <c r="J5674" t="inlineStr">
        <is>
          <t>2036_Lipiec_W2</t>
        </is>
      </c>
    </row>
    <row r="5675">
      <c r="A5675" s="177" t="n">
        <v>49870</v>
      </c>
      <c r="B5675" s="177" t="n">
        <v>49864</v>
      </c>
      <c r="C5675" s="177" t="n">
        <v>49870</v>
      </c>
      <c r="D5675" t="inlineStr">
        <is>
          <t>BW20360708</t>
        </is>
      </c>
      <c r="E5675" t="n">
        <v>2036</v>
      </c>
      <c r="F5675" t="inlineStr">
        <is>
          <t>Lipiec</t>
        </is>
      </c>
      <c r="G5675" t="inlineStr">
        <is>
          <t>Pn</t>
        </is>
      </c>
      <c r="H5675">
        <f>'Floor Hours Engine'!$E$4</f>
        <v/>
      </c>
      <c r="I5675" t="inlineStr">
        <is>
          <t>W2</t>
        </is>
      </c>
      <c r="J5675" t="inlineStr">
        <is>
          <t>2036_Lipiec_W2</t>
        </is>
      </c>
    </row>
    <row r="5676">
      <c r="A5676" s="177" t="n">
        <v>49871</v>
      </c>
      <c r="B5676" s="177" t="n">
        <v>49871</v>
      </c>
      <c r="C5676" s="177" t="n">
        <v>49877</v>
      </c>
      <c r="D5676" t="inlineStr">
        <is>
          <t>BW20360715</t>
        </is>
      </c>
      <c r="E5676" t="n">
        <v>2036</v>
      </c>
      <c r="F5676" t="inlineStr">
        <is>
          <t>Lipiec</t>
        </is>
      </c>
      <c r="G5676" t="inlineStr">
        <is>
          <t>Wt</t>
        </is>
      </c>
      <c r="H5676">
        <f>'Floor Hours Engine'!$E$4</f>
        <v/>
      </c>
      <c r="I5676" t="inlineStr">
        <is>
          <t>W3</t>
        </is>
      </c>
      <c r="J5676" t="inlineStr">
        <is>
          <t>2036_Lipiec_W3</t>
        </is>
      </c>
    </row>
    <row r="5677">
      <c r="A5677" s="177" t="n">
        <v>49872</v>
      </c>
      <c r="B5677" s="177" t="n">
        <v>49871</v>
      </c>
      <c r="C5677" s="177" t="n">
        <v>49877</v>
      </c>
      <c r="D5677" t="inlineStr">
        <is>
          <t>BW20360715</t>
        </is>
      </c>
      <c r="E5677" t="n">
        <v>2036</v>
      </c>
      <c r="F5677" t="inlineStr">
        <is>
          <t>Lipiec</t>
        </is>
      </c>
      <c r="G5677" t="inlineStr">
        <is>
          <t>Śr</t>
        </is>
      </c>
      <c r="H5677">
        <f>'Floor Hours Engine'!$E$4</f>
        <v/>
      </c>
      <c r="I5677" t="inlineStr">
        <is>
          <t>W3</t>
        </is>
      </c>
      <c r="J5677" t="inlineStr">
        <is>
          <t>2036_Lipiec_W3</t>
        </is>
      </c>
    </row>
    <row r="5678">
      <c r="A5678" s="177" t="n">
        <v>49873</v>
      </c>
      <c r="B5678" s="177" t="n">
        <v>49871</v>
      </c>
      <c r="C5678" s="177" t="n">
        <v>49877</v>
      </c>
      <c r="D5678" t="inlineStr">
        <is>
          <t>BW20360715</t>
        </is>
      </c>
      <c r="E5678" t="n">
        <v>2036</v>
      </c>
      <c r="F5678" t="inlineStr">
        <is>
          <t>Lipiec</t>
        </is>
      </c>
      <c r="G5678" t="inlineStr">
        <is>
          <t>Czw</t>
        </is>
      </c>
      <c r="H5678">
        <f>'Floor Hours Engine'!$E$4</f>
        <v/>
      </c>
      <c r="I5678" t="inlineStr">
        <is>
          <t>W3</t>
        </is>
      </c>
      <c r="J5678" t="inlineStr">
        <is>
          <t>2036_Lipiec_W3</t>
        </is>
      </c>
    </row>
    <row r="5679">
      <c r="A5679" s="177" t="n">
        <v>49874</v>
      </c>
      <c r="B5679" s="177" t="n">
        <v>49871</v>
      </c>
      <c r="C5679" s="177" t="n">
        <v>49877</v>
      </c>
      <c r="D5679" t="inlineStr">
        <is>
          <t>BW20360715</t>
        </is>
      </c>
      <c r="E5679" t="n">
        <v>2036</v>
      </c>
      <c r="F5679" t="inlineStr">
        <is>
          <t>Lipiec</t>
        </is>
      </c>
      <c r="G5679" t="inlineStr">
        <is>
          <t>Pt</t>
        </is>
      </c>
      <c r="H5679">
        <f>'Floor Hours Engine'!$E$5</f>
        <v/>
      </c>
      <c r="I5679" t="inlineStr">
        <is>
          <t>W3</t>
        </is>
      </c>
      <c r="J5679" t="inlineStr">
        <is>
          <t>2036_Lipiec_W3</t>
        </is>
      </c>
    </row>
    <row r="5680">
      <c r="A5680" s="177" t="n">
        <v>49875</v>
      </c>
      <c r="B5680" s="177" t="n">
        <v>49871</v>
      </c>
      <c r="C5680" s="177" t="n">
        <v>49877</v>
      </c>
      <c r="D5680" t="inlineStr">
        <is>
          <t>BW20360715</t>
        </is>
      </c>
      <c r="E5680" t="n">
        <v>2036</v>
      </c>
      <c r="F5680" t="inlineStr">
        <is>
          <t>Lipiec</t>
        </is>
      </c>
      <c r="G5680" t="inlineStr">
        <is>
          <t>Sob</t>
        </is>
      </c>
      <c r="H5680">
        <f>'Floor Hours Engine'!$E$5</f>
        <v/>
      </c>
      <c r="I5680" t="inlineStr">
        <is>
          <t>W3</t>
        </is>
      </c>
      <c r="J5680" t="inlineStr">
        <is>
          <t>2036_Lipiec_W3</t>
        </is>
      </c>
    </row>
    <row r="5681">
      <c r="A5681" s="177" t="n">
        <v>49876</v>
      </c>
      <c r="B5681" s="177" t="n">
        <v>49871</v>
      </c>
      <c r="C5681" s="177" t="n">
        <v>49877</v>
      </c>
      <c r="D5681" t="inlineStr">
        <is>
          <t>BW20360715</t>
        </is>
      </c>
      <c r="E5681" t="n">
        <v>2036</v>
      </c>
      <c r="F5681" t="inlineStr">
        <is>
          <t>Lipiec</t>
        </is>
      </c>
      <c r="G5681" t="inlineStr">
        <is>
          <t>Nd</t>
        </is>
      </c>
      <c r="H5681">
        <f>'Floor Hours Engine'!$E$6</f>
        <v/>
      </c>
      <c r="I5681" t="inlineStr">
        <is>
          <t>W3</t>
        </is>
      </c>
      <c r="J5681" t="inlineStr">
        <is>
          <t>2036_Lipiec_W3</t>
        </is>
      </c>
    </row>
    <row r="5682">
      <c r="A5682" s="177" t="n">
        <v>49877</v>
      </c>
      <c r="B5682" s="177" t="n">
        <v>49871</v>
      </c>
      <c r="C5682" s="177" t="n">
        <v>49877</v>
      </c>
      <c r="D5682" t="inlineStr">
        <is>
          <t>BW20360715</t>
        </is>
      </c>
      <c r="E5682" t="n">
        <v>2036</v>
      </c>
      <c r="F5682" t="inlineStr">
        <is>
          <t>Lipiec</t>
        </is>
      </c>
      <c r="G5682" t="inlineStr">
        <is>
          <t>Pn</t>
        </is>
      </c>
      <c r="H5682">
        <f>'Floor Hours Engine'!$E$4</f>
        <v/>
      </c>
      <c r="I5682" t="inlineStr">
        <is>
          <t>W3</t>
        </is>
      </c>
      <c r="J5682" t="inlineStr">
        <is>
          <t>2036_Lipiec_W3</t>
        </is>
      </c>
    </row>
    <row r="5683">
      <c r="A5683" s="177" t="n">
        <v>49878</v>
      </c>
      <c r="B5683" s="177" t="n">
        <v>49878</v>
      </c>
      <c r="C5683" s="177" t="n">
        <v>49884</v>
      </c>
      <c r="D5683" t="inlineStr">
        <is>
          <t>BW20360722</t>
        </is>
      </c>
      <c r="E5683" t="n">
        <v>2036</v>
      </c>
      <c r="F5683" t="inlineStr">
        <is>
          <t>Lipiec</t>
        </is>
      </c>
      <c r="G5683" t="inlineStr">
        <is>
          <t>Wt</t>
        </is>
      </c>
      <c r="H5683">
        <f>'Floor Hours Engine'!$E$4</f>
        <v/>
      </c>
      <c r="I5683" t="inlineStr">
        <is>
          <t>W4</t>
        </is>
      </c>
      <c r="J5683" t="inlineStr">
        <is>
          <t>2036_Lipiec_W4</t>
        </is>
      </c>
    </row>
    <row r="5684">
      <c r="A5684" s="177" t="n">
        <v>49879</v>
      </c>
      <c r="B5684" s="177" t="n">
        <v>49878</v>
      </c>
      <c r="C5684" s="177" t="n">
        <v>49884</v>
      </c>
      <c r="D5684" t="inlineStr">
        <is>
          <t>BW20360722</t>
        </is>
      </c>
      <c r="E5684" t="n">
        <v>2036</v>
      </c>
      <c r="F5684" t="inlineStr">
        <is>
          <t>Lipiec</t>
        </is>
      </c>
      <c r="G5684" t="inlineStr">
        <is>
          <t>Śr</t>
        </is>
      </c>
      <c r="H5684">
        <f>'Floor Hours Engine'!$E$4</f>
        <v/>
      </c>
      <c r="I5684" t="inlineStr">
        <is>
          <t>W4</t>
        </is>
      </c>
      <c r="J5684" t="inlineStr">
        <is>
          <t>2036_Lipiec_W4</t>
        </is>
      </c>
    </row>
    <row r="5685">
      <c r="A5685" s="177" t="n">
        <v>49880</v>
      </c>
      <c r="B5685" s="177" t="n">
        <v>49878</v>
      </c>
      <c r="C5685" s="177" t="n">
        <v>49884</v>
      </c>
      <c r="D5685" t="inlineStr">
        <is>
          <t>BW20360722</t>
        </is>
      </c>
      <c r="E5685" t="n">
        <v>2036</v>
      </c>
      <c r="F5685" t="inlineStr">
        <is>
          <t>Lipiec</t>
        </is>
      </c>
      <c r="G5685" t="inlineStr">
        <is>
          <t>Czw</t>
        </is>
      </c>
      <c r="H5685">
        <f>'Floor Hours Engine'!$E$4</f>
        <v/>
      </c>
      <c r="I5685" t="inlineStr">
        <is>
          <t>W4</t>
        </is>
      </c>
      <c r="J5685" t="inlineStr">
        <is>
          <t>2036_Lipiec_W4</t>
        </is>
      </c>
    </row>
    <row r="5686">
      <c r="A5686" s="177" t="n">
        <v>49881</v>
      </c>
      <c r="B5686" s="177" t="n">
        <v>49878</v>
      </c>
      <c r="C5686" s="177" t="n">
        <v>49884</v>
      </c>
      <c r="D5686" t="inlineStr">
        <is>
          <t>BW20360722</t>
        </is>
      </c>
      <c r="E5686" t="n">
        <v>2036</v>
      </c>
      <c r="F5686" t="inlineStr">
        <is>
          <t>Lipiec</t>
        </is>
      </c>
      <c r="G5686" t="inlineStr">
        <is>
          <t>Pt</t>
        </is>
      </c>
      <c r="H5686">
        <f>'Floor Hours Engine'!$E$5</f>
        <v/>
      </c>
      <c r="I5686" t="inlineStr">
        <is>
          <t>W4</t>
        </is>
      </c>
      <c r="J5686" t="inlineStr">
        <is>
          <t>2036_Lipiec_W4</t>
        </is>
      </c>
    </row>
    <row r="5687">
      <c r="A5687" s="177" t="n">
        <v>49882</v>
      </c>
      <c r="B5687" s="177" t="n">
        <v>49878</v>
      </c>
      <c r="C5687" s="177" t="n">
        <v>49884</v>
      </c>
      <c r="D5687" t="inlineStr">
        <is>
          <t>BW20360722</t>
        </is>
      </c>
      <c r="E5687" t="n">
        <v>2036</v>
      </c>
      <c r="F5687" t="inlineStr">
        <is>
          <t>Lipiec</t>
        </is>
      </c>
      <c r="G5687" t="inlineStr">
        <is>
          <t>Sob</t>
        </is>
      </c>
      <c r="H5687">
        <f>'Floor Hours Engine'!$E$5</f>
        <v/>
      </c>
      <c r="I5687" t="inlineStr">
        <is>
          <t>W4</t>
        </is>
      </c>
      <c r="J5687" t="inlineStr">
        <is>
          <t>2036_Lipiec_W4</t>
        </is>
      </c>
    </row>
    <row r="5688">
      <c r="A5688" s="177" t="n">
        <v>49883</v>
      </c>
      <c r="B5688" s="177" t="n">
        <v>49878</v>
      </c>
      <c r="C5688" s="177" t="n">
        <v>49884</v>
      </c>
      <c r="D5688" t="inlineStr">
        <is>
          <t>BW20360722</t>
        </is>
      </c>
      <c r="E5688" t="n">
        <v>2036</v>
      </c>
      <c r="F5688" t="inlineStr">
        <is>
          <t>Lipiec</t>
        </is>
      </c>
      <c r="G5688" t="inlineStr">
        <is>
          <t>Nd</t>
        </is>
      </c>
      <c r="H5688">
        <f>'Floor Hours Engine'!$E$6</f>
        <v/>
      </c>
      <c r="I5688" t="inlineStr">
        <is>
          <t>W4</t>
        </is>
      </c>
      <c r="J5688" t="inlineStr">
        <is>
          <t>2036_Lipiec_W4</t>
        </is>
      </c>
    </row>
    <row r="5689">
      <c r="A5689" s="177" t="n">
        <v>49884</v>
      </c>
      <c r="B5689" s="177" t="n">
        <v>49878</v>
      </c>
      <c r="C5689" s="177" t="n">
        <v>49884</v>
      </c>
      <c r="D5689" t="inlineStr">
        <is>
          <t>BW20360722</t>
        </is>
      </c>
      <c r="E5689" t="n">
        <v>2036</v>
      </c>
      <c r="F5689" t="inlineStr">
        <is>
          <t>Lipiec</t>
        </is>
      </c>
      <c r="G5689" t="inlineStr">
        <is>
          <t>Pn</t>
        </is>
      </c>
      <c r="H5689">
        <f>'Floor Hours Engine'!$E$4</f>
        <v/>
      </c>
      <c r="I5689" t="inlineStr">
        <is>
          <t>W4</t>
        </is>
      </c>
      <c r="J5689" t="inlineStr">
        <is>
          <t>2036_Lipiec_W4</t>
        </is>
      </c>
    </row>
    <row r="5690">
      <c r="A5690" s="177" t="n">
        <v>49885</v>
      </c>
      <c r="B5690" s="177" t="n">
        <v>49885</v>
      </c>
      <c r="C5690" s="177" t="n">
        <v>49891</v>
      </c>
      <c r="D5690" t="inlineStr">
        <is>
          <t>BW20360729</t>
        </is>
      </c>
      <c r="E5690" t="n">
        <v>2036</v>
      </c>
      <c r="F5690" t="inlineStr">
        <is>
          <t>Lipiec</t>
        </is>
      </c>
      <c r="G5690" t="inlineStr">
        <is>
          <t>Wt</t>
        </is>
      </c>
      <c r="H5690">
        <f>'Floor Hours Engine'!$E$4</f>
        <v/>
      </c>
      <c r="I5690" t="inlineStr">
        <is>
          <t>W5</t>
        </is>
      </c>
      <c r="J5690" t="inlineStr">
        <is>
          <t>2036_Lipiec_W5</t>
        </is>
      </c>
    </row>
    <row r="5691">
      <c r="A5691" s="177" t="n">
        <v>49886</v>
      </c>
      <c r="B5691" s="177" t="n">
        <v>49885</v>
      </c>
      <c r="C5691" s="177" t="n">
        <v>49891</v>
      </c>
      <c r="D5691" t="inlineStr">
        <is>
          <t>BW20360729</t>
        </is>
      </c>
      <c r="E5691" t="n">
        <v>2036</v>
      </c>
      <c r="F5691" t="inlineStr">
        <is>
          <t>Lipiec</t>
        </is>
      </c>
      <c r="G5691" t="inlineStr">
        <is>
          <t>Śr</t>
        </is>
      </c>
      <c r="H5691">
        <f>'Floor Hours Engine'!$E$4</f>
        <v/>
      </c>
      <c r="I5691" t="inlineStr">
        <is>
          <t>W5</t>
        </is>
      </c>
      <c r="J5691" t="inlineStr">
        <is>
          <t>2036_Lipiec_W5</t>
        </is>
      </c>
    </row>
    <row r="5692">
      <c r="A5692" s="177" t="n">
        <v>49887</v>
      </c>
      <c r="B5692" s="177" t="n">
        <v>49885</v>
      </c>
      <c r="C5692" s="177" t="n">
        <v>49891</v>
      </c>
      <c r="D5692" t="inlineStr">
        <is>
          <t>BW20360729</t>
        </is>
      </c>
      <c r="E5692" t="n">
        <v>2036</v>
      </c>
      <c r="F5692" t="inlineStr">
        <is>
          <t>Lipiec</t>
        </is>
      </c>
      <c r="G5692" t="inlineStr">
        <is>
          <t>Czw</t>
        </is>
      </c>
      <c r="H5692">
        <f>'Floor Hours Engine'!$E$4</f>
        <v/>
      </c>
      <c r="I5692" t="inlineStr">
        <is>
          <t>W5</t>
        </is>
      </c>
      <c r="J5692" t="inlineStr">
        <is>
          <t>2036_Lipiec_W5</t>
        </is>
      </c>
    </row>
    <row r="5693">
      <c r="A5693" s="177" t="n">
        <v>49888</v>
      </c>
      <c r="B5693" s="177" t="n">
        <v>49885</v>
      </c>
      <c r="C5693" s="177" t="n">
        <v>49891</v>
      </c>
      <c r="D5693" t="inlineStr">
        <is>
          <t>BW20360729</t>
        </is>
      </c>
      <c r="E5693" t="n">
        <v>2036</v>
      </c>
      <c r="F5693" t="inlineStr">
        <is>
          <t>Sierpień</t>
        </is>
      </c>
      <c r="G5693" t="inlineStr">
        <is>
          <t>Pt</t>
        </is>
      </c>
      <c r="H5693">
        <f>'Floor Hours Engine'!$E$5</f>
        <v/>
      </c>
      <c r="I5693" t="inlineStr">
        <is>
          <t>W1</t>
        </is>
      </c>
      <c r="J5693" t="inlineStr">
        <is>
          <t>2036_Sierpień_W1</t>
        </is>
      </c>
    </row>
    <row r="5694">
      <c r="A5694" s="177" t="n">
        <v>49889</v>
      </c>
      <c r="B5694" s="177" t="n">
        <v>49885</v>
      </c>
      <c r="C5694" s="177" t="n">
        <v>49891</v>
      </c>
      <c r="D5694" t="inlineStr">
        <is>
          <t>BW20360729</t>
        </is>
      </c>
      <c r="E5694" t="n">
        <v>2036</v>
      </c>
      <c r="F5694" t="inlineStr">
        <is>
          <t>Sierpień</t>
        </is>
      </c>
      <c r="G5694" t="inlineStr">
        <is>
          <t>Sob</t>
        </is>
      </c>
      <c r="H5694">
        <f>'Floor Hours Engine'!$E$5</f>
        <v/>
      </c>
      <c r="I5694" t="inlineStr">
        <is>
          <t>W1</t>
        </is>
      </c>
      <c r="J5694" t="inlineStr">
        <is>
          <t>2036_Sierpień_W1</t>
        </is>
      </c>
    </row>
    <row r="5695">
      <c r="A5695" s="177" t="n">
        <v>49890</v>
      </c>
      <c r="B5695" s="177" t="n">
        <v>49885</v>
      </c>
      <c r="C5695" s="177" t="n">
        <v>49891</v>
      </c>
      <c r="D5695" t="inlineStr">
        <is>
          <t>BW20360729</t>
        </is>
      </c>
      <c r="E5695" t="n">
        <v>2036</v>
      </c>
      <c r="F5695" t="inlineStr">
        <is>
          <t>Sierpień</t>
        </is>
      </c>
      <c r="G5695" t="inlineStr">
        <is>
          <t>Nd</t>
        </is>
      </c>
      <c r="H5695">
        <f>'Floor Hours Engine'!$E$6</f>
        <v/>
      </c>
      <c r="I5695" t="inlineStr">
        <is>
          <t>W1</t>
        </is>
      </c>
      <c r="J5695" t="inlineStr">
        <is>
          <t>2036_Sierpień_W1</t>
        </is>
      </c>
    </row>
    <row r="5696">
      <c r="A5696" s="177" t="n">
        <v>49891</v>
      </c>
      <c r="B5696" s="177" t="n">
        <v>49885</v>
      </c>
      <c r="C5696" s="177" t="n">
        <v>49891</v>
      </c>
      <c r="D5696" t="inlineStr">
        <is>
          <t>BW20360729</t>
        </is>
      </c>
      <c r="E5696" t="n">
        <v>2036</v>
      </c>
      <c r="F5696" t="inlineStr">
        <is>
          <t>Sierpień</t>
        </is>
      </c>
      <c r="G5696" t="inlineStr">
        <is>
          <t>Pn</t>
        </is>
      </c>
      <c r="H5696">
        <f>'Floor Hours Engine'!$E$4</f>
        <v/>
      </c>
      <c r="I5696" t="inlineStr">
        <is>
          <t>W1</t>
        </is>
      </c>
      <c r="J5696" t="inlineStr">
        <is>
          <t>2036_Sierpień_W1</t>
        </is>
      </c>
    </row>
    <row r="5697">
      <c r="A5697" s="177" t="n">
        <v>49892</v>
      </c>
      <c r="B5697" s="177" t="n">
        <v>49892</v>
      </c>
      <c r="C5697" s="177" t="n">
        <v>49898</v>
      </c>
      <c r="D5697" t="inlineStr">
        <is>
          <t>BW20360805</t>
        </is>
      </c>
      <c r="E5697" t="n">
        <v>2036</v>
      </c>
      <c r="F5697" t="inlineStr">
        <is>
          <t>Sierpień</t>
        </is>
      </c>
      <c r="G5697" t="inlineStr">
        <is>
          <t>Wt</t>
        </is>
      </c>
      <c r="H5697">
        <f>'Floor Hours Engine'!$E$4</f>
        <v/>
      </c>
      <c r="I5697" t="inlineStr">
        <is>
          <t>W2</t>
        </is>
      </c>
      <c r="J5697" t="inlineStr">
        <is>
          <t>2036_Sierpień_W2</t>
        </is>
      </c>
    </row>
    <row r="5698">
      <c r="A5698" s="177" t="n">
        <v>49893</v>
      </c>
      <c r="B5698" s="177" t="n">
        <v>49892</v>
      </c>
      <c r="C5698" s="177" t="n">
        <v>49898</v>
      </c>
      <c r="D5698" t="inlineStr">
        <is>
          <t>BW20360805</t>
        </is>
      </c>
      <c r="E5698" t="n">
        <v>2036</v>
      </c>
      <c r="F5698" t="inlineStr">
        <is>
          <t>Sierpień</t>
        </is>
      </c>
      <c r="G5698" t="inlineStr">
        <is>
          <t>Śr</t>
        </is>
      </c>
      <c r="H5698">
        <f>'Floor Hours Engine'!$E$4</f>
        <v/>
      </c>
      <c r="I5698" t="inlineStr">
        <is>
          <t>W2</t>
        </is>
      </c>
      <c r="J5698" t="inlineStr">
        <is>
          <t>2036_Sierpień_W2</t>
        </is>
      </c>
    </row>
    <row r="5699">
      <c r="A5699" s="177" t="n">
        <v>49894</v>
      </c>
      <c r="B5699" s="177" t="n">
        <v>49892</v>
      </c>
      <c r="C5699" s="177" t="n">
        <v>49898</v>
      </c>
      <c r="D5699" t="inlineStr">
        <is>
          <t>BW20360805</t>
        </is>
      </c>
      <c r="E5699" t="n">
        <v>2036</v>
      </c>
      <c r="F5699" t="inlineStr">
        <is>
          <t>Sierpień</t>
        </is>
      </c>
      <c r="G5699" t="inlineStr">
        <is>
          <t>Czw</t>
        </is>
      </c>
      <c r="H5699">
        <f>'Floor Hours Engine'!$E$4</f>
        <v/>
      </c>
      <c r="I5699" t="inlineStr">
        <is>
          <t>W2</t>
        </is>
      </c>
      <c r="J5699" t="inlineStr">
        <is>
          <t>2036_Sierpień_W2</t>
        </is>
      </c>
    </row>
    <row r="5700">
      <c r="A5700" s="177" t="n">
        <v>49895</v>
      </c>
      <c r="B5700" s="177" t="n">
        <v>49892</v>
      </c>
      <c r="C5700" s="177" t="n">
        <v>49898</v>
      </c>
      <c r="D5700" t="inlineStr">
        <is>
          <t>BW20360805</t>
        </is>
      </c>
      <c r="E5700" t="n">
        <v>2036</v>
      </c>
      <c r="F5700" t="inlineStr">
        <is>
          <t>Sierpień</t>
        </is>
      </c>
      <c r="G5700" t="inlineStr">
        <is>
          <t>Pt</t>
        </is>
      </c>
      <c r="H5700">
        <f>'Floor Hours Engine'!$E$5</f>
        <v/>
      </c>
      <c r="I5700" t="inlineStr">
        <is>
          <t>W2</t>
        </is>
      </c>
      <c r="J5700" t="inlineStr">
        <is>
          <t>2036_Sierpień_W2</t>
        </is>
      </c>
    </row>
    <row r="5701">
      <c r="A5701" s="177" t="n">
        <v>49896</v>
      </c>
      <c r="B5701" s="177" t="n">
        <v>49892</v>
      </c>
      <c r="C5701" s="177" t="n">
        <v>49898</v>
      </c>
      <c r="D5701" t="inlineStr">
        <is>
          <t>BW20360805</t>
        </is>
      </c>
      <c r="E5701" t="n">
        <v>2036</v>
      </c>
      <c r="F5701" t="inlineStr">
        <is>
          <t>Sierpień</t>
        </is>
      </c>
      <c r="G5701" t="inlineStr">
        <is>
          <t>Sob</t>
        </is>
      </c>
      <c r="H5701">
        <f>'Floor Hours Engine'!$E$5</f>
        <v/>
      </c>
      <c r="I5701" t="inlineStr">
        <is>
          <t>W2</t>
        </is>
      </c>
      <c r="J5701" t="inlineStr">
        <is>
          <t>2036_Sierpień_W2</t>
        </is>
      </c>
    </row>
    <row r="5702">
      <c r="A5702" s="177" t="n">
        <v>49897</v>
      </c>
      <c r="B5702" s="177" t="n">
        <v>49892</v>
      </c>
      <c r="C5702" s="177" t="n">
        <v>49898</v>
      </c>
      <c r="D5702" t="inlineStr">
        <is>
          <t>BW20360805</t>
        </is>
      </c>
      <c r="E5702" t="n">
        <v>2036</v>
      </c>
      <c r="F5702" t="inlineStr">
        <is>
          <t>Sierpień</t>
        </is>
      </c>
      <c r="G5702" t="inlineStr">
        <is>
          <t>Nd</t>
        </is>
      </c>
      <c r="H5702">
        <f>'Floor Hours Engine'!$E$6</f>
        <v/>
      </c>
      <c r="I5702" t="inlineStr">
        <is>
          <t>W2</t>
        </is>
      </c>
      <c r="J5702" t="inlineStr">
        <is>
          <t>2036_Sierpień_W2</t>
        </is>
      </c>
    </row>
    <row r="5703">
      <c r="A5703" s="177" t="n">
        <v>49898</v>
      </c>
      <c r="B5703" s="177" t="n">
        <v>49892</v>
      </c>
      <c r="C5703" s="177" t="n">
        <v>49898</v>
      </c>
      <c r="D5703" t="inlineStr">
        <is>
          <t>BW20360805</t>
        </is>
      </c>
      <c r="E5703" t="n">
        <v>2036</v>
      </c>
      <c r="F5703" t="inlineStr">
        <is>
          <t>Sierpień</t>
        </is>
      </c>
      <c r="G5703" t="inlineStr">
        <is>
          <t>Pn</t>
        </is>
      </c>
      <c r="H5703">
        <f>'Floor Hours Engine'!$E$4</f>
        <v/>
      </c>
      <c r="I5703" t="inlineStr">
        <is>
          <t>W2</t>
        </is>
      </c>
      <c r="J5703" t="inlineStr">
        <is>
          <t>2036_Sierpień_W2</t>
        </is>
      </c>
    </row>
    <row r="5704">
      <c r="A5704" s="177" t="n">
        <v>49899</v>
      </c>
      <c r="B5704" s="177" t="n">
        <v>49899</v>
      </c>
      <c r="C5704" s="177" t="n">
        <v>49905</v>
      </c>
      <c r="D5704" t="inlineStr">
        <is>
          <t>BW20360812</t>
        </is>
      </c>
      <c r="E5704" t="n">
        <v>2036</v>
      </c>
      <c r="F5704" t="inlineStr">
        <is>
          <t>Sierpień</t>
        </is>
      </c>
      <c r="G5704" t="inlineStr">
        <is>
          <t>Wt</t>
        </is>
      </c>
      <c r="H5704">
        <f>'Floor Hours Engine'!$E$4</f>
        <v/>
      </c>
      <c r="I5704" t="inlineStr">
        <is>
          <t>W3</t>
        </is>
      </c>
      <c r="J5704" t="inlineStr">
        <is>
          <t>2036_Sierpień_W3</t>
        </is>
      </c>
    </row>
    <row r="5705">
      <c r="A5705" s="177" t="n">
        <v>49900</v>
      </c>
      <c r="B5705" s="177" t="n">
        <v>49899</v>
      </c>
      <c r="C5705" s="177" t="n">
        <v>49905</v>
      </c>
      <c r="D5705" t="inlineStr">
        <is>
          <t>BW20360812</t>
        </is>
      </c>
      <c r="E5705" t="n">
        <v>2036</v>
      </c>
      <c r="F5705" t="inlineStr">
        <is>
          <t>Sierpień</t>
        </is>
      </c>
      <c r="G5705" t="inlineStr">
        <is>
          <t>Śr</t>
        </is>
      </c>
      <c r="H5705">
        <f>'Floor Hours Engine'!$E$4</f>
        <v/>
      </c>
      <c r="I5705" t="inlineStr">
        <is>
          <t>W3</t>
        </is>
      </c>
      <c r="J5705" t="inlineStr">
        <is>
          <t>2036_Sierpień_W3</t>
        </is>
      </c>
    </row>
    <row r="5706">
      <c r="A5706" s="177" t="n">
        <v>49901</v>
      </c>
      <c r="B5706" s="177" t="n">
        <v>49899</v>
      </c>
      <c r="C5706" s="177" t="n">
        <v>49905</v>
      </c>
      <c r="D5706" t="inlineStr">
        <is>
          <t>BW20360812</t>
        </is>
      </c>
      <c r="E5706" t="n">
        <v>2036</v>
      </c>
      <c r="F5706" t="inlineStr">
        <is>
          <t>Sierpień</t>
        </is>
      </c>
      <c r="G5706" t="inlineStr">
        <is>
          <t>Czw</t>
        </is>
      </c>
      <c r="H5706">
        <f>'Floor Hours Engine'!$E$4</f>
        <v/>
      </c>
      <c r="I5706" t="inlineStr">
        <is>
          <t>W3</t>
        </is>
      </c>
      <c r="J5706" t="inlineStr">
        <is>
          <t>2036_Sierpień_W3</t>
        </is>
      </c>
    </row>
    <row r="5707">
      <c r="A5707" s="177" t="n">
        <v>49902</v>
      </c>
      <c r="B5707" s="177" t="n">
        <v>49899</v>
      </c>
      <c r="C5707" s="177" t="n">
        <v>49905</v>
      </c>
      <c r="D5707" t="inlineStr">
        <is>
          <t>BW20360812</t>
        </is>
      </c>
      <c r="E5707" t="n">
        <v>2036</v>
      </c>
      <c r="F5707" t="inlineStr">
        <is>
          <t>Sierpień</t>
        </is>
      </c>
      <c r="G5707" t="inlineStr">
        <is>
          <t>Pt</t>
        </is>
      </c>
      <c r="H5707">
        <f>'Floor Hours Engine'!$E$5</f>
        <v/>
      </c>
      <c r="I5707" t="inlineStr">
        <is>
          <t>W3</t>
        </is>
      </c>
      <c r="J5707" t="inlineStr">
        <is>
          <t>2036_Sierpień_W3</t>
        </is>
      </c>
    </row>
    <row r="5708">
      <c r="A5708" s="177" t="n">
        <v>49903</v>
      </c>
      <c r="B5708" s="177" t="n">
        <v>49899</v>
      </c>
      <c r="C5708" s="177" t="n">
        <v>49905</v>
      </c>
      <c r="D5708" t="inlineStr">
        <is>
          <t>BW20360812</t>
        </is>
      </c>
      <c r="E5708" t="n">
        <v>2036</v>
      </c>
      <c r="F5708" t="inlineStr">
        <is>
          <t>Sierpień</t>
        </is>
      </c>
      <c r="G5708" t="inlineStr">
        <is>
          <t>Sob</t>
        </is>
      </c>
      <c r="H5708">
        <f>'Floor Hours Engine'!$E$5</f>
        <v/>
      </c>
      <c r="I5708" t="inlineStr">
        <is>
          <t>W3</t>
        </is>
      </c>
      <c r="J5708" t="inlineStr">
        <is>
          <t>2036_Sierpień_W3</t>
        </is>
      </c>
    </row>
    <row r="5709">
      <c r="A5709" s="177" t="n">
        <v>49904</v>
      </c>
      <c r="B5709" s="177" t="n">
        <v>49899</v>
      </c>
      <c r="C5709" s="177" t="n">
        <v>49905</v>
      </c>
      <c r="D5709" t="inlineStr">
        <is>
          <t>BW20360812</t>
        </is>
      </c>
      <c r="E5709" t="n">
        <v>2036</v>
      </c>
      <c r="F5709" t="inlineStr">
        <is>
          <t>Sierpień</t>
        </is>
      </c>
      <c r="G5709" t="inlineStr">
        <is>
          <t>Nd</t>
        </is>
      </c>
      <c r="H5709">
        <f>'Floor Hours Engine'!$E$6</f>
        <v/>
      </c>
      <c r="I5709" t="inlineStr">
        <is>
          <t>W3</t>
        </is>
      </c>
      <c r="J5709" t="inlineStr">
        <is>
          <t>2036_Sierpień_W3</t>
        </is>
      </c>
    </row>
    <row r="5710">
      <c r="A5710" s="177" t="n">
        <v>49905</v>
      </c>
      <c r="B5710" s="177" t="n">
        <v>49899</v>
      </c>
      <c r="C5710" s="177" t="n">
        <v>49905</v>
      </c>
      <c r="D5710" t="inlineStr">
        <is>
          <t>BW20360812</t>
        </is>
      </c>
      <c r="E5710" t="n">
        <v>2036</v>
      </c>
      <c r="F5710" t="inlineStr">
        <is>
          <t>Sierpień</t>
        </is>
      </c>
      <c r="G5710" t="inlineStr">
        <is>
          <t>Pn</t>
        </is>
      </c>
      <c r="H5710">
        <f>'Floor Hours Engine'!$E$4</f>
        <v/>
      </c>
      <c r="I5710" t="inlineStr">
        <is>
          <t>W3</t>
        </is>
      </c>
      <c r="J5710" t="inlineStr">
        <is>
          <t>2036_Sierpień_W3</t>
        </is>
      </c>
    </row>
    <row r="5711">
      <c r="A5711" s="177" t="n">
        <v>49906</v>
      </c>
      <c r="B5711" s="177" t="n">
        <v>49906</v>
      </c>
      <c r="C5711" s="177" t="n">
        <v>49912</v>
      </c>
      <c r="D5711" t="inlineStr">
        <is>
          <t>BW20360819</t>
        </is>
      </c>
      <c r="E5711" t="n">
        <v>2036</v>
      </c>
      <c r="F5711" t="inlineStr">
        <is>
          <t>Sierpień</t>
        </is>
      </c>
      <c r="G5711" t="inlineStr">
        <is>
          <t>Wt</t>
        </is>
      </c>
      <c r="H5711">
        <f>'Floor Hours Engine'!$E$4</f>
        <v/>
      </c>
      <c r="I5711" t="inlineStr">
        <is>
          <t>W4</t>
        </is>
      </c>
      <c r="J5711" t="inlineStr">
        <is>
          <t>2036_Sierpień_W4</t>
        </is>
      </c>
    </row>
    <row r="5712">
      <c r="A5712" s="177" t="n">
        <v>49907</v>
      </c>
      <c r="B5712" s="177" t="n">
        <v>49906</v>
      </c>
      <c r="C5712" s="177" t="n">
        <v>49912</v>
      </c>
      <c r="D5712" t="inlineStr">
        <is>
          <t>BW20360819</t>
        </is>
      </c>
      <c r="E5712" t="n">
        <v>2036</v>
      </c>
      <c r="F5712" t="inlineStr">
        <is>
          <t>Sierpień</t>
        </is>
      </c>
      <c r="G5712" t="inlineStr">
        <is>
          <t>Śr</t>
        </is>
      </c>
      <c r="H5712">
        <f>'Floor Hours Engine'!$E$4</f>
        <v/>
      </c>
      <c r="I5712" t="inlineStr">
        <is>
          <t>W4</t>
        </is>
      </c>
      <c r="J5712" t="inlineStr">
        <is>
          <t>2036_Sierpień_W4</t>
        </is>
      </c>
    </row>
    <row r="5713">
      <c r="A5713" s="177" t="n">
        <v>49908</v>
      </c>
      <c r="B5713" s="177" t="n">
        <v>49906</v>
      </c>
      <c r="C5713" s="177" t="n">
        <v>49912</v>
      </c>
      <c r="D5713" t="inlineStr">
        <is>
          <t>BW20360819</t>
        </is>
      </c>
      <c r="E5713" t="n">
        <v>2036</v>
      </c>
      <c r="F5713" t="inlineStr">
        <is>
          <t>Sierpień</t>
        </is>
      </c>
      <c r="G5713" t="inlineStr">
        <is>
          <t>Czw</t>
        </is>
      </c>
      <c r="H5713">
        <f>'Floor Hours Engine'!$E$4</f>
        <v/>
      </c>
      <c r="I5713" t="inlineStr">
        <is>
          <t>W4</t>
        </is>
      </c>
      <c r="J5713" t="inlineStr">
        <is>
          <t>2036_Sierpień_W4</t>
        </is>
      </c>
    </row>
    <row r="5714">
      <c r="A5714" s="177" t="n">
        <v>49909</v>
      </c>
      <c r="B5714" s="177" t="n">
        <v>49906</v>
      </c>
      <c r="C5714" s="177" t="n">
        <v>49912</v>
      </c>
      <c r="D5714" t="inlineStr">
        <is>
          <t>BW20360819</t>
        </is>
      </c>
      <c r="E5714" t="n">
        <v>2036</v>
      </c>
      <c r="F5714" t="inlineStr">
        <is>
          <t>Sierpień</t>
        </is>
      </c>
      <c r="G5714" t="inlineStr">
        <is>
          <t>Pt</t>
        </is>
      </c>
      <c r="H5714">
        <f>'Floor Hours Engine'!$E$5</f>
        <v/>
      </c>
      <c r="I5714" t="inlineStr">
        <is>
          <t>W4</t>
        </is>
      </c>
      <c r="J5714" t="inlineStr">
        <is>
          <t>2036_Sierpień_W4</t>
        </is>
      </c>
    </row>
    <row r="5715">
      <c r="A5715" s="177" t="n">
        <v>49910</v>
      </c>
      <c r="B5715" s="177" t="n">
        <v>49906</v>
      </c>
      <c r="C5715" s="177" t="n">
        <v>49912</v>
      </c>
      <c r="D5715" t="inlineStr">
        <is>
          <t>BW20360819</t>
        </is>
      </c>
      <c r="E5715" t="n">
        <v>2036</v>
      </c>
      <c r="F5715" t="inlineStr">
        <is>
          <t>Sierpień</t>
        </is>
      </c>
      <c r="G5715" t="inlineStr">
        <is>
          <t>Sob</t>
        </is>
      </c>
      <c r="H5715">
        <f>'Floor Hours Engine'!$E$5</f>
        <v/>
      </c>
      <c r="I5715" t="inlineStr">
        <is>
          <t>W4</t>
        </is>
      </c>
      <c r="J5715" t="inlineStr">
        <is>
          <t>2036_Sierpień_W4</t>
        </is>
      </c>
    </row>
    <row r="5716">
      <c r="A5716" s="177" t="n">
        <v>49911</v>
      </c>
      <c r="B5716" s="177" t="n">
        <v>49906</v>
      </c>
      <c r="C5716" s="177" t="n">
        <v>49912</v>
      </c>
      <c r="D5716" t="inlineStr">
        <is>
          <t>BW20360819</t>
        </is>
      </c>
      <c r="E5716" t="n">
        <v>2036</v>
      </c>
      <c r="F5716" t="inlineStr">
        <is>
          <t>Sierpień</t>
        </is>
      </c>
      <c r="G5716" t="inlineStr">
        <is>
          <t>Nd</t>
        </is>
      </c>
      <c r="H5716">
        <f>'Floor Hours Engine'!$E$6</f>
        <v/>
      </c>
      <c r="I5716" t="inlineStr">
        <is>
          <t>W4</t>
        </is>
      </c>
      <c r="J5716" t="inlineStr">
        <is>
          <t>2036_Sierpień_W4</t>
        </is>
      </c>
    </row>
    <row r="5717">
      <c r="A5717" s="177" t="n">
        <v>49912</v>
      </c>
      <c r="B5717" s="177" t="n">
        <v>49906</v>
      </c>
      <c r="C5717" s="177" t="n">
        <v>49912</v>
      </c>
      <c r="D5717" t="inlineStr">
        <is>
          <t>BW20360819</t>
        </is>
      </c>
      <c r="E5717" t="n">
        <v>2036</v>
      </c>
      <c r="F5717" t="inlineStr">
        <is>
          <t>Sierpień</t>
        </is>
      </c>
      <c r="G5717" t="inlineStr">
        <is>
          <t>Pn</t>
        </is>
      </c>
      <c r="H5717">
        <f>'Floor Hours Engine'!$E$4</f>
        <v/>
      </c>
      <c r="I5717" t="inlineStr">
        <is>
          <t>W4</t>
        </is>
      </c>
      <c r="J5717" t="inlineStr">
        <is>
          <t>2036_Sierpień_W4</t>
        </is>
      </c>
    </row>
    <row r="5718">
      <c r="A5718" s="177" t="n">
        <v>49913</v>
      </c>
      <c r="B5718" s="177" t="n">
        <v>49913</v>
      </c>
      <c r="C5718" s="177" t="n">
        <v>49919</v>
      </c>
      <c r="D5718" t="inlineStr">
        <is>
          <t>BW20360826</t>
        </is>
      </c>
      <c r="E5718" t="n">
        <v>2036</v>
      </c>
      <c r="F5718" t="inlineStr">
        <is>
          <t>Sierpień</t>
        </is>
      </c>
      <c r="G5718" t="inlineStr">
        <is>
          <t>Wt</t>
        </is>
      </c>
      <c r="H5718">
        <f>'Floor Hours Engine'!$E$4</f>
        <v/>
      </c>
      <c r="I5718" t="inlineStr">
        <is>
          <t>W5</t>
        </is>
      </c>
      <c r="J5718" t="inlineStr">
        <is>
          <t>2036_Sierpień_W5</t>
        </is>
      </c>
    </row>
    <row r="5719">
      <c r="A5719" s="177" t="n">
        <v>49914</v>
      </c>
      <c r="B5719" s="177" t="n">
        <v>49913</v>
      </c>
      <c r="C5719" s="177" t="n">
        <v>49919</v>
      </c>
      <c r="D5719" t="inlineStr">
        <is>
          <t>BW20360826</t>
        </is>
      </c>
      <c r="E5719" t="n">
        <v>2036</v>
      </c>
      <c r="F5719" t="inlineStr">
        <is>
          <t>Sierpień</t>
        </is>
      </c>
      <c r="G5719" t="inlineStr">
        <is>
          <t>Śr</t>
        </is>
      </c>
      <c r="H5719">
        <f>'Floor Hours Engine'!$E$4</f>
        <v/>
      </c>
      <c r="I5719" t="inlineStr">
        <is>
          <t>W5</t>
        </is>
      </c>
      <c r="J5719" t="inlineStr">
        <is>
          <t>2036_Sierpień_W5</t>
        </is>
      </c>
    </row>
    <row r="5720">
      <c r="A5720" s="177" t="n">
        <v>49915</v>
      </c>
      <c r="B5720" s="177" t="n">
        <v>49913</v>
      </c>
      <c r="C5720" s="177" t="n">
        <v>49919</v>
      </c>
      <c r="D5720" t="inlineStr">
        <is>
          <t>BW20360826</t>
        </is>
      </c>
      <c r="E5720" t="n">
        <v>2036</v>
      </c>
      <c r="F5720" t="inlineStr">
        <is>
          <t>Sierpień</t>
        </is>
      </c>
      <c r="G5720" t="inlineStr">
        <is>
          <t>Czw</t>
        </is>
      </c>
      <c r="H5720">
        <f>'Floor Hours Engine'!$E$4</f>
        <v/>
      </c>
      <c r="I5720" t="inlineStr">
        <is>
          <t>W5</t>
        </is>
      </c>
      <c r="J5720" t="inlineStr">
        <is>
          <t>2036_Sierpień_W5</t>
        </is>
      </c>
    </row>
    <row r="5721">
      <c r="A5721" s="177" t="n">
        <v>49916</v>
      </c>
      <c r="B5721" s="177" t="n">
        <v>49913</v>
      </c>
      <c r="C5721" s="177" t="n">
        <v>49919</v>
      </c>
      <c r="D5721" t="inlineStr">
        <is>
          <t>BW20360826</t>
        </is>
      </c>
      <c r="E5721" t="n">
        <v>2036</v>
      </c>
      <c r="F5721" t="inlineStr">
        <is>
          <t>Sierpień</t>
        </is>
      </c>
      <c r="G5721" t="inlineStr">
        <is>
          <t>Pt</t>
        </is>
      </c>
      <c r="H5721">
        <f>'Floor Hours Engine'!$E$5</f>
        <v/>
      </c>
      <c r="I5721" t="inlineStr">
        <is>
          <t>W5</t>
        </is>
      </c>
      <c r="J5721" t="inlineStr">
        <is>
          <t>2036_Sierpień_W5</t>
        </is>
      </c>
    </row>
    <row r="5722">
      <c r="A5722" s="177" t="n">
        <v>49917</v>
      </c>
      <c r="B5722" s="177" t="n">
        <v>49913</v>
      </c>
      <c r="C5722" s="177" t="n">
        <v>49919</v>
      </c>
      <c r="D5722" t="inlineStr">
        <is>
          <t>BW20360826</t>
        </is>
      </c>
      <c r="E5722" t="n">
        <v>2036</v>
      </c>
      <c r="F5722" t="inlineStr">
        <is>
          <t>Sierpień</t>
        </is>
      </c>
      <c r="G5722" t="inlineStr">
        <is>
          <t>Sob</t>
        </is>
      </c>
      <c r="H5722">
        <f>'Floor Hours Engine'!$E$5</f>
        <v/>
      </c>
      <c r="I5722" t="inlineStr">
        <is>
          <t>W5</t>
        </is>
      </c>
      <c r="J5722" t="inlineStr">
        <is>
          <t>2036_Sierpień_W5</t>
        </is>
      </c>
    </row>
    <row r="5723">
      <c r="A5723" s="177" t="n">
        <v>49918</v>
      </c>
      <c r="B5723" s="177" t="n">
        <v>49913</v>
      </c>
      <c r="C5723" s="177" t="n">
        <v>49919</v>
      </c>
      <c r="D5723" t="inlineStr">
        <is>
          <t>BW20360826</t>
        </is>
      </c>
      <c r="E5723" t="n">
        <v>2036</v>
      </c>
      <c r="F5723" t="inlineStr">
        <is>
          <t>Sierpień</t>
        </is>
      </c>
      <c r="G5723" t="inlineStr">
        <is>
          <t>Nd</t>
        </is>
      </c>
      <c r="H5723">
        <f>'Floor Hours Engine'!$E$6</f>
        <v/>
      </c>
      <c r="I5723" t="inlineStr">
        <is>
          <t>W5</t>
        </is>
      </c>
      <c r="J5723" t="inlineStr">
        <is>
          <t>2036_Sierpień_W5</t>
        </is>
      </c>
    </row>
    <row r="5724">
      <c r="A5724" s="177" t="n">
        <v>49919</v>
      </c>
      <c r="B5724" s="177" t="n">
        <v>49913</v>
      </c>
      <c r="C5724" s="177" t="n">
        <v>49919</v>
      </c>
      <c r="D5724" t="inlineStr">
        <is>
          <t>BW20360826</t>
        </is>
      </c>
      <c r="E5724" t="n">
        <v>2036</v>
      </c>
      <c r="F5724" t="inlineStr">
        <is>
          <t>Wrzesień</t>
        </is>
      </c>
      <c r="G5724" t="inlineStr">
        <is>
          <t>Pn</t>
        </is>
      </c>
      <c r="H5724">
        <f>'Floor Hours Engine'!$E$4</f>
        <v/>
      </c>
      <c r="I5724" t="inlineStr">
        <is>
          <t>W1</t>
        </is>
      </c>
      <c r="J5724" t="inlineStr">
        <is>
          <t>2036_Wrzesień_W1</t>
        </is>
      </c>
    </row>
    <row r="5725">
      <c r="A5725" s="177" t="n">
        <v>49920</v>
      </c>
      <c r="B5725" s="177" t="n">
        <v>49920</v>
      </c>
      <c r="C5725" s="177" t="n">
        <v>49926</v>
      </c>
      <c r="D5725" t="inlineStr">
        <is>
          <t>BW20360902</t>
        </is>
      </c>
      <c r="E5725" t="n">
        <v>2036</v>
      </c>
      <c r="F5725" t="inlineStr">
        <is>
          <t>Wrzesień</t>
        </is>
      </c>
      <c r="G5725" t="inlineStr">
        <is>
          <t>Wt</t>
        </is>
      </c>
      <c r="H5725">
        <f>'Floor Hours Engine'!$E$4</f>
        <v/>
      </c>
      <c r="I5725" t="inlineStr">
        <is>
          <t>W2</t>
        </is>
      </c>
      <c r="J5725" t="inlineStr">
        <is>
          <t>2036_Wrzesień_W2</t>
        </is>
      </c>
    </row>
    <row r="5726">
      <c r="A5726" s="177" t="n">
        <v>49921</v>
      </c>
      <c r="B5726" s="177" t="n">
        <v>49920</v>
      </c>
      <c r="C5726" s="177" t="n">
        <v>49926</v>
      </c>
      <c r="D5726" t="inlineStr">
        <is>
          <t>BW20360902</t>
        </is>
      </c>
      <c r="E5726" t="n">
        <v>2036</v>
      </c>
      <c r="F5726" t="inlineStr">
        <is>
          <t>Wrzesień</t>
        </is>
      </c>
      <c r="G5726" t="inlineStr">
        <is>
          <t>Śr</t>
        </is>
      </c>
      <c r="H5726">
        <f>'Floor Hours Engine'!$E$4</f>
        <v/>
      </c>
      <c r="I5726" t="inlineStr">
        <is>
          <t>W2</t>
        </is>
      </c>
      <c r="J5726" t="inlineStr">
        <is>
          <t>2036_Wrzesień_W2</t>
        </is>
      </c>
    </row>
    <row r="5727">
      <c r="A5727" s="177" t="n">
        <v>49922</v>
      </c>
      <c r="B5727" s="177" t="n">
        <v>49920</v>
      </c>
      <c r="C5727" s="177" t="n">
        <v>49926</v>
      </c>
      <c r="D5727" t="inlineStr">
        <is>
          <t>BW20360902</t>
        </is>
      </c>
      <c r="E5727" t="n">
        <v>2036</v>
      </c>
      <c r="F5727" t="inlineStr">
        <is>
          <t>Wrzesień</t>
        </is>
      </c>
      <c r="G5727" t="inlineStr">
        <is>
          <t>Czw</t>
        </is>
      </c>
      <c r="H5727">
        <f>'Floor Hours Engine'!$E$4</f>
        <v/>
      </c>
      <c r="I5727" t="inlineStr">
        <is>
          <t>W2</t>
        </is>
      </c>
      <c r="J5727" t="inlineStr">
        <is>
          <t>2036_Wrzesień_W2</t>
        </is>
      </c>
    </row>
    <row r="5728">
      <c r="A5728" s="177" t="n">
        <v>49923</v>
      </c>
      <c r="B5728" s="177" t="n">
        <v>49920</v>
      </c>
      <c r="C5728" s="177" t="n">
        <v>49926</v>
      </c>
      <c r="D5728" t="inlineStr">
        <is>
          <t>BW20360902</t>
        </is>
      </c>
      <c r="E5728" t="n">
        <v>2036</v>
      </c>
      <c r="F5728" t="inlineStr">
        <is>
          <t>Wrzesień</t>
        </is>
      </c>
      <c r="G5728" t="inlineStr">
        <is>
          <t>Pt</t>
        </is>
      </c>
      <c r="H5728">
        <f>'Floor Hours Engine'!$E$5</f>
        <v/>
      </c>
      <c r="I5728" t="inlineStr">
        <is>
          <t>W2</t>
        </is>
      </c>
      <c r="J5728" t="inlineStr">
        <is>
          <t>2036_Wrzesień_W2</t>
        </is>
      </c>
    </row>
    <row r="5729">
      <c r="A5729" s="177" t="n">
        <v>49924</v>
      </c>
      <c r="B5729" s="177" t="n">
        <v>49920</v>
      </c>
      <c r="C5729" s="177" t="n">
        <v>49926</v>
      </c>
      <c r="D5729" t="inlineStr">
        <is>
          <t>BW20360902</t>
        </is>
      </c>
      <c r="E5729" t="n">
        <v>2036</v>
      </c>
      <c r="F5729" t="inlineStr">
        <is>
          <t>Wrzesień</t>
        </is>
      </c>
      <c r="G5729" t="inlineStr">
        <is>
          <t>Sob</t>
        </is>
      </c>
      <c r="H5729">
        <f>'Floor Hours Engine'!$E$5</f>
        <v/>
      </c>
      <c r="I5729" t="inlineStr">
        <is>
          <t>W2</t>
        </is>
      </c>
      <c r="J5729" t="inlineStr">
        <is>
          <t>2036_Wrzesień_W2</t>
        </is>
      </c>
    </row>
    <row r="5730">
      <c r="A5730" s="177" t="n">
        <v>49925</v>
      </c>
      <c r="B5730" s="177" t="n">
        <v>49920</v>
      </c>
      <c r="C5730" s="177" t="n">
        <v>49926</v>
      </c>
      <c r="D5730" t="inlineStr">
        <is>
          <t>BW20360902</t>
        </is>
      </c>
      <c r="E5730" t="n">
        <v>2036</v>
      </c>
      <c r="F5730" t="inlineStr">
        <is>
          <t>Wrzesień</t>
        </is>
      </c>
      <c r="G5730" t="inlineStr">
        <is>
          <t>Nd</t>
        </is>
      </c>
      <c r="H5730">
        <f>'Floor Hours Engine'!$E$6</f>
        <v/>
      </c>
      <c r="I5730" t="inlineStr">
        <is>
          <t>W2</t>
        </is>
      </c>
      <c r="J5730" t="inlineStr">
        <is>
          <t>2036_Wrzesień_W2</t>
        </is>
      </c>
    </row>
    <row r="5731">
      <c r="A5731" s="177" t="n">
        <v>49926</v>
      </c>
      <c r="B5731" s="177" t="n">
        <v>49920</v>
      </c>
      <c r="C5731" s="177" t="n">
        <v>49926</v>
      </c>
      <c r="D5731" t="inlineStr">
        <is>
          <t>BW20360902</t>
        </is>
      </c>
      <c r="E5731" t="n">
        <v>2036</v>
      </c>
      <c r="F5731" t="inlineStr">
        <is>
          <t>Wrzesień</t>
        </is>
      </c>
      <c r="G5731" t="inlineStr">
        <is>
          <t>Pn</t>
        </is>
      </c>
      <c r="H5731">
        <f>'Floor Hours Engine'!$E$4</f>
        <v/>
      </c>
      <c r="I5731" t="inlineStr">
        <is>
          <t>W2</t>
        </is>
      </c>
      <c r="J5731" t="inlineStr">
        <is>
          <t>2036_Wrzesień_W2</t>
        </is>
      </c>
    </row>
    <row r="5732">
      <c r="A5732" s="177" t="n">
        <v>49927</v>
      </c>
      <c r="B5732" s="177" t="n">
        <v>49927</v>
      </c>
      <c r="C5732" s="177" t="n">
        <v>49933</v>
      </c>
      <c r="D5732" t="inlineStr">
        <is>
          <t>BW20360909</t>
        </is>
      </c>
      <c r="E5732" t="n">
        <v>2036</v>
      </c>
      <c r="F5732" t="inlineStr">
        <is>
          <t>Wrzesień</t>
        </is>
      </c>
      <c r="G5732" t="inlineStr">
        <is>
          <t>Wt</t>
        </is>
      </c>
      <c r="H5732">
        <f>'Floor Hours Engine'!$E$4</f>
        <v/>
      </c>
      <c r="I5732" t="inlineStr">
        <is>
          <t>W3</t>
        </is>
      </c>
      <c r="J5732" t="inlineStr">
        <is>
          <t>2036_Wrzesień_W3</t>
        </is>
      </c>
    </row>
    <row r="5733">
      <c r="A5733" s="177" t="n">
        <v>49928</v>
      </c>
      <c r="B5733" s="177" t="n">
        <v>49927</v>
      </c>
      <c r="C5733" s="177" t="n">
        <v>49933</v>
      </c>
      <c r="D5733" t="inlineStr">
        <is>
          <t>BW20360909</t>
        </is>
      </c>
      <c r="E5733" t="n">
        <v>2036</v>
      </c>
      <c r="F5733" t="inlineStr">
        <is>
          <t>Wrzesień</t>
        </is>
      </c>
      <c r="G5733" t="inlineStr">
        <is>
          <t>Śr</t>
        </is>
      </c>
      <c r="H5733">
        <f>'Floor Hours Engine'!$E$4</f>
        <v/>
      </c>
      <c r="I5733" t="inlineStr">
        <is>
          <t>W3</t>
        </is>
      </c>
      <c r="J5733" t="inlineStr">
        <is>
          <t>2036_Wrzesień_W3</t>
        </is>
      </c>
    </row>
    <row r="5734">
      <c r="A5734" s="177" t="n">
        <v>49929</v>
      </c>
      <c r="B5734" s="177" t="n">
        <v>49927</v>
      </c>
      <c r="C5734" s="177" t="n">
        <v>49933</v>
      </c>
      <c r="D5734" t="inlineStr">
        <is>
          <t>BW20360909</t>
        </is>
      </c>
      <c r="E5734" t="n">
        <v>2036</v>
      </c>
      <c r="F5734" t="inlineStr">
        <is>
          <t>Wrzesień</t>
        </is>
      </c>
      <c r="G5734" t="inlineStr">
        <is>
          <t>Czw</t>
        </is>
      </c>
      <c r="H5734">
        <f>'Floor Hours Engine'!$E$4</f>
        <v/>
      </c>
      <c r="I5734" t="inlineStr">
        <is>
          <t>W3</t>
        </is>
      </c>
      <c r="J5734" t="inlineStr">
        <is>
          <t>2036_Wrzesień_W3</t>
        </is>
      </c>
    </row>
    <row r="5735">
      <c r="A5735" s="177" t="n">
        <v>49930</v>
      </c>
      <c r="B5735" s="177" t="n">
        <v>49927</v>
      </c>
      <c r="C5735" s="177" t="n">
        <v>49933</v>
      </c>
      <c r="D5735" t="inlineStr">
        <is>
          <t>BW20360909</t>
        </is>
      </c>
      <c r="E5735" t="n">
        <v>2036</v>
      </c>
      <c r="F5735" t="inlineStr">
        <is>
          <t>Wrzesień</t>
        </is>
      </c>
      <c r="G5735" t="inlineStr">
        <is>
          <t>Pt</t>
        </is>
      </c>
      <c r="H5735">
        <f>'Floor Hours Engine'!$E$5</f>
        <v/>
      </c>
      <c r="I5735" t="inlineStr">
        <is>
          <t>W3</t>
        </is>
      </c>
      <c r="J5735" t="inlineStr">
        <is>
          <t>2036_Wrzesień_W3</t>
        </is>
      </c>
    </row>
    <row r="5736">
      <c r="A5736" s="177" t="n">
        <v>49931</v>
      </c>
      <c r="B5736" s="177" t="n">
        <v>49927</v>
      </c>
      <c r="C5736" s="177" t="n">
        <v>49933</v>
      </c>
      <c r="D5736" t="inlineStr">
        <is>
          <t>BW20360909</t>
        </is>
      </c>
      <c r="E5736" t="n">
        <v>2036</v>
      </c>
      <c r="F5736" t="inlineStr">
        <is>
          <t>Wrzesień</t>
        </is>
      </c>
      <c r="G5736" t="inlineStr">
        <is>
          <t>Sob</t>
        </is>
      </c>
      <c r="H5736">
        <f>'Floor Hours Engine'!$E$5</f>
        <v/>
      </c>
      <c r="I5736" t="inlineStr">
        <is>
          <t>W3</t>
        </is>
      </c>
      <c r="J5736" t="inlineStr">
        <is>
          <t>2036_Wrzesień_W3</t>
        </is>
      </c>
    </row>
    <row r="5737">
      <c r="A5737" s="177" t="n">
        <v>49932</v>
      </c>
      <c r="B5737" s="177" t="n">
        <v>49927</v>
      </c>
      <c r="C5737" s="177" t="n">
        <v>49933</v>
      </c>
      <c r="D5737" t="inlineStr">
        <is>
          <t>BW20360909</t>
        </is>
      </c>
      <c r="E5737" t="n">
        <v>2036</v>
      </c>
      <c r="F5737" t="inlineStr">
        <is>
          <t>Wrzesień</t>
        </is>
      </c>
      <c r="G5737" t="inlineStr">
        <is>
          <t>Nd</t>
        </is>
      </c>
      <c r="H5737">
        <f>'Floor Hours Engine'!$E$6</f>
        <v/>
      </c>
      <c r="I5737" t="inlineStr">
        <is>
          <t>W3</t>
        </is>
      </c>
      <c r="J5737" t="inlineStr">
        <is>
          <t>2036_Wrzesień_W3</t>
        </is>
      </c>
    </row>
    <row r="5738">
      <c r="A5738" s="177" t="n">
        <v>49933</v>
      </c>
      <c r="B5738" s="177" t="n">
        <v>49927</v>
      </c>
      <c r="C5738" s="177" t="n">
        <v>49933</v>
      </c>
      <c r="D5738" t="inlineStr">
        <is>
          <t>BW20360909</t>
        </is>
      </c>
      <c r="E5738" t="n">
        <v>2036</v>
      </c>
      <c r="F5738" t="inlineStr">
        <is>
          <t>Wrzesień</t>
        </is>
      </c>
      <c r="G5738" t="inlineStr">
        <is>
          <t>Pn</t>
        </is>
      </c>
      <c r="H5738">
        <f>'Floor Hours Engine'!$E$4</f>
        <v/>
      </c>
      <c r="I5738" t="inlineStr">
        <is>
          <t>W3</t>
        </is>
      </c>
      <c r="J5738" t="inlineStr">
        <is>
          <t>2036_Wrzesień_W3</t>
        </is>
      </c>
    </row>
    <row r="5739">
      <c r="A5739" s="177" t="n">
        <v>49934</v>
      </c>
      <c r="B5739" s="177" t="n">
        <v>49934</v>
      </c>
      <c r="C5739" s="177" t="n">
        <v>49940</v>
      </c>
      <c r="D5739" t="inlineStr">
        <is>
          <t>BW20360916</t>
        </is>
      </c>
      <c r="E5739" t="n">
        <v>2036</v>
      </c>
      <c r="F5739" t="inlineStr">
        <is>
          <t>Wrzesień</t>
        </is>
      </c>
      <c r="G5739" t="inlineStr">
        <is>
          <t>Wt</t>
        </is>
      </c>
      <c r="H5739">
        <f>'Floor Hours Engine'!$E$4</f>
        <v/>
      </c>
      <c r="I5739" t="inlineStr">
        <is>
          <t>W4</t>
        </is>
      </c>
      <c r="J5739" t="inlineStr">
        <is>
          <t>2036_Wrzesień_W4</t>
        </is>
      </c>
    </row>
    <row r="5740">
      <c r="A5740" s="177" t="n">
        <v>49935</v>
      </c>
      <c r="B5740" s="177" t="n">
        <v>49934</v>
      </c>
      <c r="C5740" s="177" t="n">
        <v>49940</v>
      </c>
      <c r="D5740" t="inlineStr">
        <is>
          <t>BW20360916</t>
        </is>
      </c>
      <c r="E5740" t="n">
        <v>2036</v>
      </c>
      <c r="F5740" t="inlineStr">
        <is>
          <t>Wrzesień</t>
        </is>
      </c>
      <c r="G5740" t="inlineStr">
        <is>
          <t>Śr</t>
        </is>
      </c>
      <c r="H5740">
        <f>'Floor Hours Engine'!$E$4</f>
        <v/>
      </c>
      <c r="I5740" t="inlineStr">
        <is>
          <t>W4</t>
        </is>
      </c>
      <c r="J5740" t="inlineStr">
        <is>
          <t>2036_Wrzesień_W4</t>
        </is>
      </c>
    </row>
    <row r="5741">
      <c r="A5741" s="177" t="n">
        <v>49936</v>
      </c>
      <c r="B5741" s="177" t="n">
        <v>49934</v>
      </c>
      <c r="C5741" s="177" t="n">
        <v>49940</v>
      </c>
      <c r="D5741" t="inlineStr">
        <is>
          <t>BW20360916</t>
        </is>
      </c>
      <c r="E5741" t="n">
        <v>2036</v>
      </c>
      <c r="F5741" t="inlineStr">
        <is>
          <t>Wrzesień</t>
        </is>
      </c>
      <c r="G5741" t="inlineStr">
        <is>
          <t>Czw</t>
        </is>
      </c>
      <c r="H5741">
        <f>'Floor Hours Engine'!$E$4</f>
        <v/>
      </c>
      <c r="I5741" t="inlineStr">
        <is>
          <t>W4</t>
        </is>
      </c>
      <c r="J5741" t="inlineStr">
        <is>
          <t>2036_Wrzesień_W4</t>
        </is>
      </c>
    </row>
    <row r="5742">
      <c r="A5742" s="177" t="n">
        <v>49937</v>
      </c>
      <c r="B5742" s="177" t="n">
        <v>49934</v>
      </c>
      <c r="C5742" s="177" t="n">
        <v>49940</v>
      </c>
      <c r="D5742" t="inlineStr">
        <is>
          <t>BW20360916</t>
        </is>
      </c>
      <c r="E5742" t="n">
        <v>2036</v>
      </c>
      <c r="F5742" t="inlineStr">
        <is>
          <t>Wrzesień</t>
        </is>
      </c>
      <c r="G5742" t="inlineStr">
        <is>
          <t>Pt</t>
        </is>
      </c>
      <c r="H5742">
        <f>'Floor Hours Engine'!$E$5</f>
        <v/>
      </c>
      <c r="I5742" t="inlineStr">
        <is>
          <t>W4</t>
        </is>
      </c>
      <c r="J5742" t="inlineStr">
        <is>
          <t>2036_Wrzesień_W4</t>
        </is>
      </c>
    </row>
    <row r="5743">
      <c r="A5743" s="177" t="n">
        <v>49938</v>
      </c>
      <c r="B5743" s="177" t="n">
        <v>49934</v>
      </c>
      <c r="C5743" s="177" t="n">
        <v>49940</v>
      </c>
      <c r="D5743" t="inlineStr">
        <is>
          <t>BW20360916</t>
        </is>
      </c>
      <c r="E5743" t="n">
        <v>2036</v>
      </c>
      <c r="F5743" t="inlineStr">
        <is>
          <t>Wrzesień</t>
        </is>
      </c>
      <c r="G5743" t="inlineStr">
        <is>
          <t>Sob</t>
        </is>
      </c>
      <c r="H5743">
        <f>'Floor Hours Engine'!$E$5</f>
        <v/>
      </c>
      <c r="I5743" t="inlineStr">
        <is>
          <t>W4</t>
        </is>
      </c>
      <c r="J5743" t="inlineStr">
        <is>
          <t>2036_Wrzesień_W4</t>
        </is>
      </c>
    </row>
    <row r="5744">
      <c r="A5744" s="177" t="n">
        <v>49939</v>
      </c>
      <c r="B5744" s="177" t="n">
        <v>49934</v>
      </c>
      <c r="C5744" s="177" t="n">
        <v>49940</v>
      </c>
      <c r="D5744" t="inlineStr">
        <is>
          <t>BW20360916</t>
        </is>
      </c>
      <c r="E5744" t="n">
        <v>2036</v>
      </c>
      <c r="F5744" t="inlineStr">
        <is>
          <t>Wrzesień</t>
        </is>
      </c>
      <c r="G5744" t="inlineStr">
        <is>
          <t>Nd</t>
        </is>
      </c>
      <c r="H5744">
        <f>'Floor Hours Engine'!$E$6</f>
        <v/>
      </c>
      <c r="I5744" t="inlineStr">
        <is>
          <t>W4</t>
        </is>
      </c>
      <c r="J5744" t="inlineStr">
        <is>
          <t>2036_Wrzesień_W4</t>
        </is>
      </c>
    </row>
    <row r="5745">
      <c r="A5745" s="177" t="n">
        <v>49940</v>
      </c>
      <c r="B5745" s="177" t="n">
        <v>49934</v>
      </c>
      <c r="C5745" s="177" t="n">
        <v>49940</v>
      </c>
      <c r="D5745" t="inlineStr">
        <is>
          <t>BW20360916</t>
        </is>
      </c>
      <c r="E5745" t="n">
        <v>2036</v>
      </c>
      <c r="F5745" t="inlineStr">
        <is>
          <t>Wrzesień</t>
        </is>
      </c>
      <c r="G5745" t="inlineStr">
        <is>
          <t>Pn</t>
        </is>
      </c>
      <c r="H5745">
        <f>'Floor Hours Engine'!$E$4</f>
        <v/>
      </c>
      <c r="I5745" t="inlineStr">
        <is>
          <t>W4</t>
        </is>
      </c>
      <c r="J5745" t="inlineStr">
        <is>
          <t>2036_Wrzesień_W4</t>
        </is>
      </c>
    </row>
    <row r="5746">
      <c r="A5746" s="177" t="n">
        <v>49941</v>
      </c>
      <c r="B5746" s="177" t="n">
        <v>49941</v>
      </c>
      <c r="C5746" s="177" t="n">
        <v>49947</v>
      </c>
      <c r="D5746" t="inlineStr">
        <is>
          <t>BW20360923</t>
        </is>
      </c>
      <c r="E5746" t="n">
        <v>2036</v>
      </c>
      <c r="F5746" t="inlineStr">
        <is>
          <t>Wrzesień</t>
        </is>
      </c>
      <c r="G5746" t="inlineStr">
        <is>
          <t>Wt</t>
        </is>
      </c>
      <c r="H5746">
        <f>'Floor Hours Engine'!$E$4</f>
        <v/>
      </c>
      <c r="I5746" t="inlineStr">
        <is>
          <t>W5</t>
        </is>
      </c>
      <c r="J5746" t="inlineStr">
        <is>
          <t>2036_Wrzesień_W5</t>
        </is>
      </c>
    </row>
    <row r="5747">
      <c r="A5747" s="177" t="n">
        <v>49942</v>
      </c>
      <c r="B5747" s="177" t="n">
        <v>49941</v>
      </c>
      <c r="C5747" s="177" t="n">
        <v>49947</v>
      </c>
      <c r="D5747" t="inlineStr">
        <is>
          <t>BW20360923</t>
        </is>
      </c>
      <c r="E5747" t="n">
        <v>2036</v>
      </c>
      <c r="F5747" t="inlineStr">
        <is>
          <t>Wrzesień</t>
        </is>
      </c>
      <c r="G5747" t="inlineStr">
        <is>
          <t>Śr</t>
        </is>
      </c>
      <c r="H5747">
        <f>'Floor Hours Engine'!$E$4</f>
        <v/>
      </c>
      <c r="I5747" t="inlineStr">
        <is>
          <t>W5</t>
        </is>
      </c>
      <c r="J5747" t="inlineStr">
        <is>
          <t>2036_Wrzesień_W5</t>
        </is>
      </c>
    </row>
    <row r="5748">
      <c r="A5748" s="177" t="n">
        <v>49943</v>
      </c>
      <c r="B5748" s="177" t="n">
        <v>49941</v>
      </c>
      <c r="C5748" s="177" t="n">
        <v>49947</v>
      </c>
      <c r="D5748" t="inlineStr">
        <is>
          <t>BW20360923</t>
        </is>
      </c>
      <c r="E5748" t="n">
        <v>2036</v>
      </c>
      <c r="F5748" t="inlineStr">
        <is>
          <t>Wrzesień</t>
        </is>
      </c>
      <c r="G5748" t="inlineStr">
        <is>
          <t>Czw</t>
        </is>
      </c>
      <c r="H5748">
        <f>'Floor Hours Engine'!$E$4</f>
        <v/>
      </c>
      <c r="I5748" t="inlineStr">
        <is>
          <t>W5</t>
        </is>
      </c>
      <c r="J5748" t="inlineStr">
        <is>
          <t>2036_Wrzesień_W5</t>
        </is>
      </c>
    </row>
    <row r="5749">
      <c r="A5749" s="177" t="n">
        <v>49944</v>
      </c>
      <c r="B5749" s="177" t="n">
        <v>49941</v>
      </c>
      <c r="C5749" s="177" t="n">
        <v>49947</v>
      </c>
      <c r="D5749" t="inlineStr">
        <is>
          <t>BW20360923</t>
        </is>
      </c>
      <c r="E5749" t="n">
        <v>2036</v>
      </c>
      <c r="F5749" t="inlineStr">
        <is>
          <t>Wrzesień</t>
        </is>
      </c>
      <c r="G5749" t="inlineStr">
        <is>
          <t>Pt</t>
        </is>
      </c>
      <c r="H5749">
        <f>'Floor Hours Engine'!$E$5</f>
        <v/>
      </c>
      <c r="I5749" t="inlineStr">
        <is>
          <t>W5</t>
        </is>
      </c>
      <c r="J5749" t="inlineStr">
        <is>
          <t>2036_Wrzesień_W5</t>
        </is>
      </c>
    </row>
    <row r="5750">
      <c r="A5750" s="177" t="n">
        <v>49945</v>
      </c>
      <c r="B5750" s="177" t="n">
        <v>49941</v>
      </c>
      <c r="C5750" s="177" t="n">
        <v>49947</v>
      </c>
      <c r="D5750" t="inlineStr">
        <is>
          <t>BW20360923</t>
        </is>
      </c>
      <c r="E5750" t="n">
        <v>2036</v>
      </c>
      <c r="F5750" t="inlineStr">
        <is>
          <t>Wrzesień</t>
        </is>
      </c>
      <c r="G5750" t="inlineStr">
        <is>
          <t>Sob</t>
        </is>
      </c>
      <c r="H5750">
        <f>'Floor Hours Engine'!$E$5</f>
        <v/>
      </c>
      <c r="I5750" t="inlineStr">
        <is>
          <t>W5</t>
        </is>
      </c>
      <c r="J5750" t="inlineStr">
        <is>
          <t>2036_Wrzesień_W5</t>
        </is>
      </c>
    </row>
    <row r="5751">
      <c r="A5751" s="177" t="n">
        <v>49946</v>
      </c>
      <c r="B5751" s="177" t="n">
        <v>49941</v>
      </c>
      <c r="C5751" s="177" t="n">
        <v>49947</v>
      </c>
      <c r="D5751" t="inlineStr">
        <is>
          <t>BW20360923</t>
        </is>
      </c>
      <c r="E5751" t="n">
        <v>2036</v>
      </c>
      <c r="F5751" t="inlineStr">
        <is>
          <t>Wrzesień</t>
        </is>
      </c>
      <c r="G5751" t="inlineStr">
        <is>
          <t>Nd</t>
        </is>
      </c>
      <c r="H5751">
        <f>'Floor Hours Engine'!$E$6</f>
        <v/>
      </c>
      <c r="I5751" t="inlineStr">
        <is>
          <t>W5</t>
        </is>
      </c>
      <c r="J5751" t="inlineStr">
        <is>
          <t>2036_Wrzesień_W5</t>
        </is>
      </c>
    </row>
    <row r="5752">
      <c r="A5752" s="177" t="n">
        <v>49947</v>
      </c>
      <c r="B5752" s="177" t="n">
        <v>49941</v>
      </c>
      <c r="C5752" s="177" t="n">
        <v>49947</v>
      </c>
      <c r="D5752" t="inlineStr">
        <is>
          <t>BW20360923</t>
        </is>
      </c>
      <c r="E5752" t="n">
        <v>2036</v>
      </c>
      <c r="F5752" t="inlineStr">
        <is>
          <t>Wrzesień</t>
        </is>
      </c>
      <c r="G5752" t="inlineStr">
        <is>
          <t>Pn</t>
        </is>
      </c>
      <c r="H5752">
        <f>'Floor Hours Engine'!$E$4</f>
        <v/>
      </c>
      <c r="I5752" t="inlineStr">
        <is>
          <t>W5</t>
        </is>
      </c>
      <c r="J5752" t="inlineStr">
        <is>
          <t>2036_Wrzesień_W5</t>
        </is>
      </c>
    </row>
    <row r="5753">
      <c r="A5753" s="177" t="n">
        <v>49948</v>
      </c>
      <c r="B5753" s="177" t="n">
        <v>49948</v>
      </c>
      <c r="C5753" s="177" t="n">
        <v>49954</v>
      </c>
      <c r="D5753" t="inlineStr">
        <is>
          <t>BW20360930</t>
        </is>
      </c>
      <c r="E5753" t="n">
        <v>2036</v>
      </c>
      <c r="F5753" t="inlineStr">
        <is>
          <t>Wrzesień</t>
        </is>
      </c>
      <c r="G5753" t="inlineStr">
        <is>
          <t>Wt</t>
        </is>
      </c>
      <c r="H5753">
        <f>'Floor Hours Engine'!$E$4</f>
        <v/>
      </c>
      <c r="I5753" t="inlineStr">
        <is>
          <t>W6</t>
        </is>
      </c>
      <c r="J5753" t="inlineStr">
        <is>
          <t>2036_Wrzesień_W6</t>
        </is>
      </c>
    </row>
    <row r="5754">
      <c r="A5754" s="177" t="n">
        <v>49949</v>
      </c>
      <c r="B5754" s="177" t="n">
        <v>49948</v>
      </c>
      <c r="C5754" s="177" t="n">
        <v>49954</v>
      </c>
      <c r="D5754" t="inlineStr">
        <is>
          <t>BW20360930</t>
        </is>
      </c>
      <c r="E5754" t="n">
        <v>2036</v>
      </c>
      <c r="F5754" t="inlineStr">
        <is>
          <t>Październik</t>
        </is>
      </c>
      <c r="G5754" t="inlineStr">
        <is>
          <t>Śr</t>
        </is>
      </c>
      <c r="H5754">
        <f>'Floor Hours Engine'!$E$4</f>
        <v/>
      </c>
      <c r="I5754" t="inlineStr">
        <is>
          <t>W1</t>
        </is>
      </c>
      <c r="J5754" t="inlineStr">
        <is>
          <t>2036_Październik_W1</t>
        </is>
      </c>
    </row>
    <row r="5755">
      <c r="A5755" s="177" t="n">
        <v>49950</v>
      </c>
      <c r="B5755" s="177" t="n">
        <v>49948</v>
      </c>
      <c r="C5755" s="177" t="n">
        <v>49954</v>
      </c>
      <c r="D5755" t="inlineStr">
        <is>
          <t>BW20360930</t>
        </is>
      </c>
      <c r="E5755" t="n">
        <v>2036</v>
      </c>
      <c r="F5755" t="inlineStr">
        <is>
          <t>Październik</t>
        </is>
      </c>
      <c r="G5755" t="inlineStr">
        <is>
          <t>Czw</t>
        </is>
      </c>
      <c r="H5755">
        <f>'Floor Hours Engine'!$E$4</f>
        <v/>
      </c>
      <c r="I5755" t="inlineStr">
        <is>
          <t>W1</t>
        </is>
      </c>
      <c r="J5755" t="inlineStr">
        <is>
          <t>2036_Październik_W1</t>
        </is>
      </c>
    </row>
    <row r="5756">
      <c r="A5756" s="177" t="n">
        <v>49951</v>
      </c>
      <c r="B5756" s="177" t="n">
        <v>49948</v>
      </c>
      <c r="C5756" s="177" t="n">
        <v>49954</v>
      </c>
      <c r="D5756" t="inlineStr">
        <is>
          <t>BW20360930</t>
        </is>
      </c>
      <c r="E5756" t="n">
        <v>2036</v>
      </c>
      <c r="F5756" t="inlineStr">
        <is>
          <t>Październik</t>
        </is>
      </c>
      <c r="G5756" t="inlineStr">
        <is>
          <t>Pt</t>
        </is>
      </c>
      <c r="H5756">
        <f>'Floor Hours Engine'!$E$5</f>
        <v/>
      </c>
      <c r="I5756" t="inlineStr">
        <is>
          <t>W1</t>
        </is>
      </c>
      <c r="J5756" t="inlineStr">
        <is>
          <t>2036_Październik_W1</t>
        </is>
      </c>
    </row>
    <row r="5757">
      <c r="A5757" s="177" t="n">
        <v>49952</v>
      </c>
      <c r="B5757" s="177" t="n">
        <v>49948</v>
      </c>
      <c r="C5757" s="177" t="n">
        <v>49954</v>
      </c>
      <c r="D5757" t="inlineStr">
        <is>
          <t>BW20360930</t>
        </is>
      </c>
      <c r="E5757" t="n">
        <v>2036</v>
      </c>
      <c r="F5757" t="inlineStr">
        <is>
          <t>Październik</t>
        </is>
      </c>
      <c r="G5757" t="inlineStr">
        <is>
          <t>Sob</t>
        </is>
      </c>
      <c r="H5757">
        <f>'Floor Hours Engine'!$E$5</f>
        <v/>
      </c>
      <c r="I5757" t="inlineStr">
        <is>
          <t>W1</t>
        </is>
      </c>
      <c r="J5757" t="inlineStr">
        <is>
          <t>2036_Październik_W1</t>
        </is>
      </c>
    </row>
    <row r="5758">
      <c r="A5758" s="177" t="n">
        <v>49953</v>
      </c>
      <c r="B5758" s="177" t="n">
        <v>49948</v>
      </c>
      <c r="C5758" s="177" t="n">
        <v>49954</v>
      </c>
      <c r="D5758" t="inlineStr">
        <is>
          <t>BW20360930</t>
        </is>
      </c>
      <c r="E5758" t="n">
        <v>2036</v>
      </c>
      <c r="F5758" t="inlineStr">
        <is>
          <t>Październik</t>
        </is>
      </c>
      <c r="G5758" t="inlineStr">
        <is>
          <t>Nd</t>
        </is>
      </c>
      <c r="H5758">
        <f>'Floor Hours Engine'!$E$6</f>
        <v/>
      </c>
      <c r="I5758" t="inlineStr">
        <is>
          <t>W1</t>
        </is>
      </c>
      <c r="J5758" t="inlineStr">
        <is>
          <t>2036_Październik_W1</t>
        </is>
      </c>
    </row>
    <row r="5759">
      <c r="A5759" s="177" t="n">
        <v>49954</v>
      </c>
      <c r="B5759" s="177" t="n">
        <v>49948</v>
      </c>
      <c r="C5759" s="177" t="n">
        <v>49954</v>
      </c>
      <c r="D5759" t="inlineStr">
        <is>
          <t>BW20360930</t>
        </is>
      </c>
      <c r="E5759" t="n">
        <v>2036</v>
      </c>
      <c r="F5759" t="inlineStr">
        <is>
          <t>Październik</t>
        </is>
      </c>
      <c r="G5759" t="inlineStr">
        <is>
          <t>Pn</t>
        </is>
      </c>
      <c r="H5759">
        <f>'Floor Hours Engine'!$E$4</f>
        <v/>
      </c>
      <c r="I5759" t="inlineStr">
        <is>
          <t>W1</t>
        </is>
      </c>
      <c r="J5759" t="inlineStr">
        <is>
          <t>2036_Październik_W1</t>
        </is>
      </c>
    </row>
    <row r="5760">
      <c r="A5760" s="177" t="n">
        <v>49955</v>
      </c>
      <c r="B5760" s="177" t="n">
        <v>49955</v>
      </c>
      <c r="C5760" s="177" t="n">
        <v>49961</v>
      </c>
      <c r="D5760" t="inlineStr">
        <is>
          <t>BW20361007</t>
        </is>
      </c>
      <c r="E5760" t="n">
        <v>2036</v>
      </c>
      <c r="F5760" t="inlineStr">
        <is>
          <t>Październik</t>
        </is>
      </c>
      <c r="G5760" t="inlineStr">
        <is>
          <t>Wt</t>
        </is>
      </c>
      <c r="H5760">
        <f>'Floor Hours Engine'!$E$4</f>
        <v/>
      </c>
      <c r="I5760" t="inlineStr">
        <is>
          <t>W2</t>
        </is>
      </c>
      <c r="J5760" t="inlineStr">
        <is>
          <t>2036_Październik_W2</t>
        </is>
      </c>
    </row>
    <row r="5761">
      <c r="A5761" s="177" t="n">
        <v>49956</v>
      </c>
      <c r="B5761" s="177" t="n">
        <v>49955</v>
      </c>
      <c r="C5761" s="177" t="n">
        <v>49961</v>
      </c>
      <c r="D5761" t="inlineStr">
        <is>
          <t>BW20361007</t>
        </is>
      </c>
      <c r="E5761" t="n">
        <v>2036</v>
      </c>
      <c r="F5761" t="inlineStr">
        <is>
          <t>Październik</t>
        </is>
      </c>
      <c r="G5761" t="inlineStr">
        <is>
          <t>Śr</t>
        </is>
      </c>
      <c r="H5761">
        <f>'Floor Hours Engine'!$E$4</f>
        <v/>
      </c>
      <c r="I5761" t="inlineStr">
        <is>
          <t>W2</t>
        </is>
      </c>
      <c r="J5761" t="inlineStr">
        <is>
          <t>2036_Październik_W2</t>
        </is>
      </c>
    </row>
    <row r="5762">
      <c r="A5762" s="177" t="n">
        <v>49957</v>
      </c>
      <c r="B5762" s="177" t="n">
        <v>49955</v>
      </c>
      <c r="C5762" s="177" t="n">
        <v>49961</v>
      </c>
      <c r="D5762" t="inlineStr">
        <is>
          <t>BW20361007</t>
        </is>
      </c>
      <c r="E5762" t="n">
        <v>2036</v>
      </c>
      <c r="F5762" t="inlineStr">
        <is>
          <t>Październik</t>
        </is>
      </c>
      <c r="G5762" t="inlineStr">
        <is>
          <t>Czw</t>
        </is>
      </c>
      <c r="H5762">
        <f>'Floor Hours Engine'!$E$4</f>
        <v/>
      </c>
      <c r="I5762" t="inlineStr">
        <is>
          <t>W2</t>
        </is>
      </c>
      <c r="J5762" t="inlineStr">
        <is>
          <t>2036_Październik_W2</t>
        </is>
      </c>
    </row>
    <row r="5763">
      <c r="A5763" s="177" t="n">
        <v>49958</v>
      </c>
      <c r="B5763" s="177" t="n">
        <v>49955</v>
      </c>
      <c r="C5763" s="177" t="n">
        <v>49961</v>
      </c>
      <c r="D5763" t="inlineStr">
        <is>
          <t>BW20361007</t>
        </is>
      </c>
      <c r="E5763" t="n">
        <v>2036</v>
      </c>
      <c r="F5763" t="inlineStr">
        <is>
          <t>Październik</t>
        </is>
      </c>
      <c r="G5763" t="inlineStr">
        <is>
          <t>Pt</t>
        </is>
      </c>
      <c r="H5763">
        <f>'Floor Hours Engine'!$E$5</f>
        <v/>
      </c>
      <c r="I5763" t="inlineStr">
        <is>
          <t>W2</t>
        </is>
      </c>
      <c r="J5763" t="inlineStr">
        <is>
          <t>2036_Październik_W2</t>
        </is>
      </c>
    </row>
    <row r="5764">
      <c r="A5764" s="177" t="n">
        <v>49959</v>
      </c>
      <c r="B5764" s="177" t="n">
        <v>49955</v>
      </c>
      <c r="C5764" s="177" t="n">
        <v>49961</v>
      </c>
      <c r="D5764" t="inlineStr">
        <is>
          <t>BW20361007</t>
        </is>
      </c>
      <c r="E5764" t="n">
        <v>2036</v>
      </c>
      <c r="F5764" t="inlineStr">
        <is>
          <t>Październik</t>
        </is>
      </c>
      <c r="G5764" t="inlineStr">
        <is>
          <t>Sob</t>
        </is>
      </c>
      <c r="H5764">
        <f>'Floor Hours Engine'!$E$5</f>
        <v/>
      </c>
      <c r="I5764" t="inlineStr">
        <is>
          <t>W2</t>
        </is>
      </c>
      <c r="J5764" t="inlineStr">
        <is>
          <t>2036_Październik_W2</t>
        </is>
      </c>
    </row>
    <row r="5765">
      <c r="A5765" s="177" t="n">
        <v>49960</v>
      </c>
      <c r="B5765" s="177" t="n">
        <v>49955</v>
      </c>
      <c r="C5765" s="177" t="n">
        <v>49961</v>
      </c>
      <c r="D5765" t="inlineStr">
        <is>
          <t>BW20361007</t>
        </is>
      </c>
      <c r="E5765" t="n">
        <v>2036</v>
      </c>
      <c r="F5765" t="inlineStr">
        <is>
          <t>Październik</t>
        </is>
      </c>
      <c r="G5765" t="inlineStr">
        <is>
          <t>Nd</t>
        </is>
      </c>
      <c r="H5765">
        <f>'Floor Hours Engine'!$E$6</f>
        <v/>
      </c>
      <c r="I5765" t="inlineStr">
        <is>
          <t>W2</t>
        </is>
      </c>
      <c r="J5765" t="inlineStr">
        <is>
          <t>2036_Październik_W2</t>
        </is>
      </c>
    </row>
    <row r="5766">
      <c r="A5766" s="177" t="n">
        <v>49961</v>
      </c>
      <c r="B5766" s="177" t="n">
        <v>49955</v>
      </c>
      <c r="C5766" s="177" t="n">
        <v>49961</v>
      </c>
      <c r="D5766" t="inlineStr">
        <is>
          <t>BW20361007</t>
        </is>
      </c>
      <c r="E5766" t="n">
        <v>2036</v>
      </c>
      <c r="F5766" t="inlineStr">
        <is>
          <t>Październik</t>
        </is>
      </c>
      <c r="G5766" t="inlineStr">
        <is>
          <t>Pn</t>
        </is>
      </c>
      <c r="H5766">
        <f>'Floor Hours Engine'!$E$4</f>
        <v/>
      </c>
      <c r="I5766" t="inlineStr">
        <is>
          <t>W2</t>
        </is>
      </c>
      <c r="J5766" t="inlineStr">
        <is>
          <t>2036_Październik_W2</t>
        </is>
      </c>
    </row>
    <row r="5767">
      <c r="A5767" s="177" t="n">
        <v>49962</v>
      </c>
      <c r="B5767" s="177" t="n">
        <v>49962</v>
      </c>
      <c r="C5767" s="177" t="n">
        <v>49968</v>
      </c>
      <c r="D5767" t="inlineStr">
        <is>
          <t>BW20361014</t>
        </is>
      </c>
      <c r="E5767" t="n">
        <v>2036</v>
      </c>
      <c r="F5767" t="inlineStr">
        <is>
          <t>Październik</t>
        </is>
      </c>
      <c r="G5767" t="inlineStr">
        <is>
          <t>Wt</t>
        </is>
      </c>
      <c r="H5767">
        <f>'Floor Hours Engine'!$E$4</f>
        <v/>
      </c>
      <c r="I5767" t="inlineStr">
        <is>
          <t>W3</t>
        </is>
      </c>
      <c r="J5767" t="inlineStr">
        <is>
          <t>2036_Październik_W3</t>
        </is>
      </c>
    </row>
    <row r="5768">
      <c r="A5768" s="177" t="n">
        <v>49963</v>
      </c>
      <c r="B5768" s="177" t="n">
        <v>49962</v>
      </c>
      <c r="C5768" s="177" t="n">
        <v>49968</v>
      </c>
      <c r="D5768" t="inlineStr">
        <is>
          <t>BW20361014</t>
        </is>
      </c>
      <c r="E5768" t="n">
        <v>2036</v>
      </c>
      <c r="F5768" t="inlineStr">
        <is>
          <t>Październik</t>
        </is>
      </c>
      <c r="G5768" t="inlineStr">
        <is>
          <t>Śr</t>
        </is>
      </c>
      <c r="H5768">
        <f>'Floor Hours Engine'!$E$4</f>
        <v/>
      </c>
      <c r="I5768" t="inlineStr">
        <is>
          <t>W3</t>
        </is>
      </c>
      <c r="J5768" t="inlineStr">
        <is>
          <t>2036_Październik_W3</t>
        </is>
      </c>
    </row>
    <row r="5769">
      <c r="A5769" s="177" t="n">
        <v>49964</v>
      </c>
      <c r="B5769" s="177" t="n">
        <v>49962</v>
      </c>
      <c r="C5769" s="177" t="n">
        <v>49968</v>
      </c>
      <c r="D5769" t="inlineStr">
        <is>
          <t>BW20361014</t>
        </is>
      </c>
      <c r="E5769" t="n">
        <v>2036</v>
      </c>
      <c r="F5769" t="inlineStr">
        <is>
          <t>Październik</t>
        </is>
      </c>
      <c r="G5769" t="inlineStr">
        <is>
          <t>Czw</t>
        </is>
      </c>
      <c r="H5769">
        <f>'Floor Hours Engine'!$E$4</f>
        <v/>
      </c>
      <c r="I5769" t="inlineStr">
        <is>
          <t>W3</t>
        </is>
      </c>
      <c r="J5769" t="inlineStr">
        <is>
          <t>2036_Październik_W3</t>
        </is>
      </c>
    </row>
    <row r="5770">
      <c r="A5770" s="177" t="n">
        <v>49965</v>
      </c>
      <c r="B5770" s="177" t="n">
        <v>49962</v>
      </c>
      <c r="C5770" s="177" t="n">
        <v>49968</v>
      </c>
      <c r="D5770" t="inlineStr">
        <is>
          <t>BW20361014</t>
        </is>
      </c>
      <c r="E5770" t="n">
        <v>2036</v>
      </c>
      <c r="F5770" t="inlineStr">
        <is>
          <t>Październik</t>
        </is>
      </c>
      <c r="G5770" t="inlineStr">
        <is>
          <t>Pt</t>
        </is>
      </c>
      <c r="H5770">
        <f>'Floor Hours Engine'!$E$5</f>
        <v/>
      </c>
      <c r="I5770" t="inlineStr">
        <is>
          <t>W3</t>
        </is>
      </c>
      <c r="J5770" t="inlineStr">
        <is>
          <t>2036_Październik_W3</t>
        </is>
      </c>
    </row>
    <row r="5771">
      <c r="A5771" s="177" t="n">
        <v>49966</v>
      </c>
      <c r="B5771" s="177" t="n">
        <v>49962</v>
      </c>
      <c r="C5771" s="177" t="n">
        <v>49968</v>
      </c>
      <c r="D5771" t="inlineStr">
        <is>
          <t>BW20361014</t>
        </is>
      </c>
      <c r="E5771" t="n">
        <v>2036</v>
      </c>
      <c r="F5771" t="inlineStr">
        <is>
          <t>Październik</t>
        </is>
      </c>
      <c r="G5771" t="inlineStr">
        <is>
          <t>Sob</t>
        </is>
      </c>
      <c r="H5771">
        <f>'Floor Hours Engine'!$E$5</f>
        <v/>
      </c>
      <c r="I5771" t="inlineStr">
        <is>
          <t>W3</t>
        </is>
      </c>
      <c r="J5771" t="inlineStr">
        <is>
          <t>2036_Październik_W3</t>
        </is>
      </c>
    </row>
    <row r="5772">
      <c r="A5772" s="177" t="n">
        <v>49967</v>
      </c>
      <c r="B5772" s="177" t="n">
        <v>49962</v>
      </c>
      <c r="C5772" s="177" t="n">
        <v>49968</v>
      </c>
      <c r="D5772" t="inlineStr">
        <is>
          <t>BW20361014</t>
        </is>
      </c>
      <c r="E5772" t="n">
        <v>2036</v>
      </c>
      <c r="F5772" t="inlineStr">
        <is>
          <t>Październik</t>
        </is>
      </c>
      <c r="G5772" t="inlineStr">
        <is>
          <t>Nd</t>
        </is>
      </c>
      <c r="H5772">
        <f>'Floor Hours Engine'!$E$6</f>
        <v/>
      </c>
      <c r="I5772" t="inlineStr">
        <is>
          <t>W3</t>
        </is>
      </c>
      <c r="J5772" t="inlineStr">
        <is>
          <t>2036_Październik_W3</t>
        </is>
      </c>
    </row>
    <row r="5773">
      <c r="A5773" s="177" t="n">
        <v>49968</v>
      </c>
      <c r="B5773" s="177" t="n">
        <v>49962</v>
      </c>
      <c r="C5773" s="177" t="n">
        <v>49968</v>
      </c>
      <c r="D5773" t="inlineStr">
        <is>
          <t>BW20361014</t>
        </is>
      </c>
      <c r="E5773" t="n">
        <v>2036</v>
      </c>
      <c r="F5773" t="inlineStr">
        <is>
          <t>Październik</t>
        </is>
      </c>
      <c r="G5773" t="inlineStr">
        <is>
          <t>Pn</t>
        </is>
      </c>
      <c r="H5773">
        <f>'Floor Hours Engine'!$E$4</f>
        <v/>
      </c>
      <c r="I5773" t="inlineStr">
        <is>
          <t>W3</t>
        </is>
      </c>
      <c r="J5773" t="inlineStr">
        <is>
          <t>2036_Październik_W3</t>
        </is>
      </c>
    </row>
    <row r="5774">
      <c r="A5774" s="177" t="n">
        <v>49969</v>
      </c>
      <c r="B5774" s="177" t="n">
        <v>49969</v>
      </c>
      <c r="C5774" s="177" t="n">
        <v>49975</v>
      </c>
      <c r="D5774" t="inlineStr">
        <is>
          <t>BW20361021</t>
        </is>
      </c>
      <c r="E5774" t="n">
        <v>2036</v>
      </c>
      <c r="F5774" t="inlineStr">
        <is>
          <t>Październik</t>
        </is>
      </c>
      <c r="G5774" t="inlineStr">
        <is>
          <t>Wt</t>
        </is>
      </c>
      <c r="H5774">
        <f>'Floor Hours Engine'!$E$4</f>
        <v/>
      </c>
      <c r="I5774" t="inlineStr">
        <is>
          <t>W4</t>
        </is>
      </c>
      <c r="J5774" t="inlineStr">
        <is>
          <t>2036_Październik_W4</t>
        </is>
      </c>
    </row>
    <row r="5775">
      <c r="A5775" s="177" t="n">
        <v>49970</v>
      </c>
      <c r="B5775" s="177" t="n">
        <v>49969</v>
      </c>
      <c r="C5775" s="177" t="n">
        <v>49975</v>
      </c>
      <c r="D5775" t="inlineStr">
        <is>
          <t>BW20361021</t>
        </is>
      </c>
      <c r="E5775" t="n">
        <v>2036</v>
      </c>
      <c r="F5775" t="inlineStr">
        <is>
          <t>Październik</t>
        </is>
      </c>
      <c r="G5775" t="inlineStr">
        <is>
          <t>Śr</t>
        </is>
      </c>
      <c r="H5775">
        <f>'Floor Hours Engine'!$E$4</f>
        <v/>
      </c>
      <c r="I5775" t="inlineStr">
        <is>
          <t>W4</t>
        </is>
      </c>
      <c r="J5775" t="inlineStr">
        <is>
          <t>2036_Październik_W4</t>
        </is>
      </c>
    </row>
    <row r="5776">
      <c r="A5776" s="177" t="n">
        <v>49971</v>
      </c>
      <c r="B5776" s="177" t="n">
        <v>49969</v>
      </c>
      <c r="C5776" s="177" t="n">
        <v>49975</v>
      </c>
      <c r="D5776" t="inlineStr">
        <is>
          <t>BW20361021</t>
        </is>
      </c>
      <c r="E5776" t="n">
        <v>2036</v>
      </c>
      <c r="F5776" t="inlineStr">
        <is>
          <t>Październik</t>
        </is>
      </c>
      <c r="G5776" t="inlineStr">
        <is>
          <t>Czw</t>
        </is>
      </c>
      <c r="H5776">
        <f>'Floor Hours Engine'!$E$4</f>
        <v/>
      </c>
      <c r="I5776" t="inlineStr">
        <is>
          <t>W4</t>
        </is>
      </c>
      <c r="J5776" t="inlineStr">
        <is>
          <t>2036_Październik_W4</t>
        </is>
      </c>
    </row>
    <row r="5777">
      <c r="A5777" s="177" t="n">
        <v>49972</v>
      </c>
      <c r="B5777" s="177" t="n">
        <v>49969</v>
      </c>
      <c r="C5777" s="177" t="n">
        <v>49975</v>
      </c>
      <c r="D5777" t="inlineStr">
        <is>
          <t>BW20361021</t>
        </is>
      </c>
      <c r="E5777" t="n">
        <v>2036</v>
      </c>
      <c r="F5777" t="inlineStr">
        <is>
          <t>Październik</t>
        </is>
      </c>
      <c r="G5777" t="inlineStr">
        <is>
          <t>Pt</t>
        </is>
      </c>
      <c r="H5777">
        <f>'Floor Hours Engine'!$E$5</f>
        <v/>
      </c>
      <c r="I5777" t="inlineStr">
        <is>
          <t>W4</t>
        </is>
      </c>
      <c r="J5777" t="inlineStr">
        <is>
          <t>2036_Październik_W4</t>
        </is>
      </c>
    </row>
    <row r="5778">
      <c r="A5778" s="177" t="n">
        <v>49973</v>
      </c>
      <c r="B5778" s="177" t="n">
        <v>49969</v>
      </c>
      <c r="C5778" s="177" t="n">
        <v>49975</v>
      </c>
      <c r="D5778" t="inlineStr">
        <is>
          <t>BW20361021</t>
        </is>
      </c>
      <c r="E5778" t="n">
        <v>2036</v>
      </c>
      <c r="F5778" t="inlineStr">
        <is>
          <t>Październik</t>
        </is>
      </c>
      <c r="G5778" t="inlineStr">
        <is>
          <t>Sob</t>
        </is>
      </c>
      <c r="H5778">
        <f>'Floor Hours Engine'!$E$5</f>
        <v/>
      </c>
      <c r="I5778" t="inlineStr">
        <is>
          <t>W4</t>
        </is>
      </c>
      <c r="J5778" t="inlineStr">
        <is>
          <t>2036_Październik_W4</t>
        </is>
      </c>
    </row>
    <row r="5779">
      <c r="A5779" s="177" t="n">
        <v>49974</v>
      </c>
      <c r="B5779" s="177" t="n">
        <v>49969</v>
      </c>
      <c r="C5779" s="177" t="n">
        <v>49975</v>
      </c>
      <c r="D5779" t="inlineStr">
        <is>
          <t>BW20361021</t>
        </is>
      </c>
      <c r="E5779" t="n">
        <v>2036</v>
      </c>
      <c r="F5779" t="inlineStr">
        <is>
          <t>Październik</t>
        </is>
      </c>
      <c r="G5779" t="inlineStr">
        <is>
          <t>Nd</t>
        </is>
      </c>
      <c r="H5779">
        <f>'Floor Hours Engine'!$E$6</f>
        <v/>
      </c>
      <c r="I5779" t="inlineStr">
        <is>
          <t>W4</t>
        </is>
      </c>
      <c r="J5779" t="inlineStr">
        <is>
          <t>2036_Październik_W4</t>
        </is>
      </c>
    </row>
    <row r="5780">
      <c r="A5780" s="177" t="n">
        <v>49975</v>
      </c>
      <c r="B5780" s="177" t="n">
        <v>49969</v>
      </c>
      <c r="C5780" s="177" t="n">
        <v>49975</v>
      </c>
      <c r="D5780" t="inlineStr">
        <is>
          <t>BW20361021</t>
        </is>
      </c>
      <c r="E5780" t="n">
        <v>2036</v>
      </c>
      <c r="F5780" t="inlineStr">
        <is>
          <t>Październik</t>
        </is>
      </c>
      <c r="G5780" t="inlineStr">
        <is>
          <t>Pn</t>
        </is>
      </c>
      <c r="H5780">
        <f>'Floor Hours Engine'!$E$4</f>
        <v/>
      </c>
      <c r="I5780" t="inlineStr">
        <is>
          <t>W4</t>
        </is>
      </c>
      <c r="J5780" t="inlineStr">
        <is>
          <t>2036_Październik_W4</t>
        </is>
      </c>
    </row>
    <row r="5781">
      <c r="A5781" s="177" t="n">
        <v>49976</v>
      </c>
      <c r="B5781" s="177" t="n">
        <v>49976</v>
      </c>
      <c r="C5781" s="177" t="n">
        <v>49982</v>
      </c>
      <c r="D5781" t="inlineStr">
        <is>
          <t>BW20361028</t>
        </is>
      </c>
      <c r="E5781" t="n">
        <v>2036</v>
      </c>
      <c r="F5781" t="inlineStr">
        <is>
          <t>Październik</t>
        </is>
      </c>
      <c r="G5781" t="inlineStr">
        <is>
          <t>Wt</t>
        </is>
      </c>
      <c r="H5781">
        <f>'Floor Hours Engine'!$E$4</f>
        <v/>
      </c>
      <c r="I5781" t="inlineStr">
        <is>
          <t>W5</t>
        </is>
      </c>
      <c r="J5781" t="inlineStr">
        <is>
          <t>2036_Październik_W5</t>
        </is>
      </c>
    </row>
    <row r="5782">
      <c r="A5782" s="177" t="n">
        <v>49977</v>
      </c>
      <c r="B5782" s="177" t="n">
        <v>49976</v>
      </c>
      <c r="C5782" s="177" t="n">
        <v>49982</v>
      </c>
      <c r="D5782" t="inlineStr">
        <is>
          <t>BW20361028</t>
        </is>
      </c>
      <c r="E5782" t="n">
        <v>2036</v>
      </c>
      <c r="F5782" t="inlineStr">
        <is>
          <t>Październik</t>
        </is>
      </c>
      <c r="G5782" t="inlineStr">
        <is>
          <t>Śr</t>
        </is>
      </c>
      <c r="H5782">
        <f>'Floor Hours Engine'!$E$4</f>
        <v/>
      </c>
      <c r="I5782" t="inlineStr">
        <is>
          <t>W5</t>
        </is>
      </c>
      <c r="J5782" t="inlineStr">
        <is>
          <t>2036_Październik_W5</t>
        </is>
      </c>
    </row>
    <row r="5783">
      <c r="A5783" s="177" t="n">
        <v>49978</v>
      </c>
      <c r="B5783" s="177" t="n">
        <v>49976</v>
      </c>
      <c r="C5783" s="177" t="n">
        <v>49982</v>
      </c>
      <c r="D5783" t="inlineStr">
        <is>
          <t>BW20361028</t>
        </is>
      </c>
      <c r="E5783" t="n">
        <v>2036</v>
      </c>
      <c r="F5783" t="inlineStr">
        <is>
          <t>Październik</t>
        </is>
      </c>
      <c r="G5783" t="inlineStr">
        <is>
          <t>Czw</t>
        </is>
      </c>
      <c r="H5783">
        <f>'Floor Hours Engine'!$E$4</f>
        <v/>
      </c>
      <c r="I5783" t="inlineStr">
        <is>
          <t>W5</t>
        </is>
      </c>
      <c r="J5783" t="inlineStr">
        <is>
          <t>2036_Październik_W5</t>
        </is>
      </c>
    </row>
    <row r="5784">
      <c r="A5784" s="177" t="n">
        <v>49979</v>
      </c>
      <c r="B5784" s="177" t="n">
        <v>49976</v>
      </c>
      <c r="C5784" s="177" t="n">
        <v>49982</v>
      </c>
      <c r="D5784" t="inlineStr">
        <is>
          <t>BW20361028</t>
        </is>
      </c>
      <c r="E5784" t="n">
        <v>2036</v>
      </c>
      <c r="F5784" t="inlineStr">
        <is>
          <t>Październik</t>
        </is>
      </c>
      <c r="G5784" t="inlineStr">
        <is>
          <t>Pt</t>
        </is>
      </c>
      <c r="H5784">
        <f>'Floor Hours Engine'!$E$5</f>
        <v/>
      </c>
      <c r="I5784" t="inlineStr">
        <is>
          <t>W5</t>
        </is>
      </c>
      <c r="J5784" t="inlineStr">
        <is>
          <t>2036_Październik_W5</t>
        </is>
      </c>
    </row>
    <row r="5785">
      <c r="A5785" s="177" t="n">
        <v>49980</v>
      </c>
      <c r="B5785" s="177" t="n">
        <v>49976</v>
      </c>
      <c r="C5785" s="177" t="n">
        <v>49982</v>
      </c>
      <c r="D5785" t="inlineStr">
        <is>
          <t>BW20361028</t>
        </is>
      </c>
      <c r="E5785" t="n">
        <v>2036</v>
      </c>
      <c r="F5785" t="inlineStr">
        <is>
          <t>Listopad</t>
        </is>
      </c>
      <c r="G5785" t="inlineStr">
        <is>
          <t>Sob</t>
        </is>
      </c>
      <c r="H5785">
        <f>'Floor Hours Engine'!$E$5</f>
        <v/>
      </c>
      <c r="I5785" t="inlineStr">
        <is>
          <t>W1</t>
        </is>
      </c>
      <c r="J5785" t="inlineStr">
        <is>
          <t>2036_Listopad_W1</t>
        </is>
      </c>
    </row>
    <row r="5786">
      <c r="A5786" s="177" t="n">
        <v>49981</v>
      </c>
      <c r="B5786" s="177" t="n">
        <v>49976</v>
      </c>
      <c r="C5786" s="177" t="n">
        <v>49982</v>
      </c>
      <c r="D5786" t="inlineStr">
        <is>
          <t>BW20361028</t>
        </is>
      </c>
      <c r="E5786" t="n">
        <v>2036</v>
      </c>
      <c r="F5786" t="inlineStr">
        <is>
          <t>Listopad</t>
        </is>
      </c>
      <c r="G5786" t="inlineStr">
        <is>
          <t>Nd</t>
        </is>
      </c>
      <c r="H5786">
        <f>'Floor Hours Engine'!$E$6</f>
        <v/>
      </c>
      <c r="I5786" t="inlineStr">
        <is>
          <t>W1</t>
        </is>
      </c>
      <c r="J5786" t="inlineStr">
        <is>
          <t>2036_Listopad_W1</t>
        </is>
      </c>
    </row>
    <row r="5787">
      <c r="A5787" s="177" t="n">
        <v>49982</v>
      </c>
      <c r="B5787" s="177" t="n">
        <v>49976</v>
      </c>
      <c r="C5787" s="177" t="n">
        <v>49982</v>
      </c>
      <c r="D5787" t="inlineStr">
        <is>
          <t>BW20361028</t>
        </is>
      </c>
      <c r="E5787" t="n">
        <v>2036</v>
      </c>
      <c r="F5787" t="inlineStr">
        <is>
          <t>Listopad</t>
        </is>
      </c>
      <c r="G5787" t="inlineStr">
        <is>
          <t>Pn</t>
        </is>
      </c>
      <c r="H5787">
        <f>'Floor Hours Engine'!$E$4</f>
        <v/>
      </c>
      <c r="I5787" t="inlineStr">
        <is>
          <t>W1</t>
        </is>
      </c>
      <c r="J5787" t="inlineStr">
        <is>
          <t>2036_Listopad_W1</t>
        </is>
      </c>
    </row>
    <row r="5788">
      <c r="A5788" s="177" t="n">
        <v>49983</v>
      </c>
      <c r="B5788" s="177" t="n">
        <v>49983</v>
      </c>
      <c r="C5788" s="177" t="n">
        <v>49989</v>
      </c>
      <c r="D5788" t="inlineStr">
        <is>
          <t>BW20361104</t>
        </is>
      </c>
      <c r="E5788" t="n">
        <v>2036</v>
      </c>
      <c r="F5788" t="inlineStr">
        <is>
          <t>Listopad</t>
        </is>
      </c>
      <c r="G5788" t="inlineStr">
        <is>
          <t>Wt</t>
        </is>
      </c>
      <c r="H5788">
        <f>'Floor Hours Engine'!$E$4</f>
        <v/>
      </c>
      <c r="I5788" t="inlineStr">
        <is>
          <t>W2</t>
        </is>
      </c>
      <c r="J5788" t="inlineStr">
        <is>
          <t>2036_Listopad_W2</t>
        </is>
      </c>
    </row>
    <row r="5789">
      <c r="A5789" s="177" t="n">
        <v>49984</v>
      </c>
      <c r="B5789" s="177" t="n">
        <v>49983</v>
      </c>
      <c r="C5789" s="177" t="n">
        <v>49989</v>
      </c>
      <c r="D5789" t="inlineStr">
        <is>
          <t>BW20361104</t>
        </is>
      </c>
      <c r="E5789" t="n">
        <v>2036</v>
      </c>
      <c r="F5789" t="inlineStr">
        <is>
          <t>Listopad</t>
        </is>
      </c>
      <c r="G5789" t="inlineStr">
        <is>
          <t>Śr</t>
        </is>
      </c>
      <c r="H5789">
        <f>'Floor Hours Engine'!$E$4</f>
        <v/>
      </c>
      <c r="I5789" t="inlineStr">
        <is>
          <t>W2</t>
        </is>
      </c>
      <c r="J5789" t="inlineStr">
        <is>
          <t>2036_Listopad_W2</t>
        </is>
      </c>
    </row>
    <row r="5790">
      <c r="A5790" s="177" t="n">
        <v>49985</v>
      </c>
      <c r="B5790" s="177" t="n">
        <v>49983</v>
      </c>
      <c r="C5790" s="177" t="n">
        <v>49989</v>
      </c>
      <c r="D5790" t="inlineStr">
        <is>
          <t>BW20361104</t>
        </is>
      </c>
      <c r="E5790" t="n">
        <v>2036</v>
      </c>
      <c r="F5790" t="inlineStr">
        <is>
          <t>Listopad</t>
        </is>
      </c>
      <c r="G5790" t="inlineStr">
        <is>
          <t>Czw</t>
        </is>
      </c>
      <c r="H5790">
        <f>'Floor Hours Engine'!$E$4</f>
        <v/>
      </c>
      <c r="I5790" t="inlineStr">
        <is>
          <t>W2</t>
        </is>
      </c>
      <c r="J5790" t="inlineStr">
        <is>
          <t>2036_Listopad_W2</t>
        </is>
      </c>
    </row>
    <row r="5791">
      <c r="A5791" s="177" t="n">
        <v>49986</v>
      </c>
      <c r="B5791" s="177" t="n">
        <v>49983</v>
      </c>
      <c r="C5791" s="177" t="n">
        <v>49989</v>
      </c>
      <c r="D5791" t="inlineStr">
        <is>
          <t>BW20361104</t>
        </is>
      </c>
      <c r="E5791" t="n">
        <v>2036</v>
      </c>
      <c r="F5791" t="inlineStr">
        <is>
          <t>Listopad</t>
        </is>
      </c>
      <c r="G5791" t="inlineStr">
        <is>
          <t>Pt</t>
        </is>
      </c>
      <c r="H5791">
        <f>'Floor Hours Engine'!$E$5</f>
        <v/>
      </c>
      <c r="I5791" t="inlineStr">
        <is>
          <t>W2</t>
        </is>
      </c>
      <c r="J5791" t="inlineStr">
        <is>
          <t>2036_Listopad_W2</t>
        </is>
      </c>
    </row>
    <row r="5792">
      <c r="A5792" s="177" t="n">
        <v>49987</v>
      </c>
      <c r="B5792" s="177" t="n">
        <v>49983</v>
      </c>
      <c r="C5792" s="177" t="n">
        <v>49989</v>
      </c>
      <c r="D5792" t="inlineStr">
        <is>
          <t>BW20361104</t>
        </is>
      </c>
      <c r="E5792" t="n">
        <v>2036</v>
      </c>
      <c r="F5792" t="inlineStr">
        <is>
          <t>Listopad</t>
        </is>
      </c>
      <c r="G5792" t="inlineStr">
        <is>
          <t>Sob</t>
        </is>
      </c>
      <c r="H5792">
        <f>'Floor Hours Engine'!$E$5</f>
        <v/>
      </c>
      <c r="I5792" t="inlineStr">
        <is>
          <t>W2</t>
        </is>
      </c>
      <c r="J5792" t="inlineStr">
        <is>
          <t>2036_Listopad_W2</t>
        </is>
      </c>
    </row>
    <row r="5793">
      <c r="A5793" s="177" t="n">
        <v>49988</v>
      </c>
      <c r="B5793" s="177" t="n">
        <v>49983</v>
      </c>
      <c r="C5793" s="177" t="n">
        <v>49989</v>
      </c>
      <c r="D5793" t="inlineStr">
        <is>
          <t>BW20361104</t>
        </is>
      </c>
      <c r="E5793" t="n">
        <v>2036</v>
      </c>
      <c r="F5793" t="inlineStr">
        <is>
          <t>Listopad</t>
        </is>
      </c>
      <c r="G5793" t="inlineStr">
        <is>
          <t>Nd</t>
        </is>
      </c>
      <c r="H5793">
        <f>'Floor Hours Engine'!$E$6</f>
        <v/>
      </c>
      <c r="I5793" t="inlineStr">
        <is>
          <t>W2</t>
        </is>
      </c>
      <c r="J5793" t="inlineStr">
        <is>
          <t>2036_Listopad_W2</t>
        </is>
      </c>
    </row>
    <row r="5794">
      <c r="A5794" s="177" t="n">
        <v>49989</v>
      </c>
      <c r="B5794" s="177" t="n">
        <v>49983</v>
      </c>
      <c r="C5794" s="177" t="n">
        <v>49989</v>
      </c>
      <c r="D5794" t="inlineStr">
        <is>
          <t>BW20361104</t>
        </is>
      </c>
      <c r="E5794" t="n">
        <v>2036</v>
      </c>
      <c r="F5794" t="inlineStr">
        <is>
          <t>Listopad</t>
        </is>
      </c>
      <c r="G5794" t="inlineStr">
        <is>
          <t>Pn</t>
        </is>
      </c>
      <c r="H5794">
        <f>'Floor Hours Engine'!$E$4</f>
        <v/>
      </c>
      <c r="I5794" t="inlineStr">
        <is>
          <t>W2</t>
        </is>
      </c>
      <c r="J5794" t="inlineStr">
        <is>
          <t>2036_Listopad_W2</t>
        </is>
      </c>
    </row>
    <row r="5795">
      <c r="A5795" s="177" t="n">
        <v>49990</v>
      </c>
      <c r="B5795" s="177" t="n">
        <v>49990</v>
      </c>
      <c r="C5795" s="177" t="n">
        <v>49996</v>
      </c>
      <c r="D5795" t="inlineStr">
        <is>
          <t>BW20361111</t>
        </is>
      </c>
      <c r="E5795" t="n">
        <v>2036</v>
      </c>
      <c r="F5795" t="inlineStr">
        <is>
          <t>Listopad</t>
        </is>
      </c>
      <c r="G5795" t="inlineStr">
        <is>
          <t>Wt</t>
        </is>
      </c>
      <c r="H5795">
        <f>'Floor Hours Engine'!$E$4</f>
        <v/>
      </c>
      <c r="I5795" t="inlineStr">
        <is>
          <t>W3</t>
        </is>
      </c>
      <c r="J5795" t="inlineStr">
        <is>
          <t>2036_Listopad_W3</t>
        </is>
      </c>
    </row>
    <row r="5796">
      <c r="A5796" s="177" t="n">
        <v>49991</v>
      </c>
      <c r="B5796" s="177" t="n">
        <v>49990</v>
      </c>
      <c r="C5796" s="177" t="n">
        <v>49996</v>
      </c>
      <c r="D5796" t="inlineStr">
        <is>
          <t>BW20361111</t>
        </is>
      </c>
      <c r="E5796" t="n">
        <v>2036</v>
      </c>
      <c r="F5796" t="inlineStr">
        <is>
          <t>Listopad</t>
        </is>
      </c>
      <c r="G5796" t="inlineStr">
        <is>
          <t>Śr</t>
        </is>
      </c>
      <c r="H5796">
        <f>'Floor Hours Engine'!$E$4</f>
        <v/>
      </c>
      <c r="I5796" t="inlineStr">
        <is>
          <t>W3</t>
        </is>
      </c>
      <c r="J5796" t="inlineStr">
        <is>
          <t>2036_Listopad_W3</t>
        </is>
      </c>
    </row>
    <row r="5797">
      <c r="A5797" s="177" t="n">
        <v>49992</v>
      </c>
      <c r="B5797" s="177" t="n">
        <v>49990</v>
      </c>
      <c r="C5797" s="177" t="n">
        <v>49996</v>
      </c>
      <c r="D5797" t="inlineStr">
        <is>
          <t>BW20361111</t>
        </is>
      </c>
      <c r="E5797" t="n">
        <v>2036</v>
      </c>
      <c r="F5797" t="inlineStr">
        <is>
          <t>Listopad</t>
        </is>
      </c>
      <c r="G5797" t="inlineStr">
        <is>
          <t>Czw</t>
        </is>
      </c>
      <c r="H5797">
        <f>'Floor Hours Engine'!$E$4</f>
        <v/>
      </c>
      <c r="I5797" t="inlineStr">
        <is>
          <t>W3</t>
        </is>
      </c>
      <c r="J5797" t="inlineStr">
        <is>
          <t>2036_Listopad_W3</t>
        </is>
      </c>
    </row>
    <row r="5798">
      <c r="A5798" s="177" t="n">
        <v>49993</v>
      </c>
      <c r="B5798" s="177" t="n">
        <v>49990</v>
      </c>
      <c r="C5798" s="177" t="n">
        <v>49996</v>
      </c>
      <c r="D5798" t="inlineStr">
        <is>
          <t>BW20361111</t>
        </is>
      </c>
      <c r="E5798" t="n">
        <v>2036</v>
      </c>
      <c r="F5798" t="inlineStr">
        <is>
          <t>Listopad</t>
        </is>
      </c>
      <c r="G5798" t="inlineStr">
        <is>
          <t>Pt</t>
        </is>
      </c>
      <c r="H5798">
        <f>'Floor Hours Engine'!$E$5</f>
        <v/>
      </c>
      <c r="I5798" t="inlineStr">
        <is>
          <t>W3</t>
        </is>
      </c>
      <c r="J5798" t="inlineStr">
        <is>
          <t>2036_Listopad_W3</t>
        </is>
      </c>
    </row>
    <row r="5799">
      <c r="A5799" s="177" t="n">
        <v>49994</v>
      </c>
      <c r="B5799" s="177" t="n">
        <v>49990</v>
      </c>
      <c r="C5799" s="177" t="n">
        <v>49996</v>
      </c>
      <c r="D5799" t="inlineStr">
        <is>
          <t>BW20361111</t>
        </is>
      </c>
      <c r="E5799" t="n">
        <v>2036</v>
      </c>
      <c r="F5799" t="inlineStr">
        <is>
          <t>Listopad</t>
        </is>
      </c>
      <c r="G5799" t="inlineStr">
        <is>
          <t>Sob</t>
        </is>
      </c>
      <c r="H5799">
        <f>'Floor Hours Engine'!$E$5</f>
        <v/>
      </c>
      <c r="I5799" t="inlineStr">
        <is>
          <t>W3</t>
        </is>
      </c>
      <c r="J5799" t="inlineStr">
        <is>
          <t>2036_Listopad_W3</t>
        </is>
      </c>
    </row>
    <row r="5800">
      <c r="A5800" s="177" t="n">
        <v>49995</v>
      </c>
      <c r="B5800" s="177" t="n">
        <v>49990</v>
      </c>
      <c r="C5800" s="177" t="n">
        <v>49996</v>
      </c>
      <c r="D5800" t="inlineStr">
        <is>
          <t>BW20361111</t>
        </is>
      </c>
      <c r="E5800" t="n">
        <v>2036</v>
      </c>
      <c r="F5800" t="inlineStr">
        <is>
          <t>Listopad</t>
        </is>
      </c>
      <c r="G5800" t="inlineStr">
        <is>
          <t>Nd</t>
        </is>
      </c>
      <c r="H5800">
        <f>'Floor Hours Engine'!$E$6</f>
        <v/>
      </c>
      <c r="I5800" t="inlineStr">
        <is>
          <t>W3</t>
        </is>
      </c>
      <c r="J5800" t="inlineStr">
        <is>
          <t>2036_Listopad_W3</t>
        </is>
      </c>
    </row>
    <row r="5801">
      <c r="A5801" s="177" t="n">
        <v>49996</v>
      </c>
      <c r="B5801" s="177" t="n">
        <v>49990</v>
      </c>
      <c r="C5801" s="177" t="n">
        <v>49996</v>
      </c>
      <c r="D5801" t="inlineStr">
        <is>
          <t>BW20361111</t>
        </is>
      </c>
      <c r="E5801" t="n">
        <v>2036</v>
      </c>
      <c r="F5801" t="inlineStr">
        <is>
          <t>Listopad</t>
        </is>
      </c>
      <c r="G5801" t="inlineStr">
        <is>
          <t>Pn</t>
        </is>
      </c>
      <c r="H5801">
        <f>'Floor Hours Engine'!$E$4</f>
        <v/>
      </c>
      <c r="I5801" t="inlineStr">
        <is>
          <t>W3</t>
        </is>
      </c>
      <c r="J5801" t="inlineStr">
        <is>
          <t>2036_Listopad_W3</t>
        </is>
      </c>
    </row>
    <row r="5802">
      <c r="A5802" s="177" t="n">
        <v>49997</v>
      </c>
      <c r="B5802" s="177" t="n">
        <v>49997</v>
      </c>
      <c r="C5802" s="177" t="n">
        <v>50003</v>
      </c>
      <c r="D5802" t="inlineStr">
        <is>
          <t>BW20361118</t>
        </is>
      </c>
      <c r="E5802" t="n">
        <v>2036</v>
      </c>
      <c r="F5802" t="inlineStr">
        <is>
          <t>Listopad</t>
        </is>
      </c>
      <c r="G5802" t="inlineStr">
        <is>
          <t>Wt</t>
        </is>
      </c>
      <c r="H5802">
        <f>'Floor Hours Engine'!$E$4</f>
        <v/>
      </c>
      <c r="I5802" t="inlineStr">
        <is>
          <t>W4</t>
        </is>
      </c>
      <c r="J5802" t="inlineStr">
        <is>
          <t>2036_Listopad_W4</t>
        </is>
      </c>
    </row>
    <row r="5803">
      <c r="A5803" s="177" t="n">
        <v>49998</v>
      </c>
      <c r="B5803" s="177" t="n">
        <v>49997</v>
      </c>
      <c r="C5803" s="177" t="n">
        <v>50003</v>
      </c>
      <c r="D5803" t="inlineStr">
        <is>
          <t>BW20361118</t>
        </is>
      </c>
      <c r="E5803" t="n">
        <v>2036</v>
      </c>
      <c r="F5803" t="inlineStr">
        <is>
          <t>Listopad</t>
        </is>
      </c>
      <c r="G5803" t="inlineStr">
        <is>
          <t>Śr</t>
        </is>
      </c>
      <c r="H5803">
        <f>'Floor Hours Engine'!$E$4</f>
        <v/>
      </c>
      <c r="I5803" t="inlineStr">
        <is>
          <t>W4</t>
        </is>
      </c>
      <c r="J5803" t="inlineStr">
        <is>
          <t>2036_Listopad_W4</t>
        </is>
      </c>
    </row>
    <row r="5804">
      <c r="A5804" s="177" t="n">
        <v>49999</v>
      </c>
      <c r="B5804" s="177" t="n">
        <v>49997</v>
      </c>
      <c r="C5804" s="177" t="n">
        <v>50003</v>
      </c>
      <c r="D5804" t="inlineStr">
        <is>
          <t>BW20361118</t>
        </is>
      </c>
      <c r="E5804" t="n">
        <v>2036</v>
      </c>
      <c r="F5804" t="inlineStr">
        <is>
          <t>Listopad</t>
        </is>
      </c>
      <c r="G5804" t="inlineStr">
        <is>
          <t>Czw</t>
        </is>
      </c>
      <c r="H5804">
        <f>'Floor Hours Engine'!$E$4</f>
        <v/>
      </c>
      <c r="I5804" t="inlineStr">
        <is>
          <t>W4</t>
        </is>
      </c>
      <c r="J5804" t="inlineStr">
        <is>
          <t>2036_Listopad_W4</t>
        </is>
      </c>
    </row>
    <row r="5805">
      <c r="A5805" s="177" t="n">
        <v>50000</v>
      </c>
      <c r="B5805" s="177" t="n">
        <v>49997</v>
      </c>
      <c r="C5805" s="177" t="n">
        <v>50003</v>
      </c>
      <c r="D5805" t="inlineStr">
        <is>
          <t>BW20361118</t>
        </is>
      </c>
      <c r="E5805" t="n">
        <v>2036</v>
      </c>
      <c r="F5805" t="inlineStr">
        <is>
          <t>Listopad</t>
        </is>
      </c>
      <c r="G5805" t="inlineStr">
        <is>
          <t>Pt</t>
        </is>
      </c>
      <c r="H5805">
        <f>'Floor Hours Engine'!$E$5</f>
        <v/>
      </c>
      <c r="I5805" t="inlineStr">
        <is>
          <t>W4</t>
        </is>
      </c>
      <c r="J5805" t="inlineStr">
        <is>
          <t>2036_Listopad_W4</t>
        </is>
      </c>
    </row>
    <row r="5806">
      <c r="A5806" s="177" t="n">
        <v>50001</v>
      </c>
      <c r="B5806" s="177" t="n">
        <v>49997</v>
      </c>
      <c r="C5806" s="177" t="n">
        <v>50003</v>
      </c>
      <c r="D5806" t="inlineStr">
        <is>
          <t>BW20361118</t>
        </is>
      </c>
      <c r="E5806" t="n">
        <v>2036</v>
      </c>
      <c r="F5806" t="inlineStr">
        <is>
          <t>Listopad</t>
        </is>
      </c>
      <c r="G5806" t="inlineStr">
        <is>
          <t>Sob</t>
        </is>
      </c>
      <c r="H5806">
        <f>'Floor Hours Engine'!$E$5</f>
        <v/>
      </c>
      <c r="I5806" t="inlineStr">
        <is>
          <t>W4</t>
        </is>
      </c>
      <c r="J5806" t="inlineStr">
        <is>
          <t>2036_Listopad_W4</t>
        </is>
      </c>
    </row>
    <row r="5807">
      <c r="A5807" s="177" t="n">
        <v>50002</v>
      </c>
      <c r="B5807" s="177" t="n">
        <v>49997</v>
      </c>
      <c r="C5807" s="177" t="n">
        <v>50003</v>
      </c>
      <c r="D5807" t="inlineStr">
        <is>
          <t>BW20361118</t>
        </is>
      </c>
      <c r="E5807" t="n">
        <v>2036</v>
      </c>
      <c r="F5807" t="inlineStr">
        <is>
          <t>Listopad</t>
        </is>
      </c>
      <c r="G5807" t="inlineStr">
        <is>
          <t>Nd</t>
        </is>
      </c>
      <c r="H5807">
        <f>'Floor Hours Engine'!$E$6</f>
        <v/>
      </c>
      <c r="I5807" t="inlineStr">
        <is>
          <t>W4</t>
        </is>
      </c>
      <c r="J5807" t="inlineStr">
        <is>
          <t>2036_Listopad_W4</t>
        </is>
      </c>
    </row>
    <row r="5808">
      <c r="A5808" s="177" t="n">
        <v>50003</v>
      </c>
      <c r="B5808" s="177" t="n">
        <v>49997</v>
      </c>
      <c r="C5808" s="177" t="n">
        <v>50003</v>
      </c>
      <c r="D5808" t="inlineStr">
        <is>
          <t>BW20361118</t>
        </is>
      </c>
      <c r="E5808" t="n">
        <v>2036</v>
      </c>
      <c r="F5808" t="inlineStr">
        <is>
          <t>Listopad</t>
        </is>
      </c>
      <c r="G5808" t="inlineStr">
        <is>
          <t>Pn</t>
        </is>
      </c>
      <c r="H5808">
        <f>'Floor Hours Engine'!$E$4</f>
        <v/>
      </c>
      <c r="I5808" t="inlineStr">
        <is>
          <t>W4</t>
        </is>
      </c>
      <c r="J5808" t="inlineStr">
        <is>
          <t>2036_Listopad_W4</t>
        </is>
      </c>
    </row>
    <row r="5809">
      <c r="A5809" s="177" t="n">
        <v>50004</v>
      </c>
      <c r="B5809" s="177" t="n">
        <v>50004</v>
      </c>
      <c r="C5809" s="177" t="n">
        <v>50010</v>
      </c>
      <c r="D5809" t="inlineStr">
        <is>
          <t>BW20361125</t>
        </is>
      </c>
      <c r="E5809" t="n">
        <v>2036</v>
      </c>
      <c r="F5809" t="inlineStr">
        <is>
          <t>Listopad</t>
        </is>
      </c>
      <c r="G5809" t="inlineStr">
        <is>
          <t>Wt</t>
        </is>
      </c>
      <c r="H5809">
        <f>'Floor Hours Engine'!$E$4</f>
        <v/>
      </c>
      <c r="I5809" t="inlineStr">
        <is>
          <t>W5</t>
        </is>
      </c>
      <c r="J5809" t="inlineStr">
        <is>
          <t>2036_Listopad_W5</t>
        </is>
      </c>
    </row>
    <row r="5810">
      <c r="A5810" s="177" t="n">
        <v>50005</v>
      </c>
      <c r="B5810" s="177" t="n">
        <v>50004</v>
      </c>
      <c r="C5810" s="177" t="n">
        <v>50010</v>
      </c>
      <c r="D5810" t="inlineStr">
        <is>
          <t>BW20361125</t>
        </is>
      </c>
      <c r="E5810" t="n">
        <v>2036</v>
      </c>
      <c r="F5810" t="inlineStr">
        <is>
          <t>Listopad</t>
        </is>
      </c>
      <c r="G5810" t="inlineStr">
        <is>
          <t>Śr</t>
        </is>
      </c>
      <c r="H5810">
        <f>'Floor Hours Engine'!$E$4</f>
        <v/>
      </c>
      <c r="I5810" t="inlineStr">
        <is>
          <t>W5</t>
        </is>
      </c>
      <c r="J5810" t="inlineStr">
        <is>
          <t>2036_Listopad_W5</t>
        </is>
      </c>
    </row>
    <row r="5811">
      <c r="A5811" s="177" t="n">
        <v>50006</v>
      </c>
      <c r="B5811" s="177" t="n">
        <v>50004</v>
      </c>
      <c r="C5811" s="177" t="n">
        <v>50010</v>
      </c>
      <c r="D5811" t="inlineStr">
        <is>
          <t>BW20361125</t>
        </is>
      </c>
      <c r="E5811" t="n">
        <v>2036</v>
      </c>
      <c r="F5811" t="inlineStr">
        <is>
          <t>Listopad</t>
        </is>
      </c>
      <c r="G5811" t="inlineStr">
        <is>
          <t>Czw</t>
        </is>
      </c>
      <c r="H5811">
        <f>'Floor Hours Engine'!$E$4</f>
        <v/>
      </c>
      <c r="I5811" t="inlineStr">
        <is>
          <t>W5</t>
        </is>
      </c>
      <c r="J5811" t="inlineStr">
        <is>
          <t>2036_Listopad_W5</t>
        </is>
      </c>
    </row>
    <row r="5812">
      <c r="A5812" s="177" t="n">
        <v>50007</v>
      </c>
      <c r="B5812" s="177" t="n">
        <v>50004</v>
      </c>
      <c r="C5812" s="177" t="n">
        <v>50010</v>
      </c>
      <c r="D5812" t="inlineStr">
        <is>
          <t>BW20361125</t>
        </is>
      </c>
      <c r="E5812" t="n">
        <v>2036</v>
      </c>
      <c r="F5812" t="inlineStr">
        <is>
          <t>Listopad</t>
        </is>
      </c>
      <c r="G5812" t="inlineStr">
        <is>
          <t>Pt</t>
        </is>
      </c>
      <c r="H5812">
        <f>'Floor Hours Engine'!$E$5</f>
        <v/>
      </c>
      <c r="I5812" t="inlineStr">
        <is>
          <t>W5</t>
        </is>
      </c>
      <c r="J5812" t="inlineStr">
        <is>
          <t>2036_Listopad_W5</t>
        </is>
      </c>
    </row>
    <row r="5813">
      <c r="A5813" s="177" t="n">
        <v>50008</v>
      </c>
      <c r="B5813" s="177" t="n">
        <v>50004</v>
      </c>
      <c r="C5813" s="177" t="n">
        <v>50010</v>
      </c>
      <c r="D5813" t="inlineStr">
        <is>
          <t>BW20361125</t>
        </is>
      </c>
      <c r="E5813" t="n">
        <v>2036</v>
      </c>
      <c r="F5813" t="inlineStr">
        <is>
          <t>Listopad</t>
        </is>
      </c>
      <c r="G5813" t="inlineStr">
        <is>
          <t>Sob</t>
        </is>
      </c>
      <c r="H5813">
        <f>'Floor Hours Engine'!$E$5</f>
        <v/>
      </c>
      <c r="I5813" t="inlineStr">
        <is>
          <t>W5</t>
        </is>
      </c>
      <c r="J5813" t="inlineStr">
        <is>
          <t>2036_Listopad_W5</t>
        </is>
      </c>
    </row>
    <row r="5814">
      <c r="A5814" s="177" t="n">
        <v>50009</v>
      </c>
      <c r="B5814" s="177" t="n">
        <v>50004</v>
      </c>
      <c r="C5814" s="177" t="n">
        <v>50010</v>
      </c>
      <c r="D5814" t="inlineStr">
        <is>
          <t>BW20361125</t>
        </is>
      </c>
      <c r="E5814" t="n">
        <v>2036</v>
      </c>
      <c r="F5814" t="inlineStr">
        <is>
          <t>Listopad</t>
        </is>
      </c>
      <c r="G5814" t="inlineStr">
        <is>
          <t>Nd</t>
        </is>
      </c>
      <c r="H5814">
        <f>'Floor Hours Engine'!$E$6</f>
        <v/>
      </c>
      <c r="I5814" t="inlineStr">
        <is>
          <t>W5</t>
        </is>
      </c>
      <c r="J5814" t="inlineStr">
        <is>
          <t>2036_Listopad_W5</t>
        </is>
      </c>
    </row>
    <row r="5815">
      <c r="A5815" s="177" t="n">
        <v>50010</v>
      </c>
      <c r="B5815" s="177" t="n">
        <v>50004</v>
      </c>
      <c r="C5815" s="177" t="n">
        <v>50010</v>
      </c>
      <c r="D5815" t="inlineStr">
        <is>
          <t>BW20361125</t>
        </is>
      </c>
      <c r="E5815" t="n">
        <v>2036</v>
      </c>
      <c r="F5815" t="inlineStr">
        <is>
          <t>Grudzień</t>
        </is>
      </c>
      <c r="G5815" t="inlineStr">
        <is>
          <t>Pn</t>
        </is>
      </c>
      <c r="H5815">
        <f>'Floor Hours Engine'!$E$4</f>
        <v/>
      </c>
      <c r="I5815" t="inlineStr">
        <is>
          <t>W1</t>
        </is>
      </c>
      <c r="J5815" t="inlineStr">
        <is>
          <t>2036_Grudzień_W1</t>
        </is>
      </c>
    </row>
    <row r="5816">
      <c r="A5816" s="177" t="n">
        <v>50011</v>
      </c>
      <c r="B5816" s="177" t="n">
        <v>50011</v>
      </c>
      <c r="C5816" s="177" t="n">
        <v>50017</v>
      </c>
      <c r="D5816" t="inlineStr">
        <is>
          <t>BW20361202</t>
        </is>
      </c>
      <c r="E5816" t="n">
        <v>2036</v>
      </c>
      <c r="F5816" t="inlineStr">
        <is>
          <t>Grudzień</t>
        </is>
      </c>
      <c r="G5816" t="inlineStr">
        <is>
          <t>Wt</t>
        </is>
      </c>
      <c r="H5816">
        <f>'Floor Hours Engine'!$E$4</f>
        <v/>
      </c>
      <c r="I5816" t="inlineStr">
        <is>
          <t>W2</t>
        </is>
      </c>
      <c r="J5816" t="inlineStr">
        <is>
          <t>2036_Grudzień_W2</t>
        </is>
      </c>
    </row>
    <row r="5817">
      <c r="A5817" s="177" t="n">
        <v>50012</v>
      </c>
      <c r="B5817" s="177" t="n">
        <v>50011</v>
      </c>
      <c r="C5817" s="177" t="n">
        <v>50017</v>
      </c>
      <c r="D5817" t="inlineStr">
        <is>
          <t>BW20361202</t>
        </is>
      </c>
      <c r="E5817" t="n">
        <v>2036</v>
      </c>
      <c r="F5817" t="inlineStr">
        <is>
          <t>Grudzień</t>
        </is>
      </c>
      <c r="G5817" t="inlineStr">
        <is>
          <t>Śr</t>
        </is>
      </c>
      <c r="H5817">
        <f>'Floor Hours Engine'!$E$4</f>
        <v/>
      </c>
      <c r="I5817" t="inlineStr">
        <is>
          <t>W2</t>
        </is>
      </c>
      <c r="J5817" t="inlineStr">
        <is>
          <t>2036_Grudzień_W2</t>
        </is>
      </c>
    </row>
    <row r="5818">
      <c r="A5818" s="177" t="n">
        <v>50013</v>
      </c>
      <c r="B5818" s="177" t="n">
        <v>50011</v>
      </c>
      <c r="C5818" s="177" t="n">
        <v>50017</v>
      </c>
      <c r="D5818" t="inlineStr">
        <is>
          <t>BW20361202</t>
        </is>
      </c>
      <c r="E5818" t="n">
        <v>2036</v>
      </c>
      <c r="F5818" t="inlineStr">
        <is>
          <t>Grudzień</t>
        </is>
      </c>
      <c r="G5818" t="inlineStr">
        <is>
          <t>Czw</t>
        </is>
      </c>
      <c r="H5818">
        <f>'Floor Hours Engine'!$E$4</f>
        <v/>
      </c>
      <c r="I5818" t="inlineStr">
        <is>
          <t>W2</t>
        </is>
      </c>
      <c r="J5818" t="inlineStr">
        <is>
          <t>2036_Grudzień_W2</t>
        </is>
      </c>
    </row>
    <row r="5819">
      <c r="A5819" s="177" t="n">
        <v>50014</v>
      </c>
      <c r="B5819" s="177" t="n">
        <v>50011</v>
      </c>
      <c r="C5819" s="177" t="n">
        <v>50017</v>
      </c>
      <c r="D5819" t="inlineStr">
        <is>
          <t>BW20361202</t>
        </is>
      </c>
      <c r="E5819" t="n">
        <v>2036</v>
      </c>
      <c r="F5819" t="inlineStr">
        <is>
          <t>Grudzień</t>
        </is>
      </c>
      <c r="G5819" t="inlineStr">
        <is>
          <t>Pt</t>
        </is>
      </c>
      <c r="H5819">
        <f>'Floor Hours Engine'!$E$5</f>
        <v/>
      </c>
      <c r="I5819" t="inlineStr">
        <is>
          <t>W2</t>
        </is>
      </c>
      <c r="J5819" t="inlineStr">
        <is>
          <t>2036_Grudzień_W2</t>
        </is>
      </c>
    </row>
    <row r="5820">
      <c r="A5820" s="177" t="n">
        <v>50015</v>
      </c>
      <c r="B5820" s="177" t="n">
        <v>50011</v>
      </c>
      <c r="C5820" s="177" t="n">
        <v>50017</v>
      </c>
      <c r="D5820" t="inlineStr">
        <is>
          <t>BW20361202</t>
        </is>
      </c>
      <c r="E5820" t="n">
        <v>2036</v>
      </c>
      <c r="F5820" t="inlineStr">
        <is>
          <t>Grudzień</t>
        </is>
      </c>
      <c r="G5820" t="inlineStr">
        <is>
          <t>Sob</t>
        </is>
      </c>
      <c r="H5820">
        <f>'Floor Hours Engine'!$E$5</f>
        <v/>
      </c>
      <c r="I5820" t="inlineStr">
        <is>
          <t>W2</t>
        </is>
      </c>
      <c r="J5820" t="inlineStr">
        <is>
          <t>2036_Grudzień_W2</t>
        </is>
      </c>
    </row>
    <row r="5821">
      <c r="A5821" s="177" t="n">
        <v>50016</v>
      </c>
      <c r="B5821" s="177" t="n">
        <v>50011</v>
      </c>
      <c r="C5821" s="177" t="n">
        <v>50017</v>
      </c>
      <c r="D5821" t="inlineStr">
        <is>
          <t>BW20361202</t>
        </is>
      </c>
      <c r="E5821" t="n">
        <v>2036</v>
      </c>
      <c r="F5821" t="inlineStr">
        <is>
          <t>Grudzień</t>
        </is>
      </c>
      <c r="G5821" t="inlineStr">
        <is>
          <t>Nd</t>
        </is>
      </c>
      <c r="H5821">
        <f>'Floor Hours Engine'!$E$6</f>
        <v/>
      </c>
      <c r="I5821" t="inlineStr">
        <is>
          <t>W2</t>
        </is>
      </c>
      <c r="J5821" t="inlineStr">
        <is>
          <t>2036_Grudzień_W2</t>
        </is>
      </c>
    </row>
    <row r="5822">
      <c r="A5822" s="177" t="n">
        <v>50017</v>
      </c>
      <c r="B5822" s="177" t="n">
        <v>50011</v>
      </c>
      <c r="C5822" s="177" t="n">
        <v>50017</v>
      </c>
      <c r="D5822" t="inlineStr">
        <is>
          <t>BW20361202</t>
        </is>
      </c>
      <c r="E5822" t="n">
        <v>2036</v>
      </c>
      <c r="F5822" t="inlineStr">
        <is>
          <t>Grudzień</t>
        </is>
      </c>
      <c r="G5822" t="inlineStr">
        <is>
          <t>Pn</t>
        </is>
      </c>
      <c r="H5822">
        <f>'Floor Hours Engine'!$E$4</f>
        <v/>
      </c>
      <c r="I5822" t="inlineStr">
        <is>
          <t>W2</t>
        </is>
      </c>
      <c r="J5822" t="inlineStr">
        <is>
          <t>2036_Grudzień_W2</t>
        </is>
      </c>
    </row>
    <row r="5823">
      <c r="A5823" s="177" t="n">
        <v>50018</v>
      </c>
      <c r="B5823" s="177" t="n">
        <v>50018</v>
      </c>
      <c r="C5823" s="177" t="n">
        <v>50024</v>
      </c>
      <c r="D5823" t="inlineStr">
        <is>
          <t>BW20361209</t>
        </is>
      </c>
      <c r="E5823" t="n">
        <v>2036</v>
      </c>
      <c r="F5823" t="inlineStr">
        <is>
          <t>Grudzień</t>
        </is>
      </c>
      <c r="G5823" t="inlineStr">
        <is>
          <t>Wt</t>
        </is>
      </c>
      <c r="H5823">
        <f>'Floor Hours Engine'!$E$4</f>
        <v/>
      </c>
      <c r="I5823" t="inlineStr">
        <is>
          <t>W3</t>
        </is>
      </c>
      <c r="J5823" t="inlineStr">
        <is>
          <t>2036_Grudzień_W3</t>
        </is>
      </c>
    </row>
    <row r="5824">
      <c r="A5824" s="177" t="n">
        <v>50019</v>
      </c>
      <c r="B5824" s="177" t="n">
        <v>50018</v>
      </c>
      <c r="C5824" s="177" t="n">
        <v>50024</v>
      </c>
      <c r="D5824" t="inlineStr">
        <is>
          <t>BW20361209</t>
        </is>
      </c>
      <c r="E5824" t="n">
        <v>2036</v>
      </c>
      <c r="F5824" t="inlineStr">
        <is>
          <t>Grudzień</t>
        </is>
      </c>
      <c r="G5824" t="inlineStr">
        <is>
          <t>Śr</t>
        </is>
      </c>
      <c r="H5824">
        <f>'Floor Hours Engine'!$E$4</f>
        <v/>
      </c>
      <c r="I5824" t="inlineStr">
        <is>
          <t>W3</t>
        </is>
      </c>
      <c r="J5824" t="inlineStr">
        <is>
          <t>2036_Grudzień_W3</t>
        </is>
      </c>
    </row>
    <row r="5825">
      <c r="A5825" s="177" t="n">
        <v>50020</v>
      </c>
      <c r="B5825" s="177" t="n">
        <v>50018</v>
      </c>
      <c r="C5825" s="177" t="n">
        <v>50024</v>
      </c>
      <c r="D5825" t="inlineStr">
        <is>
          <t>BW20361209</t>
        </is>
      </c>
      <c r="E5825" t="n">
        <v>2036</v>
      </c>
      <c r="F5825" t="inlineStr">
        <is>
          <t>Grudzień</t>
        </is>
      </c>
      <c r="G5825" t="inlineStr">
        <is>
          <t>Czw</t>
        </is>
      </c>
      <c r="H5825">
        <f>'Floor Hours Engine'!$E$4</f>
        <v/>
      </c>
      <c r="I5825" t="inlineStr">
        <is>
          <t>W3</t>
        </is>
      </c>
      <c r="J5825" t="inlineStr">
        <is>
          <t>2036_Grudzień_W3</t>
        </is>
      </c>
    </row>
    <row r="5826">
      <c r="A5826" s="177" t="n">
        <v>50021</v>
      </c>
      <c r="B5826" s="177" t="n">
        <v>50018</v>
      </c>
      <c r="C5826" s="177" t="n">
        <v>50024</v>
      </c>
      <c r="D5826" t="inlineStr">
        <is>
          <t>BW20361209</t>
        </is>
      </c>
      <c r="E5826" t="n">
        <v>2036</v>
      </c>
      <c r="F5826" t="inlineStr">
        <is>
          <t>Grudzień</t>
        </is>
      </c>
      <c r="G5826" t="inlineStr">
        <is>
          <t>Pt</t>
        </is>
      </c>
      <c r="H5826">
        <f>'Floor Hours Engine'!$E$5</f>
        <v/>
      </c>
      <c r="I5826" t="inlineStr">
        <is>
          <t>W3</t>
        </is>
      </c>
      <c r="J5826" t="inlineStr">
        <is>
          <t>2036_Grudzień_W3</t>
        </is>
      </c>
    </row>
    <row r="5827">
      <c r="A5827" s="177" t="n">
        <v>50022</v>
      </c>
      <c r="B5827" s="177" t="n">
        <v>50018</v>
      </c>
      <c r="C5827" s="177" t="n">
        <v>50024</v>
      </c>
      <c r="D5827" t="inlineStr">
        <is>
          <t>BW20361209</t>
        </is>
      </c>
      <c r="E5827" t="n">
        <v>2036</v>
      </c>
      <c r="F5827" t="inlineStr">
        <is>
          <t>Grudzień</t>
        </is>
      </c>
      <c r="G5827" t="inlineStr">
        <is>
          <t>Sob</t>
        </is>
      </c>
      <c r="H5827">
        <f>'Floor Hours Engine'!$E$5</f>
        <v/>
      </c>
      <c r="I5827" t="inlineStr">
        <is>
          <t>W3</t>
        </is>
      </c>
      <c r="J5827" t="inlineStr">
        <is>
          <t>2036_Grudzień_W3</t>
        </is>
      </c>
    </row>
    <row r="5828">
      <c r="A5828" s="177" t="n">
        <v>50023</v>
      </c>
      <c r="B5828" s="177" t="n">
        <v>50018</v>
      </c>
      <c r="C5828" s="177" t="n">
        <v>50024</v>
      </c>
      <c r="D5828" t="inlineStr">
        <is>
          <t>BW20361209</t>
        </is>
      </c>
      <c r="E5828" t="n">
        <v>2036</v>
      </c>
      <c r="F5828" t="inlineStr">
        <is>
          <t>Grudzień</t>
        </is>
      </c>
      <c r="G5828" t="inlineStr">
        <is>
          <t>Nd</t>
        </is>
      </c>
      <c r="H5828">
        <f>'Floor Hours Engine'!$E$6</f>
        <v/>
      </c>
      <c r="I5828" t="inlineStr">
        <is>
          <t>W3</t>
        </is>
      </c>
      <c r="J5828" t="inlineStr">
        <is>
          <t>2036_Grudzień_W3</t>
        </is>
      </c>
    </row>
    <row r="5829">
      <c r="A5829" s="177" t="n">
        <v>50024</v>
      </c>
      <c r="B5829" s="177" t="n">
        <v>50018</v>
      </c>
      <c r="C5829" s="177" t="n">
        <v>50024</v>
      </c>
      <c r="D5829" t="inlineStr">
        <is>
          <t>BW20361209</t>
        </is>
      </c>
      <c r="E5829" t="n">
        <v>2036</v>
      </c>
      <c r="F5829" t="inlineStr">
        <is>
          <t>Grudzień</t>
        </is>
      </c>
      <c r="G5829" t="inlineStr">
        <is>
          <t>Pn</t>
        </is>
      </c>
      <c r="H5829">
        <f>'Floor Hours Engine'!$E$4</f>
        <v/>
      </c>
      <c r="I5829" t="inlineStr">
        <is>
          <t>W3</t>
        </is>
      </c>
      <c r="J5829" t="inlineStr">
        <is>
          <t>2036_Grudzień_W3</t>
        </is>
      </c>
    </row>
    <row r="5830">
      <c r="A5830" s="177" t="n">
        <v>50025</v>
      </c>
      <c r="B5830" s="177" t="n">
        <v>50025</v>
      </c>
      <c r="C5830" s="177" t="n">
        <v>50031</v>
      </c>
      <c r="D5830" t="inlineStr">
        <is>
          <t>BW20361216</t>
        </is>
      </c>
      <c r="E5830" t="n">
        <v>2036</v>
      </c>
      <c r="F5830" t="inlineStr">
        <is>
          <t>Grudzień</t>
        </is>
      </c>
      <c r="G5830" t="inlineStr">
        <is>
          <t>Wt</t>
        </is>
      </c>
      <c r="H5830">
        <f>'Floor Hours Engine'!$E$4</f>
        <v/>
      </c>
      <c r="I5830" t="inlineStr">
        <is>
          <t>W4</t>
        </is>
      </c>
      <c r="J5830" t="inlineStr">
        <is>
          <t>2036_Grudzień_W4</t>
        </is>
      </c>
    </row>
    <row r="5831">
      <c r="A5831" s="177" t="n">
        <v>50026</v>
      </c>
      <c r="B5831" s="177" t="n">
        <v>50025</v>
      </c>
      <c r="C5831" s="177" t="n">
        <v>50031</v>
      </c>
      <c r="D5831" t="inlineStr">
        <is>
          <t>BW20361216</t>
        </is>
      </c>
      <c r="E5831" t="n">
        <v>2036</v>
      </c>
      <c r="F5831" t="inlineStr">
        <is>
          <t>Grudzień</t>
        </is>
      </c>
      <c r="G5831" t="inlineStr">
        <is>
          <t>Śr</t>
        </is>
      </c>
      <c r="H5831">
        <f>'Floor Hours Engine'!$E$4</f>
        <v/>
      </c>
      <c r="I5831" t="inlineStr">
        <is>
          <t>W4</t>
        </is>
      </c>
      <c r="J5831" t="inlineStr">
        <is>
          <t>2036_Grudzień_W4</t>
        </is>
      </c>
    </row>
    <row r="5832">
      <c r="A5832" s="177" t="n">
        <v>50027</v>
      </c>
      <c r="B5832" s="177" t="n">
        <v>50025</v>
      </c>
      <c r="C5832" s="177" t="n">
        <v>50031</v>
      </c>
      <c r="D5832" t="inlineStr">
        <is>
          <t>BW20361216</t>
        </is>
      </c>
      <c r="E5832" t="n">
        <v>2036</v>
      </c>
      <c r="F5832" t="inlineStr">
        <is>
          <t>Grudzień</t>
        </is>
      </c>
      <c r="G5832" t="inlineStr">
        <is>
          <t>Czw</t>
        </is>
      </c>
      <c r="H5832">
        <f>'Floor Hours Engine'!$E$4</f>
        <v/>
      </c>
      <c r="I5832" t="inlineStr">
        <is>
          <t>W4</t>
        </is>
      </c>
      <c r="J5832" t="inlineStr">
        <is>
          <t>2036_Grudzień_W4</t>
        </is>
      </c>
    </row>
    <row r="5833">
      <c r="A5833" s="177" t="n">
        <v>50028</v>
      </c>
      <c r="B5833" s="177" t="n">
        <v>50025</v>
      </c>
      <c r="C5833" s="177" t="n">
        <v>50031</v>
      </c>
      <c r="D5833" t="inlineStr">
        <is>
          <t>BW20361216</t>
        </is>
      </c>
      <c r="E5833" t="n">
        <v>2036</v>
      </c>
      <c r="F5833" t="inlineStr">
        <is>
          <t>Grudzień</t>
        </is>
      </c>
      <c r="G5833" t="inlineStr">
        <is>
          <t>Pt</t>
        </is>
      </c>
      <c r="H5833">
        <f>'Floor Hours Engine'!$E$5</f>
        <v/>
      </c>
      <c r="I5833" t="inlineStr">
        <is>
          <t>W4</t>
        </is>
      </c>
      <c r="J5833" t="inlineStr">
        <is>
          <t>2036_Grudzień_W4</t>
        </is>
      </c>
    </row>
    <row r="5834">
      <c r="A5834" s="177" t="n">
        <v>50029</v>
      </c>
      <c r="B5834" s="177" t="n">
        <v>50025</v>
      </c>
      <c r="C5834" s="177" t="n">
        <v>50031</v>
      </c>
      <c r="D5834" t="inlineStr">
        <is>
          <t>BW20361216</t>
        </is>
      </c>
      <c r="E5834" t="n">
        <v>2036</v>
      </c>
      <c r="F5834" t="inlineStr">
        <is>
          <t>Grudzień</t>
        </is>
      </c>
      <c r="G5834" t="inlineStr">
        <is>
          <t>Sob</t>
        </is>
      </c>
      <c r="H5834">
        <f>'Floor Hours Engine'!$E$5</f>
        <v/>
      </c>
      <c r="I5834" t="inlineStr">
        <is>
          <t>W4</t>
        </is>
      </c>
      <c r="J5834" t="inlineStr">
        <is>
          <t>2036_Grudzień_W4</t>
        </is>
      </c>
    </row>
    <row r="5835">
      <c r="A5835" s="177" t="n">
        <v>50030</v>
      </c>
      <c r="B5835" s="177" t="n">
        <v>50025</v>
      </c>
      <c r="C5835" s="177" t="n">
        <v>50031</v>
      </c>
      <c r="D5835" t="inlineStr">
        <is>
          <t>BW20361216</t>
        </is>
      </c>
      <c r="E5835" t="n">
        <v>2036</v>
      </c>
      <c r="F5835" t="inlineStr">
        <is>
          <t>Grudzień</t>
        </is>
      </c>
      <c r="G5835" t="inlineStr">
        <is>
          <t>Nd</t>
        </is>
      </c>
      <c r="H5835">
        <f>'Floor Hours Engine'!$E$6</f>
        <v/>
      </c>
      <c r="I5835" t="inlineStr">
        <is>
          <t>W4</t>
        </is>
      </c>
      <c r="J5835" t="inlineStr">
        <is>
          <t>2036_Grudzień_W4</t>
        </is>
      </c>
    </row>
    <row r="5836">
      <c r="A5836" s="177" t="n">
        <v>50031</v>
      </c>
      <c r="B5836" s="177" t="n">
        <v>50025</v>
      </c>
      <c r="C5836" s="177" t="n">
        <v>50031</v>
      </c>
      <c r="D5836" t="inlineStr">
        <is>
          <t>BW20361216</t>
        </is>
      </c>
      <c r="E5836" t="n">
        <v>2036</v>
      </c>
      <c r="F5836" t="inlineStr">
        <is>
          <t>Grudzień</t>
        </is>
      </c>
      <c r="G5836" t="inlineStr">
        <is>
          <t>Pn</t>
        </is>
      </c>
      <c r="H5836">
        <f>'Floor Hours Engine'!$E$4</f>
        <v/>
      </c>
      <c r="I5836" t="inlineStr">
        <is>
          <t>W4</t>
        </is>
      </c>
      <c r="J5836" t="inlineStr">
        <is>
          <t>2036_Grudzień_W4</t>
        </is>
      </c>
    </row>
    <row r="5837">
      <c r="A5837" s="177" t="n">
        <v>50032</v>
      </c>
      <c r="B5837" s="177" t="n">
        <v>50032</v>
      </c>
      <c r="C5837" s="177" t="n">
        <v>50038</v>
      </c>
      <c r="D5837" t="inlineStr">
        <is>
          <t>BW20361223</t>
        </is>
      </c>
      <c r="E5837" t="n">
        <v>2036</v>
      </c>
      <c r="F5837" t="inlineStr">
        <is>
          <t>Grudzień</t>
        </is>
      </c>
      <c r="G5837" t="inlineStr">
        <is>
          <t>Wt</t>
        </is>
      </c>
      <c r="H5837">
        <f>'Floor Hours Engine'!$E$4</f>
        <v/>
      </c>
      <c r="I5837" t="inlineStr">
        <is>
          <t>W5</t>
        </is>
      </c>
      <c r="J5837" t="inlineStr">
        <is>
          <t>2036_Grudzień_W5</t>
        </is>
      </c>
    </row>
    <row r="5838">
      <c r="A5838" s="177" t="n">
        <v>50033</v>
      </c>
      <c r="B5838" s="177" t="n">
        <v>50032</v>
      </c>
      <c r="C5838" s="177" t="n">
        <v>50038</v>
      </c>
      <c r="D5838" t="inlineStr">
        <is>
          <t>BW20361223</t>
        </is>
      </c>
      <c r="E5838" t="n">
        <v>2036</v>
      </c>
      <c r="F5838" t="inlineStr">
        <is>
          <t>Grudzień</t>
        </is>
      </c>
      <c r="G5838" t="inlineStr">
        <is>
          <t>Śr</t>
        </is>
      </c>
      <c r="H5838">
        <f>'Floor Hours Engine'!$E$4</f>
        <v/>
      </c>
      <c r="I5838" t="inlineStr">
        <is>
          <t>W5</t>
        </is>
      </c>
      <c r="J5838" t="inlineStr">
        <is>
          <t>2036_Grudzień_W5</t>
        </is>
      </c>
    </row>
    <row r="5839">
      <c r="A5839" s="177" t="n">
        <v>50034</v>
      </c>
      <c r="B5839" s="177" t="n">
        <v>50032</v>
      </c>
      <c r="C5839" s="177" t="n">
        <v>50038</v>
      </c>
      <c r="D5839" t="inlineStr">
        <is>
          <t>BW20361223</t>
        </is>
      </c>
      <c r="E5839" t="n">
        <v>2036</v>
      </c>
      <c r="F5839" t="inlineStr">
        <is>
          <t>Grudzień</t>
        </is>
      </c>
      <c r="G5839" t="inlineStr">
        <is>
          <t>Czw</t>
        </is>
      </c>
      <c r="H5839">
        <f>'Floor Hours Engine'!$E$4</f>
        <v/>
      </c>
      <c r="I5839" t="inlineStr">
        <is>
          <t>W5</t>
        </is>
      </c>
      <c r="J5839" t="inlineStr">
        <is>
          <t>2036_Grudzień_W5</t>
        </is>
      </c>
    </row>
    <row r="5840">
      <c r="A5840" s="177" t="n">
        <v>50035</v>
      </c>
      <c r="B5840" s="177" t="n">
        <v>50032</v>
      </c>
      <c r="C5840" s="177" t="n">
        <v>50038</v>
      </c>
      <c r="D5840" t="inlineStr">
        <is>
          <t>BW20361223</t>
        </is>
      </c>
      <c r="E5840" t="n">
        <v>2036</v>
      </c>
      <c r="F5840" t="inlineStr">
        <is>
          <t>Grudzień</t>
        </is>
      </c>
      <c r="G5840" t="inlineStr">
        <is>
          <t>Pt</t>
        </is>
      </c>
      <c r="H5840">
        <f>'Floor Hours Engine'!$E$5</f>
        <v/>
      </c>
      <c r="I5840" t="inlineStr">
        <is>
          <t>W5</t>
        </is>
      </c>
      <c r="J5840" t="inlineStr">
        <is>
          <t>2036_Grudzień_W5</t>
        </is>
      </c>
    </row>
    <row r="5841">
      <c r="A5841" s="177" t="n">
        <v>50036</v>
      </c>
      <c r="B5841" s="177" t="n">
        <v>50032</v>
      </c>
      <c r="C5841" s="177" t="n">
        <v>50038</v>
      </c>
      <c r="D5841" t="inlineStr">
        <is>
          <t>BW20361223</t>
        </is>
      </c>
      <c r="E5841" t="n">
        <v>2036</v>
      </c>
      <c r="F5841" t="inlineStr">
        <is>
          <t>Grudzień</t>
        </is>
      </c>
      <c r="G5841" t="inlineStr">
        <is>
          <t>Sob</t>
        </is>
      </c>
      <c r="H5841">
        <f>'Floor Hours Engine'!$E$5</f>
        <v/>
      </c>
      <c r="I5841" t="inlineStr">
        <is>
          <t>W5</t>
        </is>
      </c>
      <c r="J5841" t="inlineStr">
        <is>
          <t>2036_Grudzień_W5</t>
        </is>
      </c>
    </row>
    <row r="5842">
      <c r="A5842" s="177" t="n">
        <v>50037</v>
      </c>
      <c r="B5842" s="177" t="n">
        <v>50032</v>
      </c>
      <c r="C5842" s="177" t="n">
        <v>50038</v>
      </c>
      <c r="D5842" t="inlineStr">
        <is>
          <t>BW20361223</t>
        </is>
      </c>
      <c r="E5842" t="n">
        <v>2036</v>
      </c>
      <c r="F5842" t="inlineStr">
        <is>
          <t>Grudzień</t>
        </is>
      </c>
      <c r="G5842" t="inlineStr">
        <is>
          <t>Nd</t>
        </is>
      </c>
      <c r="H5842">
        <f>'Floor Hours Engine'!$E$6</f>
        <v/>
      </c>
      <c r="I5842" t="inlineStr">
        <is>
          <t>W5</t>
        </is>
      </c>
      <c r="J5842" t="inlineStr">
        <is>
          <t>2036_Grudzień_W5</t>
        </is>
      </c>
    </row>
    <row r="5843">
      <c r="A5843" s="177" t="n">
        <v>50038</v>
      </c>
      <c r="B5843" s="177" t="n">
        <v>50032</v>
      </c>
      <c r="C5843" s="177" t="n">
        <v>50038</v>
      </c>
      <c r="D5843" t="inlineStr">
        <is>
          <t>BW20361223</t>
        </is>
      </c>
      <c r="E5843" t="n">
        <v>2036</v>
      </c>
      <c r="F5843" t="inlineStr">
        <is>
          <t>Grudzień</t>
        </is>
      </c>
      <c r="G5843" t="inlineStr">
        <is>
          <t>Pn</t>
        </is>
      </c>
      <c r="H5843">
        <f>'Floor Hours Engine'!$E$4</f>
        <v/>
      </c>
      <c r="I5843" t="inlineStr">
        <is>
          <t>W5</t>
        </is>
      </c>
      <c r="J5843" t="inlineStr">
        <is>
          <t>2036_Grudzień_W5</t>
        </is>
      </c>
    </row>
    <row r="5844">
      <c r="A5844" s="177" t="n">
        <v>50039</v>
      </c>
      <c r="B5844" s="177" t="n">
        <v>50039</v>
      </c>
      <c r="C5844" s="177" t="n">
        <v>50045</v>
      </c>
      <c r="D5844" t="inlineStr">
        <is>
          <t>BW20361230</t>
        </is>
      </c>
      <c r="E5844" t="n">
        <v>2036</v>
      </c>
      <c r="F5844" t="inlineStr">
        <is>
          <t>Grudzień</t>
        </is>
      </c>
      <c r="G5844" t="inlineStr">
        <is>
          <t>Wt</t>
        </is>
      </c>
      <c r="H5844">
        <f>'Floor Hours Engine'!$E$4</f>
        <v/>
      </c>
      <c r="I5844" t="inlineStr">
        <is>
          <t>W6</t>
        </is>
      </c>
      <c r="J5844" t="inlineStr">
        <is>
          <t>2036_Grudzień_W6</t>
        </is>
      </c>
    </row>
    <row r="5845">
      <c r="A5845" s="177" t="n">
        <v>50040</v>
      </c>
      <c r="B5845" s="177" t="n">
        <v>50039</v>
      </c>
      <c r="C5845" s="177" t="n">
        <v>50045</v>
      </c>
      <c r="D5845" t="inlineStr">
        <is>
          <t>BW20361230</t>
        </is>
      </c>
      <c r="E5845" t="n">
        <v>2036</v>
      </c>
      <c r="F5845" t="inlineStr">
        <is>
          <t>Grudzień</t>
        </is>
      </c>
      <c r="G5845" t="inlineStr">
        <is>
          <t>Śr</t>
        </is>
      </c>
      <c r="H5845">
        <f>'Floor Hours Engine'!$E$4</f>
        <v/>
      </c>
      <c r="I5845" t="inlineStr">
        <is>
          <t>W6</t>
        </is>
      </c>
      <c r="J5845" t="inlineStr">
        <is>
          <t>2036_Grudzień_W6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I196"/>
  <sheetViews>
    <sheetView workbookViewId="0">
      <selection activeCell="A1" sqref="A1"/>
    </sheetView>
  </sheetViews>
  <sheetFormatPr baseColWidth="8" defaultRowHeight="15"/>
  <cols>
    <col width="16" bestFit="1" customWidth="1" style="19" min="1" max="1"/>
    <col width="8" bestFit="1" customWidth="1" style="19" min="2" max="2"/>
    <col width="14" bestFit="1" customWidth="1" style="19" min="3" max="3"/>
    <col width="11" bestFit="1" customWidth="1" style="18" min="4" max="4"/>
    <col width="14" bestFit="1" customWidth="1" style="36" min="5" max="5"/>
    <col width="18" bestFit="1" customWidth="1" style="19" min="6" max="6"/>
    <col width="14" bestFit="1" customWidth="1" style="19" min="7" max="7"/>
    <col width="18" bestFit="1" customWidth="1" style="19" min="8" max="8"/>
    <col width="18" bestFit="1" customWidth="1" style="19" min="9" max="9"/>
    <col width="18.005" bestFit="1" customWidth="1" style="19" min="10" max="10"/>
  </cols>
  <sheetData>
    <row r="1" ht="17.25" customHeight="1">
      <c r="A1" s="178" t="inlineStr">
        <is>
          <t>AOP PLAN MASTER — CAŁOROCZNA BAZA PLANU (2021–2036)</t>
        </is>
      </c>
      <c r="E1" s="196" t="inlineStr">
        <is>
          <t>⬅️ POWRÓT DO EXECUTIVE DASHBOARD (UKRYJ ARKUSZ)</t>
        </is>
      </c>
      <c r="F1" s="196" t="n"/>
      <c r="G1" s="196" t="n"/>
    </row>
    <row r="2" ht="17.25" customHeight="1">
      <c r="B2" s="106" t="inlineStr">
        <is>
          <t>Wybierz Rok do Podglądu:</t>
        </is>
      </c>
      <c r="C2" s="179" t="n">
        <v>2026</v>
      </c>
      <c r="E2" s="180" t="inlineStr">
        <is>
          <t>Suma Plan TRX Roku:</t>
        </is>
      </c>
      <c r="F2" s="181">
        <f>SUMIFS($F$5:$F$196, $B$5:$B$196, $C$2)</f>
        <v/>
      </c>
      <c r="H2" s="180" t="inlineStr">
        <is>
          <t>Budżet Godzin Roku:</t>
        </is>
      </c>
      <c r="I2" s="182">
        <f>SUMIFS($H$5:$H$196, $B$5:$B$196, $C$2)</f>
        <v/>
      </c>
    </row>
    <row r="3" ht="17.25" customHeight="1"/>
    <row r="4" ht="17.25" customHeight="1">
      <c r="A4" s="183" t="inlineStr">
        <is>
          <t>Klucz (Y_M)</t>
        </is>
      </c>
      <c r="B4" s="183" t="inlineStr">
        <is>
          <t>Rok</t>
        </is>
      </c>
      <c r="C4" s="183" t="inlineStr">
        <is>
          <t>Miesiąc</t>
        </is>
      </c>
      <c r="D4" s="183" t="inlineStr">
        <is>
          <t>Nr Miesiąca</t>
        </is>
      </c>
      <c r="E4" s="183" t="inlineStr">
        <is>
          <t>Liczba Tygodni</t>
        </is>
      </c>
      <c r="F4" s="183" t="inlineStr">
        <is>
          <t>Plan Transakcji (AOP TRX)</t>
        </is>
      </c>
      <c r="G4" s="183" t="inlineStr">
        <is>
          <t>Cel TPLH AOP</t>
        </is>
      </c>
      <c r="H4" s="183" t="inlineStr">
        <is>
          <t>Budżet Godzin AOP</t>
        </is>
      </c>
      <c r="I4" s="183" t="inlineStr">
        <is>
          <t>Średni Budżet / Tydz.</t>
        </is>
      </c>
    </row>
    <row r="5" ht="17.25" customHeight="1">
      <c r="A5" t="inlineStr">
        <is>
          <t>2021_Styczeń</t>
        </is>
      </c>
      <c r="B5" t="n">
        <v>2021</v>
      </c>
      <c r="C5" t="inlineStr">
        <is>
          <t>Styczeń</t>
        </is>
      </c>
      <c r="D5" t="inlineStr">
        <is>
          <t>M01</t>
        </is>
      </c>
      <c r="E5" t="n">
        <v>5</v>
      </c>
      <c r="F5" s="184" t="n">
        <v>10800</v>
      </c>
      <c r="G5" s="185" t="n">
        <v>7.2</v>
      </c>
      <c r="H5" s="186">
        <f>ROUND(F5/G5, 1)</f>
        <v/>
      </c>
      <c r="I5" s="186">
        <f>ROUND(H5/E5, 1)</f>
        <v/>
      </c>
    </row>
    <row r="6" ht="17.25" customHeight="1">
      <c r="A6" t="inlineStr">
        <is>
          <t>2021_Luty</t>
        </is>
      </c>
      <c r="B6" t="n">
        <v>2021</v>
      </c>
      <c r="C6" t="inlineStr">
        <is>
          <t>Luty</t>
        </is>
      </c>
      <c r="D6" t="inlineStr">
        <is>
          <t>M02</t>
        </is>
      </c>
      <c r="E6" t="n">
        <v>5</v>
      </c>
      <c r="F6" s="184" t="n">
        <v>10350</v>
      </c>
      <c r="G6" s="185" t="n">
        <v>7.2</v>
      </c>
      <c r="H6" s="186">
        <f>ROUND(F6/G6, 1)</f>
        <v/>
      </c>
      <c r="I6" s="186">
        <f>ROUND(H6/E6, 1)</f>
        <v/>
      </c>
    </row>
    <row r="7" ht="17.25" customHeight="1">
      <c r="A7" t="inlineStr">
        <is>
          <t>2021_Marzec</t>
        </is>
      </c>
      <c r="B7" t="n">
        <v>2021</v>
      </c>
      <c r="C7" t="inlineStr">
        <is>
          <t>Marzec</t>
        </is>
      </c>
      <c r="D7" t="inlineStr">
        <is>
          <t>M03</t>
        </is>
      </c>
      <c r="E7" t="n">
        <v>6</v>
      </c>
      <c r="F7" s="184" t="n">
        <v>11700</v>
      </c>
      <c r="G7" s="185" t="n">
        <v>7.2</v>
      </c>
      <c r="H7" s="186">
        <f>ROUND(F7/G7, 1)</f>
        <v/>
      </c>
      <c r="I7" s="186">
        <f>ROUND(H7/E7, 1)</f>
        <v/>
      </c>
    </row>
    <row r="8" ht="17.25" customHeight="1">
      <c r="A8" t="inlineStr">
        <is>
          <t>2021_Kwiecień</t>
        </is>
      </c>
      <c r="B8" t="n">
        <v>2021</v>
      </c>
      <c r="C8" t="inlineStr">
        <is>
          <t>Kwiecień</t>
        </is>
      </c>
      <c r="D8" t="inlineStr">
        <is>
          <t>M04</t>
        </is>
      </c>
      <c r="E8" t="n">
        <v>5</v>
      </c>
      <c r="F8" s="184" t="n">
        <v>11520</v>
      </c>
      <c r="G8" s="185" t="n">
        <v>7.2</v>
      </c>
      <c r="H8" s="186">
        <f>ROUND(F8/G8, 1)</f>
        <v/>
      </c>
      <c r="I8" s="186">
        <f>ROUND(H8/E8, 1)</f>
        <v/>
      </c>
    </row>
    <row r="9" ht="17.25" customHeight="1">
      <c r="A9" t="inlineStr">
        <is>
          <t>2021_Maj</t>
        </is>
      </c>
      <c r="B9" t="n">
        <v>2021</v>
      </c>
      <c r="C9" t="inlineStr">
        <is>
          <t>Maj</t>
        </is>
      </c>
      <c r="D9" t="inlineStr">
        <is>
          <t>M05</t>
        </is>
      </c>
      <c r="E9" t="n">
        <v>5</v>
      </c>
      <c r="F9" s="184" t="n">
        <v>12150</v>
      </c>
      <c r="G9" s="185" t="n">
        <v>7.2</v>
      </c>
      <c r="H9" s="186">
        <f>ROUND(F9/G9, 1)</f>
        <v/>
      </c>
      <c r="I9" s="186">
        <f>ROUND(H9/E9, 1)</f>
        <v/>
      </c>
    </row>
    <row r="10" ht="17.25" customHeight="1">
      <c r="A10" t="inlineStr">
        <is>
          <t>2021_Czerwiec</t>
        </is>
      </c>
      <c r="B10" t="n">
        <v>2021</v>
      </c>
      <c r="C10" t="inlineStr">
        <is>
          <t>Czerwiec</t>
        </is>
      </c>
      <c r="D10" t="inlineStr">
        <is>
          <t>M06</t>
        </is>
      </c>
      <c r="E10" t="n">
        <v>5</v>
      </c>
      <c r="F10" s="184" t="n">
        <v>12600</v>
      </c>
      <c r="G10" s="185" t="n">
        <v>7.2</v>
      </c>
      <c r="H10" s="186">
        <f>ROUND(F10/G10, 1)</f>
        <v/>
      </c>
      <c r="I10" s="186">
        <f>ROUND(H10/E10, 1)</f>
        <v/>
      </c>
    </row>
    <row r="11" ht="17.25" customHeight="1">
      <c r="A11" t="inlineStr">
        <is>
          <t>2021_Lipiec</t>
        </is>
      </c>
      <c r="B11" t="n">
        <v>2021</v>
      </c>
      <c r="C11" t="inlineStr">
        <is>
          <t>Lipiec</t>
        </is>
      </c>
      <c r="D11" t="inlineStr">
        <is>
          <t>M07</t>
        </is>
      </c>
      <c r="E11" t="n">
        <v>5</v>
      </c>
      <c r="F11" s="184" t="n">
        <v>12780</v>
      </c>
      <c r="G11" s="185" t="n">
        <v>7.2</v>
      </c>
      <c r="H11" s="186">
        <f>ROUND(F11/G11, 1)</f>
        <v/>
      </c>
      <c r="I11" s="186">
        <f>ROUND(H11/E11, 1)</f>
        <v/>
      </c>
    </row>
    <row r="12" ht="17.25" customHeight="1">
      <c r="A12" t="inlineStr">
        <is>
          <t>2021_Sierpień</t>
        </is>
      </c>
      <c r="B12" t="n">
        <v>2021</v>
      </c>
      <c r="C12" t="inlineStr">
        <is>
          <t>Sierpień</t>
        </is>
      </c>
      <c r="D12" t="inlineStr">
        <is>
          <t>M08</t>
        </is>
      </c>
      <c r="E12" t="n">
        <v>6</v>
      </c>
      <c r="F12" s="184" t="n">
        <v>12420</v>
      </c>
      <c r="G12" s="185" t="n">
        <v>7.2</v>
      </c>
      <c r="H12" s="186">
        <f>ROUND(F12/G12, 1)</f>
        <v/>
      </c>
      <c r="I12" s="186">
        <f>ROUND(H12/E12, 1)</f>
        <v/>
      </c>
    </row>
    <row r="13" ht="17.25" customHeight="1">
      <c r="A13" t="inlineStr">
        <is>
          <t>2021_Wrzesień</t>
        </is>
      </c>
      <c r="B13" t="n">
        <v>2021</v>
      </c>
      <c r="C13" t="inlineStr">
        <is>
          <t>Wrzesień</t>
        </is>
      </c>
      <c r="D13" t="inlineStr">
        <is>
          <t>M09</t>
        </is>
      </c>
      <c r="E13" t="n">
        <v>5</v>
      </c>
      <c r="F13" s="184" t="n">
        <v>11880</v>
      </c>
      <c r="G13" s="185" t="n">
        <v>7.2</v>
      </c>
      <c r="H13" s="186">
        <f>ROUND(F13/G13, 1)</f>
        <v/>
      </c>
      <c r="I13" s="186">
        <f>ROUND(H13/E13, 1)</f>
        <v/>
      </c>
    </row>
    <row r="14" ht="17.25" customHeight="1">
      <c r="A14" t="inlineStr">
        <is>
          <t>2021_Październik</t>
        </is>
      </c>
      <c r="B14" t="n">
        <v>2021</v>
      </c>
      <c r="C14" t="inlineStr">
        <is>
          <t>Październik</t>
        </is>
      </c>
      <c r="D14" t="inlineStr">
        <is>
          <t>M10</t>
        </is>
      </c>
      <c r="E14" t="n">
        <v>5</v>
      </c>
      <c r="F14" s="184" t="n">
        <v>11700</v>
      </c>
      <c r="G14" s="185" t="n">
        <v>7.2</v>
      </c>
      <c r="H14" s="186">
        <f>ROUND(F14/G14, 1)</f>
        <v/>
      </c>
      <c r="I14" s="186">
        <f>ROUND(H14/E14, 1)</f>
        <v/>
      </c>
    </row>
    <row r="15" ht="17.25" customHeight="1">
      <c r="A15" t="inlineStr">
        <is>
          <t>2021_Listopad</t>
        </is>
      </c>
      <c r="B15" t="n">
        <v>2021</v>
      </c>
      <c r="C15" t="inlineStr">
        <is>
          <t>Listopad</t>
        </is>
      </c>
      <c r="D15" t="inlineStr">
        <is>
          <t>M11</t>
        </is>
      </c>
      <c r="E15" t="n">
        <v>6</v>
      </c>
      <c r="F15" s="184" t="n">
        <v>12150</v>
      </c>
      <c r="G15" s="185" t="n">
        <v>7.2</v>
      </c>
      <c r="H15" s="186">
        <f>ROUND(F15/G15, 1)</f>
        <v/>
      </c>
      <c r="I15" s="186">
        <f>ROUND(H15/E15, 1)</f>
        <v/>
      </c>
    </row>
    <row r="16" ht="17.25" customHeight="1">
      <c r="A16" t="inlineStr">
        <is>
          <t>2021_Grudzień</t>
        </is>
      </c>
      <c r="B16" t="n">
        <v>2021</v>
      </c>
      <c r="C16" t="inlineStr">
        <is>
          <t>Grudzień</t>
        </is>
      </c>
      <c r="D16" t="inlineStr">
        <is>
          <t>M12</t>
        </is>
      </c>
      <c r="E16" t="n">
        <v>5</v>
      </c>
      <c r="F16" s="184" t="n">
        <v>13950</v>
      </c>
      <c r="G16" s="185" t="n">
        <v>7.2</v>
      </c>
      <c r="H16" s="186">
        <f>ROUND(F16/G16, 1)</f>
        <v/>
      </c>
      <c r="I16" s="186">
        <f>ROUND(H16/E16, 1)</f>
        <v/>
      </c>
    </row>
    <row r="17" ht="17.25" customHeight="1">
      <c r="A17" t="inlineStr">
        <is>
          <t>2022_Styczeń</t>
        </is>
      </c>
      <c r="B17" t="n">
        <v>2022</v>
      </c>
      <c r="C17" t="inlineStr">
        <is>
          <t>Styczeń</t>
        </is>
      </c>
      <c r="D17" t="inlineStr">
        <is>
          <t>M01</t>
        </is>
      </c>
      <c r="E17" t="n">
        <v>5</v>
      </c>
      <c r="F17" s="184" t="n">
        <v>11040</v>
      </c>
      <c r="G17" s="185" t="n">
        <v>7.2</v>
      </c>
      <c r="H17" s="186">
        <f>ROUND(F17/G17, 1)</f>
        <v/>
      </c>
      <c r="I17" s="186">
        <f>ROUND(H17/E17, 1)</f>
        <v/>
      </c>
    </row>
    <row r="18" ht="17.25" customHeight="1">
      <c r="A18" t="inlineStr">
        <is>
          <t>2022_Luty</t>
        </is>
      </c>
      <c r="B18" t="n">
        <v>2022</v>
      </c>
      <c r="C18" t="inlineStr">
        <is>
          <t>Luty</t>
        </is>
      </c>
      <c r="D18" t="inlineStr">
        <is>
          <t>M02</t>
        </is>
      </c>
      <c r="E18" t="n">
        <v>4</v>
      </c>
      <c r="F18" s="184" t="n">
        <v>10580</v>
      </c>
      <c r="G18" s="185" t="n">
        <v>7.2</v>
      </c>
      <c r="H18" s="186">
        <f>ROUND(F18/G18, 1)</f>
        <v/>
      </c>
      <c r="I18" s="186">
        <f>ROUND(H18/E18, 1)</f>
        <v/>
      </c>
    </row>
    <row r="19" ht="17.25" customHeight="1">
      <c r="A19" t="inlineStr">
        <is>
          <t>2022_Marzec</t>
        </is>
      </c>
      <c r="B19" t="n">
        <v>2022</v>
      </c>
      <c r="C19" t="inlineStr">
        <is>
          <t>Marzec</t>
        </is>
      </c>
      <c r="D19" t="inlineStr">
        <is>
          <t>M03</t>
        </is>
      </c>
      <c r="E19" t="n">
        <v>5</v>
      </c>
      <c r="F19" s="184" t="n">
        <v>11960</v>
      </c>
      <c r="G19" s="185" t="n">
        <v>7.2</v>
      </c>
      <c r="H19" s="186">
        <f>ROUND(F19/G19, 1)</f>
        <v/>
      </c>
      <c r="I19" s="186">
        <f>ROUND(H19/E19, 1)</f>
        <v/>
      </c>
    </row>
    <row r="20" ht="17.25" customHeight="1">
      <c r="A20" t="inlineStr">
        <is>
          <t>2022_Kwiecień</t>
        </is>
      </c>
      <c r="B20" t="n">
        <v>2022</v>
      </c>
      <c r="C20" t="inlineStr">
        <is>
          <t>Kwiecień</t>
        </is>
      </c>
      <c r="D20" t="inlineStr">
        <is>
          <t>M04</t>
        </is>
      </c>
      <c r="E20" t="n">
        <v>5</v>
      </c>
      <c r="F20" s="184" t="n">
        <v>11776</v>
      </c>
      <c r="G20" s="185" t="n">
        <v>7.2</v>
      </c>
      <c r="H20" s="186">
        <f>ROUND(F20/G20, 1)</f>
        <v/>
      </c>
      <c r="I20" s="186">
        <f>ROUND(H20/E20, 1)</f>
        <v/>
      </c>
    </row>
    <row r="21">
      <c r="A21" t="inlineStr">
        <is>
          <t>2022_Maj</t>
        </is>
      </c>
      <c r="B21" t="n">
        <v>2022</v>
      </c>
      <c r="C21" t="inlineStr">
        <is>
          <t>Maj</t>
        </is>
      </c>
      <c r="D21" t="inlineStr">
        <is>
          <t>M05</t>
        </is>
      </c>
      <c r="E21" t="n">
        <v>6</v>
      </c>
      <c r="F21" s="184" t="n">
        <v>12420</v>
      </c>
      <c r="G21" s="185" t="n">
        <v>7.2</v>
      </c>
      <c r="H21" s="186">
        <f>ROUND(F21/G21, 1)</f>
        <v/>
      </c>
      <c r="I21" s="186">
        <f>ROUND(H21/E21, 1)</f>
        <v/>
      </c>
    </row>
    <row r="22">
      <c r="A22" t="inlineStr">
        <is>
          <t>2022_Czerwiec</t>
        </is>
      </c>
      <c r="B22" t="n">
        <v>2022</v>
      </c>
      <c r="C22" t="inlineStr">
        <is>
          <t>Czerwiec</t>
        </is>
      </c>
      <c r="D22" t="inlineStr">
        <is>
          <t>M06</t>
        </is>
      </c>
      <c r="E22" t="n">
        <v>5</v>
      </c>
      <c r="F22" s="184" t="n">
        <v>12880</v>
      </c>
      <c r="G22" s="185" t="n">
        <v>7.2</v>
      </c>
      <c r="H22" s="186">
        <f>ROUND(F22/G22, 1)</f>
        <v/>
      </c>
      <c r="I22" s="186">
        <f>ROUND(H22/E22, 1)</f>
        <v/>
      </c>
    </row>
    <row r="23">
      <c r="A23" t="inlineStr">
        <is>
          <t>2022_Lipiec</t>
        </is>
      </c>
      <c r="B23" t="n">
        <v>2022</v>
      </c>
      <c r="C23" t="inlineStr">
        <is>
          <t>Lipiec</t>
        </is>
      </c>
      <c r="D23" t="inlineStr">
        <is>
          <t>M07</t>
        </is>
      </c>
      <c r="E23" t="n">
        <v>5</v>
      </c>
      <c r="F23" s="184" t="n">
        <v>13064</v>
      </c>
      <c r="G23" s="185" t="n">
        <v>7.2</v>
      </c>
      <c r="H23" s="186">
        <f>ROUND(F23/G23, 1)</f>
        <v/>
      </c>
      <c r="I23" s="186">
        <f>ROUND(H23/E23, 1)</f>
        <v/>
      </c>
    </row>
    <row r="24">
      <c r="A24" t="inlineStr">
        <is>
          <t>2022_Sierpień</t>
        </is>
      </c>
      <c r="B24" t="n">
        <v>2022</v>
      </c>
      <c r="C24" t="inlineStr">
        <is>
          <t>Sierpień</t>
        </is>
      </c>
      <c r="D24" t="inlineStr">
        <is>
          <t>M08</t>
        </is>
      </c>
      <c r="E24" t="n">
        <v>6</v>
      </c>
      <c r="F24" s="184" t="n">
        <v>12696</v>
      </c>
      <c r="G24" s="185" t="n">
        <v>7.2</v>
      </c>
      <c r="H24" s="186">
        <f>ROUND(F24/G24, 1)</f>
        <v/>
      </c>
      <c r="I24" s="186">
        <f>ROUND(H24/E24, 1)</f>
        <v/>
      </c>
    </row>
    <row r="25">
      <c r="A25" t="inlineStr">
        <is>
          <t>2022_Wrzesień</t>
        </is>
      </c>
      <c r="B25" t="n">
        <v>2022</v>
      </c>
      <c r="C25" t="inlineStr">
        <is>
          <t>Wrzesień</t>
        </is>
      </c>
      <c r="D25" t="inlineStr">
        <is>
          <t>M09</t>
        </is>
      </c>
      <c r="E25" t="n">
        <v>5</v>
      </c>
      <c r="F25" s="184" t="n">
        <v>12144</v>
      </c>
      <c r="G25" s="185" t="n">
        <v>7.2</v>
      </c>
      <c r="H25" s="186">
        <f>ROUND(F25/G25, 1)</f>
        <v/>
      </c>
      <c r="I25" s="186">
        <f>ROUND(H25/E25, 1)</f>
        <v/>
      </c>
    </row>
    <row r="26">
      <c r="A26" t="inlineStr">
        <is>
          <t>2022_Październik</t>
        </is>
      </c>
      <c r="B26" t="n">
        <v>2022</v>
      </c>
      <c r="C26" t="inlineStr">
        <is>
          <t>Październik</t>
        </is>
      </c>
      <c r="D26" t="inlineStr">
        <is>
          <t>M10</t>
        </is>
      </c>
      <c r="E26" t="n">
        <v>5</v>
      </c>
      <c r="F26" s="184" t="n">
        <v>11960</v>
      </c>
      <c r="G26" s="185" t="n">
        <v>7.2</v>
      </c>
      <c r="H26" s="186">
        <f>ROUND(F26/G26, 1)</f>
        <v/>
      </c>
      <c r="I26" s="186">
        <f>ROUND(H26/E26, 1)</f>
        <v/>
      </c>
    </row>
    <row r="27">
      <c r="A27" t="inlineStr">
        <is>
          <t>2022_Listopad</t>
        </is>
      </c>
      <c r="B27" t="n">
        <v>2022</v>
      </c>
      <c r="C27" t="inlineStr">
        <is>
          <t>Listopad</t>
        </is>
      </c>
      <c r="D27" t="inlineStr">
        <is>
          <t>M11</t>
        </is>
      </c>
      <c r="E27" t="n">
        <v>5</v>
      </c>
      <c r="F27" s="184" t="n">
        <v>12420</v>
      </c>
      <c r="G27" s="185" t="n">
        <v>7.2</v>
      </c>
      <c r="H27" s="186">
        <f>ROUND(F27/G27, 1)</f>
        <v/>
      </c>
      <c r="I27" s="186">
        <f>ROUND(H27/E27, 1)</f>
        <v/>
      </c>
    </row>
    <row r="28">
      <c r="A28" t="inlineStr">
        <is>
          <t>2022_Grudzień</t>
        </is>
      </c>
      <c r="B28" t="n">
        <v>2022</v>
      </c>
      <c r="C28" t="inlineStr">
        <is>
          <t>Grudzień</t>
        </is>
      </c>
      <c r="D28" t="inlineStr">
        <is>
          <t>M12</t>
        </is>
      </c>
      <c r="E28" t="n">
        <v>5</v>
      </c>
      <c r="F28" s="184" t="n">
        <v>14260</v>
      </c>
      <c r="G28" s="185" t="n">
        <v>7.2</v>
      </c>
      <c r="H28" s="186">
        <f>ROUND(F28/G28, 1)</f>
        <v/>
      </c>
      <c r="I28" s="186">
        <f>ROUND(H28/E28, 1)</f>
        <v/>
      </c>
    </row>
    <row r="29">
      <c r="A29" t="inlineStr">
        <is>
          <t>2023_Styczeń</t>
        </is>
      </c>
      <c r="B29" t="n">
        <v>2023</v>
      </c>
      <c r="C29" t="inlineStr">
        <is>
          <t>Styczeń</t>
        </is>
      </c>
      <c r="D29" t="inlineStr">
        <is>
          <t>M01</t>
        </is>
      </c>
      <c r="E29" t="n">
        <v>6</v>
      </c>
      <c r="F29" s="184" t="n">
        <v>11280</v>
      </c>
      <c r="G29" s="185" t="n">
        <v>7.2</v>
      </c>
      <c r="H29" s="186">
        <f>ROUND(F29/G29, 1)</f>
        <v/>
      </c>
      <c r="I29" s="186">
        <f>ROUND(H29/E29, 1)</f>
        <v/>
      </c>
    </row>
    <row r="30">
      <c r="A30" t="inlineStr">
        <is>
          <t>2023_Luty</t>
        </is>
      </c>
      <c r="B30" t="n">
        <v>2023</v>
      </c>
      <c r="C30" t="inlineStr">
        <is>
          <t>Luty</t>
        </is>
      </c>
      <c r="D30" t="inlineStr">
        <is>
          <t>M02</t>
        </is>
      </c>
      <c r="E30" t="n">
        <v>5</v>
      </c>
      <c r="F30" s="184" t="n">
        <v>10810</v>
      </c>
      <c r="G30" s="185" t="n">
        <v>7.2</v>
      </c>
      <c r="H30" s="186">
        <f>ROUND(F30/G30, 1)</f>
        <v/>
      </c>
      <c r="I30" s="186">
        <f>ROUND(H30/E30, 1)</f>
        <v/>
      </c>
    </row>
    <row r="31">
      <c r="A31" t="inlineStr">
        <is>
          <t>2023_Marzec</t>
        </is>
      </c>
      <c r="B31" t="n">
        <v>2023</v>
      </c>
      <c r="C31" t="inlineStr">
        <is>
          <t>Marzec</t>
        </is>
      </c>
      <c r="D31" t="inlineStr">
        <is>
          <t>M03</t>
        </is>
      </c>
      <c r="E31" t="n">
        <v>5</v>
      </c>
      <c r="F31" s="184" t="n">
        <v>12220</v>
      </c>
      <c r="G31" s="185" t="n">
        <v>7.2</v>
      </c>
      <c r="H31" s="186">
        <f>ROUND(F31/G31, 1)</f>
        <v/>
      </c>
      <c r="I31" s="186">
        <f>ROUND(H31/E31, 1)</f>
        <v/>
      </c>
    </row>
    <row r="32">
      <c r="A32" t="inlineStr">
        <is>
          <t>2023_Kwiecień</t>
        </is>
      </c>
      <c r="B32" t="n">
        <v>2023</v>
      </c>
      <c r="C32" t="inlineStr">
        <is>
          <t>Kwiecień</t>
        </is>
      </c>
      <c r="D32" t="inlineStr">
        <is>
          <t>M04</t>
        </is>
      </c>
      <c r="E32" t="n">
        <v>5</v>
      </c>
      <c r="F32" s="184" t="n">
        <v>12032</v>
      </c>
      <c r="G32" s="185" t="n">
        <v>7.2</v>
      </c>
      <c r="H32" s="186">
        <f>ROUND(F32/G32, 1)</f>
        <v/>
      </c>
      <c r="I32" s="186">
        <f>ROUND(H32/E32, 1)</f>
        <v/>
      </c>
    </row>
    <row r="33">
      <c r="A33" t="inlineStr">
        <is>
          <t>2023_Maj</t>
        </is>
      </c>
      <c r="B33" t="n">
        <v>2023</v>
      </c>
      <c r="C33" t="inlineStr">
        <is>
          <t>Maj</t>
        </is>
      </c>
      <c r="D33" t="inlineStr">
        <is>
          <t>M05</t>
        </is>
      </c>
      <c r="E33" t="n">
        <v>6</v>
      </c>
      <c r="F33" s="184" t="n">
        <v>12690</v>
      </c>
      <c r="G33" s="185" t="n">
        <v>7.2</v>
      </c>
      <c r="H33" s="186">
        <f>ROUND(F33/G33, 1)</f>
        <v/>
      </c>
      <c r="I33" s="186">
        <f>ROUND(H33/E33, 1)</f>
        <v/>
      </c>
    </row>
    <row r="34">
      <c r="A34" t="inlineStr">
        <is>
          <t>2023_Czerwiec</t>
        </is>
      </c>
      <c r="B34" t="n">
        <v>2023</v>
      </c>
      <c r="C34" t="inlineStr">
        <is>
          <t>Czerwiec</t>
        </is>
      </c>
      <c r="D34" t="inlineStr">
        <is>
          <t>M06</t>
        </is>
      </c>
      <c r="E34" t="n">
        <v>5</v>
      </c>
      <c r="F34" s="184" t="n">
        <v>13160</v>
      </c>
      <c r="G34" s="185" t="n">
        <v>7.2</v>
      </c>
      <c r="H34" s="186">
        <f>ROUND(F34/G34, 1)</f>
        <v/>
      </c>
      <c r="I34" s="186">
        <f>ROUND(H34/E34, 1)</f>
        <v/>
      </c>
    </row>
    <row r="35">
      <c r="A35" t="inlineStr">
        <is>
          <t>2023_Lipiec</t>
        </is>
      </c>
      <c r="B35" t="n">
        <v>2023</v>
      </c>
      <c r="C35" t="inlineStr">
        <is>
          <t>Lipiec</t>
        </is>
      </c>
      <c r="D35" t="inlineStr">
        <is>
          <t>M07</t>
        </is>
      </c>
      <c r="E35" t="n">
        <v>5</v>
      </c>
      <c r="F35" s="184" t="n">
        <v>13348</v>
      </c>
      <c r="G35" s="185" t="n">
        <v>7.2</v>
      </c>
      <c r="H35" s="186">
        <f>ROUND(F35/G35, 1)</f>
        <v/>
      </c>
      <c r="I35" s="186">
        <f>ROUND(H35/E35, 1)</f>
        <v/>
      </c>
    </row>
    <row r="36">
      <c r="A36" t="inlineStr">
        <is>
          <t>2023_Sierpień</t>
        </is>
      </c>
      <c r="B36" t="n">
        <v>2023</v>
      </c>
      <c r="C36" t="inlineStr">
        <is>
          <t>Sierpień</t>
        </is>
      </c>
      <c r="D36" t="inlineStr">
        <is>
          <t>M08</t>
        </is>
      </c>
      <c r="E36" t="n">
        <v>5</v>
      </c>
      <c r="F36" s="184" t="n">
        <v>12972</v>
      </c>
      <c r="G36" s="185" t="n">
        <v>7.2</v>
      </c>
      <c r="H36" s="186">
        <f>ROUND(F36/G36, 1)</f>
        <v/>
      </c>
      <c r="I36" s="186">
        <f>ROUND(H36/E36, 1)</f>
        <v/>
      </c>
    </row>
    <row r="37">
      <c r="A37" t="inlineStr">
        <is>
          <t>2023_Wrzesień</t>
        </is>
      </c>
      <c r="B37" t="n">
        <v>2023</v>
      </c>
      <c r="C37" t="inlineStr">
        <is>
          <t>Wrzesień</t>
        </is>
      </c>
      <c r="D37" t="inlineStr">
        <is>
          <t>M09</t>
        </is>
      </c>
      <c r="E37" t="n">
        <v>5</v>
      </c>
      <c r="F37" s="184" t="n">
        <v>12408</v>
      </c>
      <c r="G37" s="185" t="n">
        <v>7.2</v>
      </c>
      <c r="H37" s="186">
        <f>ROUND(F37/G37, 1)</f>
        <v/>
      </c>
      <c r="I37" s="186">
        <f>ROUND(H37/E37, 1)</f>
        <v/>
      </c>
    </row>
    <row r="38">
      <c r="A38" t="inlineStr">
        <is>
          <t>2023_Październik</t>
        </is>
      </c>
      <c r="B38" t="n">
        <v>2023</v>
      </c>
      <c r="C38" t="inlineStr">
        <is>
          <t>Październik</t>
        </is>
      </c>
      <c r="D38" t="inlineStr">
        <is>
          <t>M10</t>
        </is>
      </c>
      <c r="E38" t="n">
        <v>6</v>
      </c>
      <c r="F38" s="184" t="n">
        <v>12220</v>
      </c>
      <c r="G38" s="185" t="n">
        <v>7.2</v>
      </c>
      <c r="H38" s="186">
        <f>ROUND(F38/G38, 1)</f>
        <v/>
      </c>
      <c r="I38" s="186">
        <f>ROUND(H38/E38, 1)</f>
        <v/>
      </c>
    </row>
    <row r="39">
      <c r="A39" t="inlineStr">
        <is>
          <t>2023_Listopad</t>
        </is>
      </c>
      <c r="B39" t="n">
        <v>2023</v>
      </c>
      <c r="C39" t="inlineStr">
        <is>
          <t>Listopad</t>
        </is>
      </c>
      <c r="D39" t="inlineStr">
        <is>
          <t>M11</t>
        </is>
      </c>
      <c r="E39" t="n">
        <v>5</v>
      </c>
      <c r="F39" s="184" t="n">
        <v>12690</v>
      </c>
      <c r="G39" s="185" t="n">
        <v>7.2</v>
      </c>
      <c r="H39" s="186">
        <f>ROUND(F39/G39, 1)</f>
        <v/>
      </c>
      <c r="I39" s="186">
        <f>ROUND(H39/E39, 1)</f>
        <v/>
      </c>
    </row>
    <row r="40">
      <c r="A40" t="inlineStr">
        <is>
          <t>2023_Grudzień</t>
        </is>
      </c>
      <c r="B40" t="n">
        <v>2023</v>
      </c>
      <c r="C40" t="inlineStr">
        <is>
          <t>Grudzień</t>
        </is>
      </c>
      <c r="D40" t="inlineStr">
        <is>
          <t>M12</t>
        </is>
      </c>
      <c r="E40" t="n">
        <v>5</v>
      </c>
      <c r="F40" s="184" t="n">
        <v>14570</v>
      </c>
      <c r="G40" s="185" t="n">
        <v>7.2</v>
      </c>
      <c r="H40" s="186">
        <f>ROUND(F40/G40, 1)</f>
        <v/>
      </c>
      <c r="I40" s="186">
        <f>ROUND(H40/E40, 1)</f>
        <v/>
      </c>
    </row>
    <row r="41">
      <c r="A41" t="inlineStr">
        <is>
          <t>2024_Styczeń</t>
        </is>
      </c>
      <c r="B41" t="n">
        <v>2024</v>
      </c>
      <c r="C41" t="inlineStr">
        <is>
          <t>Styczeń</t>
        </is>
      </c>
      <c r="D41" t="inlineStr">
        <is>
          <t>M01</t>
        </is>
      </c>
      <c r="E41" t="n">
        <v>6</v>
      </c>
      <c r="F41" s="184" t="n">
        <v>11520</v>
      </c>
      <c r="G41" s="185" t="n">
        <v>7.2</v>
      </c>
      <c r="H41" s="186">
        <f>ROUND(F41/G41, 1)</f>
        <v/>
      </c>
      <c r="I41" s="186">
        <f>ROUND(H41/E41, 1)</f>
        <v/>
      </c>
    </row>
    <row r="42">
      <c r="A42" t="inlineStr">
        <is>
          <t>2024_Luty</t>
        </is>
      </c>
      <c r="B42" t="n">
        <v>2024</v>
      </c>
      <c r="C42" t="inlineStr">
        <is>
          <t>Luty</t>
        </is>
      </c>
      <c r="D42" t="inlineStr">
        <is>
          <t>M02</t>
        </is>
      </c>
      <c r="E42" t="n">
        <v>5</v>
      </c>
      <c r="F42" s="184" t="n">
        <v>11040</v>
      </c>
      <c r="G42" s="185" t="n">
        <v>7.2</v>
      </c>
      <c r="H42" s="186">
        <f>ROUND(F42/G42, 1)</f>
        <v/>
      </c>
      <c r="I42" s="186">
        <f>ROUND(H42/E42, 1)</f>
        <v/>
      </c>
    </row>
    <row r="43">
      <c r="A43" t="inlineStr">
        <is>
          <t>2024_Marzec</t>
        </is>
      </c>
      <c r="B43" t="n">
        <v>2024</v>
      </c>
      <c r="C43" t="inlineStr">
        <is>
          <t>Marzec</t>
        </is>
      </c>
      <c r="D43" t="inlineStr">
        <is>
          <t>M03</t>
        </is>
      </c>
      <c r="E43" t="n">
        <v>5</v>
      </c>
      <c r="F43" s="184" t="n">
        <v>12480</v>
      </c>
      <c r="G43" s="185" t="n">
        <v>7.2</v>
      </c>
      <c r="H43" s="186">
        <f>ROUND(F43/G43, 1)</f>
        <v/>
      </c>
      <c r="I43" s="186">
        <f>ROUND(H43/E43, 1)</f>
        <v/>
      </c>
    </row>
    <row r="44">
      <c r="A44" t="inlineStr">
        <is>
          <t>2024_Kwiecień</t>
        </is>
      </c>
      <c r="B44" t="n">
        <v>2024</v>
      </c>
      <c r="C44" t="inlineStr">
        <is>
          <t>Kwiecień</t>
        </is>
      </c>
      <c r="D44" t="inlineStr">
        <is>
          <t>M04</t>
        </is>
      </c>
      <c r="E44" t="n">
        <v>6</v>
      </c>
      <c r="F44" s="184" t="n">
        <v>12288</v>
      </c>
      <c r="G44" s="185" t="n">
        <v>7.2</v>
      </c>
      <c r="H44" s="186">
        <f>ROUND(F44/G44, 1)</f>
        <v/>
      </c>
      <c r="I44" s="186">
        <f>ROUND(H44/E44, 1)</f>
        <v/>
      </c>
    </row>
    <row r="45">
      <c r="A45" t="inlineStr">
        <is>
          <t>2024_Maj</t>
        </is>
      </c>
      <c r="B45" t="n">
        <v>2024</v>
      </c>
      <c r="C45" t="inlineStr">
        <is>
          <t>Maj</t>
        </is>
      </c>
      <c r="D45" t="inlineStr">
        <is>
          <t>M05</t>
        </is>
      </c>
      <c r="E45" t="n">
        <v>5</v>
      </c>
      <c r="F45" s="184" t="n">
        <v>12960</v>
      </c>
      <c r="G45" s="185" t="n">
        <v>7.2</v>
      </c>
      <c r="H45" s="186">
        <f>ROUND(F45/G45, 1)</f>
        <v/>
      </c>
      <c r="I45" s="186">
        <f>ROUND(H45/E45, 1)</f>
        <v/>
      </c>
    </row>
    <row r="46">
      <c r="A46" t="inlineStr">
        <is>
          <t>2024_Czerwiec</t>
        </is>
      </c>
      <c r="B46" t="n">
        <v>2024</v>
      </c>
      <c r="C46" t="inlineStr">
        <is>
          <t>Czerwiec</t>
        </is>
      </c>
      <c r="D46" t="inlineStr">
        <is>
          <t>M06</t>
        </is>
      </c>
      <c r="E46" t="n">
        <v>5</v>
      </c>
      <c r="F46" s="184" t="n">
        <v>13440</v>
      </c>
      <c r="G46" s="185" t="n">
        <v>7.2</v>
      </c>
      <c r="H46" s="186">
        <f>ROUND(F46/G46, 1)</f>
        <v/>
      </c>
      <c r="I46" s="186">
        <f>ROUND(H46/E46, 1)</f>
        <v/>
      </c>
    </row>
    <row r="47">
      <c r="A47" t="inlineStr">
        <is>
          <t>2024_Lipiec</t>
        </is>
      </c>
      <c r="B47" t="n">
        <v>2024</v>
      </c>
      <c r="C47" t="inlineStr">
        <is>
          <t>Lipiec</t>
        </is>
      </c>
      <c r="D47" t="inlineStr">
        <is>
          <t>M07</t>
        </is>
      </c>
      <c r="E47" t="n">
        <v>6</v>
      </c>
      <c r="F47" s="184" t="n">
        <v>13632</v>
      </c>
      <c r="G47" s="185" t="n">
        <v>7.2</v>
      </c>
      <c r="H47" s="186">
        <f>ROUND(F47/G47, 1)</f>
        <v/>
      </c>
      <c r="I47" s="186">
        <f>ROUND(H47/E47, 1)</f>
        <v/>
      </c>
    </row>
    <row r="48">
      <c r="A48" t="inlineStr">
        <is>
          <t>2024_Sierpień</t>
        </is>
      </c>
      <c r="B48" t="n">
        <v>2024</v>
      </c>
      <c r="C48" t="inlineStr">
        <is>
          <t>Sierpień</t>
        </is>
      </c>
      <c r="D48" t="inlineStr">
        <is>
          <t>M08</t>
        </is>
      </c>
      <c r="E48" t="n">
        <v>5</v>
      </c>
      <c r="F48" s="184" t="n">
        <v>13248</v>
      </c>
      <c r="G48" s="185" t="n">
        <v>7.2</v>
      </c>
      <c r="H48" s="186">
        <f>ROUND(F48/G48, 1)</f>
        <v/>
      </c>
      <c r="I48" s="186">
        <f>ROUND(H48/E48, 1)</f>
        <v/>
      </c>
    </row>
    <row r="49">
      <c r="A49" t="inlineStr">
        <is>
          <t>2024_Wrzesień</t>
        </is>
      </c>
      <c r="B49" t="n">
        <v>2024</v>
      </c>
      <c r="C49" t="inlineStr">
        <is>
          <t>Wrzesień</t>
        </is>
      </c>
      <c r="D49" t="inlineStr">
        <is>
          <t>M09</t>
        </is>
      </c>
      <c r="E49" t="n">
        <v>5</v>
      </c>
      <c r="F49" s="184" t="n">
        <v>12672</v>
      </c>
      <c r="G49" s="185" t="n">
        <v>7.2</v>
      </c>
      <c r="H49" s="186">
        <f>ROUND(F49/G49, 1)</f>
        <v/>
      </c>
      <c r="I49" s="186">
        <f>ROUND(H49/E49, 1)</f>
        <v/>
      </c>
    </row>
    <row r="50">
      <c r="A50" t="inlineStr">
        <is>
          <t>2024_Październik</t>
        </is>
      </c>
      <c r="B50" t="n">
        <v>2024</v>
      </c>
      <c r="C50" t="inlineStr">
        <is>
          <t>Październik</t>
        </is>
      </c>
      <c r="D50" t="inlineStr">
        <is>
          <t>M10</t>
        </is>
      </c>
      <c r="E50" t="n">
        <v>5</v>
      </c>
      <c r="F50" s="184" t="n">
        <v>12480</v>
      </c>
      <c r="G50" s="185" t="n">
        <v>7.2</v>
      </c>
      <c r="H50" s="186">
        <f>ROUND(F50/G50, 1)</f>
        <v/>
      </c>
      <c r="I50" s="186">
        <f>ROUND(H50/E50, 1)</f>
        <v/>
      </c>
    </row>
    <row r="51">
      <c r="A51" t="inlineStr">
        <is>
          <t>2024_Listopad</t>
        </is>
      </c>
      <c r="B51" t="n">
        <v>2024</v>
      </c>
      <c r="C51" t="inlineStr">
        <is>
          <t>Listopad</t>
        </is>
      </c>
      <c r="D51" t="inlineStr">
        <is>
          <t>M11</t>
        </is>
      </c>
      <c r="E51" t="n">
        <v>5</v>
      </c>
      <c r="F51" s="184" t="n">
        <v>12960</v>
      </c>
      <c r="G51" s="185" t="n">
        <v>7.2</v>
      </c>
      <c r="H51" s="186">
        <f>ROUND(F51/G51, 1)</f>
        <v/>
      </c>
      <c r="I51" s="186">
        <f>ROUND(H51/E51, 1)</f>
        <v/>
      </c>
    </row>
    <row r="52">
      <c r="A52" t="inlineStr">
        <is>
          <t>2024_Grudzień</t>
        </is>
      </c>
      <c r="B52" t="n">
        <v>2024</v>
      </c>
      <c r="C52" t="inlineStr">
        <is>
          <t>Grudzień</t>
        </is>
      </c>
      <c r="D52" t="inlineStr">
        <is>
          <t>M12</t>
        </is>
      </c>
      <c r="E52" t="n">
        <v>6</v>
      </c>
      <c r="F52" s="184" t="n">
        <v>14880</v>
      </c>
      <c r="G52" s="185" t="n">
        <v>7.2</v>
      </c>
      <c r="H52" s="186">
        <f>ROUND(F52/G52, 1)</f>
        <v/>
      </c>
      <c r="I52" s="186">
        <f>ROUND(H52/E52, 1)</f>
        <v/>
      </c>
    </row>
    <row r="53">
      <c r="A53" t="inlineStr">
        <is>
          <t>2025_Styczeń</t>
        </is>
      </c>
      <c r="B53" t="n">
        <v>2025</v>
      </c>
      <c r="C53" t="inlineStr">
        <is>
          <t>Styczeń</t>
        </is>
      </c>
      <c r="D53" t="inlineStr">
        <is>
          <t>M01</t>
        </is>
      </c>
      <c r="E53" t="n">
        <v>5</v>
      </c>
      <c r="F53" s="184" t="n">
        <v>11760</v>
      </c>
      <c r="G53" s="185" t="n">
        <v>7.2</v>
      </c>
      <c r="H53" s="186">
        <f>ROUND(F53/G53, 1)</f>
        <v/>
      </c>
      <c r="I53" s="186">
        <f>ROUND(H53/E53, 1)</f>
        <v/>
      </c>
    </row>
    <row r="54">
      <c r="A54" t="inlineStr">
        <is>
          <t>2025_Luty</t>
        </is>
      </c>
      <c r="B54" t="n">
        <v>2025</v>
      </c>
      <c r="C54" t="inlineStr">
        <is>
          <t>Luty</t>
        </is>
      </c>
      <c r="D54" t="inlineStr">
        <is>
          <t>M02</t>
        </is>
      </c>
      <c r="E54" t="n">
        <v>5</v>
      </c>
      <c r="F54" s="184" t="n">
        <v>11270</v>
      </c>
      <c r="G54" s="185" t="n">
        <v>7.2</v>
      </c>
      <c r="H54" s="186">
        <f>ROUND(F54/G54, 1)</f>
        <v/>
      </c>
      <c r="I54" s="186">
        <f>ROUND(H54/E54, 1)</f>
        <v/>
      </c>
    </row>
    <row r="55">
      <c r="A55" t="inlineStr">
        <is>
          <t>2025_Marzec</t>
        </is>
      </c>
      <c r="B55" t="n">
        <v>2025</v>
      </c>
      <c r="C55" t="inlineStr">
        <is>
          <t>Marzec</t>
        </is>
      </c>
      <c r="D55" t="inlineStr">
        <is>
          <t>M03</t>
        </is>
      </c>
      <c r="E55" t="n">
        <v>5</v>
      </c>
      <c r="F55" s="184" t="n">
        <v>12740</v>
      </c>
      <c r="G55" s="185" t="n">
        <v>7.2</v>
      </c>
      <c r="H55" s="186">
        <f>ROUND(F55/G55, 1)</f>
        <v/>
      </c>
      <c r="I55" s="186">
        <f>ROUND(H55/E55, 1)</f>
        <v/>
      </c>
    </row>
    <row r="56">
      <c r="A56" t="inlineStr">
        <is>
          <t>2025_Kwiecień</t>
        </is>
      </c>
      <c r="B56" t="n">
        <v>2025</v>
      </c>
      <c r="C56" t="inlineStr">
        <is>
          <t>Kwiecień</t>
        </is>
      </c>
      <c r="D56" t="inlineStr">
        <is>
          <t>M04</t>
        </is>
      </c>
      <c r="E56" t="n">
        <v>5</v>
      </c>
      <c r="F56" s="184" t="n">
        <v>12544</v>
      </c>
      <c r="G56" s="185" t="n">
        <v>7.2</v>
      </c>
      <c r="H56" s="186">
        <f>ROUND(F56/G56, 1)</f>
        <v/>
      </c>
      <c r="I56" s="186">
        <f>ROUND(H56/E56, 1)</f>
        <v/>
      </c>
    </row>
    <row r="57">
      <c r="A57" t="inlineStr">
        <is>
          <t>2025_Maj</t>
        </is>
      </c>
      <c r="B57" t="n">
        <v>2025</v>
      </c>
      <c r="C57" t="inlineStr">
        <is>
          <t>Maj</t>
        </is>
      </c>
      <c r="D57" t="inlineStr">
        <is>
          <t>M05</t>
        </is>
      </c>
      <c r="E57" t="n">
        <v>5</v>
      </c>
      <c r="F57" s="184" t="n">
        <v>13230</v>
      </c>
      <c r="G57" s="185" t="n">
        <v>7.2</v>
      </c>
      <c r="H57" s="186">
        <f>ROUND(F57/G57, 1)</f>
        <v/>
      </c>
      <c r="I57" s="186">
        <f>ROUND(H57/E57, 1)</f>
        <v/>
      </c>
    </row>
    <row r="58">
      <c r="A58" t="inlineStr">
        <is>
          <t>2025_Czerwiec</t>
        </is>
      </c>
      <c r="B58" t="n">
        <v>2025</v>
      </c>
      <c r="C58" t="inlineStr">
        <is>
          <t>Czerwiec</t>
        </is>
      </c>
      <c r="D58" t="inlineStr">
        <is>
          <t>M06</t>
        </is>
      </c>
      <c r="E58" t="n">
        <v>5</v>
      </c>
      <c r="F58" s="184" t="n">
        <v>13720</v>
      </c>
      <c r="G58" s="185" t="n">
        <v>7.2</v>
      </c>
      <c r="H58" s="186">
        <f>ROUND(F58/G58, 1)</f>
        <v/>
      </c>
      <c r="I58" s="186">
        <f>ROUND(H58/E58, 1)</f>
        <v/>
      </c>
    </row>
    <row r="59">
      <c r="A59" t="inlineStr">
        <is>
          <t>2025_Lipiec</t>
        </is>
      </c>
      <c r="B59" t="n">
        <v>2025</v>
      </c>
      <c r="C59" t="inlineStr">
        <is>
          <t>Lipiec</t>
        </is>
      </c>
      <c r="D59" t="inlineStr">
        <is>
          <t>M07</t>
        </is>
      </c>
      <c r="E59" t="n">
        <v>5</v>
      </c>
      <c r="F59" s="184" t="n">
        <v>13916</v>
      </c>
      <c r="G59" s="185" t="n">
        <v>7.2</v>
      </c>
      <c r="H59" s="186">
        <f>ROUND(F59/G59, 1)</f>
        <v/>
      </c>
      <c r="I59" s="186">
        <f>ROUND(H59/E59, 1)</f>
        <v/>
      </c>
    </row>
    <row r="60">
      <c r="A60" t="inlineStr">
        <is>
          <t>2025_Sierpień</t>
        </is>
      </c>
      <c r="B60" t="n">
        <v>2025</v>
      </c>
      <c r="C60" t="inlineStr">
        <is>
          <t>Sierpień</t>
        </is>
      </c>
      <c r="D60" t="inlineStr">
        <is>
          <t>M08</t>
        </is>
      </c>
      <c r="E60" t="n">
        <v>5</v>
      </c>
      <c r="F60" s="184" t="n">
        <v>13524</v>
      </c>
      <c r="G60" s="185" t="n">
        <v>7.2</v>
      </c>
      <c r="H60" s="186">
        <f>ROUND(F60/G60, 1)</f>
        <v/>
      </c>
      <c r="I60" s="186">
        <f>ROUND(H60/E60, 1)</f>
        <v/>
      </c>
    </row>
    <row r="61">
      <c r="A61" t="inlineStr">
        <is>
          <t>2025_Wrzesień</t>
        </is>
      </c>
      <c r="B61" t="n">
        <v>2025</v>
      </c>
      <c r="C61" t="inlineStr">
        <is>
          <t>Wrzesień</t>
        </is>
      </c>
      <c r="D61" t="inlineStr">
        <is>
          <t>M09</t>
        </is>
      </c>
      <c r="E61" t="n">
        <v>6</v>
      </c>
      <c r="F61" s="184" t="n">
        <v>12936</v>
      </c>
      <c r="G61" s="185" t="n">
        <v>7.2</v>
      </c>
      <c r="H61" s="186">
        <f>ROUND(F61/G61, 1)</f>
        <v/>
      </c>
      <c r="I61" s="186">
        <f>ROUND(H61/E61, 1)</f>
        <v/>
      </c>
    </row>
    <row r="62">
      <c r="A62" t="inlineStr">
        <is>
          <t>2025_Październik</t>
        </is>
      </c>
      <c r="B62" t="n">
        <v>2025</v>
      </c>
      <c r="C62" t="inlineStr">
        <is>
          <t>Październik</t>
        </is>
      </c>
      <c r="D62" t="inlineStr">
        <is>
          <t>M10</t>
        </is>
      </c>
      <c r="E62" t="n">
        <v>5</v>
      </c>
      <c r="F62" s="184" t="n">
        <v>12740</v>
      </c>
      <c r="G62" s="185" t="n">
        <v>7.2</v>
      </c>
      <c r="H62" s="186">
        <f>ROUND(F62/G62, 1)</f>
        <v/>
      </c>
      <c r="I62" s="186">
        <f>ROUND(H62/E62, 1)</f>
        <v/>
      </c>
    </row>
    <row r="63">
      <c r="A63" t="inlineStr">
        <is>
          <t>2025_Listopad</t>
        </is>
      </c>
      <c r="B63" t="n">
        <v>2025</v>
      </c>
      <c r="C63" t="inlineStr">
        <is>
          <t>Listopad</t>
        </is>
      </c>
      <c r="D63" t="inlineStr">
        <is>
          <t>M11</t>
        </is>
      </c>
      <c r="E63" t="n">
        <v>5</v>
      </c>
      <c r="F63" s="184" t="n">
        <v>13230</v>
      </c>
      <c r="G63" s="185" t="n">
        <v>7.2</v>
      </c>
      <c r="H63" s="186">
        <f>ROUND(F63/G63, 1)</f>
        <v/>
      </c>
      <c r="I63" s="186">
        <f>ROUND(H63/E63, 1)</f>
        <v/>
      </c>
    </row>
    <row r="64">
      <c r="A64" t="inlineStr">
        <is>
          <t>2025_Grudzień</t>
        </is>
      </c>
      <c r="B64" t="n">
        <v>2025</v>
      </c>
      <c r="C64" t="inlineStr">
        <is>
          <t>Grudzień</t>
        </is>
      </c>
      <c r="D64" t="inlineStr">
        <is>
          <t>M12</t>
        </is>
      </c>
      <c r="E64" t="n">
        <v>6</v>
      </c>
      <c r="F64" s="184" t="n">
        <v>15190</v>
      </c>
      <c r="G64" s="185" t="n">
        <v>7.2</v>
      </c>
      <c r="H64" s="186">
        <f>ROUND(F64/G64, 1)</f>
        <v/>
      </c>
      <c r="I64" s="186">
        <f>ROUND(H64/E64, 1)</f>
        <v/>
      </c>
    </row>
    <row r="65">
      <c r="A65" t="inlineStr">
        <is>
          <t>2026_Styczeń</t>
        </is>
      </c>
      <c r="B65" t="n">
        <v>2026</v>
      </c>
      <c r="C65" t="inlineStr">
        <is>
          <t>Styczeń</t>
        </is>
      </c>
      <c r="D65" t="inlineStr">
        <is>
          <t>M01</t>
        </is>
      </c>
      <c r="E65" t="n">
        <v>5</v>
      </c>
      <c r="F65" s="184" t="n">
        <v>12000</v>
      </c>
      <c r="G65" s="185" t="n">
        <v>7.2</v>
      </c>
      <c r="H65" s="186">
        <f>ROUND(F65/G65, 1)</f>
        <v/>
      </c>
      <c r="I65" s="186">
        <f>ROUND(H65/E65, 1)</f>
        <v/>
      </c>
    </row>
    <row r="66">
      <c r="A66" t="inlineStr">
        <is>
          <t>2026_Luty</t>
        </is>
      </c>
      <c r="B66" t="n">
        <v>2026</v>
      </c>
      <c r="C66" t="inlineStr">
        <is>
          <t>Luty</t>
        </is>
      </c>
      <c r="D66" t="inlineStr">
        <is>
          <t>M02</t>
        </is>
      </c>
      <c r="E66" t="n">
        <v>5</v>
      </c>
      <c r="F66" s="184" t="n">
        <v>11500</v>
      </c>
      <c r="G66" s="185" t="n">
        <v>7.2</v>
      </c>
      <c r="H66" s="186">
        <f>ROUND(F66/G66, 1)</f>
        <v/>
      </c>
      <c r="I66" s="186">
        <f>ROUND(H66/E66, 1)</f>
        <v/>
      </c>
    </row>
    <row r="67">
      <c r="A67" t="inlineStr">
        <is>
          <t>2026_Marzec</t>
        </is>
      </c>
      <c r="B67" t="n">
        <v>2026</v>
      </c>
      <c r="C67" t="inlineStr">
        <is>
          <t>Marzec</t>
        </is>
      </c>
      <c r="D67" t="inlineStr">
        <is>
          <t>M03</t>
        </is>
      </c>
      <c r="E67" t="n">
        <v>6</v>
      </c>
      <c r="F67" s="184" t="n">
        <v>13000</v>
      </c>
      <c r="G67" s="185" t="n">
        <v>7.2</v>
      </c>
      <c r="H67" s="186">
        <f>ROUND(F67/G67, 1)</f>
        <v/>
      </c>
      <c r="I67" s="186">
        <f>ROUND(H67/E67, 1)</f>
        <v/>
      </c>
    </row>
    <row r="68">
      <c r="A68" t="inlineStr">
        <is>
          <t>2026_Kwiecień</t>
        </is>
      </c>
      <c r="B68" t="n">
        <v>2026</v>
      </c>
      <c r="C68" t="inlineStr">
        <is>
          <t>Kwiecień</t>
        </is>
      </c>
      <c r="D68" t="inlineStr">
        <is>
          <t>M04</t>
        </is>
      </c>
      <c r="E68" t="n">
        <v>5</v>
      </c>
      <c r="F68" s="184" t="n">
        <v>12800</v>
      </c>
      <c r="G68" s="185" t="n">
        <v>7.2</v>
      </c>
      <c r="H68" s="186">
        <f>ROUND(F68/G68, 1)</f>
        <v/>
      </c>
      <c r="I68" s="186">
        <f>ROUND(H68/E68, 1)</f>
        <v/>
      </c>
    </row>
    <row r="69">
      <c r="A69" t="inlineStr">
        <is>
          <t>2026_Maj</t>
        </is>
      </c>
      <c r="B69" t="n">
        <v>2026</v>
      </c>
      <c r="C69" t="inlineStr">
        <is>
          <t>Maj</t>
        </is>
      </c>
      <c r="D69" t="inlineStr">
        <is>
          <t>M05</t>
        </is>
      </c>
      <c r="E69" t="n">
        <v>5</v>
      </c>
      <c r="F69" s="184" t="n">
        <v>13500</v>
      </c>
      <c r="G69" s="185" t="n">
        <v>7.2</v>
      </c>
      <c r="H69" s="186">
        <f>ROUND(F69/G69, 1)</f>
        <v/>
      </c>
      <c r="I69" s="186">
        <f>ROUND(H69/E69, 1)</f>
        <v/>
      </c>
    </row>
    <row r="70">
      <c r="A70" t="inlineStr">
        <is>
          <t>2026_Czerwiec</t>
        </is>
      </c>
      <c r="B70" t="n">
        <v>2026</v>
      </c>
      <c r="C70" t="inlineStr">
        <is>
          <t>Czerwiec</t>
        </is>
      </c>
      <c r="D70" t="inlineStr">
        <is>
          <t>M06</t>
        </is>
      </c>
      <c r="E70" t="n">
        <v>6</v>
      </c>
      <c r="F70" s="184" t="n">
        <v>14000</v>
      </c>
      <c r="G70" s="185" t="n">
        <v>7.2</v>
      </c>
      <c r="H70" s="186">
        <f>ROUND(F70/G70, 1)</f>
        <v/>
      </c>
      <c r="I70" s="186">
        <f>ROUND(H70/E70, 1)</f>
        <v/>
      </c>
    </row>
    <row r="71">
      <c r="A71" t="inlineStr">
        <is>
          <t>2026_Lipiec</t>
        </is>
      </c>
      <c r="B71" t="n">
        <v>2026</v>
      </c>
      <c r="C71" t="inlineStr">
        <is>
          <t>Lipiec</t>
        </is>
      </c>
      <c r="D71" t="inlineStr">
        <is>
          <t>M07</t>
        </is>
      </c>
      <c r="E71" t="n">
        <v>5</v>
      </c>
      <c r="F71" s="184" t="n">
        <v>14200</v>
      </c>
      <c r="G71" s="185" t="n">
        <v>7.2</v>
      </c>
      <c r="H71" s="186">
        <f>ROUND(F71/G71, 1)</f>
        <v/>
      </c>
      <c r="I71" s="186">
        <f>ROUND(H71/E71, 1)</f>
        <v/>
      </c>
    </row>
    <row r="72">
      <c r="A72" t="inlineStr">
        <is>
          <t>2026_Sierpień</t>
        </is>
      </c>
      <c r="B72" t="n">
        <v>2026</v>
      </c>
      <c r="C72" t="inlineStr">
        <is>
          <t>Sierpień</t>
        </is>
      </c>
      <c r="D72" t="inlineStr">
        <is>
          <t>M08</t>
        </is>
      </c>
      <c r="E72" t="n">
        <v>5</v>
      </c>
      <c r="F72" s="184" t="n">
        <v>13800</v>
      </c>
      <c r="G72" s="185" t="n">
        <v>7.2</v>
      </c>
      <c r="H72" s="186">
        <f>ROUND(F72/G72, 1)</f>
        <v/>
      </c>
      <c r="I72" s="186">
        <f>ROUND(H72/E72, 1)</f>
        <v/>
      </c>
    </row>
    <row r="73">
      <c r="A73" t="inlineStr">
        <is>
          <t>2026_Wrzesień</t>
        </is>
      </c>
      <c r="B73" t="n">
        <v>2026</v>
      </c>
      <c r="C73" t="inlineStr">
        <is>
          <t>Wrzesień</t>
        </is>
      </c>
      <c r="D73" t="inlineStr">
        <is>
          <t>M09</t>
        </is>
      </c>
      <c r="E73" t="n">
        <v>5</v>
      </c>
      <c r="F73" s="184" t="n">
        <v>10830</v>
      </c>
      <c r="G73" s="185" t="n">
        <v>6.7</v>
      </c>
      <c r="H73" s="186">
        <f>ROUND(F73/G73, 1)</f>
        <v/>
      </c>
      <c r="I73" s="186">
        <f>ROUND(H73/E73, 1)</f>
        <v/>
      </c>
    </row>
    <row r="74">
      <c r="A74" t="inlineStr">
        <is>
          <t>2026_Październik</t>
        </is>
      </c>
      <c r="B74" t="n">
        <v>2026</v>
      </c>
      <c r="C74" t="inlineStr">
        <is>
          <t>Październik</t>
        </is>
      </c>
      <c r="D74" t="inlineStr">
        <is>
          <t>M10</t>
        </is>
      </c>
      <c r="E74" t="n">
        <v>5</v>
      </c>
      <c r="F74" s="184" t="n">
        <v>13000</v>
      </c>
      <c r="G74" s="185" t="n">
        <v>7.2</v>
      </c>
      <c r="H74" s="186">
        <f>ROUND(F74/G74, 1)</f>
        <v/>
      </c>
      <c r="I74" s="186">
        <f>ROUND(H74/E74, 1)</f>
        <v/>
      </c>
    </row>
    <row r="75">
      <c r="A75" t="inlineStr">
        <is>
          <t>2026_Listopad</t>
        </is>
      </c>
      <c r="B75" t="n">
        <v>2026</v>
      </c>
      <c r="C75" t="inlineStr">
        <is>
          <t>Listopad</t>
        </is>
      </c>
      <c r="D75" t="inlineStr">
        <is>
          <t>M11</t>
        </is>
      </c>
      <c r="E75" t="n">
        <v>5</v>
      </c>
      <c r="F75" s="184" t="n">
        <v>13500</v>
      </c>
      <c r="G75" s="185" t="n">
        <v>7.2</v>
      </c>
      <c r="H75" s="186">
        <f>ROUND(F75/G75, 1)</f>
        <v/>
      </c>
      <c r="I75" s="186">
        <f>ROUND(H75/E75, 1)</f>
        <v/>
      </c>
    </row>
    <row r="76">
      <c r="A76" t="inlineStr">
        <is>
          <t>2026_Grudzień</t>
        </is>
      </c>
      <c r="B76" t="n">
        <v>2026</v>
      </c>
      <c r="C76" t="inlineStr">
        <is>
          <t>Grudzień</t>
        </is>
      </c>
      <c r="D76" t="inlineStr">
        <is>
          <t>M12</t>
        </is>
      </c>
      <c r="E76" t="n">
        <v>5</v>
      </c>
      <c r="F76" s="184" t="n">
        <v>15500</v>
      </c>
      <c r="G76" s="185" t="n">
        <v>7.2</v>
      </c>
      <c r="H76" s="186">
        <f>ROUND(F76/G76, 1)</f>
        <v/>
      </c>
      <c r="I76" s="186">
        <f>ROUND(H76/E76, 1)</f>
        <v/>
      </c>
    </row>
    <row r="77">
      <c r="A77" t="inlineStr">
        <is>
          <t>2027_Styczeń</t>
        </is>
      </c>
      <c r="B77" t="n">
        <v>2027</v>
      </c>
      <c r="C77" t="inlineStr">
        <is>
          <t>Styczeń</t>
        </is>
      </c>
      <c r="D77" t="inlineStr">
        <is>
          <t>M01</t>
        </is>
      </c>
      <c r="E77" t="n">
        <v>5</v>
      </c>
      <c r="F77" s="184" t="n">
        <v>12240</v>
      </c>
      <c r="G77" s="185" t="n">
        <v>7.2</v>
      </c>
      <c r="H77" s="186">
        <f>ROUND(F77/G77, 1)</f>
        <v/>
      </c>
      <c r="I77" s="186">
        <f>ROUND(H77/E77, 1)</f>
        <v/>
      </c>
    </row>
    <row r="78">
      <c r="A78" t="inlineStr">
        <is>
          <t>2027_Luty</t>
        </is>
      </c>
      <c r="B78" t="n">
        <v>2027</v>
      </c>
      <c r="C78" t="inlineStr">
        <is>
          <t>Luty</t>
        </is>
      </c>
      <c r="D78" t="inlineStr">
        <is>
          <t>M02</t>
        </is>
      </c>
      <c r="E78" t="n">
        <v>5</v>
      </c>
      <c r="F78" s="184" t="n">
        <v>11730</v>
      </c>
      <c r="G78" s="185" t="n">
        <v>7.2</v>
      </c>
      <c r="H78" s="186">
        <f>ROUND(F78/G78, 1)</f>
        <v/>
      </c>
      <c r="I78" s="186">
        <f>ROUND(H78/E78, 1)</f>
        <v/>
      </c>
    </row>
    <row r="79">
      <c r="A79" t="inlineStr">
        <is>
          <t>2027_Marzec</t>
        </is>
      </c>
      <c r="B79" t="n">
        <v>2027</v>
      </c>
      <c r="C79" t="inlineStr">
        <is>
          <t>Marzec</t>
        </is>
      </c>
      <c r="D79" t="inlineStr">
        <is>
          <t>M03</t>
        </is>
      </c>
      <c r="E79" t="n">
        <v>6</v>
      </c>
      <c r="F79" s="184" t="n">
        <v>13260</v>
      </c>
      <c r="G79" s="185" t="n">
        <v>7.2</v>
      </c>
      <c r="H79" s="186">
        <f>ROUND(F79/G79, 1)</f>
        <v/>
      </c>
      <c r="I79" s="186">
        <f>ROUND(H79/E79, 1)</f>
        <v/>
      </c>
    </row>
    <row r="80">
      <c r="A80" t="inlineStr">
        <is>
          <t>2027_Kwiecień</t>
        </is>
      </c>
      <c r="B80" t="n">
        <v>2027</v>
      </c>
      <c r="C80" t="inlineStr">
        <is>
          <t>Kwiecień</t>
        </is>
      </c>
      <c r="D80" t="inlineStr">
        <is>
          <t>M04</t>
        </is>
      </c>
      <c r="E80" t="n">
        <v>5</v>
      </c>
      <c r="F80" s="184" t="n">
        <v>13056</v>
      </c>
      <c r="G80" s="185" t="n">
        <v>7.2</v>
      </c>
      <c r="H80" s="186">
        <f>ROUND(F80/G80, 1)</f>
        <v/>
      </c>
      <c r="I80" s="186">
        <f>ROUND(H80/E80, 1)</f>
        <v/>
      </c>
    </row>
    <row r="81">
      <c r="A81" t="inlineStr">
        <is>
          <t>2027_Maj</t>
        </is>
      </c>
      <c r="B81" t="n">
        <v>2027</v>
      </c>
      <c r="C81" t="inlineStr">
        <is>
          <t>Maj</t>
        </is>
      </c>
      <c r="D81" t="inlineStr">
        <is>
          <t>M05</t>
        </is>
      </c>
      <c r="E81" t="n">
        <v>5</v>
      </c>
      <c r="F81" s="184" t="n">
        <v>13770</v>
      </c>
      <c r="G81" s="185" t="n">
        <v>7.2</v>
      </c>
      <c r="H81" s="186">
        <f>ROUND(F81/G81, 1)</f>
        <v/>
      </c>
      <c r="I81" s="186">
        <f>ROUND(H81/E81, 1)</f>
        <v/>
      </c>
    </row>
    <row r="82">
      <c r="A82" t="inlineStr">
        <is>
          <t>2027_Czerwiec</t>
        </is>
      </c>
      <c r="B82" t="n">
        <v>2027</v>
      </c>
      <c r="C82" t="inlineStr">
        <is>
          <t>Czerwiec</t>
        </is>
      </c>
      <c r="D82" t="inlineStr">
        <is>
          <t>M06</t>
        </is>
      </c>
      <c r="E82" t="n">
        <v>5</v>
      </c>
      <c r="F82" s="184" t="n">
        <v>14280</v>
      </c>
      <c r="G82" s="185" t="n">
        <v>7.2</v>
      </c>
      <c r="H82" s="186">
        <f>ROUND(F82/G82, 1)</f>
        <v/>
      </c>
      <c r="I82" s="186">
        <f>ROUND(H82/E82, 1)</f>
        <v/>
      </c>
    </row>
    <row r="83">
      <c r="A83" t="inlineStr">
        <is>
          <t>2027_Lipiec</t>
        </is>
      </c>
      <c r="B83" t="n">
        <v>2027</v>
      </c>
      <c r="C83" t="inlineStr">
        <is>
          <t>Lipiec</t>
        </is>
      </c>
      <c r="D83" t="inlineStr">
        <is>
          <t>M07</t>
        </is>
      </c>
      <c r="E83" t="n">
        <v>5</v>
      </c>
      <c r="F83" s="184" t="n">
        <v>14484</v>
      </c>
      <c r="G83" s="185" t="n">
        <v>7.2</v>
      </c>
      <c r="H83" s="186">
        <f>ROUND(F83/G83, 1)</f>
        <v/>
      </c>
      <c r="I83" s="186">
        <f>ROUND(H83/E83, 1)</f>
        <v/>
      </c>
    </row>
    <row r="84">
      <c r="A84" t="inlineStr">
        <is>
          <t>2027_Sierpień</t>
        </is>
      </c>
      <c r="B84" t="n">
        <v>2027</v>
      </c>
      <c r="C84" t="inlineStr">
        <is>
          <t>Sierpień</t>
        </is>
      </c>
      <c r="D84" t="inlineStr">
        <is>
          <t>M08</t>
        </is>
      </c>
      <c r="E84" t="n">
        <v>6</v>
      </c>
      <c r="F84" s="184" t="n">
        <v>14076</v>
      </c>
      <c r="G84" s="185" t="n">
        <v>7.2</v>
      </c>
      <c r="H84" s="186">
        <f>ROUND(F84/G84, 1)</f>
        <v/>
      </c>
      <c r="I84" s="186">
        <f>ROUND(H84/E84, 1)</f>
        <v/>
      </c>
    </row>
    <row r="85">
      <c r="A85" t="inlineStr">
        <is>
          <t>2027_Wrzesień</t>
        </is>
      </c>
      <c r="B85" t="n">
        <v>2027</v>
      </c>
      <c r="C85" t="inlineStr">
        <is>
          <t>Wrzesień</t>
        </is>
      </c>
      <c r="D85" t="inlineStr">
        <is>
          <t>M09</t>
        </is>
      </c>
      <c r="E85" t="n">
        <v>5</v>
      </c>
      <c r="F85" s="184" t="n">
        <v>13464</v>
      </c>
      <c r="G85" s="185" t="n">
        <v>7.2</v>
      </c>
      <c r="H85" s="186">
        <f>ROUND(F85/G85, 1)</f>
        <v/>
      </c>
      <c r="I85" s="186">
        <f>ROUND(H85/E85, 1)</f>
        <v/>
      </c>
    </row>
    <row r="86">
      <c r="A86" t="inlineStr">
        <is>
          <t>2027_Październik</t>
        </is>
      </c>
      <c r="B86" t="n">
        <v>2027</v>
      </c>
      <c r="C86" t="inlineStr">
        <is>
          <t>Październik</t>
        </is>
      </c>
      <c r="D86" t="inlineStr">
        <is>
          <t>M10</t>
        </is>
      </c>
      <c r="E86" t="n">
        <v>5</v>
      </c>
      <c r="F86" s="184" t="n">
        <v>13260</v>
      </c>
      <c r="G86" s="185" t="n">
        <v>7.2</v>
      </c>
      <c r="H86" s="186">
        <f>ROUND(F86/G86, 1)</f>
        <v/>
      </c>
      <c r="I86" s="186">
        <f>ROUND(H86/E86, 1)</f>
        <v/>
      </c>
    </row>
    <row r="87">
      <c r="A87" t="inlineStr">
        <is>
          <t>2027_Listopad</t>
        </is>
      </c>
      <c r="B87" t="n">
        <v>2027</v>
      </c>
      <c r="C87" t="inlineStr">
        <is>
          <t>Listopad</t>
        </is>
      </c>
      <c r="D87" t="inlineStr">
        <is>
          <t>M11</t>
        </is>
      </c>
      <c r="E87" t="n">
        <v>6</v>
      </c>
      <c r="F87" s="184" t="n">
        <v>13770</v>
      </c>
      <c r="G87" s="185" t="n">
        <v>7.2</v>
      </c>
      <c r="H87" s="186">
        <f>ROUND(F87/G87, 1)</f>
        <v/>
      </c>
      <c r="I87" s="186">
        <f>ROUND(H87/E87, 1)</f>
        <v/>
      </c>
    </row>
    <row r="88">
      <c r="A88" t="inlineStr">
        <is>
          <t>2027_Grudzień</t>
        </is>
      </c>
      <c r="B88" t="n">
        <v>2027</v>
      </c>
      <c r="C88" t="inlineStr">
        <is>
          <t>Grudzień</t>
        </is>
      </c>
      <c r="D88" t="inlineStr">
        <is>
          <t>M12</t>
        </is>
      </c>
      <c r="E88" t="n">
        <v>5</v>
      </c>
      <c r="F88" s="184" t="n">
        <v>15810</v>
      </c>
      <c r="G88" s="185" t="n">
        <v>7.2</v>
      </c>
      <c r="H88" s="186">
        <f>ROUND(F88/G88, 1)</f>
        <v/>
      </c>
      <c r="I88" s="186">
        <f>ROUND(H88/E88, 1)</f>
        <v/>
      </c>
    </row>
    <row r="89">
      <c r="A89" t="inlineStr">
        <is>
          <t>2028_Styczeń</t>
        </is>
      </c>
      <c r="B89" t="n">
        <v>2028</v>
      </c>
      <c r="C89" t="inlineStr">
        <is>
          <t>Styczeń</t>
        </is>
      </c>
      <c r="D89" t="inlineStr">
        <is>
          <t>M01</t>
        </is>
      </c>
      <c r="E89" t="n">
        <v>5</v>
      </c>
      <c r="F89" s="184" t="n">
        <v>12480</v>
      </c>
      <c r="G89" s="185" t="n">
        <v>7.2</v>
      </c>
      <c r="H89" s="186">
        <f>ROUND(F89/G89, 1)</f>
        <v/>
      </c>
      <c r="I89" s="186">
        <f>ROUND(H89/E89, 1)</f>
        <v/>
      </c>
    </row>
    <row r="90">
      <c r="A90" t="inlineStr">
        <is>
          <t>2028_Luty</t>
        </is>
      </c>
      <c r="B90" t="n">
        <v>2028</v>
      </c>
      <c r="C90" t="inlineStr">
        <is>
          <t>Luty</t>
        </is>
      </c>
      <c r="D90" t="inlineStr">
        <is>
          <t>M02</t>
        </is>
      </c>
      <c r="E90" t="n">
        <v>5</v>
      </c>
      <c r="F90" s="184" t="n">
        <v>11960</v>
      </c>
      <c r="G90" s="185" t="n">
        <v>7.2</v>
      </c>
      <c r="H90" s="186">
        <f>ROUND(F90/G90, 1)</f>
        <v/>
      </c>
      <c r="I90" s="186">
        <f>ROUND(H90/E90, 1)</f>
        <v/>
      </c>
    </row>
    <row r="91">
      <c r="A91" t="inlineStr">
        <is>
          <t>2028_Marzec</t>
        </is>
      </c>
      <c r="B91" t="n">
        <v>2028</v>
      </c>
      <c r="C91" t="inlineStr">
        <is>
          <t>Marzec</t>
        </is>
      </c>
      <c r="D91" t="inlineStr">
        <is>
          <t>M03</t>
        </is>
      </c>
      <c r="E91" t="n">
        <v>5</v>
      </c>
      <c r="F91" s="184" t="n">
        <v>13520</v>
      </c>
      <c r="G91" s="185" t="n">
        <v>7.2</v>
      </c>
      <c r="H91" s="186">
        <f>ROUND(F91/G91, 1)</f>
        <v/>
      </c>
      <c r="I91" s="186">
        <f>ROUND(H91/E91, 1)</f>
        <v/>
      </c>
    </row>
    <row r="92">
      <c r="A92" t="inlineStr">
        <is>
          <t>2028_Kwiecień</t>
        </is>
      </c>
      <c r="B92" t="n">
        <v>2028</v>
      </c>
      <c r="C92" t="inlineStr">
        <is>
          <t>Kwiecień</t>
        </is>
      </c>
      <c r="D92" t="inlineStr">
        <is>
          <t>M04</t>
        </is>
      </c>
      <c r="E92" t="n">
        <v>5</v>
      </c>
      <c r="F92" s="184" t="n">
        <v>13312</v>
      </c>
      <c r="G92" s="185" t="n">
        <v>7.2</v>
      </c>
      <c r="H92" s="186">
        <f>ROUND(F92/G92, 1)</f>
        <v/>
      </c>
      <c r="I92" s="186">
        <f>ROUND(H92/E92, 1)</f>
        <v/>
      </c>
    </row>
    <row r="93">
      <c r="A93" t="inlineStr">
        <is>
          <t>2028_Maj</t>
        </is>
      </c>
      <c r="B93" t="n">
        <v>2028</v>
      </c>
      <c r="C93" t="inlineStr">
        <is>
          <t>Maj</t>
        </is>
      </c>
      <c r="D93" t="inlineStr">
        <is>
          <t>M05</t>
        </is>
      </c>
      <c r="E93" t="n">
        <v>6</v>
      </c>
      <c r="F93" s="184" t="n">
        <v>14040</v>
      </c>
      <c r="G93" s="185" t="n">
        <v>7.2</v>
      </c>
      <c r="H93" s="186">
        <f>ROUND(F93/G93, 1)</f>
        <v/>
      </c>
      <c r="I93" s="186">
        <f>ROUND(H93/E93, 1)</f>
        <v/>
      </c>
    </row>
    <row r="94">
      <c r="A94" t="inlineStr">
        <is>
          <t>2028_Czerwiec</t>
        </is>
      </c>
      <c r="B94" t="n">
        <v>2028</v>
      </c>
      <c r="C94" t="inlineStr">
        <is>
          <t>Czerwiec</t>
        </is>
      </c>
      <c r="D94" t="inlineStr">
        <is>
          <t>M06</t>
        </is>
      </c>
      <c r="E94" t="n">
        <v>5</v>
      </c>
      <c r="F94" s="184" t="n">
        <v>14560</v>
      </c>
      <c r="G94" s="185" t="n">
        <v>7.2</v>
      </c>
      <c r="H94" s="186">
        <f>ROUND(F94/G94, 1)</f>
        <v/>
      </c>
      <c r="I94" s="186">
        <f>ROUND(H94/E94, 1)</f>
        <v/>
      </c>
    </row>
    <row r="95">
      <c r="A95" t="inlineStr">
        <is>
          <t>2028_Lipiec</t>
        </is>
      </c>
      <c r="B95" t="n">
        <v>2028</v>
      </c>
      <c r="C95" t="inlineStr">
        <is>
          <t>Lipiec</t>
        </is>
      </c>
      <c r="D95" t="inlineStr">
        <is>
          <t>M07</t>
        </is>
      </c>
      <c r="E95" t="n">
        <v>5</v>
      </c>
      <c r="F95" s="184" t="n">
        <v>14768</v>
      </c>
      <c r="G95" s="185" t="n">
        <v>7.2</v>
      </c>
      <c r="H95" s="186">
        <f>ROUND(F95/G95, 1)</f>
        <v/>
      </c>
      <c r="I95" s="186">
        <f>ROUND(H95/E95, 1)</f>
        <v/>
      </c>
    </row>
    <row r="96">
      <c r="A96" t="inlineStr">
        <is>
          <t>2028_Sierpień</t>
        </is>
      </c>
      <c r="B96" t="n">
        <v>2028</v>
      </c>
      <c r="C96" t="inlineStr">
        <is>
          <t>Sierpień</t>
        </is>
      </c>
      <c r="D96" t="inlineStr">
        <is>
          <t>M08</t>
        </is>
      </c>
      <c r="E96" t="n">
        <v>5</v>
      </c>
      <c r="F96" s="184" t="n">
        <v>14352</v>
      </c>
      <c r="G96" s="185" t="n">
        <v>7.2</v>
      </c>
      <c r="H96" s="186">
        <f>ROUND(F96/G96, 1)</f>
        <v/>
      </c>
      <c r="I96" s="186">
        <f>ROUND(H96/E96, 1)</f>
        <v/>
      </c>
    </row>
    <row r="97">
      <c r="A97" t="inlineStr">
        <is>
          <t>2028_Wrzesień</t>
        </is>
      </c>
      <c r="B97" t="n">
        <v>2028</v>
      </c>
      <c r="C97" t="inlineStr">
        <is>
          <t>Wrzesień</t>
        </is>
      </c>
      <c r="D97" t="inlineStr">
        <is>
          <t>M09</t>
        </is>
      </c>
      <c r="E97" t="n">
        <v>5</v>
      </c>
      <c r="F97" s="184" t="n">
        <v>13728</v>
      </c>
      <c r="G97" s="185" t="n">
        <v>7.2</v>
      </c>
      <c r="H97" s="186">
        <f>ROUND(F97/G97, 1)</f>
        <v/>
      </c>
      <c r="I97" s="186">
        <f>ROUND(H97/E97, 1)</f>
        <v/>
      </c>
    </row>
    <row r="98">
      <c r="A98" t="inlineStr">
        <is>
          <t>2028_Październik</t>
        </is>
      </c>
      <c r="B98" t="n">
        <v>2028</v>
      </c>
      <c r="C98" t="inlineStr">
        <is>
          <t>Październik</t>
        </is>
      </c>
      <c r="D98" t="inlineStr">
        <is>
          <t>M10</t>
        </is>
      </c>
      <c r="E98" t="n">
        <v>6</v>
      </c>
      <c r="F98" s="184" t="n">
        <v>13520</v>
      </c>
      <c r="G98" s="185" t="n">
        <v>7.2</v>
      </c>
      <c r="H98" s="186">
        <f>ROUND(F98/G98, 1)</f>
        <v/>
      </c>
      <c r="I98" s="186">
        <f>ROUND(H98/E98, 1)</f>
        <v/>
      </c>
    </row>
    <row r="99">
      <c r="A99" t="inlineStr">
        <is>
          <t>2028_Listopad</t>
        </is>
      </c>
      <c r="B99" t="n">
        <v>2028</v>
      </c>
      <c r="C99" t="inlineStr">
        <is>
          <t>Listopad</t>
        </is>
      </c>
      <c r="D99" t="inlineStr">
        <is>
          <t>M11</t>
        </is>
      </c>
      <c r="E99" t="n">
        <v>5</v>
      </c>
      <c r="F99" s="184" t="n">
        <v>14040</v>
      </c>
      <c r="G99" s="185" t="n">
        <v>7.2</v>
      </c>
      <c r="H99" s="186">
        <f>ROUND(F99/G99, 1)</f>
        <v/>
      </c>
      <c r="I99" s="186">
        <f>ROUND(H99/E99, 1)</f>
        <v/>
      </c>
    </row>
    <row r="100">
      <c r="A100" t="inlineStr">
        <is>
          <t>2028_Grudzień</t>
        </is>
      </c>
      <c r="B100" t="n">
        <v>2028</v>
      </c>
      <c r="C100" t="inlineStr">
        <is>
          <t>Grudzień</t>
        </is>
      </c>
      <c r="D100" t="inlineStr">
        <is>
          <t>M12</t>
        </is>
      </c>
      <c r="E100" t="n">
        <v>5</v>
      </c>
      <c r="F100" s="184" t="n">
        <v>16120</v>
      </c>
      <c r="G100" s="185" t="n">
        <v>7.2</v>
      </c>
      <c r="H100" s="186">
        <f>ROUND(F100/G100, 1)</f>
        <v/>
      </c>
      <c r="I100" s="186">
        <f>ROUND(H100/E100, 1)</f>
        <v/>
      </c>
    </row>
    <row r="101">
      <c r="A101" t="inlineStr">
        <is>
          <t>2029_Styczeń</t>
        </is>
      </c>
      <c r="B101" t="n">
        <v>2029</v>
      </c>
      <c r="C101" t="inlineStr">
        <is>
          <t>Styczeń</t>
        </is>
      </c>
      <c r="D101" t="inlineStr">
        <is>
          <t>M01</t>
        </is>
      </c>
      <c r="E101" t="n">
        <v>6</v>
      </c>
      <c r="F101" s="184" t="n">
        <v>12720</v>
      </c>
      <c r="G101" s="185" t="n">
        <v>7.2</v>
      </c>
      <c r="H101" s="186">
        <f>ROUND(F101/G101, 1)</f>
        <v/>
      </c>
      <c r="I101" s="186">
        <f>ROUND(H101/E101, 1)</f>
        <v/>
      </c>
    </row>
    <row r="102">
      <c r="A102" t="inlineStr">
        <is>
          <t>2029_Luty</t>
        </is>
      </c>
      <c r="B102" t="n">
        <v>2029</v>
      </c>
      <c r="C102" t="inlineStr">
        <is>
          <t>Luty</t>
        </is>
      </c>
      <c r="D102" t="inlineStr">
        <is>
          <t>M02</t>
        </is>
      </c>
      <c r="E102" t="n">
        <v>5</v>
      </c>
      <c r="F102" s="184" t="n">
        <v>12190</v>
      </c>
      <c r="G102" s="185" t="n">
        <v>7.2</v>
      </c>
      <c r="H102" s="186">
        <f>ROUND(F102/G102, 1)</f>
        <v/>
      </c>
      <c r="I102" s="186">
        <f>ROUND(H102/E102, 1)</f>
        <v/>
      </c>
    </row>
    <row r="103">
      <c r="A103" t="inlineStr">
        <is>
          <t>2029_Marzec</t>
        </is>
      </c>
      <c r="B103" t="n">
        <v>2029</v>
      </c>
      <c r="C103" t="inlineStr">
        <is>
          <t>Marzec</t>
        </is>
      </c>
      <c r="D103" t="inlineStr">
        <is>
          <t>M03</t>
        </is>
      </c>
      <c r="E103" t="n">
        <v>5</v>
      </c>
      <c r="F103" s="184" t="n">
        <v>13780</v>
      </c>
      <c r="G103" s="185" t="n">
        <v>7.2</v>
      </c>
      <c r="H103" s="186">
        <f>ROUND(F103/G103, 1)</f>
        <v/>
      </c>
      <c r="I103" s="186">
        <f>ROUND(H103/E103, 1)</f>
        <v/>
      </c>
    </row>
    <row r="104">
      <c r="A104" t="inlineStr">
        <is>
          <t>2029_Kwiecień</t>
        </is>
      </c>
      <c r="B104" t="n">
        <v>2029</v>
      </c>
      <c r="C104" t="inlineStr">
        <is>
          <t>Kwiecień</t>
        </is>
      </c>
      <c r="D104" t="inlineStr">
        <is>
          <t>M04</t>
        </is>
      </c>
      <c r="E104" t="n">
        <v>5</v>
      </c>
      <c r="F104" s="184" t="n">
        <v>13568</v>
      </c>
      <c r="G104" s="185" t="n">
        <v>7.2</v>
      </c>
      <c r="H104" s="186">
        <f>ROUND(F104/G104, 1)</f>
        <v/>
      </c>
      <c r="I104" s="186">
        <f>ROUND(H104/E104, 1)</f>
        <v/>
      </c>
    </row>
    <row r="105">
      <c r="A105" t="inlineStr">
        <is>
          <t>2029_Maj</t>
        </is>
      </c>
      <c r="B105" t="n">
        <v>2029</v>
      </c>
      <c r="C105" t="inlineStr">
        <is>
          <t>Maj</t>
        </is>
      </c>
      <c r="D105" t="inlineStr">
        <is>
          <t>M05</t>
        </is>
      </c>
      <c r="E105" t="n">
        <v>5</v>
      </c>
      <c r="F105" s="184" t="n">
        <v>14310</v>
      </c>
      <c r="G105" s="185" t="n">
        <v>7.2</v>
      </c>
      <c r="H105" s="186">
        <f>ROUND(F105/G105, 1)</f>
        <v/>
      </c>
      <c r="I105" s="186">
        <f>ROUND(H105/E105, 1)</f>
        <v/>
      </c>
    </row>
    <row r="106">
      <c r="A106" t="inlineStr">
        <is>
          <t>2029_Czerwiec</t>
        </is>
      </c>
      <c r="B106" t="n">
        <v>2029</v>
      </c>
      <c r="C106" t="inlineStr">
        <is>
          <t>Czerwiec</t>
        </is>
      </c>
      <c r="D106" t="inlineStr">
        <is>
          <t>M06</t>
        </is>
      </c>
      <c r="E106" t="n">
        <v>5</v>
      </c>
      <c r="F106" s="184" t="n">
        <v>14840</v>
      </c>
      <c r="G106" s="185" t="n">
        <v>7.2</v>
      </c>
      <c r="H106" s="186">
        <f>ROUND(F106/G106, 1)</f>
        <v/>
      </c>
      <c r="I106" s="186">
        <f>ROUND(H106/E106, 1)</f>
        <v/>
      </c>
    </row>
    <row r="107">
      <c r="A107" t="inlineStr">
        <is>
          <t>2029_Lipiec</t>
        </is>
      </c>
      <c r="B107" t="n">
        <v>2029</v>
      </c>
      <c r="C107" t="inlineStr">
        <is>
          <t>Lipiec</t>
        </is>
      </c>
      <c r="D107" t="inlineStr">
        <is>
          <t>M07</t>
        </is>
      </c>
      <c r="E107" t="n">
        <v>6</v>
      </c>
      <c r="F107" s="184" t="n">
        <v>15052</v>
      </c>
      <c r="G107" s="185" t="n">
        <v>7.2</v>
      </c>
      <c r="H107" s="186">
        <f>ROUND(F107/G107, 1)</f>
        <v/>
      </c>
      <c r="I107" s="186">
        <f>ROUND(H107/E107, 1)</f>
        <v/>
      </c>
    </row>
    <row r="108">
      <c r="A108" t="inlineStr">
        <is>
          <t>2029_Sierpień</t>
        </is>
      </c>
      <c r="B108" t="n">
        <v>2029</v>
      </c>
      <c r="C108" t="inlineStr">
        <is>
          <t>Sierpień</t>
        </is>
      </c>
      <c r="D108" t="inlineStr">
        <is>
          <t>M08</t>
        </is>
      </c>
      <c r="E108" t="n">
        <v>5</v>
      </c>
      <c r="F108" s="184" t="n">
        <v>14628</v>
      </c>
      <c r="G108" s="185" t="n">
        <v>7.2</v>
      </c>
      <c r="H108" s="186">
        <f>ROUND(F108/G108, 1)</f>
        <v/>
      </c>
      <c r="I108" s="186">
        <f>ROUND(H108/E108, 1)</f>
        <v/>
      </c>
    </row>
    <row r="109">
      <c r="A109" t="inlineStr">
        <is>
          <t>2029_Wrzesień</t>
        </is>
      </c>
      <c r="B109" t="n">
        <v>2029</v>
      </c>
      <c r="C109" t="inlineStr">
        <is>
          <t>Wrzesień</t>
        </is>
      </c>
      <c r="D109" t="inlineStr">
        <is>
          <t>M09</t>
        </is>
      </c>
      <c r="E109" t="n">
        <v>5</v>
      </c>
      <c r="F109" s="184" t="n">
        <v>13992</v>
      </c>
      <c r="G109" s="185" t="n">
        <v>7.2</v>
      </c>
      <c r="H109" s="186">
        <f>ROUND(F109/G109, 1)</f>
        <v/>
      </c>
      <c r="I109" s="186">
        <f>ROUND(H109/E109, 1)</f>
        <v/>
      </c>
    </row>
    <row r="110">
      <c r="A110" t="inlineStr">
        <is>
          <t>2029_Październik</t>
        </is>
      </c>
      <c r="B110" t="n">
        <v>2029</v>
      </c>
      <c r="C110" t="inlineStr">
        <is>
          <t>Październik</t>
        </is>
      </c>
      <c r="D110" t="inlineStr">
        <is>
          <t>M10</t>
        </is>
      </c>
      <c r="E110" t="n">
        <v>6</v>
      </c>
      <c r="F110" s="184" t="n">
        <v>13780</v>
      </c>
      <c r="G110" s="185" t="n">
        <v>7.2</v>
      </c>
      <c r="H110" s="186">
        <f>ROUND(F110/G110, 1)</f>
        <v/>
      </c>
      <c r="I110" s="186">
        <f>ROUND(H110/E110, 1)</f>
        <v/>
      </c>
    </row>
    <row r="111">
      <c r="A111" t="inlineStr">
        <is>
          <t>2029_Listopad</t>
        </is>
      </c>
      <c r="B111" t="n">
        <v>2029</v>
      </c>
      <c r="C111" t="inlineStr">
        <is>
          <t>Listopad</t>
        </is>
      </c>
      <c r="D111" t="inlineStr">
        <is>
          <t>M11</t>
        </is>
      </c>
      <c r="E111" t="n">
        <v>5</v>
      </c>
      <c r="F111" s="184" t="n">
        <v>14310</v>
      </c>
      <c r="G111" s="185" t="n">
        <v>7.2</v>
      </c>
      <c r="H111" s="186">
        <f>ROUND(F111/G111, 1)</f>
        <v/>
      </c>
      <c r="I111" s="186">
        <f>ROUND(H111/E111, 1)</f>
        <v/>
      </c>
    </row>
    <row r="112">
      <c r="A112" t="inlineStr">
        <is>
          <t>2029_Grudzień</t>
        </is>
      </c>
      <c r="B112" t="n">
        <v>2029</v>
      </c>
      <c r="C112" t="inlineStr">
        <is>
          <t>Grudzień</t>
        </is>
      </c>
      <c r="D112" t="inlineStr">
        <is>
          <t>M12</t>
        </is>
      </c>
      <c r="E112" t="n">
        <v>5</v>
      </c>
      <c r="F112" s="184" t="n">
        <v>16430</v>
      </c>
      <c r="G112" s="185" t="n">
        <v>7.2</v>
      </c>
      <c r="H112" s="186">
        <f>ROUND(F112/G112, 1)</f>
        <v/>
      </c>
      <c r="I112" s="186">
        <f>ROUND(H112/E112, 1)</f>
        <v/>
      </c>
    </row>
    <row r="113">
      <c r="A113" t="inlineStr">
        <is>
          <t>2030_Styczeń</t>
        </is>
      </c>
      <c r="B113" t="n">
        <v>2030</v>
      </c>
      <c r="C113" t="inlineStr">
        <is>
          <t>Styczeń</t>
        </is>
      </c>
      <c r="D113" t="inlineStr">
        <is>
          <t>M01</t>
        </is>
      </c>
      <c r="E113" t="n">
        <v>5</v>
      </c>
      <c r="F113" s="184" t="n">
        <v>12960</v>
      </c>
      <c r="G113" s="185" t="n">
        <v>7.2</v>
      </c>
      <c r="H113" s="186">
        <f>ROUND(F113/G113, 1)</f>
        <v/>
      </c>
      <c r="I113" s="186">
        <f>ROUND(H113/E113, 1)</f>
        <v/>
      </c>
    </row>
    <row r="114">
      <c r="A114" t="inlineStr">
        <is>
          <t>2030_Luty</t>
        </is>
      </c>
      <c r="B114" t="n">
        <v>2030</v>
      </c>
      <c r="C114" t="inlineStr">
        <is>
          <t>Luty</t>
        </is>
      </c>
      <c r="D114" t="inlineStr">
        <is>
          <t>M02</t>
        </is>
      </c>
      <c r="E114" t="n">
        <v>5</v>
      </c>
      <c r="F114" s="184" t="n">
        <v>12420</v>
      </c>
      <c r="G114" s="185" t="n">
        <v>7.2</v>
      </c>
      <c r="H114" s="186">
        <f>ROUND(F114/G114, 1)</f>
        <v/>
      </c>
      <c r="I114" s="186">
        <f>ROUND(H114/E114, 1)</f>
        <v/>
      </c>
    </row>
    <row r="115">
      <c r="A115" t="inlineStr">
        <is>
          <t>2030_Marzec</t>
        </is>
      </c>
      <c r="B115" t="n">
        <v>2030</v>
      </c>
      <c r="C115" t="inlineStr">
        <is>
          <t>Marzec</t>
        </is>
      </c>
      <c r="D115" t="inlineStr">
        <is>
          <t>M03</t>
        </is>
      </c>
      <c r="E115" t="n">
        <v>5</v>
      </c>
      <c r="F115" s="184" t="n">
        <v>14040</v>
      </c>
      <c r="G115" s="185" t="n">
        <v>7.2</v>
      </c>
      <c r="H115" s="186">
        <f>ROUND(F115/G115, 1)</f>
        <v/>
      </c>
      <c r="I115" s="186">
        <f>ROUND(H115/E115, 1)</f>
        <v/>
      </c>
    </row>
    <row r="116">
      <c r="A116" t="inlineStr">
        <is>
          <t>2030_Kwiecień</t>
        </is>
      </c>
      <c r="B116" t="n">
        <v>2030</v>
      </c>
      <c r="C116" t="inlineStr">
        <is>
          <t>Kwiecień</t>
        </is>
      </c>
      <c r="D116" t="inlineStr">
        <is>
          <t>M04</t>
        </is>
      </c>
      <c r="E116" t="n">
        <v>6</v>
      </c>
      <c r="F116" s="184" t="n">
        <v>13824</v>
      </c>
      <c r="G116" s="185" t="n">
        <v>7.2</v>
      </c>
      <c r="H116" s="186">
        <f>ROUND(F116/G116, 1)</f>
        <v/>
      </c>
      <c r="I116" s="186">
        <f>ROUND(H116/E116, 1)</f>
        <v/>
      </c>
    </row>
    <row r="117">
      <c r="A117" t="inlineStr">
        <is>
          <t>2030_Maj</t>
        </is>
      </c>
      <c r="B117" t="n">
        <v>2030</v>
      </c>
      <c r="C117" t="inlineStr">
        <is>
          <t>Maj</t>
        </is>
      </c>
      <c r="D117" t="inlineStr">
        <is>
          <t>M05</t>
        </is>
      </c>
      <c r="E117" t="n">
        <v>5</v>
      </c>
      <c r="F117" s="184" t="n">
        <v>14580</v>
      </c>
      <c r="G117" s="185" t="n">
        <v>7.2</v>
      </c>
      <c r="H117" s="186">
        <f>ROUND(F117/G117, 1)</f>
        <v/>
      </c>
      <c r="I117" s="186">
        <f>ROUND(H117/E117, 1)</f>
        <v/>
      </c>
    </row>
    <row r="118">
      <c r="A118" t="inlineStr">
        <is>
          <t>2030_Czerwiec</t>
        </is>
      </c>
      <c r="B118" t="n">
        <v>2030</v>
      </c>
      <c r="C118" t="inlineStr">
        <is>
          <t>Czerwiec</t>
        </is>
      </c>
      <c r="D118" t="inlineStr">
        <is>
          <t>M06</t>
        </is>
      </c>
      <c r="E118" t="n">
        <v>5</v>
      </c>
      <c r="F118" s="184" t="n">
        <v>15120</v>
      </c>
      <c r="G118" s="185" t="n">
        <v>7.2</v>
      </c>
      <c r="H118" s="186">
        <f>ROUND(F118/G118, 1)</f>
        <v/>
      </c>
      <c r="I118" s="186">
        <f>ROUND(H118/E118, 1)</f>
        <v/>
      </c>
    </row>
    <row r="119">
      <c r="A119" t="inlineStr">
        <is>
          <t>2030_Lipiec</t>
        </is>
      </c>
      <c r="B119" t="n">
        <v>2030</v>
      </c>
      <c r="C119" t="inlineStr">
        <is>
          <t>Lipiec</t>
        </is>
      </c>
      <c r="D119" t="inlineStr">
        <is>
          <t>M07</t>
        </is>
      </c>
      <c r="E119" t="n">
        <v>6</v>
      </c>
      <c r="F119" s="184" t="n">
        <v>15336</v>
      </c>
      <c r="G119" s="185" t="n">
        <v>7.2</v>
      </c>
      <c r="H119" s="186">
        <f>ROUND(F119/G119, 1)</f>
        <v/>
      </c>
      <c r="I119" s="186">
        <f>ROUND(H119/E119, 1)</f>
        <v/>
      </c>
    </row>
    <row r="120">
      <c r="A120" t="inlineStr">
        <is>
          <t>2030_Sierpień</t>
        </is>
      </c>
      <c r="B120" t="n">
        <v>2030</v>
      </c>
      <c r="C120" t="inlineStr">
        <is>
          <t>Sierpień</t>
        </is>
      </c>
      <c r="D120" t="inlineStr">
        <is>
          <t>M08</t>
        </is>
      </c>
      <c r="E120" t="n">
        <v>5</v>
      </c>
      <c r="F120" s="184" t="n">
        <v>14904</v>
      </c>
      <c r="G120" s="185" t="n">
        <v>7.2</v>
      </c>
      <c r="H120" s="186">
        <f>ROUND(F120/G120, 1)</f>
        <v/>
      </c>
      <c r="I120" s="186">
        <f>ROUND(H120/E120, 1)</f>
        <v/>
      </c>
    </row>
    <row r="121">
      <c r="A121" t="inlineStr">
        <is>
          <t>2030_Wrzesień</t>
        </is>
      </c>
      <c r="B121" t="n">
        <v>2030</v>
      </c>
      <c r="C121" t="inlineStr">
        <is>
          <t>Wrzesień</t>
        </is>
      </c>
      <c r="D121" t="inlineStr">
        <is>
          <t>M09</t>
        </is>
      </c>
      <c r="E121" t="n">
        <v>5</v>
      </c>
      <c r="F121" s="184" t="n">
        <v>14256</v>
      </c>
      <c r="G121" s="185" t="n">
        <v>7.2</v>
      </c>
      <c r="H121" s="186">
        <f>ROUND(F121/G121, 1)</f>
        <v/>
      </c>
      <c r="I121" s="186">
        <f>ROUND(H121/E121, 1)</f>
        <v/>
      </c>
    </row>
    <row r="122">
      <c r="A122" t="inlineStr">
        <is>
          <t>2030_Październik</t>
        </is>
      </c>
      <c r="B122" t="n">
        <v>2030</v>
      </c>
      <c r="C122" t="inlineStr">
        <is>
          <t>Październik</t>
        </is>
      </c>
      <c r="D122" t="inlineStr">
        <is>
          <t>M10</t>
        </is>
      </c>
      <c r="E122" t="n">
        <v>5</v>
      </c>
      <c r="F122" s="184" t="n">
        <v>14040</v>
      </c>
      <c r="G122" s="185" t="n">
        <v>7.2</v>
      </c>
      <c r="H122" s="186">
        <f>ROUND(F122/G122, 1)</f>
        <v/>
      </c>
      <c r="I122" s="186">
        <f>ROUND(H122/E122, 1)</f>
        <v/>
      </c>
    </row>
    <row r="123">
      <c r="A123" t="inlineStr">
        <is>
          <t>2030_Listopad</t>
        </is>
      </c>
      <c r="B123" t="n">
        <v>2030</v>
      </c>
      <c r="C123" t="inlineStr">
        <is>
          <t>Listopad</t>
        </is>
      </c>
      <c r="D123" t="inlineStr">
        <is>
          <t>M11</t>
        </is>
      </c>
      <c r="E123" t="n">
        <v>5</v>
      </c>
      <c r="F123" s="184" t="n">
        <v>14580</v>
      </c>
      <c r="G123" s="185" t="n">
        <v>7.2</v>
      </c>
      <c r="H123" s="186">
        <f>ROUND(F123/G123, 1)</f>
        <v/>
      </c>
      <c r="I123" s="186">
        <f>ROUND(H123/E123, 1)</f>
        <v/>
      </c>
    </row>
    <row r="124">
      <c r="A124" t="inlineStr">
        <is>
          <t>2030_Grudzień</t>
        </is>
      </c>
      <c r="B124" t="n">
        <v>2030</v>
      </c>
      <c r="C124" t="inlineStr">
        <is>
          <t>Grudzień</t>
        </is>
      </c>
      <c r="D124" t="inlineStr">
        <is>
          <t>M12</t>
        </is>
      </c>
      <c r="E124" t="n">
        <v>6</v>
      </c>
      <c r="F124" s="184" t="n">
        <v>16740</v>
      </c>
      <c r="G124" s="185" t="n">
        <v>7.2</v>
      </c>
      <c r="H124" s="186">
        <f>ROUND(F124/G124, 1)</f>
        <v/>
      </c>
      <c r="I124" s="186">
        <f>ROUND(H124/E124, 1)</f>
        <v/>
      </c>
    </row>
    <row r="125">
      <c r="A125" t="inlineStr">
        <is>
          <t>2031_Styczeń</t>
        </is>
      </c>
      <c r="B125" t="n">
        <v>2031</v>
      </c>
      <c r="C125" t="inlineStr">
        <is>
          <t>Styczeń</t>
        </is>
      </c>
      <c r="D125" t="inlineStr">
        <is>
          <t>M01</t>
        </is>
      </c>
      <c r="E125" t="n">
        <v>5</v>
      </c>
      <c r="F125" s="184" t="n">
        <v>13200</v>
      </c>
      <c r="G125" s="185" t="n">
        <v>7.2</v>
      </c>
      <c r="H125" s="186">
        <f>ROUND(F125/G125, 1)</f>
        <v/>
      </c>
      <c r="I125" s="186">
        <f>ROUND(H125/E125, 1)</f>
        <v/>
      </c>
    </row>
    <row r="126">
      <c r="A126" t="inlineStr">
        <is>
          <t>2031_Luty</t>
        </is>
      </c>
      <c r="B126" t="n">
        <v>2031</v>
      </c>
      <c r="C126" t="inlineStr">
        <is>
          <t>Luty</t>
        </is>
      </c>
      <c r="D126" t="inlineStr">
        <is>
          <t>M02</t>
        </is>
      </c>
      <c r="E126" t="n">
        <v>5</v>
      </c>
      <c r="F126" s="184" t="n">
        <v>12650</v>
      </c>
      <c r="G126" s="185" t="n">
        <v>7.2</v>
      </c>
      <c r="H126" s="186">
        <f>ROUND(F126/G126, 1)</f>
        <v/>
      </c>
      <c r="I126" s="186">
        <f>ROUND(H126/E126, 1)</f>
        <v/>
      </c>
    </row>
    <row r="127">
      <c r="A127" t="inlineStr">
        <is>
          <t>2031_Marzec</t>
        </is>
      </c>
      <c r="B127" t="n">
        <v>2031</v>
      </c>
      <c r="C127" t="inlineStr">
        <is>
          <t>Marzec</t>
        </is>
      </c>
      <c r="D127" t="inlineStr">
        <is>
          <t>M03</t>
        </is>
      </c>
      <c r="E127" t="n">
        <v>5</v>
      </c>
      <c r="F127" s="184" t="n">
        <v>14300</v>
      </c>
      <c r="G127" s="185" t="n">
        <v>7.2</v>
      </c>
      <c r="H127" s="186">
        <f>ROUND(F127/G127, 1)</f>
        <v/>
      </c>
      <c r="I127" s="186">
        <f>ROUND(H127/E127, 1)</f>
        <v/>
      </c>
    </row>
    <row r="128">
      <c r="A128" t="inlineStr">
        <is>
          <t>2031_Kwiecień</t>
        </is>
      </c>
      <c r="B128" t="n">
        <v>2031</v>
      </c>
      <c r="C128" t="inlineStr">
        <is>
          <t>Kwiecień</t>
        </is>
      </c>
      <c r="D128" t="inlineStr">
        <is>
          <t>M04</t>
        </is>
      </c>
      <c r="E128" t="n">
        <v>5</v>
      </c>
      <c r="F128" s="184" t="n">
        <v>14080</v>
      </c>
      <c r="G128" s="185" t="n">
        <v>7.2</v>
      </c>
      <c r="H128" s="186">
        <f>ROUND(F128/G128, 1)</f>
        <v/>
      </c>
      <c r="I128" s="186">
        <f>ROUND(H128/E128, 1)</f>
        <v/>
      </c>
    </row>
    <row r="129">
      <c r="A129" t="inlineStr">
        <is>
          <t>2031_Maj</t>
        </is>
      </c>
      <c r="B129" t="n">
        <v>2031</v>
      </c>
      <c r="C129" t="inlineStr">
        <is>
          <t>Maj</t>
        </is>
      </c>
      <c r="D129" t="inlineStr">
        <is>
          <t>M05</t>
        </is>
      </c>
      <c r="E129" t="n">
        <v>5</v>
      </c>
      <c r="F129" s="184" t="n">
        <v>14850</v>
      </c>
      <c r="G129" s="185" t="n">
        <v>7.2</v>
      </c>
      <c r="H129" s="186">
        <f>ROUND(F129/G129, 1)</f>
        <v/>
      </c>
      <c r="I129" s="186">
        <f>ROUND(H129/E129, 1)</f>
        <v/>
      </c>
    </row>
    <row r="130">
      <c r="A130" t="inlineStr">
        <is>
          <t>2031_Czerwiec</t>
        </is>
      </c>
      <c r="B130" t="n">
        <v>2031</v>
      </c>
      <c r="C130" t="inlineStr">
        <is>
          <t>Czerwiec</t>
        </is>
      </c>
      <c r="D130" t="inlineStr">
        <is>
          <t>M06</t>
        </is>
      </c>
      <c r="E130" t="n">
        <v>5</v>
      </c>
      <c r="F130" s="184" t="n">
        <v>15400</v>
      </c>
      <c r="G130" s="185" t="n">
        <v>7.2</v>
      </c>
      <c r="H130" s="186">
        <f>ROUND(F130/G130, 1)</f>
        <v/>
      </c>
      <c r="I130" s="186">
        <f>ROUND(H130/E130, 1)</f>
        <v/>
      </c>
    </row>
    <row r="131">
      <c r="A131" t="inlineStr">
        <is>
          <t>2031_Lipiec</t>
        </is>
      </c>
      <c r="B131" t="n">
        <v>2031</v>
      </c>
      <c r="C131" t="inlineStr">
        <is>
          <t>Lipiec</t>
        </is>
      </c>
      <c r="D131" t="inlineStr">
        <is>
          <t>M07</t>
        </is>
      </c>
      <c r="E131" t="n">
        <v>5</v>
      </c>
      <c r="F131" s="184" t="n">
        <v>15620</v>
      </c>
      <c r="G131" s="185" t="n">
        <v>7.2</v>
      </c>
      <c r="H131" s="186">
        <f>ROUND(F131/G131, 1)</f>
        <v/>
      </c>
      <c r="I131" s="186">
        <f>ROUND(H131/E131, 1)</f>
        <v/>
      </c>
    </row>
    <row r="132">
      <c r="A132" t="inlineStr">
        <is>
          <t>2031_Sierpień</t>
        </is>
      </c>
      <c r="B132" t="n">
        <v>2031</v>
      </c>
      <c r="C132" t="inlineStr">
        <is>
          <t>Sierpień</t>
        </is>
      </c>
      <c r="D132" t="inlineStr">
        <is>
          <t>M08</t>
        </is>
      </c>
      <c r="E132" t="n">
        <v>5</v>
      </c>
      <c r="F132" s="184" t="n">
        <v>15180</v>
      </c>
      <c r="G132" s="185" t="n">
        <v>7.2</v>
      </c>
      <c r="H132" s="186">
        <f>ROUND(F132/G132, 1)</f>
        <v/>
      </c>
      <c r="I132" s="186">
        <f>ROUND(H132/E132, 1)</f>
        <v/>
      </c>
    </row>
    <row r="133">
      <c r="A133" t="inlineStr">
        <is>
          <t>2031_Wrzesień</t>
        </is>
      </c>
      <c r="B133" t="n">
        <v>2031</v>
      </c>
      <c r="C133" t="inlineStr">
        <is>
          <t>Wrzesień</t>
        </is>
      </c>
      <c r="D133" t="inlineStr">
        <is>
          <t>M09</t>
        </is>
      </c>
      <c r="E133" t="n">
        <v>6</v>
      </c>
      <c r="F133" s="184" t="n">
        <v>14520</v>
      </c>
      <c r="G133" s="185" t="n">
        <v>7.2</v>
      </c>
      <c r="H133" s="186">
        <f>ROUND(F133/G133, 1)</f>
        <v/>
      </c>
      <c r="I133" s="186">
        <f>ROUND(H133/E133, 1)</f>
        <v/>
      </c>
    </row>
    <row r="134">
      <c r="A134" t="inlineStr">
        <is>
          <t>2031_Październik</t>
        </is>
      </c>
      <c r="B134" t="n">
        <v>2031</v>
      </c>
      <c r="C134" t="inlineStr">
        <is>
          <t>Październik</t>
        </is>
      </c>
      <c r="D134" t="inlineStr">
        <is>
          <t>M10</t>
        </is>
      </c>
      <c r="E134" t="n">
        <v>5</v>
      </c>
      <c r="F134" s="184" t="n">
        <v>14300</v>
      </c>
      <c r="G134" s="185" t="n">
        <v>7.2</v>
      </c>
      <c r="H134" s="186">
        <f>ROUND(F134/G134, 1)</f>
        <v/>
      </c>
      <c r="I134" s="186">
        <f>ROUND(H134/E134, 1)</f>
        <v/>
      </c>
    </row>
    <row r="135">
      <c r="A135" t="inlineStr">
        <is>
          <t>2031_Listopad</t>
        </is>
      </c>
      <c r="B135" t="n">
        <v>2031</v>
      </c>
      <c r="C135" t="inlineStr">
        <is>
          <t>Listopad</t>
        </is>
      </c>
      <c r="D135" t="inlineStr">
        <is>
          <t>M11</t>
        </is>
      </c>
      <c r="E135" t="n">
        <v>5</v>
      </c>
      <c r="F135" s="184" t="n">
        <v>14850</v>
      </c>
      <c r="G135" s="185" t="n">
        <v>7.2</v>
      </c>
      <c r="H135" s="186">
        <f>ROUND(F135/G135, 1)</f>
        <v/>
      </c>
      <c r="I135" s="186">
        <f>ROUND(H135/E135, 1)</f>
        <v/>
      </c>
    </row>
    <row r="136">
      <c r="A136" t="inlineStr">
        <is>
          <t>2031_Grudzień</t>
        </is>
      </c>
      <c r="B136" t="n">
        <v>2031</v>
      </c>
      <c r="C136" t="inlineStr">
        <is>
          <t>Grudzień</t>
        </is>
      </c>
      <c r="D136" t="inlineStr">
        <is>
          <t>M12</t>
        </is>
      </c>
      <c r="E136" t="n">
        <v>6</v>
      </c>
      <c r="F136" s="184" t="n">
        <v>17050</v>
      </c>
      <c r="G136" s="185" t="n">
        <v>7.2</v>
      </c>
      <c r="H136" s="186">
        <f>ROUND(F136/G136, 1)</f>
        <v/>
      </c>
      <c r="I136" s="186">
        <f>ROUND(H136/E136, 1)</f>
        <v/>
      </c>
    </row>
    <row r="137">
      <c r="A137" t="inlineStr">
        <is>
          <t>2032_Styczeń</t>
        </is>
      </c>
      <c r="B137" t="n">
        <v>2032</v>
      </c>
      <c r="C137" t="inlineStr">
        <is>
          <t>Styczeń</t>
        </is>
      </c>
      <c r="D137" t="inlineStr">
        <is>
          <t>M01</t>
        </is>
      </c>
      <c r="E137" t="n">
        <v>5</v>
      </c>
      <c r="F137" s="184" t="n">
        <v>13440</v>
      </c>
      <c r="G137" s="185" t="n">
        <v>7.2</v>
      </c>
      <c r="H137" s="186">
        <f>ROUND(F137/G137, 1)</f>
        <v/>
      </c>
      <c r="I137" s="186">
        <f>ROUND(H137/E137, 1)</f>
        <v/>
      </c>
    </row>
    <row r="138">
      <c r="A138" t="inlineStr">
        <is>
          <t>2032_Luty</t>
        </is>
      </c>
      <c r="B138" t="n">
        <v>2032</v>
      </c>
      <c r="C138" t="inlineStr">
        <is>
          <t>Luty</t>
        </is>
      </c>
      <c r="D138" t="inlineStr">
        <is>
          <t>M02</t>
        </is>
      </c>
      <c r="E138" t="n">
        <v>5</v>
      </c>
      <c r="F138" s="184" t="n">
        <v>12880</v>
      </c>
      <c r="G138" s="185" t="n">
        <v>7.2</v>
      </c>
      <c r="H138" s="186">
        <f>ROUND(F138/G138, 1)</f>
        <v/>
      </c>
      <c r="I138" s="186">
        <f>ROUND(H138/E138, 1)</f>
        <v/>
      </c>
    </row>
    <row r="139">
      <c r="A139" t="inlineStr">
        <is>
          <t>2032_Marzec</t>
        </is>
      </c>
      <c r="B139" t="n">
        <v>2032</v>
      </c>
      <c r="C139" t="inlineStr">
        <is>
          <t>Marzec</t>
        </is>
      </c>
      <c r="D139" t="inlineStr">
        <is>
          <t>M03</t>
        </is>
      </c>
      <c r="E139" t="n">
        <v>6</v>
      </c>
      <c r="F139" s="184" t="n">
        <v>14560</v>
      </c>
      <c r="G139" s="185" t="n">
        <v>7.2</v>
      </c>
      <c r="H139" s="186">
        <f>ROUND(F139/G139, 1)</f>
        <v/>
      </c>
      <c r="I139" s="186">
        <f>ROUND(H139/E139, 1)</f>
        <v/>
      </c>
    </row>
    <row r="140">
      <c r="A140" t="inlineStr">
        <is>
          <t>2032_Kwiecień</t>
        </is>
      </c>
      <c r="B140" t="n">
        <v>2032</v>
      </c>
      <c r="C140" t="inlineStr">
        <is>
          <t>Kwiecień</t>
        </is>
      </c>
      <c r="D140" t="inlineStr">
        <is>
          <t>M04</t>
        </is>
      </c>
      <c r="E140" t="n">
        <v>5</v>
      </c>
      <c r="F140" s="184" t="n">
        <v>14336</v>
      </c>
      <c r="G140" s="185" t="n">
        <v>7.2</v>
      </c>
      <c r="H140" s="186">
        <f>ROUND(F140/G140, 1)</f>
        <v/>
      </c>
      <c r="I140" s="186">
        <f>ROUND(H140/E140, 1)</f>
        <v/>
      </c>
    </row>
    <row r="141">
      <c r="A141" t="inlineStr">
        <is>
          <t>2032_Maj</t>
        </is>
      </c>
      <c r="B141" t="n">
        <v>2032</v>
      </c>
      <c r="C141" t="inlineStr">
        <is>
          <t>Maj</t>
        </is>
      </c>
      <c r="D141" t="inlineStr">
        <is>
          <t>M05</t>
        </is>
      </c>
      <c r="E141" t="n">
        <v>5</v>
      </c>
      <c r="F141" s="184" t="n">
        <v>15120</v>
      </c>
      <c r="G141" s="185" t="n">
        <v>7.2</v>
      </c>
      <c r="H141" s="186">
        <f>ROUND(F141/G141, 1)</f>
        <v/>
      </c>
      <c r="I141" s="186">
        <f>ROUND(H141/E141, 1)</f>
        <v/>
      </c>
    </row>
    <row r="142">
      <c r="A142" t="inlineStr">
        <is>
          <t>2032_Czerwiec</t>
        </is>
      </c>
      <c r="B142" t="n">
        <v>2032</v>
      </c>
      <c r="C142" t="inlineStr">
        <is>
          <t>Czerwiec</t>
        </is>
      </c>
      <c r="D142" t="inlineStr">
        <is>
          <t>M06</t>
        </is>
      </c>
      <c r="E142" t="n">
        <v>5</v>
      </c>
      <c r="F142" s="184" t="n">
        <v>15680</v>
      </c>
      <c r="G142" s="185" t="n">
        <v>7.2</v>
      </c>
      <c r="H142" s="186">
        <f>ROUND(F142/G142, 1)</f>
        <v/>
      </c>
      <c r="I142" s="186">
        <f>ROUND(H142/E142, 1)</f>
        <v/>
      </c>
    </row>
    <row r="143">
      <c r="A143" t="inlineStr">
        <is>
          <t>2032_Lipiec</t>
        </is>
      </c>
      <c r="B143" t="n">
        <v>2032</v>
      </c>
      <c r="C143" t="inlineStr">
        <is>
          <t>Lipiec</t>
        </is>
      </c>
      <c r="D143" t="inlineStr">
        <is>
          <t>M07</t>
        </is>
      </c>
      <c r="E143" t="n">
        <v>5</v>
      </c>
      <c r="F143" s="184" t="n">
        <v>15904</v>
      </c>
      <c r="G143" s="185" t="n">
        <v>7.2</v>
      </c>
      <c r="H143" s="186">
        <f>ROUND(F143/G143, 1)</f>
        <v/>
      </c>
      <c r="I143" s="186">
        <f>ROUND(H143/E143, 1)</f>
        <v/>
      </c>
    </row>
    <row r="144">
      <c r="A144" t="inlineStr">
        <is>
          <t>2032_Sierpień</t>
        </is>
      </c>
      <c r="B144" t="n">
        <v>2032</v>
      </c>
      <c r="C144" t="inlineStr">
        <is>
          <t>Sierpień</t>
        </is>
      </c>
      <c r="D144" t="inlineStr">
        <is>
          <t>M08</t>
        </is>
      </c>
      <c r="E144" t="n">
        <v>6</v>
      </c>
      <c r="F144" s="184" t="n">
        <v>15456</v>
      </c>
      <c r="G144" s="185" t="n">
        <v>7.2</v>
      </c>
      <c r="H144" s="186">
        <f>ROUND(F144/G144, 1)</f>
        <v/>
      </c>
      <c r="I144" s="186">
        <f>ROUND(H144/E144, 1)</f>
        <v/>
      </c>
    </row>
    <row r="145">
      <c r="A145" t="inlineStr">
        <is>
          <t>2032_Wrzesień</t>
        </is>
      </c>
      <c r="B145" t="n">
        <v>2032</v>
      </c>
      <c r="C145" t="inlineStr">
        <is>
          <t>Wrzesień</t>
        </is>
      </c>
      <c r="D145" t="inlineStr">
        <is>
          <t>M09</t>
        </is>
      </c>
      <c r="E145" t="n">
        <v>5</v>
      </c>
      <c r="F145" s="184" t="n">
        <v>14784</v>
      </c>
      <c r="G145" s="185" t="n">
        <v>7.2</v>
      </c>
      <c r="H145" s="186">
        <f>ROUND(F145/G145, 1)</f>
        <v/>
      </c>
      <c r="I145" s="186">
        <f>ROUND(H145/E145, 1)</f>
        <v/>
      </c>
    </row>
    <row r="146">
      <c r="A146" t="inlineStr">
        <is>
          <t>2032_Październik</t>
        </is>
      </c>
      <c r="B146" t="n">
        <v>2032</v>
      </c>
      <c r="C146" t="inlineStr">
        <is>
          <t>Październik</t>
        </is>
      </c>
      <c r="D146" t="inlineStr">
        <is>
          <t>M10</t>
        </is>
      </c>
      <c r="E146" t="n">
        <v>5</v>
      </c>
      <c r="F146" s="184" t="n">
        <v>14560</v>
      </c>
      <c r="G146" s="185" t="n">
        <v>7.2</v>
      </c>
      <c r="H146" s="186">
        <f>ROUND(F146/G146, 1)</f>
        <v/>
      </c>
      <c r="I146" s="186">
        <f>ROUND(H146/E146, 1)</f>
        <v/>
      </c>
    </row>
    <row r="147">
      <c r="A147" t="inlineStr">
        <is>
          <t>2032_Listopad</t>
        </is>
      </c>
      <c r="B147" t="n">
        <v>2032</v>
      </c>
      <c r="C147" t="inlineStr">
        <is>
          <t>Listopad</t>
        </is>
      </c>
      <c r="D147" t="inlineStr">
        <is>
          <t>M11</t>
        </is>
      </c>
      <c r="E147" t="n">
        <v>6</v>
      </c>
      <c r="F147" s="184" t="n">
        <v>15120</v>
      </c>
      <c r="G147" s="185" t="n">
        <v>7.2</v>
      </c>
      <c r="H147" s="186">
        <f>ROUND(F147/G147, 1)</f>
        <v/>
      </c>
      <c r="I147" s="186">
        <f>ROUND(H147/E147, 1)</f>
        <v/>
      </c>
    </row>
    <row r="148">
      <c r="A148" t="inlineStr">
        <is>
          <t>2032_Grudzień</t>
        </is>
      </c>
      <c r="B148" t="n">
        <v>2032</v>
      </c>
      <c r="C148" t="inlineStr">
        <is>
          <t>Grudzień</t>
        </is>
      </c>
      <c r="D148" t="inlineStr">
        <is>
          <t>M12</t>
        </is>
      </c>
      <c r="E148" t="n">
        <v>5</v>
      </c>
      <c r="F148" s="184" t="n">
        <v>17360</v>
      </c>
      <c r="G148" s="185" t="n">
        <v>7.2</v>
      </c>
      <c r="H148" s="186">
        <f>ROUND(F148/G148, 1)</f>
        <v/>
      </c>
      <c r="I148" s="186">
        <f>ROUND(H148/E148, 1)</f>
        <v/>
      </c>
    </row>
    <row r="149">
      <c r="A149" t="inlineStr">
        <is>
          <t>2033_Styczeń</t>
        </is>
      </c>
      <c r="B149" t="n">
        <v>2033</v>
      </c>
      <c r="C149" t="inlineStr">
        <is>
          <t>Styczeń</t>
        </is>
      </c>
      <c r="D149" t="inlineStr">
        <is>
          <t>M01</t>
        </is>
      </c>
      <c r="E149" t="n">
        <v>5</v>
      </c>
      <c r="F149" s="184" t="n">
        <v>13680</v>
      </c>
      <c r="G149" s="185" t="n">
        <v>7.2</v>
      </c>
      <c r="H149" s="186">
        <f>ROUND(F149/G149, 1)</f>
        <v/>
      </c>
      <c r="I149" s="186">
        <f>ROUND(H149/E149, 1)</f>
        <v/>
      </c>
    </row>
    <row r="150">
      <c r="A150" t="inlineStr">
        <is>
          <t>2033_Luty</t>
        </is>
      </c>
      <c r="B150" t="n">
        <v>2033</v>
      </c>
      <c r="C150" t="inlineStr">
        <is>
          <t>Luty</t>
        </is>
      </c>
      <c r="D150" t="inlineStr">
        <is>
          <t>M02</t>
        </is>
      </c>
      <c r="E150" t="n">
        <v>4</v>
      </c>
      <c r="F150" s="184" t="n">
        <v>13110</v>
      </c>
      <c r="G150" s="185" t="n">
        <v>7.2</v>
      </c>
      <c r="H150" s="186">
        <f>ROUND(F150/G150, 1)</f>
        <v/>
      </c>
      <c r="I150" s="186">
        <f>ROUND(H150/E150, 1)</f>
        <v/>
      </c>
    </row>
    <row r="151">
      <c r="A151" t="inlineStr">
        <is>
          <t>2033_Marzec</t>
        </is>
      </c>
      <c r="B151" t="n">
        <v>2033</v>
      </c>
      <c r="C151" t="inlineStr">
        <is>
          <t>Marzec</t>
        </is>
      </c>
      <c r="D151" t="inlineStr">
        <is>
          <t>M03</t>
        </is>
      </c>
      <c r="E151" t="n">
        <v>5</v>
      </c>
      <c r="F151" s="184" t="n">
        <v>14820</v>
      </c>
      <c r="G151" s="185" t="n">
        <v>7.2</v>
      </c>
      <c r="H151" s="186">
        <f>ROUND(F151/G151, 1)</f>
        <v/>
      </c>
      <c r="I151" s="186">
        <f>ROUND(H151/E151, 1)</f>
        <v/>
      </c>
    </row>
    <row r="152">
      <c r="A152" t="inlineStr">
        <is>
          <t>2033_Kwiecień</t>
        </is>
      </c>
      <c r="B152" t="n">
        <v>2033</v>
      </c>
      <c r="C152" t="inlineStr">
        <is>
          <t>Kwiecień</t>
        </is>
      </c>
      <c r="D152" t="inlineStr">
        <is>
          <t>M04</t>
        </is>
      </c>
      <c r="E152" t="n">
        <v>5</v>
      </c>
      <c r="F152" s="184" t="n">
        <v>14592</v>
      </c>
      <c r="G152" s="185" t="n">
        <v>7.2</v>
      </c>
      <c r="H152" s="186">
        <f>ROUND(F152/G152, 1)</f>
        <v/>
      </c>
      <c r="I152" s="186">
        <f>ROUND(H152/E152, 1)</f>
        <v/>
      </c>
    </row>
    <row r="153">
      <c r="A153" t="inlineStr">
        <is>
          <t>2033_Maj</t>
        </is>
      </c>
      <c r="B153" t="n">
        <v>2033</v>
      </c>
      <c r="C153" t="inlineStr">
        <is>
          <t>Maj</t>
        </is>
      </c>
      <c r="D153" t="inlineStr">
        <is>
          <t>M05</t>
        </is>
      </c>
      <c r="E153" t="n">
        <v>6</v>
      </c>
      <c r="F153" s="184" t="n">
        <v>15390</v>
      </c>
      <c r="G153" s="185" t="n">
        <v>7.2</v>
      </c>
      <c r="H153" s="186">
        <f>ROUND(F153/G153, 1)</f>
        <v/>
      </c>
      <c r="I153" s="186">
        <f>ROUND(H153/E153, 1)</f>
        <v/>
      </c>
    </row>
    <row r="154">
      <c r="A154" t="inlineStr">
        <is>
          <t>2033_Czerwiec</t>
        </is>
      </c>
      <c r="B154" t="n">
        <v>2033</v>
      </c>
      <c r="C154" t="inlineStr">
        <is>
          <t>Czerwiec</t>
        </is>
      </c>
      <c r="D154" t="inlineStr">
        <is>
          <t>M06</t>
        </is>
      </c>
      <c r="E154" t="n">
        <v>5</v>
      </c>
      <c r="F154" s="184" t="n">
        <v>15960</v>
      </c>
      <c r="G154" s="185" t="n">
        <v>7.2</v>
      </c>
      <c r="H154" s="186">
        <f>ROUND(F154/G154, 1)</f>
        <v/>
      </c>
      <c r="I154" s="186">
        <f>ROUND(H154/E154, 1)</f>
        <v/>
      </c>
    </row>
    <row r="155">
      <c r="A155" t="inlineStr">
        <is>
          <t>2033_Lipiec</t>
        </is>
      </c>
      <c r="B155" t="n">
        <v>2033</v>
      </c>
      <c r="C155" t="inlineStr">
        <is>
          <t>Lipiec</t>
        </is>
      </c>
      <c r="D155" t="inlineStr">
        <is>
          <t>M07</t>
        </is>
      </c>
      <c r="E155" t="n">
        <v>5</v>
      </c>
      <c r="F155" s="184" t="n">
        <v>16188</v>
      </c>
      <c r="G155" s="185" t="n">
        <v>7.2</v>
      </c>
      <c r="H155" s="186">
        <f>ROUND(F155/G155, 1)</f>
        <v/>
      </c>
      <c r="I155" s="186">
        <f>ROUND(H155/E155, 1)</f>
        <v/>
      </c>
    </row>
    <row r="156">
      <c r="A156" t="inlineStr">
        <is>
          <t>2033_Sierpień</t>
        </is>
      </c>
      <c r="B156" t="n">
        <v>2033</v>
      </c>
      <c r="C156" t="inlineStr">
        <is>
          <t>Sierpień</t>
        </is>
      </c>
      <c r="D156" t="inlineStr">
        <is>
          <t>M08</t>
        </is>
      </c>
      <c r="E156" t="n">
        <v>6</v>
      </c>
      <c r="F156" s="184" t="n">
        <v>15732</v>
      </c>
      <c r="G156" s="185" t="n">
        <v>7.2</v>
      </c>
      <c r="H156" s="186">
        <f>ROUND(F156/G156, 1)</f>
        <v/>
      </c>
      <c r="I156" s="186">
        <f>ROUND(H156/E156, 1)</f>
        <v/>
      </c>
    </row>
    <row r="157">
      <c r="A157" t="inlineStr">
        <is>
          <t>2033_Wrzesień</t>
        </is>
      </c>
      <c r="B157" t="n">
        <v>2033</v>
      </c>
      <c r="C157" t="inlineStr">
        <is>
          <t>Wrzesień</t>
        </is>
      </c>
      <c r="D157" t="inlineStr">
        <is>
          <t>M09</t>
        </is>
      </c>
      <c r="E157" t="n">
        <v>5</v>
      </c>
      <c r="F157" s="184" t="n">
        <v>15048</v>
      </c>
      <c r="G157" s="185" t="n">
        <v>7.2</v>
      </c>
      <c r="H157" s="186">
        <f>ROUND(F157/G157, 1)</f>
        <v/>
      </c>
      <c r="I157" s="186">
        <f>ROUND(H157/E157, 1)</f>
        <v/>
      </c>
    </row>
    <row r="158">
      <c r="A158" t="inlineStr">
        <is>
          <t>2033_Październik</t>
        </is>
      </c>
      <c r="B158" t="n">
        <v>2033</v>
      </c>
      <c r="C158" t="inlineStr">
        <is>
          <t>Październik</t>
        </is>
      </c>
      <c r="D158" t="inlineStr">
        <is>
          <t>M10</t>
        </is>
      </c>
      <c r="E158" t="n">
        <v>5</v>
      </c>
      <c r="F158" s="184" t="n">
        <v>14820</v>
      </c>
      <c r="G158" s="185" t="n">
        <v>7.2</v>
      </c>
      <c r="H158" s="186">
        <f>ROUND(F158/G158, 1)</f>
        <v/>
      </c>
      <c r="I158" s="186">
        <f>ROUND(H158/E158, 1)</f>
        <v/>
      </c>
    </row>
    <row r="159">
      <c r="A159" t="inlineStr">
        <is>
          <t>2033_Listopad</t>
        </is>
      </c>
      <c r="B159" t="n">
        <v>2033</v>
      </c>
      <c r="C159" t="inlineStr">
        <is>
          <t>Listopad</t>
        </is>
      </c>
      <c r="D159" t="inlineStr">
        <is>
          <t>M11</t>
        </is>
      </c>
      <c r="E159" t="n">
        <v>5</v>
      </c>
      <c r="F159" s="184" t="n">
        <v>15390</v>
      </c>
      <c r="G159" s="185" t="n">
        <v>7.2</v>
      </c>
      <c r="H159" s="186">
        <f>ROUND(F159/G159, 1)</f>
        <v/>
      </c>
      <c r="I159" s="186">
        <f>ROUND(H159/E159, 1)</f>
        <v/>
      </c>
    </row>
    <row r="160">
      <c r="A160" t="inlineStr">
        <is>
          <t>2033_Grudzień</t>
        </is>
      </c>
      <c r="B160" t="n">
        <v>2033</v>
      </c>
      <c r="C160" t="inlineStr">
        <is>
          <t>Grudzień</t>
        </is>
      </c>
      <c r="D160" t="inlineStr">
        <is>
          <t>M12</t>
        </is>
      </c>
      <c r="E160" t="n">
        <v>5</v>
      </c>
      <c r="F160" s="184" t="n">
        <v>17670</v>
      </c>
      <c r="G160" s="185" t="n">
        <v>7.2</v>
      </c>
      <c r="H160" s="186">
        <f>ROUND(F160/G160, 1)</f>
        <v/>
      </c>
      <c r="I160" s="186">
        <f>ROUND(H160/E160, 1)</f>
        <v/>
      </c>
    </row>
    <row r="161">
      <c r="A161" t="inlineStr">
        <is>
          <t>2034_Styczeń</t>
        </is>
      </c>
      <c r="B161" t="n">
        <v>2034</v>
      </c>
      <c r="C161" t="inlineStr">
        <is>
          <t>Styczeń</t>
        </is>
      </c>
      <c r="D161" t="inlineStr">
        <is>
          <t>M01</t>
        </is>
      </c>
      <c r="E161" t="n">
        <v>6</v>
      </c>
      <c r="F161" s="184" t="n">
        <v>13920</v>
      </c>
      <c r="G161" s="185" t="n">
        <v>7.2</v>
      </c>
      <c r="H161" s="186">
        <f>ROUND(F161/G161, 1)</f>
        <v/>
      </c>
      <c r="I161" s="186">
        <f>ROUND(H161/E161, 1)</f>
        <v/>
      </c>
    </row>
    <row r="162">
      <c r="A162" t="inlineStr">
        <is>
          <t>2034_Luty</t>
        </is>
      </c>
      <c r="B162" t="n">
        <v>2034</v>
      </c>
      <c r="C162" t="inlineStr">
        <is>
          <t>Luty</t>
        </is>
      </c>
      <c r="D162" t="inlineStr">
        <is>
          <t>M02</t>
        </is>
      </c>
      <c r="E162" t="n">
        <v>5</v>
      </c>
      <c r="F162" s="184" t="n">
        <v>13340</v>
      </c>
      <c r="G162" s="185" t="n">
        <v>7.2</v>
      </c>
      <c r="H162" s="186">
        <f>ROUND(F162/G162, 1)</f>
        <v/>
      </c>
      <c r="I162" s="186">
        <f>ROUND(H162/E162, 1)</f>
        <v/>
      </c>
    </row>
    <row r="163">
      <c r="A163" t="inlineStr">
        <is>
          <t>2034_Marzec</t>
        </is>
      </c>
      <c r="B163" t="n">
        <v>2034</v>
      </c>
      <c r="C163" t="inlineStr">
        <is>
          <t>Marzec</t>
        </is>
      </c>
      <c r="D163" t="inlineStr">
        <is>
          <t>M03</t>
        </is>
      </c>
      <c r="E163" t="n">
        <v>5</v>
      </c>
      <c r="F163" s="184" t="n">
        <v>15080</v>
      </c>
      <c r="G163" s="185" t="n">
        <v>7.2</v>
      </c>
      <c r="H163" s="186">
        <f>ROUND(F163/G163, 1)</f>
        <v/>
      </c>
      <c r="I163" s="186">
        <f>ROUND(H163/E163, 1)</f>
        <v/>
      </c>
    </row>
    <row r="164">
      <c r="A164" t="inlineStr">
        <is>
          <t>2034_Kwiecień</t>
        </is>
      </c>
      <c r="B164" t="n">
        <v>2034</v>
      </c>
      <c r="C164" t="inlineStr">
        <is>
          <t>Kwiecień</t>
        </is>
      </c>
      <c r="D164" t="inlineStr">
        <is>
          <t>M04</t>
        </is>
      </c>
      <c r="E164" t="n">
        <v>5</v>
      </c>
      <c r="F164" s="184" t="n">
        <v>14848</v>
      </c>
      <c r="G164" s="185" t="n">
        <v>7.2</v>
      </c>
      <c r="H164" s="186">
        <f>ROUND(F164/G164, 1)</f>
        <v/>
      </c>
      <c r="I164" s="186">
        <f>ROUND(H164/E164, 1)</f>
        <v/>
      </c>
    </row>
    <row r="165">
      <c r="A165" t="inlineStr">
        <is>
          <t>2034_Maj</t>
        </is>
      </c>
      <c r="B165" t="n">
        <v>2034</v>
      </c>
      <c r="C165" t="inlineStr">
        <is>
          <t>Maj</t>
        </is>
      </c>
      <c r="D165" t="inlineStr">
        <is>
          <t>M05</t>
        </is>
      </c>
      <c r="E165" t="n">
        <v>6</v>
      </c>
      <c r="F165" s="184" t="n">
        <v>15660</v>
      </c>
      <c r="G165" s="185" t="n">
        <v>7.2</v>
      </c>
      <c r="H165" s="186">
        <f>ROUND(F165/G165, 1)</f>
        <v/>
      </c>
      <c r="I165" s="186">
        <f>ROUND(H165/E165, 1)</f>
        <v/>
      </c>
    </row>
    <row r="166">
      <c r="A166" t="inlineStr">
        <is>
          <t>2034_Czerwiec</t>
        </is>
      </c>
      <c r="B166" t="n">
        <v>2034</v>
      </c>
      <c r="C166" t="inlineStr">
        <is>
          <t>Czerwiec</t>
        </is>
      </c>
      <c r="D166" t="inlineStr">
        <is>
          <t>M06</t>
        </is>
      </c>
      <c r="E166" t="n">
        <v>5</v>
      </c>
      <c r="F166" s="184" t="n">
        <v>16240</v>
      </c>
      <c r="G166" s="185" t="n">
        <v>7.2</v>
      </c>
      <c r="H166" s="186">
        <f>ROUND(F166/G166, 1)</f>
        <v/>
      </c>
      <c r="I166" s="186">
        <f>ROUND(H166/E166, 1)</f>
        <v/>
      </c>
    </row>
    <row r="167">
      <c r="A167" t="inlineStr">
        <is>
          <t>2034_Lipiec</t>
        </is>
      </c>
      <c r="B167" t="n">
        <v>2034</v>
      </c>
      <c r="C167" t="inlineStr">
        <is>
          <t>Lipiec</t>
        </is>
      </c>
      <c r="D167" t="inlineStr">
        <is>
          <t>M07</t>
        </is>
      </c>
      <c r="E167" t="n">
        <v>5</v>
      </c>
      <c r="F167" s="184" t="n">
        <v>16472</v>
      </c>
      <c r="G167" s="185" t="n">
        <v>7.2</v>
      </c>
      <c r="H167" s="186">
        <f>ROUND(F167/G167, 1)</f>
        <v/>
      </c>
      <c r="I167" s="186">
        <f>ROUND(H167/E167, 1)</f>
        <v/>
      </c>
    </row>
    <row r="168">
      <c r="A168" t="inlineStr">
        <is>
          <t>2034_Sierpień</t>
        </is>
      </c>
      <c r="B168" t="n">
        <v>2034</v>
      </c>
      <c r="C168" t="inlineStr">
        <is>
          <t>Sierpień</t>
        </is>
      </c>
      <c r="D168" t="inlineStr">
        <is>
          <t>M08</t>
        </is>
      </c>
      <c r="E168" t="n">
        <v>5</v>
      </c>
      <c r="F168" s="184" t="n">
        <v>16008</v>
      </c>
      <c r="G168" s="185" t="n">
        <v>7.2</v>
      </c>
      <c r="H168" s="186">
        <f>ROUND(F168/G168, 1)</f>
        <v/>
      </c>
      <c r="I168" s="186">
        <f>ROUND(H168/E168, 1)</f>
        <v/>
      </c>
    </row>
    <row r="169">
      <c r="A169" t="inlineStr">
        <is>
          <t>2034_Wrzesień</t>
        </is>
      </c>
      <c r="B169" t="n">
        <v>2034</v>
      </c>
      <c r="C169" t="inlineStr">
        <is>
          <t>Wrzesień</t>
        </is>
      </c>
      <c r="D169" t="inlineStr">
        <is>
          <t>M09</t>
        </is>
      </c>
      <c r="E169" t="n">
        <v>5</v>
      </c>
      <c r="F169" s="184" t="n">
        <v>15312</v>
      </c>
      <c r="G169" s="185" t="n">
        <v>7.2</v>
      </c>
      <c r="H169" s="186">
        <f>ROUND(F169/G169, 1)</f>
        <v/>
      </c>
      <c r="I169" s="186">
        <f>ROUND(H169/E169, 1)</f>
        <v/>
      </c>
    </row>
    <row r="170">
      <c r="A170" t="inlineStr">
        <is>
          <t>2034_Październik</t>
        </is>
      </c>
      <c r="B170" t="n">
        <v>2034</v>
      </c>
      <c r="C170" t="inlineStr">
        <is>
          <t>Październik</t>
        </is>
      </c>
      <c r="D170" t="inlineStr">
        <is>
          <t>M10</t>
        </is>
      </c>
      <c r="E170" t="n">
        <v>6</v>
      </c>
      <c r="F170" s="184" t="n">
        <v>15080</v>
      </c>
      <c r="G170" s="185" t="n">
        <v>7.2</v>
      </c>
      <c r="H170" s="186">
        <f>ROUND(F170/G170, 1)</f>
        <v/>
      </c>
      <c r="I170" s="186">
        <f>ROUND(H170/E170, 1)</f>
        <v/>
      </c>
    </row>
    <row r="171">
      <c r="A171" t="inlineStr">
        <is>
          <t>2034_Listopad</t>
        </is>
      </c>
      <c r="B171" t="n">
        <v>2034</v>
      </c>
      <c r="C171" t="inlineStr">
        <is>
          <t>Listopad</t>
        </is>
      </c>
      <c r="D171" t="inlineStr">
        <is>
          <t>M11</t>
        </is>
      </c>
      <c r="E171" t="n">
        <v>5</v>
      </c>
      <c r="F171" s="184" t="n">
        <v>15660</v>
      </c>
      <c r="G171" s="185" t="n">
        <v>7.2</v>
      </c>
      <c r="H171" s="186">
        <f>ROUND(F171/G171, 1)</f>
        <v/>
      </c>
      <c r="I171" s="186">
        <f>ROUND(H171/E171, 1)</f>
        <v/>
      </c>
    </row>
    <row r="172">
      <c r="A172" t="inlineStr">
        <is>
          <t>2034_Grudzień</t>
        </is>
      </c>
      <c r="B172" t="n">
        <v>2034</v>
      </c>
      <c r="C172" t="inlineStr">
        <is>
          <t>Grudzień</t>
        </is>
      </c>
      <c r="D172" t="inlineStr">
        <is>
          <t>M12</t>
        </is>
      </c>
      <c r="E172" t="n">
        <v>5</v>
      </c>
      <c r="F172" s="184" t="n">
        <v>17980</v>
      </c>
      <c r="G172" s="185" t="n">
        <v>7.2</v>
      </c>
      <c r="H172" s="186">
        <f>ROUND(F172/G172, 1)</f>
        <v/>
      </c>
      <c r="I172" s="186">
        <f>ROUND(H172/E172, 1)</f>
        <v/>
      </c>
    </row>
    <row r="173">
      <c r="A173" t="inlineStr">
        <is>
          <t>2035_Styczeń</t>
        </is>
      </c>
      <c r="B173" t="n">
        <v>2035</v>
      </c>
      <c r="C173" t="inlineStr">
        <is>
          <t>Styczeń</t>
        </is>
      </c>
      <c r="D173" t="inlineStr">
        <is>
          <t>M01</t>
        </is>
      </c>
      <c r="E173" t="n">
        <v>6</v>
      </c>
      <c r="F173" s="184" t="n">
        <v>14160</v>
      </c>
      <c r="G173" s="185" t="n">
        <v>7.2</v>
      </c>
      <c r="H173" s="186">
        <f>ROUND(F173/G173, 1)</f>
        <v/>
      </c>
      <c r="I173" s="186">
        <f>ROUND(H173/E173, 1)</f>
        <v/>
      </c>
    </row>
    <row r="174">
      <c r="A174" t="inlineStr">
        <is>
          <t>2035_Luty</t>
        </is>
      </c>
      <c r="B174" t="n">
        <v>2035</v>
      </c>
      <c r="C174" t="inlineStr">
        <is>
          <t>Luty</t>
        </is>
      </c>
      <c r="D174" t="inlineStr">
        <is>
          <t>M02</t>
        </is>
      </c>
      <c r="E174" t="n">
        <v>5</v>
      </c>
      <c r="F174" s="184" t="n">
        <v>13570</v>
      </c>
      <c r="G174" s="185" t="n">
        <v>7.2</v>
      </c>
      <c r="H174" s="186">
        <f>ROUND(F174/G174, 1)</f>
        <v/>
      </c>
      <c r="I174" s="186">
        <f>ROUND(H174/E174, 1)</f>
        <v/>
      </c>
    </row>
    <row r="175">
      <c r="A175" t="inlineStr">
        <is>
          <t>2035_Marzec</t>
        </is>
      </c>
      <c r="B175" t="n">
        <v>2035</v>
      </c>
      <c r="C175" t="inlineStr">
        <is>
          <t>Marzec</t>
        </is>
      </c>
      <c r="D175" t="inlineStr">
        <is>
          <t>M03</t>
        </is>
      </c>
      <c r="E175" t="n">
        <v>5</v>
      </c>
      <c r="F175" s="184" t="n">
        <v>15340</v>
      </c>
      <c r="G175" s="185" t="n">
        <v>7.2</v>
      </c>
      <c r="H175" s="186">
        <f>ROUND(F175/G175, 1)</f>
        <v/>
      </c>
      <c r="I175" s="186">
        <f>ROUND(H175/E175, 1)</f>
        <v/>
      </c>
    </row>
    <row r="176">
      <c r="A176" t="inlineStr">
        <is>
          <t>2035_Kwiecień</t>
        </is>
      </c>
      <c r="B176" t="n">
        <v>2035</v>
      </c>
      <c r="C176" t="inlineStr">
        <is>
          <t>Kwiecień</t>
        </is>
      </c>
      <c r="D176" t="inlineStr">
        <is>
          <t>M04</t>
        </is>
      </c>
      <c r="E176" t="n">
        <v>5</v>
      </c>
      <c r="F176" s="184" t="n">
        <v>15104</v>
      </c>
      <c r="G176" s="185" t="n">
        <v>7.2</v>
      </c>
      <c r="H176" s="186">
        <f>ROUND(F176/G176, 1)</f>
        <v/>
      </c>
      <c r="I176" s="186">
        <f>ROUND(H176/E176, 1)</f>
        <v/>
      </c>
    </row>
    <row r="177">
      <c r="A177" t="inlineStr">
        <is>
          <t>2035_Maj</t>
        </is>
      </c>
      <c r="B177" t="n">
        <v>2035</v>
      </c>
      <c r="C177" t="inlineStr">
        <is>
          <t>Maj</t>
        </is>
      </c>
      <c r="D177" t="inlineStr">
        <is>
          <t>M05</t>
        </is>
      </c>
      <c r="E177" t="n">
        <v>5</v>
      </c>
      <c r="F177" s="184" t="n">
        <v>15930</v>
      </c>
      <c r="G177" s="185" t="n">
        <v>7.2</v>
      </c>
      <c r="H177" s="186">
        <f>ROUND(F177/G177, 1)</f>
        <v/>
      </c>
      <c r="I177" s="186">
        <f>ROUND(H177/E177, 1)</f>
        <v/>
      </c>
    </row>
    <row r="178">
      <c r="A178" t="inlineStr">
        <is>
          <t>2035_Czerwiec</t>
        </is>
      </c>
      <c r="B178" t="n">
        <v>2035</v>
      </c>
      <c r="C178" t="inlineStr">
        <is>
          <t>Czerwiec</t>
        </is>
      </c>
      <c r="D178" t="inlineStr">
        <is>
          <t>M06</t>
        </is>
      </c>
      <c r="E178" t="n">
        <v>5</v>
      </c>
      <c r="F178" s="184" t="n">
        <v>16520</v>
      </c>
      <c r="G178" s="185" t="n">
        <v>7.2</v>
      </c>
      <c r="H178" s="186">
        <f>ROUND(F178/G178, 1)</f>
        <v/>
      </c>
      <c r="I178" s="186">
        <f>ROUND(H178/E178, 1)</f>
        <v/>
      </c>
    </row>
    <row r="179">
      <c r="A179" t="inlineStr">
        <is>
          <t>2035_Lipiec</t>
        </is>
      </c>
      <c r="B179" t="n">
        <v>2035</v>
      </c>
      <c r="C179" t="inlineStr">
        <is>
          <t>Lipiec</t>
        </is>
      </c>
      <c r="D179" t="inlineStr">
        <is>
          <t>M07</t>
        </is>
      </c>
      <c r="E179" t="n">
        <v>6</v>
      </c>
      <c r="F179" s="184" t="n">
        <v>16756</v>
      </c>
      <c r="G179" s="185" t="n">
        <v>7.2</v>
      </c>
      <c r="H179" s="186">
        <f>ROUND(F179/G179, 1)</f>
        <v/>
      </c>
      <c r="I179" s="186">
        <f>ROUND(H179/E179, 1)</f>
        <v/>
      </c>
    </row>
    <row r="180">
      <c r="A180" t="inlineStr">
        <is>
          <t>2035_Sierpień</t>
        </is>
      </c>
      <c r="B180" t="n">
        <v>2035</v>
      </c>
      <c r="C180" t="inlineStr">
        <is>
          <t>Sierpień</t>
        </is>
      </c>
      <c r="D180" t="inlineStr">
        <is>
          <t>M08</t>
        </is>
      </c>
      <c r="E180" t="n">
        <v>5</v>
      </c>
      <c r="F180" s="184" t="n">
        <v>16284</v>
      </c>
      <c r="G180" s="185" t="n">
        <v>7.2</v>
      </c>
      <c r="H180" s="186">
        <f>ROUND(F180/G180, 1)</f>
        <v/>
      </c>
      <c r="I180" s="186">
        <f>ROUND(H180/E180, 1)</f>
        <v/>
      </c>
    </row>
    <row r="181">
      <c r="A181" t="inlineStr">
        <is>
          <t>2035_Wrzesień</t>
        </is>
      </c>
      <c r="B181" t="n">
        <v>2035</v>
      </c>
      <c r="C181" t="inlineStr">
        <is>
          <t>Wrzesień</t>
        </is>
      </c>
      <c r="D181" t="inlineStr">
        <is>
          <t>M09</t>
        </is>
      </c>
      <c r="E181" t="n">
        <v>5</v>
      </c>
      <c r="F181" s="184" t="n">
        <v>15576</v>
      </c>
      <c r="G181" s="185" t="n">
        <v>7.2</v>
      </c>
      <c r="H181" s="186">
        <f>ROUND(F181/G181, 1)</f>
        <v/>
      </c>
      <c r="I181" s="186">
        <f>ROUND(H181/E181, 1)</f>
        <v/>
      </c>
    </row>
    <row r="182">
      <c r="A182" t="inlineStr">
        <is>
          <t>2035_Październik</t>
        </is>
      </c>
      <c r="B182" t="n">
        <v>2035</v>
      </c>
      <c r="C182" t="inlineStr">
        <is>
          <t>Październik</t>
        </is>
      </c>
      <c r="D182" t="inlineStr">
        <is>
          <t>M10</t>
        </is>
      </c>
      <c r="E182" t="n">
        <v>6</v>
      </c>
      <c r="F182" s="184" t="n">
        <v>15340</v>
      </c>
      <c r="G182" s="185" t="n">
        <v>7.2</v>
      </c>
      <c r="H182" s="186">
        <f>ROUND(F182/G182, 1)</f>
        <v/>
      </c>
      <c r="I182" s="186">
        <f>ROUND(H182/E182, 1)</f>
        <v/>
      </c>
    </row>
    <row r="183">
      <c r="A183" t="inlineStr">
        <is>
          <t>2035_Listopad</t>
        </is>
      </c>
      <c r="B183" t="n">
        <v>2035</v>
      </c>
      <c r="C183" t="inlineStr">
        <is>
          <t>Listopad</t>
        </is>
      </c>
      <c r="D183" t="inlineStr">
        <is>
          <t>M11</t>
        </is>
      </c>
      <c r="E183" t="n">
        <v>5</v>
      </c>
      <c r="F183" s="184" t="n">
        <v>15930</v>
      </c>
      <c r="G183" s="185" t="n">
        <v>7.2</v>
      </c>
      <c r="H183" s="186">
        <f>ROUND(F183/G183, 1)</f>
        <v/>
      </c>
      <c r="I183" s="186">
        <f>ROUND(H183/E183, 1)</f>
        <v/>
      </c>
    </row>
    <row r="184">
      <c r="A184" t="inlineStr">
        <is>
          <t>2035_Grudzień</t>
        </is>
      </c>
      <c r="B184" t="n">
        <v>2035</v>
      </c>
      <c r="C184" t="inlineStr">
        <is>
          <t>Grudzień</t>
        </is>
      </c>
      <c r="D184" t="inlineStr">
        <is>
          <t>M12</t>
        </is>
      </c>
      <c r="E184" t="n">
        <v>5</v>
      </c>
      <c r="F184" s="184" t="n">
        <v>18290</v>
      </c>
      <c r="G184" s="185" t="n">
        <v>7.2</v>
      </c>
      <c r="H184" s="186">
        <f>ROUND(F184/G184, 1)</f>
        <v/>
      </c>
      <c r="I184" s="186">
        <f>ROUND(H184/E184, 1)</f>
        <v/>
      </c>
    </row>
    <row r="185">
      <c r="A185" t="inlineStr">
        <is>
          <t>2036_Styczeń</t>
        </is>
      </c>
      <c r="B185" t="n">
        <v>2036</v>
      </c>
      <c r="C185" t="inlineStr">
        <is>
          <t>Styczeń</t>
        </is>
      </c>
      <c r="D185" t="inlineStr">
        <is>
          <t>M01</t>
        </is>
      </c>
      <c r="E185" t="n">
        <v>5</v>
      </c>
      <c r="F185" s="184" t="n">
        <v>14400</v>
      </c>
      <c r="G185" s="185" t="n">
        <v>7.2</v>
      </c>
      <c r="H185" s="186">
        <f>ROUND(F185/G185, 1)</f>
        <v/>
      </c>
      <c r="I185" s="186">
        <f>ROUND(H185/E185, 1)</f>
        <v/>
      </c>
    </row>
    <row r="186">
      <c r="A186" t="inlineStr">
        <is>
          <t>2036_Luty</t>
        </is>
      </c>
      <c r="B186" t="n">
        <v>2036</v>
      </c>
      <c r="C186" t="inlineStr">
        <is>
          <t>Luty</t>
        </is>
      </c>
      <c r="D186" t="inlineStr">
        <is>
          <t>M02</t>
        </is>
      </c>
      <c r="E186" t="n">
        <v>5</v>
      </c>
      <c r="F186" s="184" t="n">
        <v>13800</v>
      </c>
      <c r="G186" s="185" t="n">
        <v>7.2</v>
      </c>
      <c r="H186" s="186">
        <f>ROUND(F186/G186, 1)</f>
        <v/>
      </c>
      <c r="I186" s="186">
        <f>ROUND(H186/E186, 1)</f>
        <v/>
      </c>
    </row>
    <row r="187">
      <c r="A187" t="inlineStr">
        <is>
          <t>2036_Marzec</t>
        </is>
      </c>
      <c r="B187" t="n">
        <v>2036</v>
      </c>
      <c r="C187" t="inlineStr">
        <is>
          <t>Marzec</t>
        </is>
      </c>
      <c r="D187" t="inlineStr">
        <is>
          <t>M03</t>
        </is>
      </c>
      <c r="E187" t="n">
        <v>5</v>
      </c>
      <c r="F187" s="184" t="n">
        <v>15600</v>
      </c>
      <c r="G187" s="185" t="n">
        <v>7.2</v>
      </c>
      <c r="H187" s="186">
        <f>ROUND(F187/G187, 1)</f>
        <v/>
      </c>
      <c r="I187" s="186">
        <f>ROUND(H187/E187, 1)</f>
        <v/>
      </c>
    </row>
    <row r="188">
      <c r="A188" t="inlineStr">
        <is>
          <t>2036_Kwiecień</t>
        </is>
      </c>
      <c r="B188" t="n">
        <v>2036</v>
      </c>
      <c r="C188" t="inlineStr">
        <is>
          <t>Kwiecień</t>
        </is>
      </c>
      <c r="D188" t="inlineStr">
        <is>
          <t>M04</t>
        </is>
      </c>
      <c r="E188" t="n">
        <v>5</v>
      </c>
      <c r="F188" s="184" t="n">
        <v>15360</v>
      </c>
      <c r="G188" s="185" t="n">
        <v>7.2</v>
      </c>
      <c r="H188" s="186">
        <f>ROUND(F188/G188, 1)</f>
        <v/>
      </c>
      <c r="I188" s="186">
        <f>ROUND(H188/E188, 1)</f>
        <v/>
      </c>
    </row>
    <row r="189">
      <c r="A189" t="inlineStr">
        <is>
          <t>2036_Maj</t>
        </is>
      </c>
      <c r="B189" t="n">
        <v>2036</v>
      </c>
      <c r="C189" t="inlineStr">
        <is>
          <t>Maj</t>
        </is>
      </c>
      <c r="D189" t="inlineStr">
        <is>
          <t>M05</t>
        </is>
      </c>
      <c r="E189" t="n">
        <v>5</v>
      </c>
      <c r="F189" s="184" t="n">
        <v>16200</v>
      </c>
      <c r="G189" s="185" t="n">
        <v>7.2</v>
      </c>
      <c r="H189" s="186">
        <f>ROUND(F189/G189, 1)</f>
        <v/>
      </c>
      <c r="I189" s="186">
        <f>ROUND(H189/E189, 1)</f>
        <v/>
      </c>
    </row>
    <row r="190">
      <c r="A190" t="inlineStr">
        <is>
          <t>2036_Czerwiec</t>
        </is>
      </c>
      <c r="B190" t="n">
        <v>2036</v>
      </c>
      <c r="C190" t="inlineStr">
        <is>
          <t>Czerwiec</t>
        </is>
      </c>
      <c r="D190" t="inlineStr">
        <is>
          <t>M06</t>
        </is>
      </c>
      <c r="E190" t="n">
        <v>5</v>
      </c>
      <c r="F190" s="184" t="n">
        <v>16800</v>
      </c>
      <c r="G190" s="185" t="n">
        <v>7.2</v>
      </c>
      <c r="H190" s="186">
        <f>ROUND(F190/G190, 1)</f>
        <v/>
      </c>
      <c r="I190" s="186">
        <f>ROUND(H190/E190, 1)</f>
        <v/>
      </c>
    </row>
    <row r="191">
      <c r="A191" t="inlineStr">
        <is>
          <t>2036_Lipiec</t>
        </is>
      </c>
      <c r="B191" t="n">
        <v>2036</v>
      </c>
      <c r="C191" t="inlineStr">
        <is>
          <t>Lipiec</t>
        </is>
      </c>
      <c r="D191" t="inlineStr">
        <is>
          <t>M07</t>
        </is>
      </c>
      <c r="E191" t="n">
        <v>5</v>
      </c>
      <c r="F191" s="184" t="n">
        <v>17040</v>
      </c>
      <c r="G191" s="185" t="n">
        <v>7.2</v>
      </c>
      <c r="H191" s="186">
        <f>ROUND(F191/G191, 1)</f>
        <v/>
      </c>
      <c r="I191" s="186">
        <f>ROUND(H191/E191, 1)</f>
        <v/>
      </c>
    </row>
    <row r="192">
      <c r="A192" t="inlineStr">
        <is>
          <t>2036_Sierpień</t>
        </is>
      </c>
      <c r="B192" t="n">
        <v>2036</v>
      </c>
      <c r="C192" t="inlineStr">
        <is>
          <t>Sierpień</t>
        </is>
      </c>
      <c r="D192" t="inlineStr">
        <is>
          <t>M08</t>
        </is>
      </c>
      <c r="E192" t="n">
        <v>5</v>
      </c>
      <c r="F192" s="184" t="n">
        <v>16560</v>
      </c>
      <c r="G192" s="185" t="n">
        <v>7.2</v>
      </c>
      <c r="H192" s="186">
        <f>ROUND(F192/G192, 1)</f>
        <v/>
      </c>
      <c r="I192" s="186">
        <f>ROUND(H192/E192, 1)</f>
        <v/>
      </c>
    </row>
    <row r="193">
      <c r="A193" t="inlineStr">
        <is>
          <t>2036_Wrzesień</t>
        </is>
      </c>
      <c r="B193" t="n">
        <v>2036</v>
      </c>
      <c r="C193" t="inlineStr">
        <is>
          <t>Wrzesień</t>
        </is>
      </c>
      <c r="D193" t="inlineStr">
        <is>
          <t>M09</t>
        </is>
      </c>
      <c r="E193" t="n">
        <v>6</v>
      </c>
      <c r="F193" s="184" t="n">
        <v>15840</v>
      </c>
      <c r="G193" s="185" t="n">
        <v>7.2</v>
      </c>
      <c r="H193" s="186">
        <f>ROUND(F193/G193, 1)</f>
        <v/>
      </c>
      <c r="I193" s="186">
        <f>ROUND(H193/E193, 1)</f>
        <v/>
      </c>
    </row>
    <row r="194">
      <c r="A194" t="inlineStr">
        <is>
          <t>2036_Październik</t>
        </is>
      </c>
      <c r="B194" t="n">
        <v>2036</v>
      </c>
      <c r="C194" t="inlineStr">
        <is>
          <t>Październik</t>
        </is>
      </c>
      <c r="D194" t="inlineStr">
        <is>
          <t>M10</t>
        </is>
      </c>
      <c r="E194" t="n">
        <v>5</v>
      </c>
      <c r="F194" s="184" t="n">
        <v>15600</v>
      </c>
      <c r="G194" s="185" t="n">
        <v>7.2</v>
      </c>
      <c r="H194" s="186">
        <f>ROUND(F194/G194, 1)</f>
        <v/>
      </c>
      <c r="I194" s="186">
        <f>ROUND(H194/E194, 1)</f>
        <v/>
      </c>
    </row>
    <row r="195">
      <c r="A195" t="inlineStr">
        <is>
          <t>2036_Listopad</t>
        </is>
      </c>
      <c r="B195" t="n">
        <v>2036</v>
      </c>
      <c r="C195" t="inlineStr">
        <is>
          <t>Listopad</t>
        </is>
      </c>
      <c r="D195" t="inlineStr">
        <is>
          <t>M11</t>
        </is>
      </c>
      <c r="E195" t="n">
        <v>5</v>
      </c>
      <c r="F195" s="184" t="n">
        <v>16200</v>
      </c>
      <c r="G195" s="185" t="n">
        <v>7.2</v>
      </c>
      <c r="H195" s="186">
        <f>ROUND(F195/G195, 1)</f>
        <v/>
      </c>
      <c r="I195" s="186">
        <f>ROUND(H195/E195, 1)</f>
        <v/>
      </c>
    </row>
    <row r="196">
      <c r="A196" t="inlineStr">
        <is>
          <t>2036_Grudzień</t>
        </is>
      </c>
      <c r="B196" t="n">
        <v>2036</v>
      </c>
      <c r="C196" t="inlineStr">
        <is>
          <t>Grudzień</t>
        </is>
      </c>
      <c r="D196" t="inlineStr">
        <is>
          <t>M12</t>
        </is>
      </c>
      <c r="E196" t="n">
        <v>6</v>
      </c>
      <c r="F196" s="184" t="n">
        <v>18600</v>
      </c>
      <c r="G196" s="185" t="n">
        <v>7.2</v>
      </c>
      <c r="H196" s="186">
        <f>ROUND(F196/G196, 1)</f>
        <v/>
      </c>
      <c r="I196" s="186">
        <f>ROUND(H196/E196, 1)</f>
        <v/>
      </c>
    </row>
  </sheetData>
  <autoFilter ref="A4:I196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R20"/>
  <sheetViews>
    <sheetView workbookViewId="0">
      <selection activeCell="A1" sqref="A1"/>
    </sheetView>
  </sheetViews>
  <sheetFormatPr baseColWidth="8" defaultRowHeight="15"/>
  <cols>
    <col width="12.43357142857143" bestFit="1" customWidth="1" style="19" min="1" max="1"/>
    <col width="12.43357142857143" bestFit="1" customWidth="1" style="18" min="2" max="2"/>
  </cols>
  <sheetData>
    <row r="1" ht="17.25" customHeight="1">
      <c r="A1" s="19" t="inlineStr">
        <is>
          <t>Miesiąc</t>
        </is>
      </c>
      <c r="B1" s="28">
        <f>'Labor Engine'!B4</f>
        <v/>
      </c>
    </row>
    <row r="2" ht="17.25" customHeight="1">
      <c r="A2" s="19" t="inlineStr">
        <is>
          <t>Cel TPLH AOP</t>
        </is>
      </c>
      <c r="B2" s="29">
        <f>'Labor Engine'!E4</f>
        <v/>
      </c>
    </row>
    <row r="3" ht="17.25" customHeight="1">
      <c r="A3" s="19" t="inlineStr">
        <is>
          <t>Budżet Godzin AOP</t>
        </is>
      </c>
      <c r="B3" s="18">
        <f>'Labor Engine'!E3</f>
        <v/>
      </c>
    </row>
    <row r="4" ht="17.25" customHeight="1">
      <c r="A4" s="19" t="inlineStr">
        <is>
          <t>Plan TRX AOP Miesiąca</t>
        </is>
      </c>
      <c r="B4" s="28">
        <f>'Labor Engine'!H3</f>
        <v/>
      </c>
    </row>
    <row r="5" ht="17.25" customHeight="1">
      <c r="A5" s="19" t="inlineStr">
        <is>
          <t>Liczba Zamkniętych Tygodni</t>
        </is>
      </c>
      <c r="B5" s="18">
        <f>COUNT('Executive Dashboard'!J12:J17)</f>
        <v/>
      </c>
    </row>
    <row r="6" ht="17.25" customHeight="1">
      <c r="A6" s="19" t="inlineStr">
        <is>
          <t>TRX MTD Plan (Zamknięte Tygodnie)</t>
        </is>
      </c>
      <c r="B6" s="18">
        <f>SUMIF('Executive Dashboard'!J12:J17, "&gt;0", 'Executive Dashboard'!F12:F17)</f>
        <v/>
      </c>
    </row>
    <row r="7">
      <c r="A7" t="inlineStr">
        <is>
          <t>TRX MTD Actual (Zamknięte Tygodnie)</t>
        </is>
      </c>
      <c r="B7">
        <f>SUMIF('Executive Dashboard'!J12:J17, "&gt;0", 'Executive Dashboard'!G12:G17)</f>
        <v/>
      </c>
    </row>
    <row r="8">
      <c r="A8" t="inlineStr">
        <is>
          <t>Wskaźnik Trendu TRX MTD</t>
        </is>
      </c>
      <c r="B8">
        <f>IF(B6=0, 1, ROUND(B7/B6, 4))</f>
        <v/>
      </c>
    </row>
    <row r="9">
      <c r="A9" t="inlineStr">
        <is>
          <t>Forecast Total TRX na Miesiąc</t>
        </is>
      </c>
      <c r="B9">
        <f>SUM(M15:M20)</f>
        <v/>
      </c>
    </row>
    <row r="10">
      <c r="A10" t="inlineStr">
        <is>
          <t>Earned Labor Budget na Miesiąc</t>
        </is>
      </c>
      <c r="B10">
        <f>ROUND(B9/B2, 1)</f>
        <v/>
      </c>
    </row>
    <row r="11">
      <c r="A11" t="inlineStr">
        <is>
          <t>Wpływ Trendu na Budżet Godzin (+/-)</t>
        </is>
      </c>
      <c r="B11">
        <f>ROUND(B10-B3, 1)</f>
        <v/>
      </c>
    </row>
    <row r="12">
      <c r="A12" t="inlineStr">
        <is>
          <t>Pozostały Budżet Wypracowany (Remaining Earned Hours)</t>
        </is>
      </c>
      <c r="B12">
        <f>B10 - SUM('Executive Dashboard'!J12:J17)</f>
        <v/>
      </c>
    </row>
    <row r="13">
      <c r="A13" t="inlineStr">
        <is>
          <t>Suma Otwartej Prognozy TRX</t>
        </is>
      </c>
      <c r="B13">
        <f>SUM(L15:L20)</f>
        <v/>
      </c>
    </row>
    <row r="14">
      <c r="A14" t="inlineStr">
        <is>
          <t>Tydzień</t>
        </is>
      </c>
      <c r="B14" t="inlineStr">
        <is>
          <t>Liczba Dni</t>
        </is>
      </c>
      <c r="C14" t="inlineStr">
        <is>
          <t>Typ Tygodnia</t>
        </is>
      </c>
      <c r="D14" t="inlineStr">
        <is>
          <t>Plan TRX AOP</t>
        </is>
      </c>
      <c r="E14" t="inlineStr">
        <is>
          <t>Actual TRX</t>
        </is>
      </c>
      <c r="F14" t="inlineStr">
        <is>
          <t>Trend TRX</t>
        </is>
      </c>
      <c r="G14" t="inlineStr">
        <is>
          <t>Plan Godziny AOP</t>
        </is>
      </c>
      <c r="H14" t="inlineStr">
        <is>
          <t>Actual Godziny</t>
        </is>
      </c>
      <c r="I14" t="inlineStr">
        <is>
          <t>Cel TPLH AOP</t>
        </is>
      </c>
      <c r="J14" t="inlineStr">
        <is>
          <t>Actual TPLH</t>
        </is>
      </c>
      <c r="K14" t="inlineStr">
        <is>
          <t>Odchylenie Godzin</t>
        </is>
      </c>
      <c r="L14" t="inlineStr">
        <is>
          <t>Otwarty Forecast TRX</t>
        </is>
      </c>
      <c r="M14" t="inlineStr">
        <is>
          <t>Prognoza TRX Total</t>
        </is>
      </c>
      <c r="N14" t="inlineStr">
        <is>
          <t>Waga Otwarta TRX</t>
        </is>
      </c>
      <c r="O14" t="inlineStr">
        <is>
          <t>HANW Predykcyjny</t>
        </is>
      </c>
      <c r="P14" t="inlineStr">
        <is>
          <t>Floor Hours</t>
        </is>
      </c>
      <c r="Q14" t="inlineStr">
        <is>
          <t>HANW Rekomendowany</t>
        </is>
      </c>
      <c r="R14" t="inlineStr">
        <is>
          <t>Status Floor</t>
        </is>
      </c>
    </row>
    <row r="15">
      <c r="A15" t="inlineStr">
        <is>
          <t>W1</t>
        </is>
      </c>
      <c r="B15">
        <f>'Labor Engine'!C10</f>
        <v/>
      </c>
      <c r="C15">
        <f>'Labor Engine'!D10</f>
        <v/>
      </c>
      <c r="D15">
        <f>'Labor Engine'!E10</f>
        <v/>
      </c>
      <c r="E15">
        <f>IF('Executive Dashboard'!G12="", "", 'Executive Dashboard'!G12)</f>
        <v/>
      </c>
      <c r="F15">
        <f>IF(B15=0, "-", IF(ISNUMBER(E15), ROUND((E15-D15)/D15, 4), ""))</f>
        <v/>
      </c>
      <c r="G15">
        <f>'Labor Engine'!F10</f>
        <v/>
      </c>
      <c r="H15">
        <f>IF('Executive Dashboard'!J12="", "", 'Executive Dashboard'!J12)</f>
        <v/>
      </c>
      <c r="I15">
        <f>'Labor Engine'!G10</f>
        <v/>
      </c>
      <c r="J15">
        <f>IF(B15=0, "-", IF(AND(ISNUMBER(H15), H15&gt;0, ISNUMBER(E15)), ROUND(E15/H15, 2), ""))</f>
        <v/>
      </c>
      <c r="K15">
        <f>IF(B15=0, "-", IF(AND(ISNUMBER(H15), H15&gt;0), ROUND(H15-G15, 1), ""))</f>
        <v/>
      </c>
      <c r="L15">
        <f>IF(B15=0, 0, IF(ISNUMBER(H15), 0, ROUND(D15*$B$8, 0)))</f>
        <v/>
      </c>
      <c r="M15">
        <f>IF(B15=0, 0, IF(ISNUMBER(E15), E15, ROUND(D15*$B$8, 0)))</f>
        <v/>
      </c>
      <c r="N15">
        <f>IF(B15=0, 0, IF(ISNUMBER(H15), 0, L15/MAX(1, $B$13)))</f>
        <v/>
      </c>
      <c r="O15">
        <f>IF(B15=0, 0, IF(ISNUMBER(H15), H15, ROUND($B$12 * N15, 1)))</f>
        <v/>
      </c>
      <c r="P15">
        <f>'Labor Engine'!M10</f>
        <v/>
      </c>
      <c r="Q15">
        <f>IF(B15=0, 0, IF(ISNUMBER(H15), H15, MAX(P15, O15)))</f>
        <v/>
      </c>
      <c r="R15">
        <f>IF(B15=0, "-", IF(ISNUMBER(H15), "Zrealizowany", IF(O15&lt;P15, "ALERT: Floor Breach!", "OK: Bezpiecznie")))</f>
        <v/>
      </c>
    </row>
    <row r="16">
      <c r="A16" t="inlineStr">
        <is>
          <t>W2</t>
        </is>
      </c>
      <c r="B16">
        <f>'Labor Engine'!C11</f>
        <v/>
      </c>
      <c r="C16">
        <f>'Labor Engine'!D11</f>
        <v/>
      </c>
      <c r="D16">
        <f>'Labor Engine'!E11</f>
        <v/>
      </c>
      <c r="E16">
        <f>IF('Executive Dashboard'!G13="", "", 'Executive Dashboard'!G13)</f>
        <v/>
      </c>
      <c r="F16">
        <f>IF(B16=0, "-", IF(ISNUMBER(E16), ROUND((E16-D16)/D16, 4), ""))</f>
        <v/>
      </c>
      <c r="G16">
        <f>'Labor Engine'!F11</f>
        <v/>
      </c>
      <c r="H16">
        <f>IF('Executive Dashboard'!J13="", "", 'Executive Dashboard'!J13)</f>
        <v/>
      </c>
      <c r="I16">
        <f>'Labor Engine'!G11</f>
        <v/>
      </c>
      <c r="J16">
        <f>IF(B16=0, "-", IF(AND(ISNUMBER(H16), H16&gt;0, ISNUMBER(E16)), ROUND(E16/H16, 2), ""))</f>
        <v/>
      </c>
      <c r="K16">
        <f>IF(B16=0, "-", IF(AND(ISNUMBER(H16), H16&gt;0), ROUND(H16-G16, 1), ""))</f>
        <v/>
      </c>
      <c r="L16">
        <f>IF(B16=0, 0, IF(ISNUMBER(H16), 0, ROUND(D16*$B$8, 0)))</f>
        <v/>
      </c>
      <c r="M16">
        <f>IF(B16=0, 0, IF(ISNUMBER(E16), E16, ROUND(D16*$B$8, 0)))</f>
        <v/>
      </c>
      <c r="N16">
        <f>IF(B16=0, 0, IF(ISNUMBER(H16), 0, L16/MAX(1, $B$13)))</f>
        <v/>
      </c>
      <c r="O16">
        <f>IF(B16=0, 0, IF(ISNUMBER(H16), H16, ROUND($B$12 * N16, 1)))</f>
        <v/>
      </c>
      <c r="P16">
        <f>'Labor Engine'!M11</f>
        <v/>
      </c>
      <c r="Q16">
        <f>IF(B16=0, 0, IF(ISNUMBER(H16), H16, MAX(P16, O16)))</f>
        <v/>
      </c>
      <c r="R16">
        <f>IF(B16=0, "-", IF(ISNUMBER(H16), "Zrealizowany", IF(O16&lt;P16, "ALERT: Floor Breach!", "OK: Bezpiecznie")))</f>
        <v/>
      </c>
    </row>
    <row r="17">
      <c r="A17" t="inlineStr">
        <is>
          <t>W3</t>
        </is>
      </c>
      <c r="B17">
        <f>'Labor Engine'!C12</f>
        <v/>
      </c>
      <c r="C17">
        <f>'Labor Engine'!D12</f>
        <v/>
      </c>
      <c r="D17">
        <f>'Labor Engine'!E12</f>
        <v/>
      </c>
      <c r="E17">
        <f>IF('Executive Dashboard'!G14="", "", 'Executive Dashboard'!G14)</f>
        <v/>
      </c>
      <c r="F17">
        <f>IF(B17=0, "-", IF(ISNUMBER(E17), ROUND((E17-D17)/D17, 4), ""))</f>
        <v/>
      </c>
      <c r="G17">
        <f>'Labor Engine'!F12</f>
        <v/>
      </c>
      <c r="H17">
        <f>IF('Executive Dashboard'!J14="", "", 'Executive Dashboard'!J14)</f>
        <v/>
      </c>
      <c r="I17">
        <f>'Labor Engine'!G12</f>
        <v/>
      </c>
      <c r="J17">
        <f>IF(B17=0, "-", IF(AND(ISNUMBER(H17), H17&gt;0, ISNUMBER(E17)), ROUND(E17/H17, 2), ""))</f>
        <v/>
      </c>
      <c r="K17">
        <f>IF(B17=0, "-", IF(AND(ISNUMBER(H17), H17&gt;0), ROUND(H17-G17, 1), ""))</f>
        <v/>
      </c>
      <c r="L17">
        <f>IF(B17=0, 0, IF(ISNUMBER(H17), 0, ROUND(D17*$B$8, 0)))</f>
        <v/>
      </c>
      <c r="M17">
        <f>IF(B17=0, 0, IF(ISNUMBER(E17), E17, ROUND(D17*$B$8, 0)))</f>
        <v/>
      </c>
      <c r="N17">
        <f>IF(B17=0, 0, IF(ISNUMBER(H17), 0, L17/MAX(1, $B$13)))</f>
        <v/>
      </c>
      <c r="O17">
        <f>IF(B17=0, 0, IF(ISNUMBER(H17), H17, ROUND($B$12 * N17, 1)))</f>
        <v/>
      </c>
      <c r="P17">
        <f>'Labor Engine'!M12</f>
        <v/>
      </c>
      <c r="Q17">
        <f>IF(B17=0, 0, IF(ISNUMBER(H17), H17, MAX(P17, O17)))</f>
        <v/>
      </c>
      <c r="R17">
        <f>IF(B17=0, "-", IF(ISNUMBER(H17), "Zrealizowany", IF(O17&lt;P17, "ALERT: Floor Breach!", "OK: Bezpiecznie")))</f>
        <v/>
      </c>
    </row>
    <row r="18">
      <c r="A18" t="inlineStr">
        <is>
          <t>W4</t>
        </is>
      </c>
      <c r="B18">
        <f>'Labor Engine'!C13</f>
        <v/>
      </c>
      <c r="C18">
        <f>'Labor Engine'!D13</f>
        <v/>
      </c>
      <c r="D18">
        <f>'Labor Engine'!E13</f>
        <v/>
      </c>
      <c r="E18">
        <f>IF('Executive Dashboard'!G15="", "", 'Executive Dashboard'!G15)</f>
        <v/>
      </c>
      <c r="F18">
        <f>IF(B18=0, "-", IF(ISNUMBER(E18), ROUND((E18-D18)/D18, 4), ""))</f>
        <v/>
      </c>
      <c r="G18">
        <f>'Labor Engine'!F13</f>
        <v/>
      </c>
      <c r="H18">
        <f>IF('Executive Dashboard'!J15="", "", 'Executive Dashboard'!J15)</f>
        <v/>
      </c>
      <c r="I18">
        <f>'Labor Engine'!G13</f>
        <v/>
      </c>
      <c r="J18">
        <f>IF(B18=0, "-", IF(AND(ISNUMBER(H18), H18&gt;0, ISNUMBER(E18)), ROUND(E18/H18, 2), ""))</f>
        <v/>
      </c>
      <c r="K18">
        <f>IF(B18=0, "-", IF(AND(ISNUMBER(H18), H18&gt;0), ROUND(H18-G18, 1), ""))</f>
        <v/>
      </c>
      <c r="L18">
        <f>IF(B18=0, 0, IF(ISNUMBER(H18), 0, ROUND(D18*$B$8, 0)))</f>
        <v/>
      </c>
      <c r="M18">
        <f>IF(B18=0, 0, IF(ISNUMBER(E18), E18, ROUND(D18*$B$8, 0)))</f>
        <v/>
      </c>
      <c r="N18">
        <f>IF(B18=0, 0, IF(ISNUMBER(H18), 0, L18/MAX(1, $B$13)))</f>
        <v/>
      </c>
      <c r="O18">
        <f>IF(B18=0, 0, IF(ISNUMBER(H18), H18, ROUND($B$12 * N18, 1)))</f>
        <v/>
      </c>
      <c r="P18">
        <f>'Labor Engine'!M13</f>
        <v/>
      </c>
      <c r="Q18">
        <f>IF(B18=0, 0, IF(ISNUMBER(H18), H18, MAX(P18, O18)))</f>
        <v/>
      </c>
      <c r="R18">
        <f>IF(B18=0, "-", IF(ISNUMBER(H18), "Zrealizowany", IF(O18&lt;P18, "ALERT: Floor Breach!", "OK: Bezpiecznie")))</f>
        <v/>
      </c>
    </row>
    <row r="19">
      <c r="A19" t="inlineStr">
        <is>
          <t>W5</t>
        </is>
      </c>
      <c r="B19">
        <f>'Labor Engine'!C14</f>
        <v/>
      </c>
      <c r="C19">
        <f>'Labor Engine'!D14</f>
        <v/>
      </c>
      <c r="D19">
        <f>'Labor Engine'!E14</f>
        <v/>
      </c>
      <c r="E19">
        <f>IF('Executive Dashboard'!G16="", "", 'Executive Dashboard'!G16)</f>
        <v/>
      </c>
      <c r="F19">
        <f>IF(B19=0, "-", IF(ISNUMBER(E19), ROUND((E19-D19)/D19, 4), ""))</f>
        <v/>
      </c>
      <c r="G19">
        <f>'Labor Engine'!F14</f>
        <v/>
      </c>
      <c r="H19">
        <f>IF('Executive Dashboard'!J16="", "", 'Executive Dashboard'!J16)</f>
        <v/>
      </c>
      <c r="I19">
        <f>'Labor Engine'!G14</f>
        <v/>
      </c>
      <c r="J19">
        <f>IF(B19=0, "-", IF(AND(ISNUMBER(H19), H19&gt;0, ISNUMBER(E19)), ROUND(E19/H19, 2), ""))</f>
        <v/>
      </c>
      <c r="K19">
        <f>IF(B19=0, "-", IF(AND(ISNUMBER(H19), H19&gt;0), ROUND(H19-G19, 1), ""))</f>
        <v/>
      </c>
      <c r="L19">
        <f>IF(B19=0, 0, IF(ISNUMBER(H19), 0, ROUND(D19*$B$8, 0)))</f>
        <v/>
      </c>
      <c r="M19">
        <f>IF(B19=0, 0, IF(ISNUMBER(E19), E19, ROUND(D19*$B$8, 0)))</f>
        <v/>
      </c>
      <c r="N19">
        <f>IF(B19=0, 0, IF(ISNUMBER(H19), 0, L19/MAX(1, $B$13)))</f>
        <v/>
      </c>
      <c r="O19">
        <f>IF(B19=0, 0, IF(ISNUMBER(H19), H19, ROUND($B$12 * N19, 1)))</f>
        <v/>
      </c>
      <c r="P19">
        <f>'Labor Engine'!M14</f>
        <v/>
      </c>
      <c r="Q19">
        <f>IF(B19=0, 0, IF(ISNUMBER(H19), H19, MAX(P19, O19)))</f>
        <v/>
      </c>
      <c r="R19">
        <f>IF(B19=0, "-", IF(ISNUMBER(H19), "Zrealizowany", IF(O19&lt;P19, "ALERT: Floor Breach!", "OK: Bezpiecznie")))</f>
        <v/>
      </c>
    </row>
    <row r="20">
      <c r="A20" t="inlineStr">
        <is>
          <t>W6</t>
        </is>
      </c>
      <c r="B20">
        <f>'Labor Engine'!C15</f>
        <v/>
      </c>
      <c r="C20">
        <f>'Labor Engine'!D15</f>
        <v/>
      </c>
      <c r="D20">
        <f>'Labor Engine'!E15</f>
        <v/>
      </c>
      <c r="E20">
        <f>IF('Executive Dashboard'!G17="", "", 'Executive Dashboard'!G17)</f>
        <v/>
      </c>
      <c r="F20">
        <f>IF(B20=0, "-", IF(ISNUMBER(E20), ROUND((E20-D20)/D20, 4), ""))</f>
        <v/>
      </c>
      <c r="G20">
        <f>'Labor Engine'!F15</f>
        <v/>
      </c>
      <c r="H20">
        <f>IF('Executive Dashboard'!J17="", "", 'Executive Dashboard'!J17)</f>
        <v/>
      </c>
      <c r="I20">
        <f>'Labor Engine'!G15</f>
        <v/>
      </c>
      <c r="J20">
        <f>IF(B20=0, "-", IF(AND(ISNUMBER(H20), H20&gt;0, ISNUMBER(E20)), ROUND(E20/H20, 2), ""))</f>
        <v/>
      </c>
      <c r="K20">
        <f>IF(B20=0, "-", IF(AND(ISNUMBER(H20), H20&gt;0), ROUND(H20-G20, 1), ""))</f>
        <v/>
      </c>
      <c r="L20">
        <f>IF(B20=0, 0, IF(ISNUMBER(H20), 0, ROUND(D20*$B$8, 0)))</f>
        <v/>
      </c>
      <c r="M20">
        <f>IF(B20=0, 0, IF(ISNUMBER(E20), E20, ROUND(D20*$B$8, 0)))</f>
        <v/>
      </c>
      <c r="N20">
        <f>IF(B20=0, 0, IF(ISNUMBER(H20), 0, L20/MAX(1, $B$13)))</f>
        <v/>
      </c>
      <c r="O20">
        <f>IF(B20=0, 0, IF(ISNUMBER(H20), H20, ROUND($B$12 * N20, 1)))</f>
        <v/>
      </c>
      <c r="P20">
        <f>'Labor Engine'!M15</f>
        <v/>
      </c>
      <c r="Q20">
        <f>IF(B20=0, 0, IF(ISNUMBER(H20), H20, MAX(P20, O20)))</f>
        <v/>
      </c>
      <c r="R20">
        <f>IF(B20=0, "-", IF(ISNUMBER(H20), "Zrealizowany", IF(O20&lt;P20, "ALERT: Floor Breach!", "OK: Bezpiecznie")))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O16"/>
  <sheetViews>
    <sheetView workbookViewId="0">
      <selection activeCell="A1" sqref="A1"/>
    </sheetView>
  </sheetViews>
  <sheetFormatPr baseColWidth="8" defaultRowHeight="15"/>
  <cols>
    <col width="82.005" bestFit="1" customWidth="1" style="19" min="1" max="1"/>
    <col width="223.005" bestFit="1" customWidth="1" style="19" min="2" max="2"/>
    <col width="69.005" bestFit="1" customWidth="1" style="19" min="3" max="3"/>
    <col width="86.005" bestFit="1" customWidth="1" style="19" min="4" max="4"/>
    <col width="51.005" bestFit="1" customWidth="1" style="19" min="5" max="5"/>
    <col width="21.005" bestFit="1" customWidth="1" style="19" min="6" max="6"/>
    <col width="59.005" bestFit="1" customWidth="1" style="19" min="7" max="7"/>
    <col width="84.005" bestFit="1" customWidth="1" style="19" min="8" max="8"/>
    <col width="254.005" bestFit="1" customWidth="1" style="19" min="9" max="9"/>
    <col width="60.005" bestFit="1" customWidth="1" style="19" min="10" max="10"/>
    <col width="69.005" bestFit="1" customWidth="1" style="19" min="11" max="11"/>
    <col width="109.005" bestFit="1" customWidth="1" style="19" min="12" max="12"/>
  </cols>
  <sheetData>
    <row r="1" ht="17.25" customHeight="1">
      <c r="A1" s="104" t="inlineStr">
        <is>
          <t>Labor Engine — Silnik Balansowania Tygodniowego AOP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</row>
    <row r="2" ht="17.25" customHeight="1">
      <c r="A2" s="19" t="inlineStr">
        <is>
          <t>Aktywny Rok</t>
        </is>
      </c>
      <c r="B2" s="19">
        <f>'Executive Dashboard'!C5</f>
        <v/>
      </c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</row>
    <row r="3" ht="17.25" customHeight="1">
      <c r="A3" s="22" t="inlineStr">
        <is>
          <t>Aktywny Miesiąc</t>
        </is>
      </c>
      <c r="B3" s="20">
        <f>'Executive Dashboard'!C6</f>
        <v/>
      </c>
      <c r="C3" s="19" t="n"/>
      <c r="D3" s="22" t="inlineStr">
        <is>
          <t>Budżet Godzin AOP</t>
        </is>
      </c>
      <c r="E3" s="21">
        <f>VLOOKUP($B$4, 'AOP Plan Master'!$A:$H, 8, FALSE)</f>
        <v/>
      </c>
      <c r="F3" s="19" t="n"/>
      <c r="G3" s="22" t="inlineStr">
        <is>
          <t>Plan TRX AOP</t>
        </is>
      </c>
      <c r="H3" s="21">
        <f>VLOOKUP($B$4, 'AOP Plan Master'!$A:$F, 6, FALSE)</f>
        <v/>
      </c>
      <c r="I3" s="19" t="n"/>
      <c r="J3" s="19" t="n"/>
      <c r="K3" s="19" t="n"/>
      <c r="L3" s="19" t="n"/>
    </row>
    <row r="4" ht="17.25" customHeight="1">
      <c r="A4" s="22" t="inlineStr">
        <is>
          <t>Aktywny Klucz Miesiąca (Y_M)</t>
        </is>
      </c>
      <c r="B4" s="22">
        <f>$B$2 &amp; "_" &amp; $B$3</f>
        <v/>
      </c>
      <c r="C4" s="19" t="n"/>
      <c r="D4" s="22" t="inlineStr">
        <is>
          <t>Cel TPLH AOP</t>
        </is>
      </c>
      <c r="E4" s="22">
        <f>VLOOKUP($B$4, 'AOP Plan Master'!$A:$G, 7, FALSE)</f>
        <v/>
      </c>
      <c r="F4" s="19" t="n"/>
      <c r="G4" s="22" t="n"/>
      <c r="H4" s="19" t="n"/>
      <c r="I4" s="19" t="n"/>
      <c r="J4" s="19" t="n"/>
      <c r="K4" s="19" t="n"/>
      <c r="L4" s="19" t="n"/>
    </row>
    <row r="5" ht="17.25" customHeight="1">
      <c r="A5" s="19" t="inlineStr">
        <is>
          <t>Liczba Tygodni w Miesiącu</t>
        </is>
      </c>
      <c r="B5" s="19">
        <f>VLOOKUP($B$4, 'AOP Plan Master'!$A:$E, 5, FALSE)</f>
        <v/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</row>
    <row r="6" ht="17.25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 ht="17.25" customHeight="1">
      <c r="A7" s="5" t="n"/>
      <c r="B7" s="5" t="n"/>
      <c r="C7" s="5" t="n"/>
      <c r="D7" s="23" t="n"/>
      <c r="E7" s="5" t="n"/>
      <c r="F7" s="23" t="n"/>
      <c r="G7" s="5" t="n"/>
      <c r="H7" s="5" t="n"/>
      <c r="I7" s="6" t="n"/>
      <c r="J7" s="5" t="n"/>
      <c r="K7" s="6" t="n"/>
      <c r="L7" s="5" t="n"/>
    </row>
    <row r="8" ht="17.25" customHeight="1">
      <c r="A8" s="5" t="n"/>
      <c r="B8" s="5" t="n"/>
      <c r="C8" s="5" t="n"/>
      <c r="D8" s="5" t="n"/>
      <c r="E8" s="5" t="n"/>
      <c r="F8" s="5" t="n"/>
      <c r="G8" s="5" t="n"/>
      <c r="H8" s="5" t="n"/>
      <c r="I8" s="6" t="n"/>
      <c r="J8" s="5" t="n"/>
      <c r="K8" s="6" t="n"/>
      <c r="L8" s="5" t="n"/>
    </row>
    <row r="9" ht="17.25" customHeight="1">
      <c r="A9" s="105" t="inlineStr">
        <is>
          <t>Tydzień</t>
        </is>
      </c>
      <c r="B9" s="105" t="inlineStr">
        <is>
          <t>Zakres Dat</t>
        </is>
      </c>
      <c r="C9" s="105" t="inlineStr">
        <is>
          <t>Liczba Dni</t>
        </is>
      </c>
      <c r="D9" s="105" t="inlineStr">
        <is>
          <t>Typ Tygodnia</t>
        </is>
      </c>
      <c r="E9" s="105" t="inlineStr">
        <is>
          <t>Plan TRX Tygodnia</t>
        </is>
      </c>
      <c r="F9" s="105" t="inlineStr">
        <is>
          <t>Plan AOP Godziny</t>
        </is>
      </c>
      <c r="G9" s="105" t="inlineStr">
        <is>
          <t>Cel TPLH AOP</t>
        </is>
      </c>
      <c r="H9" s="105" t="inlineStr">
        <is>
          <t>Waga Dniowa</t>
        </is>
      </c>
      <c r="I9" s="105" t="inlineStr">
        <is>
          <t>Actual Godziny</t>
        </is>
      </c>
      <c r="J9" s="105" t="inlineStr">
        <is>
          <t>Actual TPLH</t>
        </is>
      </c>
      <c r="K9" s="105" t="inlineStr">
        <is>
          <t>Odchylenie (+/-)</t>
        </is>
      </c>
      <c r="L9" s="105" t="inlineStr">
        <is>
          <t>HANW Skorygowany</t>
        </is>
      </c>
      <c r="M9" s="106" t="inlineStr">
        <is>
          <t>Floor Hours</t>
        </is>
      </c>
      <c r="N9" s="106" t="inlineStr">
        <is>
          <t>Weryfikacja Floor</t>
        </is>
      </c>
      <c r="O9" t="inlineStr">
        <is>
          <t>Waga Otwarta</t>
        </is>
      </c>
    </row>
    <row r="10" ht="17.25" customHeight="1">
      <c r="A10" s="105" t="inlineStr">
        <is>
          <t>W1</t>
        </is>
      </c>
      <c r="B10" s="5">
        <f>IF(VLOOKUP(CONCATENATE($B$4, "_W1"), 'Weeks Engine'!$A:$E, 5, FALSE)=0, "-", VLOOKUP(CONCATENATE($B$4, "_W1"), 'Weeks Engine'!$A:$G, 7, FALSE) &amp; " - " &amp; VLOOKUP(CONCATENATE($B$4, "_W1"), 'Weeks Engine'!$A:$H, 8, FALSE))</f>
        <v/>
      </c>
      <c r="C10" s="5">
        <f>VLOOKUP(CONCATENATE($B$4, "_W1"), 'Weeks Engine'!$A:$E, 5, FALSE)</f>
        <v/>
      </c>
      <c r="D10" s="5">
        <f>VLOOKUP(CONCATENATE($B$4, "_W1"), 'Weeks Engine'!$A:$F, 6, FALSE)</f>
        <v/>
      </c>
      <c r="E10" s="5">
        <f>ROUND($H$3 * H10, 0)</f>
        <v/>
      </c>
      <c r="F10" s="5">
        <f>ROUND($E$3 * H10, 1)</f>
        <v/>
      </c>
      <c r="G10" s="5">
        <f>IF(C10=0, "-", $E$4)</f>
        <v/>
      </c>
      <c r="H10" s="5">
        <f>VLOOKUP(CONCATENATE($B$4, "_W1"), 'Weeks Engine'!$A:$J, 10, FALSE)</f>
        <v/>
      </c>
      <c r="I10" s="105">
        <f>IF('Executive Dashboard'!J12="", "", 'Executive Dashboard'!J12)</f>
        <v/>
      </c>
      <c r="J10" s="5">
        <f>IF(C10=0, "-", IF(AND(ISNUMBER(I10), I10&gt;0), ROUND(E10/I10, 2), ""))</f>
        <v/>
      </c>
      <c r="K10" s="6">
        <f>IF(C10=0, "-", IF(AND(ISNUMBER(I10), I10&gt;0), ROUND(I10-F10, 1), ""))</f>
        <v/>
      </c>
      <c r="L10" s="5">
        <f>IF(C10=0, 0, IF(ISNUMBER(I10), I10, ROUND(($E$3 - SUM($I$10:$I$15)) * (H10 / MAX(0.0001, $O$16)), 1)))</f>
        <v/>
      </c>
      <c r="M10">
        <f>VLOOKUP(CONCATENATE($B$4, "_W1"), 'Weeks Engine'!$A:$I, 9, FALSE)</f>
        <v/>
      </c>
      <c r="N10">
        <f>IF(C10=0, "-", IF(ISNUMBER(I10), "Zrealizowany", IF(L10&lt;M10, "ALERT: Poniżej Floor!", "OK: Bezpiecznie")))</f>
        <v/>
      </c>
      <c r="O10">
        <f>IF(C10=0, 0, IF(ISNUMBER(I10), 0, H10))</f>
        <v/>
      </c>
    </row>
    <row r="11" ht="17.25" customHeight="1">
      <c r="A11" s="105" t="inlineStr">
        <is>
          <t>W2</t>
        </is>
      </c>
      <c r="B11" s="5">
        <f>IF(VLOOKUP(CONCATENATE($B$4, "_W2"), 'Weeks Engine'!$A:$E, 5, FALSE)=0, "-", VLOOKUP(CONCATENATE($B$4, "_W2"), 'Weeks Engine'!$A:$G, 7, FALSE) &amp; " - " &amp; VLOOKUP(CONCATENATE($B$4, "_W2"), 'Weeks Engine'!$A:$H, 8, FALSE))</f>
        <v/>
      </c>
      <c r="C11" s="5">
        <f>VLOOKUP(CONCATENATE($B$4, "_W2"), 'Weeks Engine'!$A:$E, 5, FALSE)</f>
        <v/>
      </c>
      <c r="D11" s="5">
        <f>VLOOKUP(CONCATENATE($B$4, "_W2"), 'Weeks Engine'!$A:$F, 6, FALSE)</f>
        <v/>
      </c>
      <c r="E11" s="5">
        <f>ROUND($H$3 * H11, 0)</f>
        <v/>
      </c>
      <c r="F11" s="5">
        <f>ROUND($E$3 * H11, 1)</f>
        <v/>
      </c>
      <c r="G11" s="24">
        <f>IF(C11=0, "-", $E$4)</f>
        <v/>
      </c>
      <c r="H11" s="5">
        <f>VLOOKUP(CONCATENATE($B$4, "_W2"), 'Weeks Engine'!$A:$J, 10, FALSE)</f>
        <v/>
      </c>
      <c r="I11" s="105">
        <f>IF('Executive Dashboard'!J13="", "", 'Executive Dashboard'!J13)</f>
        <v/>
      </c>
      <c r="J11" s="5">
        <f>IF(C11=0, "-", IF(AND(ISNUMBER(I11), I11&gt;0), ROUND(E11/I11, 2), ""))</f>
        <v/>
      </c>
      <c r="K11" s="6">
        <f>IF(C11=0, "-", IF(AND(ISNUMBER(I11), I11&gt;0), ROUND(I11-F11, 1), ""))</f>
        <v/>
      </c>
      <c r="L11" s="5">
        <f>IF(C11=0, 0, IF(ISNUMBER(I11), I11, ROUND(($E$3 - SUM($I$10:$I$15)) * (H11 / MAX(0.0001, $O$16)), 1)))</f>
        <v/>
      </c>
      <c r="M11">
        <f>VLOOKUP(CONCATENATE($B$4, "_W2"), 'Weeks Engine'!$A:$I, 9, FALSE)</f>
        <v/>
      </c>
      <c r="N11">
        <f>IF(C11=0, "-", IF(ISNUMBER(I11), "Zrealizowany", IF(L11&lt;M11, "ALERT: Poniżej Floor!", "OK: Bezpiecznie")))</f>
        <v/>
      </c>
      <c r="O11">
        <f>IF(C11=0, 0, IF(ISNUMBER(I11), 0, H11))</f>
        <v/>
      </c>
    </row>
    <row r="12" ht="17.25" customHeight="1">
      <c r="A12" s="105" t="inlineStr">
        <is>
          <t>W3</t>
        </is>
      </c>
      <c r="B12" s="5">
        <f>IF(VLOOKUP(CONCATENATE($B$4, "_W3"), 'Weeks Engine'!$A:$E, 5, FALSE)=0, "-", VLOOKUP(CONCATENATE($B$4, "_W3"), 'Weeks Engine'!$A:$G, 7, FALSE) &amp; " - " &amp; VLOOKUP(CONCATENATE($B$4, "_W3"), 'Weeks Engine'!$A:$H, 8, FALSE))</f>
        <v/>
      </c>
      <c r="C12" s="5">
        <f>VLOOKUP(CONCATENATE($B$4, "_W3"), 'Weeks Engine'!$A:$E, 5, FALSE)</f>
        <v/>
      </c>
      <c r="D12" s="5">
        <f>VLOOKUP(CONCATENATE($B$4, "_W3"), 'Weeks Engine'!$A:$F, 6, FALSE)</f>
        <v/>
      </c>
      <c r="E12" s="5">
        <f>ROUND($H$3 * H12, 0)</f>
        <v/>
      </c>
      <c r="F12" s="5">
        <f>ROUND($E$3 * H12, 1)</f>
        <v/>
      </c>
      <c r="G12" s="24">
        <f>IF(C12=0, "-", $E$4)</f>
        <v/>
      </c>
      <c r="H12" s="5">
        <f>VLOOKUP(CONCATENATE($B$4, "_W3"), 'Weeks Engine'!$A:$J, 10, FALSE)</f>
        <v/>
      </c>
      <c r="I12" s="105">
        <f>IF('Executive Dashboard'!J14="", "", 'Executive Dashboard'!J14)</f>
        <v/>
      </c>
      <c r="J12" s="5">
        <f>IF(C12=0, "-", IF(AND(ISNUMBER(I12), I12&gt;0), ROUND(E12/I12, 2), ""))</f>
        <v/>
      </c>
      <c r="K12" s="6">
        <f>IF(C12=0, "-", IF(AND(ISNUMBER(I12), I12&gt;0), ROUND(I12-F12, 1), ""))</f>
        <v/>
      </c>
      <c r="L12" s="5">
        <f>IF(C12=0, 0, IF(ISNUMBER(I12), I12, ROUND(($E$3 - SUM($I$10:$I$15)) * (H12 / MAX(0.0001, $O$16)), 1)))</f>
        <v/>
      </c>
      <c r="M12">
        <f>VLOOKUP(CONCATENATE($B$4, "_W3"), 'Weeks Engine'!$A:$I, 9, FALSE)</f>
        <v/>
      </c>
      <c r="N12">
        <f>IF(C12=0, "-", IF(ISNUMBER(I12), "Zrealizowany", IF(L12&lt;M12, "ALERT: Poniżej Floor!", "OK: Bezpiecznie")))</f>
        <v/>
      </c>
      <c r="O12">
        <f>IF(C12=0, 0, IF(ISNUMBER(I12), 0, H12))</f>
        <v/>
      </c>
    </row>
    <row r="13" ht="17.25" customHeight="1">
      <c r="A13" s="107" t="inlineStr">
        <is>
          <t>W4</t>
        </is>
      </c>
      <c r="B13" s="14">
        <f>IF(VLOOKUP(CONCATENATE($B$4, "_W4"), 'Weeks Engine'!$A:$E, 5, FALSE)=0, "-", VLOOKUP(CONCATENATE($B$4, "_W4"), 'Weeks Engine'!$A:$G, 7, FALSE) &amp; " - " &amp; VLOOKUP(CONCATENATE($B$4, "_W4"), 'Weeks Engine'!$A:$H, 8, FALSE))</f>
        <v/>
      </c>
      <c r="C13" s="14">
        <f>VLOOKUP(CONCATENATE($B$4, "_W4"), 'Weeks Engine'!$A:$E, 5, FALSE)</f>
        <v/>
      </c>
      <c r="D13" s="26">
        <f>VLOOKUP(CONCATENATE($B$4, "_W4"), 'Weeks Engine'!$A:$F, 6, FALSE)</f>
        <v/>
      </c>
      <c r="E13" s="14">
        <f>ROUND($H$3 * H13, 0)</f>
        <v/>
      </c>
      <c r="F13" s="26">
        <f>ROUND($E$3 * H13, 1)</f>
        <v/>
      </c>
      <c r="G13" s="26">
        <f>IF(C13=0, "-", $E$4)</f>
        <v/>
      </c>
      <c r="H13" s="14">
        <f>VLOOKUP(CONCATENATE($B$4, "_W4"), 'Weeks Engine'!$A:$J, 10, FALSE)</f>
        <v/>
      </c>
      <c r="I13" s="108">
        <f>IF('Executive Dashboard'!J15="", "", 'Executive Dashboard'!J15)</f>
        <v/>
      </c>
      <c r="J13" s="14">
        <f>IF(C13=0, "-", IF(AND(ISNUMBER(I13), I13&gt;0), ROUND(E13/I13, 2), ""))</f>
        <v/>
      </c>
      <c r="K13" s="26">
        <f>IF(C13=0, "-", IF(AND(ISNUMBER(I13), I13&gt;0), ROUND(I13-F13, 1), ""))</f>
        <v/>
      </c>
      <c r="L13" s="14">
        <f>IF(C13=0, 0, IF(ISNUMBER(I13), I13, ROUND(($E$3 - SUM($I$10:$I$15)) * (H13 / MAX(0.0001, $O$16)), 1)))</f>
        <v/>
      </c>
      <c r="M13">
        <f>VLOOKUP(CONCATENATE($B$4, "_W4"), 'Weeks Engine'!$A:$I, 9, FALSE)</f>
        <v/>
      </c>
      <c r="N13">
        <f>IF(C13=0, "-", IF(ISNUMBER(I13), "Zrealizowany", IF(L13&lt;M13, "ALERT: Poniżej Floor!", "OK: Bezpiecznie")))</f>
        <v/>
      </c>
      <c r="O13">
        <f>IF(C13=0, 0, IF(ISNUMBER(I13), 0, H13))</f>
        <v/>
      </c>
    </row>
    <row r="14">
      <c r="A14" s="106" t="inlineStr">
        <is>
          <t>W5</t>
        </is>
      </c>
      <c r="B14">
        <f>IF(VLOOKUP(CONCATENATE($B$4, "_W5"), 'Weeks Engine'!$A:$E, 5, FALSE)=0, "-", VLOOKUP(CONCATENATE($B$4, "_W5"), 'Weeks Engine'!$A:$G, 7, FALSE) &amp; " - " &amp; VLOOKUP(CONCATENATE($B$4, "_W5"), 'Weeks Engine'!$A:$H, 8, FALSE))</f>
        <v/>
      </c>
      <c r="C14">
        <f>VLOOKUP(CONCATENATE($B$4, "_W5"), 'Weeks Engine'!$A:$E, 5, FALSE)</f>
        <v/>
      </c>
      <c r="D14">
        <f>VLOOKUP(CONCATENATE($B$4, "_W5"), 'Weeks Engine'!$A:$F, 6, FALSE)</f>
        <v/>
      </c>
      <c r="E14">
        <f>ROUND($H$3 * H14, 0)</f>
        <v/>
      </c>
      <c r="F14">
        <f>ROUND($E$3 * H14, 1)</f>
        <v/>
      </c>
      <c r="G14">
        <f>IF(C14=0, "-", $E$4)</f>
        <v/>
      </c>
      <c r="H14">
        <f>VLOOKUP(CONCATENATE($B$4, "_W5"), 'Weeks Engine'!$A:$J, 10, FALSE)</f>
        <v/>
      </c>
      <c r="I14" s="106">
        <f>IF('Executive Dashboard'!J16="", "", 'Executive Dashboard'!J16)</f>
        <v/>
      </c>
      <c r="J14">
        <f>IF(C14=0, "-", IF(AND(ISNUMBER(I14), I14&gt;0), ROUND(E14/I14, 2), ""))</f>
        <v/>
      </c>
      <c r="K14">
        <f>IF(C14=0, "-", IF(AND(ISNUMBER(I14), I14&gt;0), ROUND(I14-F14, 1), ""))</f>
        <v/>
      </c>
      <c r="L14">
        <f>IF(C14=0, 0, IF(ISNUMBER(I14), I14, ROUND(($E$3 - SUM($I$10:$I$15)) * (H14 / MAX(0.0001, $O$16)), 1)))</f>
        <v/>
      </c>
      <c r="M14">
        <f>VLOOKUP(CONCATENATE($B$4, "_W5"), 'Weeks Engine'!$A:$I, 9, FALSE)</f>
        <v/>
      </c>
      <c r="N14">
        <f>IF(C14=0, "-", IF(ISNUMBER(I14), "Zrealizowany", IF(L14&lt;M14, "ALERT: Poniżej Floor!", "OK: Bezpiecznie")))</f>
        <v/>
      </c>
      <c r="O14">
        <f>IF(C14=0, 0, IF(ISNUMBER(I14), 0, H14))</f>
        <v/>
      </c>
    </row>
    <row r="15">
      <c r="A15" s="106" t="inlineStr">
        <is>
          <t>W6</t>
        </is>
      </c>
      <c r="B15">
        <f>IF(VLOOKUP(CONCATENATE($B$4, "_W6"), 'Weeks Engine'!$A:$E, 5, FALSE)=0, "-", VLOOKUP(CONCATENATE($B$4, "_W6"), 'Weeks Engine'!$A:$G, 7, FALSE) &amp; " - " &amp; VLOOKUP(CONCATENATE($B$4, "_W6"), 'Weeks Engine'!$A:$H, 8, FALSE))</f>
        <v/>
      </c>
      <c r="C15">
        <f>VLOOKUP(CONCATENATE($B$4, "_W6"), 'Weeks Engine'!$A:$E, 5, FALSE)</f>
        <v/>
      </c>
      <c r="D15">
        <f>VLOOKUP(CONCATENATE($B$4, "_W6"), 'Weeks Engine'!$A:$F, 6, FALSE)</f>
        <v/>
      </c>
      <c r="E15">
        <f>ROUND($H$3 * H15, 0)</f>
        <v/>
      </c>
      <c r="F15">
        <f>ROUND($E$3 * H15, 1)</f>
        <v/>
      </c>
      <c r="G15">
        <f>IF(C15=0, "-", $E$4)</f>
        <v/>
      </c>
      <c r="H15">
        <f>VLOOKUP(CONCATENATE($B$4, "_W6"), 'Weeks Engine'!$A:$J, 10, FALSE)</f>
        <v/>
      </c>
      <c r="I15" s="106">
        <f>IF('Executive Dashboard'!J17="", "", 'Executive Dashboard'!J17)</f>
        <v/>
      </c>
      <c r="J15">
        <f>IF(C15=0, "-", IF(AND(ISNUMBER(I15), I15&gt;0), ROUND(E15/I15, 2), ""))</f>
        <v/>
      </c>
      <c r="K15">
        <f>IF(C15=0, "-", IF(AND(ISNUMBER(I15), I15&gt;0), ROUND(I15-F15, 1), ""))</f>
        <v/>
      </c>
      <c r="L15">
        <f>IF(C15=0, 0, IF(ISNUMBER(I15), I15, ROUND(($E$3 - SUM($I$10:$I$15)) * (H15 / MAX(0.0001, $O$16)), 1)))</f>
        <v/>
      </c>
      <c r="M15">
        <f>VLOOKUP(CONCATENATE($B$4, "_W6"), 'Weeks Engine'!$A:$I, 9, FALSE)</f>
        <v/>
      </c>
      <c r="N15">
        <f>IF(C15=0, "-", IF(ISNUMBER(I15), "Zrealizowany", IF(L15&lt;M15, "ALERT: Poniżej Floor!", "OK: Bezpiecznie")))</f>
        <v/>
      </c>
      <c r="O15">
        <f>IF(C15=0, 0, IF(ISNUMBER(I15), 0, H15))</f>
        <v/>
      </c>
    </row>
    <row r="16">
      <c r="A16" t="inlineStr">
        <is>
          <t>SUMA MIESIĄCA</t>
        </is>
      </c>
      <c r="C16">
        <f>SUM(C10:C15)</f>
        <v/>
      </c>
      <c r="E16">
        <f>SUM(E10:E15)</f>
        <v/>
      </c>
      <c r="F16">
        <f>SUM(F10:F15)</f>
        <v/>
      </c>
      <c r="G16">
        <f>ROUND(E16/F16, 2)</f>
        <v/>
      </c>
      <c r="I16">
        <f>SUM(I10:I15)</f>
        <v/>
      </c>
      <c r="J16">
        <f>IF(I16=0, "", ROUND(SUMIF(I10:I15, "&gt;0", E10:E15)/I16, 2))</f>
        <v/>
      </c>
      <c r="K16">
        <f>SUM(K10:K15)</f>
        <v/>
      </c>
      <c r="L16">
        <f>SUM(L10:L15)</f>
        <v/>
      </c>
      <c r="M16">
        <f>SUM(M10:M15)</f>
        <v/>
      </c>
      <c r="O16">
        <f>SUM(O10:O15)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6"/>
  <sheetViews>
    <sheetView workbookViewId="0">
      <selection activeCell="A1" sqref="A1"/>
    </sheetView>
  </sheetViews>
  <sheetFormatPr baseColWidth="8" defaultRowHeight="15"/>
  <cols>
    <col width="47.005" bestFit="1" customWidth="1" style="19" min="1" max="1"/>
    <col width="86.005" bestFit="1" customWidth="1" style="19" min="2" max="2"/>
  </cols>
  <sheetData>
    <row r="1" ht="17.25" customHeight="1">
      <c r="A1" s="19" t="inlineStr">
        <is>
          <t>Remaining Budget Hours</t>
        </is>
      </c>
      <c r="B1" s="19">
        <f>'Labor Engine'!$E$3 - SUM('Executive Dashboard'!$J$12:$J$17)</f>
        <v/>
      </c>
    </row>
    <row r="2" ht="17.25" customHeight="1">
      <c r="A2" s="19" t="inlineStr">
        <is>
          <t>Buffer Hours MTD</t>
        </is>
      </c>
      <c r="B2" s="19">
        <f>'Forecast Engine'!$B$12</f>
        <v/>
      </c>
    </row>
    <row r="3" ht="17.25" customHeight="1">
      <c r="A3" s="19" t="inlineStr">
        <is>
          <t>HANW (Godziny na Najbliższy Otwarty Tydzień)</t>
        </is>
      </c>
      <c r="B3" s="19">
        <f>IF(COUNT('Executive Dashboard'!$J$12:$J$17) &gt;= 'Labor Engine'!$B$5, "Miesiąc zamknięty", INDEX('Forecast Engine'!$Q$15:$Q$20, COUNT('Executive Dashboard'!$J$12:$J$17) + 1))</f>
        <v/>
      </c>
    </row>
    <row r="4" ht="17.25" customHeight="1">
      <c r="A4" s="19" t="inlineStr">
        <is>
          <t>Wymagana Redukcja na Najbliższy Tydzień</t>
        </is>
      </c>
      <c r="B4" s="19">
        <f>IF(COUNT('Executive Dashboard'!$J$12:$J$17) &gt;= 'Labor Engine'!$B$5, "-", ROUND(INDEX('Forecast Engine'!$Q$15:$Q$20, COUNT('Executive Dashboard'!$J$12:$J$17) + 1) - INDEX('Labor Engine'!$F$10:$F$15, COUNT('Executive Dashboard'!$J$12:$J$17) + 1), 1))</f>
        <v/>
      </c>
    </row>
    <row r="5" ht="17.25" customHeight="1">
      <c r="A5" s="19" t="inlineStr">
        <is>
          <t>Floor Hours Najbliższego Tygodnia</t>
        </is>
      </c>
      <c r="B5" s="19">
        <f>IF(COUNT('Executive Dashboard'!$J$12:$J$17) &gt;= 'Labor Engine'!$B$5, "-", INDEX('Forecast Engine'!$P$15:$P$20, COUNT('Executive Dashboard'!$J$12:$J$17) + 1))</f>
        <v/>
      </c>
    </row>
    <row r="6" ht="17.25" customHeight="1">
      <c r="A6" s="19" t="inlineStr">
        <is>
          <t>Margines Bezpieczeństwa nad Floor</t>
        </is>
      </c>
      <c r="B6" s="19">
        <f>IF(OR(B3="Miesiąc zamknięty", B5="-"), "-", ROUND(B3 - B5, 1))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B2"/>
  <sheetViews>
    <sheetView workbookViewId="0">
      <selection activeCell="A1" sqref="A1"/>
    </sheetView>
  </sheetViews>
  <sheetFormatPr baseColWidth="8" defaultRowHeight="15"/>
  <cols>
    <col width="34.005" bestFit="1" customWidth="1" style="19" min="1" max="1"/>
    <col width="392.005" bestFit="1" customWidth="1" style="19" min="2" max="2"/>
  </cols>
  <sheetData>
    <row r="1" ht="17.25" customHeight="1">
      <c r="A1" s="19" t="inlineStr">
        <is>
          <t>Status Operacyjny</t>
        </is>
      </c>
      <c r="B1" s="19">
        <f>IF('Buffer Engine'!B3="Miesiąc zamknięty", "ZAKOŃCZONY", IF('Buffer Engine'!B3 &lt; 'Buffer Engine'!B5, "CRITICAL: Poniżej Floor Hours!", IF('Forecast Engine'!$B$8 &lt; 0.98, "UWAGA: Spadek sprzedaży", IF('Forecast Engine'!$B$8 &gt; 1.02, "BOOM: Wypracowano dodatkowe godziny", "ON TRACK"))))</f>
        <v/>
      </c>
    </row>
    <row r="2" ht="17.25" customHeight="1">
      <c r="A2" s="19" t="inlineStr">
        <is>
          <t>Rekomendacja dla Store Managera</t>
        </is>
      </c>
      <c r="B2" s="19">
        <f>IF('Buffer Engine'!B3="Miesiąc zamknięty", "Wszystkie tygodnie miesiąca zostały zrealizowane zgodnie z AOP.", IF('Forecast Engine'!$B$8 &lt; 0.98, "UWAGA: Trend transakcji wynosi " &amp; ROUND(('Forecast Engine'!$B$8-1)*100, 1) &amp; "%. Skoryguj grafik na kolejny tydzień do " &amp; 'Buffer Engine'!B3 &amp; " h (redukcja o " &amp; -'Buffer Engine'!B4 &amp; " h względem planu AOP). Floor Hours zachowane.", IF('Forecast Engine'!$B$8 &gt; 1.02, "POZYTYWNY TREND: Transakcje rosną o +" &amp; ROUND(('Forecast Engine'!$B$8-1)*100, 1) &amp; "% (wypracowano +" &amp; 'Forecast Engine'!$B$11 &amp; " h). Możesz zaplanować w grafiku " &amp; 'Buffer Engine'!B3 &amp; " h (+ " &amp; 'Buffer Engine'!B4 &amp; " h względem bazowego AOP).", "Transakcje stabilne (trend " &amp; ROUND('Forecast Engine'!$B$8*100, 1) &amp; "%). Zaplanuj w kolejnym grafiku dokładnie " &amp; 'Buffer Engine'!B3 &amp; " h.")))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F11"/>
  <sheetViews>
    <sheetView workbookViewId="0">
      <selection activeCell="A1" sqref="A1"/>
    </sheetView>
  </sheetViews>
  <sheetFormatPr baseColWidth="8" defaultRowHeight="15"/>
  <cols>
    <col width="163.005" bestFit="1" customWidth="1" style="19" min="1" max="1"/>
    <col width="16.005" bestFit="1" customWidth="1" style="18" min="2" max="2"/>
    <col width="20.005" bestFit="1" customWidth="1" style="18" min="3" max="3"/>
    <col width="20.005" bestFit="1" customWidth="1" style="18" min="4" max="4"/>
    <col width="19.005" bestFit="1" customWidth="1" style="19" min="5" max="5"/>
    <col width="21.005" bestFit="1" customWidth="1" style="19" min="6" max="6"/>
  </cols>
  <sheetData>
    <row r="1" ht="17.25" customHeight="1">
      <c r="A1" s="1" t="inlineStr">
        <is>
          <t>Floor Hours Engine — Minimalna Obsada Operacyjna Kawiarni (Starbucks)</t>
        </is>
      </c>
      <c r="B1" s="18" t="n"/>
      <c r="C1" s="18" t="n"/>
      <c r="D1" s="197" t="inlineStr">
        <is>
          <t>⬅️ POWRÓT DO EXECUTIVE DASHBOARD (UKRYJ ARKUSZ)</t>
        </is>
      </c>
      <c r="E1" s="196" t="n"/>
      <c r="F1" s="196" t="n"/>
    </row>
    <row r="2" ht="17.25" customHeight="1">
      <c r="A2" s="19" t="n"/>
      <c r="B2" s="18" t="n"/>
      <c r="C2" s="18" t="n"/>
      <c r="D2" s="18" t="n"/>
      <c r="E2" s="19" t="n"/>
      <c r="F2" s="19" t="n"/>
    </row>
    <row r="3" ht="17.25" customHeight="1">
      <c r="A3" s="3" t="inlineStr">
        <is>
          <t>Dni tygodnia</t>
        </is>
      </c>
      <c r="B3" s="9" t="inlineStr">
        <is>
          <t>Dni w tyg.</t>
        </is>
      </c>
      <c r="C3" s="9" t="inlineStr">
        <is>
          <t>Liczba zmian/osób</t>
        </is>
      </c>
      <c r="D3" s="9" t="inlineStr">
        <is>
          <t>Godziny na zmianę</t>
        </is>
      </c>
      <c r="E3" s="3" t="inlineStr">
        <is>
          <t>Godziny dziennie</t>
        </is>
      </c>
      <c r="F3" s="3" t="inlineStr">
        <is>
          <t>Godziny tygodniowo</t>
        </is>
      </c>
    </row>
    <row r="4" ht="17.25" customHeight="1">
      <c r="A4" s="5" t="inlineStr">
        <is>
          <t>Poniedziałek - Czwartek</t>
        </is>
      </c>
      <c r="B4" s="10" t="n">
        <v>4</v>
      </c>
      <c r="C4" s="11" t="n">
        <v>5</v>
      </c>
      <c r="D4" s="11" t="n">
        <v>8</v>
      </c>
      <c r="E4" s="5">
        <f>C4*D4</f>
        <v/>
      </c>
      <c r="F4" s="5">
        <f>B4*E4</f>
        <v/>
      </c>
    </row>
    <row r="5" ht="17.25" customHeight="1">
      <c r="A5" s="5" t="inlineStr">
        <is>
          <t>Piątek - Sobota</t>
        </is>
      </c>
      <c r="B5" s="10" t="n">
        <v>2</v>
      </c>
      <c r="C5" s="11" t="n">
        <v>5</v>
      </c>
      <c r="D5" s="11" t="n">
        <v>8</v>
      </c>
      <c r="E5" s="5">
        <f>C5*D5</f>
        <v/>
      </c>
      <c r="F5" s="5">
        <f>B5*E5</f>
        <v/>
      </c>
    </row>
    <row r="6" ht="17.25" customHeight="1">
      <c r="A6" s="5" t="inlineStr">
        <is>
          <t>Niedziela</t>
        </is>
      </c>
      <c r="B6" s="10" t="n">
        <v>1</v>
      </c>
      <c r="C6" s="11" t="n">
        <v>4</v>
      </c>
      <c r="D6" s="11" t="n">
        <v>8</v>
      </c>
      <c r="E6" s="5">
        <f>C6*D6</f>
        <v/>
      </c>
      <c r="F6" s="5">
        <f>B6*E6</f>
        <v/>
      </c>
    </row>
    <row r="7" ht="17.25" customHeight="1">
      <c r="A7" s="12" t="inlineStr">
        <is>
          <t>MINIMALNE GODZINY TYGODNIOWE (FLOOR)</t>
        </is>
      </c>
      <c r="B7" s="13" t="n"/>
      <c r="C7" s="13" t="n"/>
      <c r="D7" s="13" t="n"/>
      <c r="E7" s="14" t="n"/>
      <c r="F7" s="15">
        <f>SUM(F4:F6)</f>
        <v/>
      </c>
    </row>
    <row r="8" ht="17.25" customHeight="1">
      <c r="A8" s="19" t="n"/>
      <c r="B8" s="18" t="n"/>
      <c r="C8" s="18" t="n"/>
      <c r="D8" s="18" t="n"/>
      <c r="E8" s="19" t="n"/>
      <c r="F8" s="19" t="n"/>
    </row>
    <row r="9" ht="17.25" customHeight="1">
      <c r="A9" s="22" t="inlineStr">
        <is>
          <t>Instrukcja / Wskazówki operacyjne:</t>
        </is>
      </c>
      <c r="B9" s="18" t="n"/>
      <c r="C9" s="18" t="n"/>
      <c r="D9" s="18" t="n"/>
      <c r="E9" s="19" t="n"/>
      <c r="F9" s="19" t="n"/>
    </row>
    <row r="10" ht="17.25" customHeight="1">
      <c r="A10" s="17" t="inlineStr">
        <is>
          <t>1. Zielone komórki (Liczba zmian/osób oraz Godziny na zmianę) są w pełni edytowalne przez Store Managera.</t>
        </is>
      </c>
      <c r="B10" s="18" t="n"/>
      <c r="C10" s="18" t="n"/>
      <c r="D10" s="18" t="n"/>
      <c r="E10" s="19" t="n"/>
      <c r="F10" s="19" t="n"/>
    </row>
    <row r="11" ht="17.25" customHeight="1">
      <c r="A11" s="17" t="inlineStr">
        <is>
          <t>2. Minimalne godziny tygodniowe (Floor Hours, komórka F7) chronią kawiarnię przed zaplanowaniem obsady zagrażającej otwarciu, zamknięciu lub standardom obsługi.</t>
        </is>
      </c>
      <c r="B11" s="18" t="n"/>
      <c r="C11" s="18" t="n"/>
      <c r="D11" s="18" t="n"/>
      <c r="E11" s="19" t="n"/>
      <c r="F11" s="1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J1155"/>
  <sheetViews>
    <sheetView workbookViewId="0">
      <selection activeCell="A1" sqref="A1"/>
    </sheetView>
  </sheetViews>
  <sheetFormatPr baseColWidth="8" defaultRowHeight="15"/>
  <cols>
    <col width="61.005" bestFit="1" customWidth="1" style="19" min="1" max="1"/>
    <col width="16.005" bestFit="1" customWidth="1" style="19" min="2" max="2"/>
    <col width="16.005" bestFit="1" customWidth="1" style="19" min="3" max="3"/>
    <col width="72.005" bestFit="1" customWidth="1" style="19" min="4" max="4"/>
    <col width="90.005" bestFit="1" customWidth="1" style="19" min="5" max="5"/>
    <col width="126.005" bestFit="1" customWidth="1" style="19" min="6" max="6"/>
    <col width="126.005" bestFit="1" customWidth="1" style="19" min="7" max="7"/>
    <col width="109.005" bestFit="1" customWidth="1" style="19" min="8" max="8"/>
    <col width="61.005" bestFit="1" customWidth="1" style="19" min="9" max="9"/>
  </cols>
  <sheetData>
    <row r="1" ht="17.25" customHeight="1">
      <c r="A1" s="187" t="inlineStr">
        <is>
          <t>Weeks Engine — Wieloletnie Rozbicie Tygodni i Floor Hours (2021–2036)</t>
        </is>
      </c>
    </row>
    <row r="2" ht="17.25" customHeight="1"/>
    <row r="3" ht="17.25" customHeight="1">
      <c r="A3" t="inlineStr">
        <is>
          <t>Klucz (Y_M_W)</t>
        </is>
      </c>
      <c r="B3" t="inlineStr">
        <is>
          <t>Rok</t>
        </is>
      </c>
      <c r="C3" t="inlineStr">
        <is>
          <t>Miesiąc</t>
        </is>
      </c>
      <c r="D3" t="inlineStr">
        <is>
          <t>Tydzień</t>
        </is>
      </c>
      <c r="E3" t="inlineStr">
        <is>
          <t>Liczba Dni</t>
        </is>
      </c>
      <c r="F3" t="inlineStr">
        <is>
          <t>Typ Tygodnia</t>
        </is>
      </c>
      <c r="G3" t="inlineStr">
        <is>
          <t>Data Od</t>
        </is>
      </c>
      <c r="H3" t="inlineStr">
        <is>
          <t>Data Do</t>
        </is>
      </c>
      <c r="I3" t="inlineStr">
        <is>
          <t>Floor Hours Tygodnia</t>
        </is>
      </c>
      <c r="J3" t="inlineStr">
        <is>
          <t>Waga Dniowa w Miesiącu</t>
        </is>
      </c>
    </row>
    <row r="4" ht="17.25" customHeight="1">
      <c r="A4" t="inlineStr">
        <is>
          <t>2021_Styczeń_W1</t>
        </is>
      </c>
      <c r="B4" t="n">
        <v>2021</v>
      </c>
      <c r="C4" t="inlineStr">
        <is>
          <t>Styczeń</t>
        </is>
      </c>
      <c r="D4" t="inlineStr">
        <is>
          <t>W1</t>
        </is>
      </c>
      <c r="E4" t="n">
        <v>4</v>
      </c>
      <c r="F4" t="inlineStr">
        <is>
          <t>Niepełny (4 dni)</t>
        </is>
      </c>
      <c r="G4" t="inlineStr">
        <is>
          <t>01.01</t>
        </is>
      </c>
      <c r="H4" t="inlineStr">
        <is>
          <t>04.01</t>
        </is>
      </c>
      <c r="I4" t="n">
        <v>152</v>
      </c>
      <c r="J4" t="n">
        <v>0.12903</v>
      </c>
    </row>
    <row r="5" ht="17.25" customHeight="1">
      <c r="A5" t="inlineStr">
        <is>
          <t>2021_Styczeń_W2</t>
        </is>
      </c>
      <c r="B5" t="n">
        <v>2021</v>
      </c>
      <c r="C5" t="inlineStr">
        <is>
          <t>Styczeń</t>
        </is>
      </c>
      <c r="D5" t="inlineStr">
        <is>
          <t>W2</t>
        </is>
      </c>
      <c r="E5" t="n">
        <v>7</v>
      </c>
      <c r="F5" t="inlineStr">
        <is>
          <t>Pełny (7 dni)</t>
        </is>
      </c>
      <c r="G5" t="inlineStr">
        <is>
          <t>05.01</t>
        </is>
      </c>
      <c r="H5" t="inlineStr">
        <is>
          <t>11.01</t>
        </is>
      </c>
      <c r="I5" t="n">
        <v>272</v>
      </c>
      <c r="J5" t="n">
        <v>0.22581</v>
      </c>
    </row>
    <row r="6" ht="17.25" customHeight="1">
      <c r="A6" t="inlineStr">
        <is>
          <t>2021_Styczeń_W3</t>
        </is>
      </c>
      <c r="B6" t="n">
        <v>2021</v>
      </c>
      <c r="C6" t="inlineStr">
        <is>
          <t>Styczeń</t>
        </is>
      </c>
      <c r="D6" t="inlineStr">
        <is>
          <t>W3</t>
        </is>
      </c>
      <c r="E6" t="n">
        <v>7</v>
      </c>
      <c r="F6" t="inlineStr">
        <is>
          <t>Pełny (7 dni)</t>
        </is>
      </c>
      <c r="G6" t="inlineStr">
        <is>
          <t>12.01</t>
        </is>
      </c>
      <c r="H6" t="inlineStr">
        <is>
          <t>18.01</t>
        </is>
      </c>
      <c r="I6" t="n">
        <v>272</v>
      </c>
      <c r="J6" t="n">
        <v>0.22581</v>
      </c>
    </row>
    <row r="7" ht="17.25" customHeight="1">
      <c r="A7" t="inlineStr">
        <is>
          <t>2021_Styczeń_W4</t>
        </is>
      </c>
      <c r="B7" t="n">
        <v>2021</v>
      </c>
      <c r="C7" t="inlineStr">
        <is>
          <t>Styczeń</t>
        </is>
      </c>
      <c r="D7" t="inlineStr">
        <is>
          <t>W4</t>
        </is>
      </c>
      <c r="E7" t="n">
        <v>7</v>
      </c>
      <c r="F7" t="inlineStr">
        <is>
          <t>Pełny (7 dni)</t>
        </is>
      </c>
      <c r="G7" t="inlineStr">
        <is>
          <t>19.01</t>
        </is>
      </c>
      <c r="H7" t="inlineStr">
        <is>
          <t>25.01</t>
        </is>
      </c>
      <c r="I7" t="n">
        <v>272</v>
      </c>
      <c r="J7" t="n">
        <v>0.22581</v>
      </c>
    </row>
    <row r="8" ht="17.25" customHeight="1">
      <c r="A8" t="inlineStr">
        <is>
          <t>2021_Styczeń_W5</t>
        </is>
      </c>
      <c r="B8" t="n">
        <v>2021</v>
      </c>
      <c r="C8" t="inlineStr">
        <is>
          <t>Styczeń</t>
        </is>
      </c>
      <c r="D8" t="inlineStr">
        <is>
          <t>W5</t>
        </is>
      </c>
      <c r="E8" t="n">
        <v>6</v>
      </c>
      <c r="F8" t="inlineStr">
        <is>
          <t>Niepełny (6 dni)</t>
        </is>
      </c>
      <c r="G8" t="inlineStr">
        <is>
          <t>26.01</t>
        </is>
      </c>
      <c r="H8" t="inlineStr">
        <is>
          <t>31.01</t>
        </is>
      </c>
      <c r="I8" t="n">
        <v>232</v>
      </c>
      <c r="J8" t="n">
        <v>0.19355</v>
      </c>
    </row>
    <row r="9" ht="17.25" customHeight="1">
      <c r="A9" t="inlineStr">
        <is>
          <t>2021_Styczeń_W6</t>
        </is>
      </c>
      <c r="B9" t="n">
        <v>2021</v>
      </c>
      <c r="C9" t="inlineStr">
        <is>
          <t>Styczeń</t>
        </is>
      </c>
      <c r="D9" t="inlineStr">
        <is>
          <t>W6</t>
        </is>
      </c>
      <c r="E9" t="n">
        <v>0</v>
      </c>
      <c r="F9" t="inlineStr">
        <is>
          <t>Brak w miesiącu</t>
        </is>
      </c>
      <c r="G9" t="inlineStr">
        <is>
          <t>-</t>
        </is>
      </c>
      <c r="H9" t="inlineStr">
        <is>
          <t>-</t>
        </is>
      </c>
      <c r="I9" t="n">
        <v>0</v>
      </c>
      <c r="J9" t="n">
        <v>0</v>
      </c>
    </row>
    <row r="10" ht="17.25" customHeight="1">
      <c r="A10" t="inlineStr">
        <is>
          <t>2021_Luty_W1</t>
        </is>
      </c>
      <c r="B10" t="n">
        <v>2021</v>
      </c>
      <c r="C10" t="inlineStr">
        <is>
          <t>Luty</t>
        </is>
      </c>
      <c r="D10" t="inlineStr">
        <is>
          <t>W1</t>
        </is>
      </c>
      <c r="E10" t="n">
        <v>1</v>
      </c>
      <c r="F10" t="inlineStr">
        <is>
          <t>Niepełny (1 dni)</t>
        </is>
      </c>
      <c r="G10" t="inlineStr">
        <is>
          <t>01.02</t>
        </is>
      </c>
      <c r="H10" t="inlineStr">
        <is>
          <t>01.02</t>
        </is>
      </c>
      <c r="I10" t="n">
        <v>40</v>
      </c>
      <c r="J10" t="n">
        <v>0.03571</v>
      </c>
    </row>
    <row r="11" ht="17.25" customHeight="1">
      <c r="A11" t="inlineStr">
        <is>
          <t>2021_Luty_W2</t>
        </is>
      </c>
      <c r="B11" t="n">
        <v>2021</v>
      </c>
      <c r="C11" t="inlineStr">
        <is>
          <t>Luty</t>
        </is>
      </c>
      <c r="D11" t="inlineStr">
        <is>
          <t>W2</t>
        </is>
      </c>
      <c r="E11" t="n">
        <v>7</v>
      </c>
      <c r="F11" t="inlineStr">
        <is>
          <t>Pełny (7 dni)</t>
        </is>
      </c>
      <c r="G11" t="inlineStr">
        <is>
          <t>02.02</t>
        </is>
      </c>
      <c r="H11" t="inlineStr">
        <is>
          <t>08.02</t>
        </is>
      </c>
      <c r="I11" t="n">
        <v>272</v>
      </c>
      <c r="J11" t="n">
        <v>0.25</v>
      </c>
    </row>
    <row r="12" ht="17.25" customHeight="1">
      <c r="A12" t="inlineStr">
        <is>
          <t>2021_Luty_W3</t>
        </is>
      </c>
      <c r="B12" t="n">
        <v>2021</v>
      </c>
      <c r="C12" t="inlineStr">
        <is>
          <t>Luty</t>
        </is>
      </c>
      <c r="D12" t="inlineStr">
        <is>
          <t>W3</t>
        </is>
      </c>
      <c r="E12" t="n">
        <v>7</v>
      </c>
      <c r="F12" t="inlineStr">
        <is>
          <t>Pełny (7 dni)</t>
        </is>
      </c>
      <c r="G12" t="inlineStr">
        <is>
          <t>09.02</t>
        </is>
      </c>
      <c r="H12" t="inlineStr">
        <is>
          <t>15.02</t>
        </is>
      </c>
      <c r="I12" t="n">
        <v>272</v>
      </c>
      <c r="J12" t="n">
        <v>0.25</v>
      </c>
    </row>
    <row r="13" ht="17.25" customHeight="1">
      <c r="A13" t="inlineStr">
        <is>
          <t>2021_Luty_W4</t>
        </is>
      </c>
      <c r="B13" t="n">
        <v>2021</v>
      </c>
      <c r="C13" t="inlineStr">
        <is>
          <t>Luty</t>
        </is>
      </c>
      <c r="D13" t="inlineStr">
        <is>
          <t>W4</t>
        </is>
      </c>
      <c r="E13" t="n">
        <v>7</v>
      </c>
      <c r="F13" t="inlineStr">
        <is>
          <t>Pełny (7 dni)</t>
        </is>
      </c>
      <c r="G13" t="inlineStr">
        <is>
          <t>16.02</t>
        </is>
      </c>
      <c r="H13" t="inlineStr">
        <is>
          <t>22.02</t>
        </is>
      </c>
      <c r="I13" t="n">
        <v>272</v>
      </c>
      <c r="J13" t="n">
        <v>0.25</v>
      </c>
    </row>
    <row r="14" ht="17.25" customHeight="1">
      <c r="A14" t="inlineStr">
        <is>
          <t>2021_Luty_W5</t>
        </is>
      </c>
      <c r="B14" t="n">
        <v>2021</v>
      </c>
      <c r="C14" t="inlineStr">
        <is>
          <t>Luty</t>
        </is>
      </c>
      <c r="D14" t="inlineStr">
        <is>
          <t>W5</t>
        </is>
      </c>
      <c r="E14" t="n">
        <v>6</v>
      </c>
      <c r="F14" t="inlineStr">
        <is>
          <t>Niepełny (6 dni)</t>
        </is>
      </c>
      <c r="G14" t="inlineStr">
        <is>
          <t>23.02</t>
        </is>
      </c>
      <c r="H14" t="inlineStr">
        <is>
          <t>28.02</t>
        </is>
      </c>
      <c r="I14" t="n">
        <v>232</v>
      </c>
      <c r="J14" t="n">
        <v>0.21429</v>
      </c>
    </row>
    <row r="15" ht="17.25" customHeight="1">
      <c r="A15" t="inlineStr">
        <is>
          <t>2021_Luty_W6</t>
        </is>
      </c>
      <c r="B15" t="n">
        <v>2021</v>
      </c>
      <c r="C15" t="inlineStr">
        <is>
          <t>Luty</t>
        </is>
      </c>
      <c r="D15" t="inlineStr">
        <is>
          <t>W6</t>
        </is>
      </c>
      <c r="E15" t="n">
        <v>0</v>
      </c>
      <c r="F15" t="inlineStr">
        <is>
          <t>Brak w miesiącu</t>
        </is>
      </c>
      <c r="G15" t="inlineStr">
        <is>
          <t>-</t>
        </is>
      </c>
      <c r="H15" t="inlineStr">
        <is>
          <t>-</t>
        </is>
      </c>
      <c r="I15" t="n">
        <v>0</v>
      </c>
      <c r="J15" t="n">
        <v>0</v>
      </c>
    </row>
    <row r="16" ht="17.25" customHeight="1">
      <c r="A16" t="inlineStr">
        <is>
          <t>2021_Marzec_W1</t>
        </is>
      </c>
      <c r="B16" t="n">
        <v>2021</v>
      </c>
      <c r="C16" t="inlineStr">
        <is>
          <t>Marzec</t>
        </is>
      </c>
      <c r="D16" t="inlineStr">
        <is>
          <t>W1</t>
        </is>
      </c>
      <c r="E16" t="n">
        <v>1</v>
      </c>
      <c r="F16" t="inlineStr">
        <is>
          <t>Niepełny (1 dni)</t>
        </is>
      </c>
      <c r="G16" t="inlineStr">
        <is>
          <t>01.03</t>
        </is>
      </c>
      <c r="H16" t="inlineStr">
        <is>
          <t>01.03</t>
        </is>
      </c>
      <c r="I16" t="n">
        <v>40</v>
      </c>
      <c r="J16" t="n">
        <v>0.03226</v>
      </c>
    </row>
    <row r="17" ht="17.25" customHeight="1">
      <c r="A17" t="inlineStr">
        <is>
          <t>2021_Marzec_W2</t>
        </is>
      </c>
      <c r="B17" t="n">
        <v>2021</v>
      </c>
      <c r="C17" t="inlineStr">
        <is>
          <t>Marzec</t>
        </is>
      </c>
      <c r="D17" t="inlineStr">
        <is>
          <t>W2</t>
        </is>
      </c>
      <c r="E17" t="n">
        <v>7</v>
      </c>
      <c r="F17" t="inlineStr">
        <is>
          <t>Pełny (7 dni)</t>
        </is>
      </c>
      <c r="G17" t="inlineStr">
        <is>
          <t>02.03</t>
        </is>
      </c>
      <c r="H17" t="inlineStr">
        <is>
          <t>08.03</t>
        </is>
      </c>
      <c r="I17" t="n">
        <v>272</v>
      </c>
      <c r="J17" t="n">
        <v>0.22581</v>
      </c>
    </row>
    <row r="18" ht="17.25" customHeight="1">
      <c r="A18" t="inlineStr">
        <is>
          <t>2021_Marzec_W3</t>
        </is>
      </c>
      <c r="B18" t="n">
        <v>2021</v>
      </c>
      <c r="C18" t="inlineStr">
        <is>
          <t>Marzec</t>
        </is>
      </c>
      <c r="D18" t="inlineStr">
        <is>
          <t>W3</t>
        </is>
      </c>
      <c r="E18" t="n">
        <v>7</v>
      </c>
      <c r="F18" t="inlineStr">
        <is>
          <t>Pełny (7 dni)</t>
        </is>
      </c>
      <c r="G18" t="inlineStr">
        <is>
          <t>09.03</t>
        </is>
      </c>
      <c r="H18" t="inlineStr">
        <is>
          <t>15.03</t>
        </is>
      </c>
      <c r="I18" t="n">
        <v>272</v>
      </c>
      <c r="J18" t="n">
        <v>0.22581</v>
      </c>
    </row>
    <row r="19" ht="17.25" customHeight="1">
      <c r="A19" t="inlineStr">
        <is>
          <t>2021_Marzec_W4</t>
        </is>
      </c>
      <c r="B19" t="n">
        <v>2021</v>
      </c>
      <c r="C19" t="inlineStr">
        <is>
          <t>Marzec</t>
        </is>
      </c>
      <c r="D19" t="inlineStr">
        <is>
          <t>W4</t>
        </is>
      </c>
      <c r="E19" t="n">
        <v>7</v>
      </c>
      <c r="F19" t="inlineStr">
        <is>
          <t>Pełny (7 dni)</t>
        </is>
      </c>
      <c r="G19" t="inlineStr">
        <is>
          <t>16.03</t>
        </is>
      </c>
      <c r="H19" t="inlineStr">
        <is>
          <t>22.03</t>
        </is>
      </c>
      <c r="I19" t="n">
        <v>272</v>
      </c>
      <c r="J19" t="n">
        <v>0.22581</v>
      </c>
    </row>
    <row r="20" ht="17.25" customHeight="1">
      <c r="A20" t="inlineStr">
        <is>
          <t>2021_Marzec_W5</t>
        </is>
      </c>
      <c r="B20" t="n">
        <v>2021</v>
      </c>
      <c r="C20" t="inlineStr">
        <is>
          <t>Marzec</t>
        </is>
      </c>
      <c r="D20" t="inlineStr">
        <is>
          <t>W5</t>
        </is>
      </c>
      <c r="E20" t="n">
        <v>7</v>
      </c>
      <c r="F20" t="inlineStr">
        <is>
          <t>Pełny (7 dni)</t>
        </is>
      </c>
      <c r="G20" t="inlineStr">
        <is>
          <t>23.03</t>
        </is>
      </c>
      <c r="H20" t="inlineStr">
        <is>
          <t>29.03</t>
        </is>
      </c>
      <c r="I20" t="n">
        <v>272</v>
      </c>
      <c r="J20" t="n">
        <v>0.22581</v>
      </c>
    </row>
    <row r="21" ht="17.25" customHeight="1">
      <c r="A21" t="inlineStr">
        <is>
          <t>2021_Marzec_W6</t>
        </is>
      </c>
      <c r="B21" t="n">
        <v>2021</v>
      </c>
      <c r="C21" t="inlineStr">
        <is>
          <t>Marzec</t>
        </is>
      </c>
      <c r="D21" t="inlineStr">
        <is>
          <t>W6</t>
        </is>
      </c>
      <c r="E21" t="n">
        <v>2</v>
      </c>
      <c r="F21" t="inlineStr">
        <is>
          <t>Niepełny (2 dni)</t>
        </is>
      </c>
      <c r="G21" t="inlineStr">
        <is>
          <t>30.03</t>
        </is>
      </c>
      <c r="H21" t="inlineStr">
        <is>
          <t>31.03</t>
        </is>
      </c>
      <c r="I21" t="n">
        <v>80</v>
      </c>
      <c r="J21" t="n">
        <v>0.06451999999999999</v>
      </c>
    </row>
    <row r="22" ht="17.25" customHeight="1">
      <c r="A22" t="inlineStr">
        <is>
          <t>2021_Kwiecień_W1</t>
        </is>
      </c>
      <c r="B22" t="n">
        <v>2021</v>
      </c>
      <c r="C22" t="inlineStr">
        <is>
          <t>Kwiecień</t>
        </is>
      </c>
      <c r="D22" t="inlineStr">
        <is>
          <t>W1</t>
        </is>
      </c>
      <c r="E22" t="n">
        <v>5</v>
      </c>
      <c r="F22" t="inlineStr">
        <is>
          <t>Niepełny (5 dni)</t>
        </is>
      </c>
      <c r="G22" t="inlineStr">
        <is>
          <t>01.04</t>
        </is>
      </c>
      <c r="H22" t="inlineStr">
        <is>
          <t>05.04</t>
        </is>
      </c>
      <c r="I22" t="n">
        <v>192</v>
      </c>
      <c r="J22" t="n">
        <v>0.16667</v>
      </c>
    </row>
    <row r="23" ht="17.25" customHeight="1">
      <c r="A23" t="inlineStr">
        <is>
          <t>2021_Kwiecień_W2</t>
        </is>
      </c>
      <c r="B23" t="n">
        <v>2021</v>
      </c>
      <c r="C23" t="inlineStr">
        <is>
          <t>Kwiecień</t>
        </is>
      </c>
      <c r="D23" t="inlineStr">
        <is>
          <t>W2</t>
        </is>
      </c>
      <c r="E23" t="n">
        <v>7</v>
      </c>
      <c r="F23" t="inlineStr">
        <is>
          <t>Pełny (7 dni)</t>
        </is>
      </c>
      <c r="G23" t="inlineStr">
        <is>
          <t>06.04</t>
        </is>
      </c>
      <c r="H23" t="inlineStr">
        <is>
          <t>12.04</t>
        </is>
      </c>
      <c r="I23" t="n">
        <v>272</v>
      </c>
      <c r="J23" t="n">
        <v>0.23333</v>
      </c>
    </row>
    <row r="24" ht="17.25" customHeight="1">
      <c r="A24" t="inlineStr">
        <is>
          <t>2021_Kwiecień_W3</t>
        </is>
      </c>
      <c r="B24" t="n">
        <v>2021</v>
      </c>
      <c r="C24" t="inlineStr">
        <is>
          <t>Kwiecień</t>
        </is>
      </c>
      <c r="D24" t="inlineStr">
        <is>
          <t>W3</t>
        </is>
      </c>
      <c r="E24" t="n">
        <v>7</v>
      </c>
      <c r="F24" t="inlineStr">
        <is>
          <t>Pełny (7 dni)</t>
        </is>
      </c>
      <c r="G24" t="inlineStr">
        <is>
          <t>13.04</t>
        </is>
      </c>
      <c r="H24" t="inlineStr">
        <is>
          <t>19.04</t>
        </is>
      </c>
      <c r="I24" t="n">
        <v>272</v>
      </c>
      <c r="J24" t="n">
        <v>0.23333</v>
      </c>
    </row>
    <row r="25" ht="17.25" customHeight="1">
      <c r="A25" t="inlineStr">
        <is>
          <t>2021_Kwiecień_W4</t>
        </is>
      </c>
      <c r="B25" t="n">
        <v>2021</v>
      </c>
      <c r="C25" t="inlineStr">
        <is>
          <t>Kwiecień</t>
        </is>
      </c>
      <c r="D25" t="inlineStr">
        <is>
          <t>W4</t>
        </is>
      </c>
      <c r="E25" t="n">
        <v>7</v>
      </c>
      <c r="F25" t="inlineStr">
        <is>
          <t>Pełny (7 dni)</t>
        </is>
      </c>
      <c r="G25" t="inlineStr">
        <is>
          <t>20.04</t>
        </is>
      </c>
      <c r="H25" t="inlineStr">
        <is>
          <t>26.04</t>
        </is>
      </c>
      <c r="I25" t="n">
        <v>272</v>
      </c>
      <c r="J25" t="n">
        <v>0.23333</v>
      </c>
    </row>
    <row r="26" ht="17.25" customHeight="1">
      <c r="A26" t="inlineStr">
        <is>
          <t>2021_Kwiecień_W5</t>
        </is>
      </c>
      <c r="B26" t="n">
        <v>2021</v>
      </c>
      <c r="C26" t="inlineStr">
        <is>
          <t>Kwiecień</t>
        </is>
      </c>
      <c r="D26" t="inlineStr">
        <is>
          <t>W5</t>
        </is>
      </c>
      <c r="E26" t="n">
        <v>4</v>
      </c>
      <c r="F26" t="inlineStr">
        <is>
          <t>Niepełny (4 dni)</t>
        </is>
      </c>
      <c r="G26" t="inlineStr">
        <is>
          <t>27.04</t>
        </is>
      </c>
      <c r="H26" t="inlineStr">
        <is>
          <t>30.04</t>
        </is>
      </c>
      <c r="I26" t="n">
        <v>160</v>
      </c>
      <c r="J26" t="n">
        <v>0.13333</v>
      </c>
    </row>
    <row r="27" ht="17.25" customHeight="1">
      <c r="A27" t="inlineStr">
        <is>
          <t>2021_Kwiecień_W6</t>
        </is>
      </c>
      <c r="B27" t="n">
        <v>2021</v>
      </c>
      <c r="C27" t="inlineStr">
        <is>
          <t>Kwiecień</t>
        </is>
      </c>
      <c r="D27" t="inlineStr">
        <is>
          <t>W6</t>
        </is>
      </c>
      <c r="E27" t="n">
        <v>0</v>
      </c>
      <c r="F27" t="inlineStr">
        <is>
          <t>Brak w miesiącu</t>
        </is>
      </c>
      <c r="G27" t="inlineStr">
        <is>
          <t>-</t>
        </is>
      </c>
      <c r="H27" t="inlineStr">
        <is>
          <t>-</t>
        </is>
      </c>
      <c r="I27" t="n">
        <v>0</v>
      </c>
      <c r="J27" t="n">
        <v>0</v>
      </c>
    </row>
    <row r="28" ht="17.25" customHeight="1">
      <c r="A28" t="inlineStr">
        <is>
          <t>2021_Maj_W1</t>
        </is>
      </c>
      <c r="B28" t="n">
        <v>2021</v>
      </c>
      <c r="C28" t="inlineStr">
        <is>
          <t>Maj</t>
        </is>
      </c>
      <c r="D28" t="inlineStr">
        <is>
          <t>W1</t>
        </is>
      </c>
      <c r="E28" t="n">
        <v>3</v>
      </c>
      <c r="F28" t="inlineStr">
        <is>
          <t>Niepełny (3 dni)</t>
        </is>
      </c>
      <c r="G28" t="inlineStr">
        <is>
          <t>01.05</t>
        </is>
      </c>
      <c r="H28" t="inlineStr">
        <is>
          <t>03.05</t>
        </is>
      </c>
      <c r="I28" t="n">
        <v>112</v>
      </c>
      <c r="J28" t="n">
        <v>0.09676999999999999</v>
      </c>
    </row>
    <row r="29" ht="17.25" customHeight="1">
      <c r="A29" t="inlineStr">
        <is>
          <t>2021_Maj_W2</t>
        </is>
      </c>
      <c r="B29" t="n">
        <v>2021</v>
      </c>
      <c r="C29" t="inlineStr">
        <is>
          <t>Maj</t>
        </is>
      </c>
      <c r="D29" t="inlineStr">
        <is>
          <t>W2</t>
        </is>
      </c>
      <c r="E29" t="n">
        <v>7</v>
      </c>
      <c r="F29" t="inlineStr">
        <is>
          <t>Pełny (7 dni)</t>
        </is>
      </c>
      <c r="G29" t="inlineStr">
        <is>
          <t>04.05</t>
        </is>
      </c>
      <c r="H29" t="inlineStr">
        <is>
          <t>10.05</t>
        </is>
      </c>
      <c r="I29" t="n">
        <v>272</v>
      </c>
      <c r="J29" t="n">
        <v>0.22581</v>
      </c>
    </row>
    <row r="30" ht="17.25" customHeight="1">
      <c r="A30" t="inlineStr">
        <is>
          <t>2021_Maj_W3</t>
        </is>
      </c>
      <c r="B30" t="n">
        <v>2021</v>
      </c>
      <c r="C30" t="inlineStr">
        <is>
          <t>Maj</t>
        </is>
      </c>
      <c r="D30" t="inlineStr">
        <is>
          <t>W3</t>
        </is>
      </c>
      <c r="E30" t="n">
        <v>7</v>
      </c>
      <c r="F30" t="inlineStr">
        <is>
          <t>Pełny (7 dni)</t>
        </is>
      </c>
      <c r="G30" t="inlineStr">
        <is>
          <t>11.05</t>
        </is>
      </c>
      <c r="H30" t="inlineStr">
        <is>
          <t>17.05</t>
        </is>
      </c>
      <c r="I30" t="n">
        <v>272</v>
      </c>
      <c r="J30" t="n">
        <v>0.22581</v>
      </c>
    </row>
    <row r="31" ht="17.25" customHeight="1">
      <c r="A31" t="inlineStr">
        <is>
          <t>2021_Maj_W4</t>
        </is>
      </c>
      <c r="B31" t="n">
        <v>2021</v>
      </c>
      <c r="C31" t="inlineStr">
        <is>
          <t>Maj</t>
        </is>
      </c>
      <c r="D31" t="inlineStr">
        <is>
          <t>W4</t>
        </is>
      </c>
      <c r="E31" t="n">
        <v>7</v>
      </c>
      <c r="F31" t="inlineStr">
        <is>
          <t>Pełny (7 dni)</t>
        </is>
      </c>
      <c r="G31" t="inlineStr">
        <is>
          <t>18.05</t>
        </is>
      </c>
      <c r="H31" t="inlineStr">
        <is>
          <t>24.05</t>
        </is>
      </c>
      <c r="I31" t="n">
        <v>272</v>
      </c>
      <c r="J31" t="n">
        <v>0.22581</v>
      </c>
    </row>
    <row r="32" ht="17.25" customHeight="1">
      <c r="A32" t="inlineStr">
        <is>
          <t>2021_Maj_W5</t>
        </is>
      </c>
      <c r="B32" t="n">
        <v>2021</v>
      </c>
      <c r="C32" t="inlineStr">
        <is>
          <t>Maj</t>
        </is>
      </c>
      <c r="D32" t="inlineStr">
        <is>
          <t>W5</t>
        </is>
      </c>
      <c r="E32" t="n">
        <v>7</v>
      </c>
      <c r="F32" t="inlineStr">
        <is>
          <t>Pełny (7 dni)</t>
        </is>
      </c>
      <c r="G32" t="inlineStr">
        <is>
          <t>25.05</t>
        </is>
      </c>
      <c r="H32" t="inlineStr">
        <is>
          <t>31.05</t>
        </is>
      </c>
      <c r="I32" t="n">
        <v>272</v>
      </c>
      <c r="J32" t="n">
        <v>0.22581</v>
      </c>
    </row>
    <row r="33" ht="17.25" customHeight="1">
      <c r="A33" t="inlineStr">
        <is>
          <t>2021_Maj_W6</t>
        </is>
      </c>
      <c r="B33" t="n">
        <v>2021</v>
      </c>
      <c r="C33" t="inlineStr">
        <is>
          <t>Maj</t>
        </is>
      </c>
      <c r="D33" t="inlineStr">
        <is>
          <t>W6</t>
        </is>
      </c>
      <c r="E33" t="n">
        <v>0</v>
      </c>
      <c r="F33" t="inlineStr">
        <is>
          <t>Brak w miesiącu</t>
        </is>
      </c>
      <c r="G33" t="inlineStr">
        <is>
          <t>-</t>
        </is>
      </c>
      <c r="H33" t="inlineStr">
        <is>
          <t>-</t>
        </is>
      </c>
      <c r="I33" t="n">
        <v>0</v>
      </c>
      <c r="J33" t="n">
        <v>0</v>
      </c>
    </row>
    <row r="34" ht="17.25" customHeight="1">
      <c r="A34" t="inlineStr">
        <is>
          <t>2021_Czerwiec_W1</t>
        </is>
      </c>
      <c r="B34" t="n">
        <v>2021</v>
      </c>
      <c r="C34" t="inlineStr">
        <is>
          <t>Czerwiec</t>
        </is>
      </c>
      <c r="D34" t="inlineStr">
        <is>
          <t>W1</t>
        </is>
      </c>
      <c r="E34" t="n">
        <v>7</v>
      </c>
      <c r="F34" t="inlineStr">
        <is>
          <t>Pełny (7 dni)</t>
        </is>
      </c>
      <c r="G34" t="inlineStr">
        <is>
          <t>01.06</t>
        </is>
      </c>
      <c r="H34" t="inlineStr">
        <is>
          <t>07.06</t>
        </is>
      </c>
      <c r="I34" t="n">
        <v>272</v>
      </c>
      <c r="J34" t="n">
        <v>0.23333</v>
      </c>
    </row>
    <row r="35" ht="17.25" customHeight="1">
      <c r="A35" t="inlineStr">
        <is>
          <t>2021_Czerwiec_W2</t>
        </is>
      </c>
      <c r="B35" t="n">
        <v>2021</v>
      </c>
      <c r="C35" t="inlineStr">
        <is>
          <t>Czerwiec</t>
        </is>
      </c>
      <c r="D35" t="inlineStr">
        <is>
          <t>W2</t>
        </is>
      </c>
      <c r="E35" t="n">
        <v>7</v>
      </c>
      <c r="F35" t="inlineStr">
        <is>
          <t>Pełny (7 dni)</t>
        </is>
      </c>
      <c r="G35" t="inlineStr">
        <is>
          <t>08.06</t>
        </is>
      </c>
      <c r="H35" t="inlineStr">
        <is>
          <t>14.06</t>
        </is>
      </c>
      <c r="I35" t="n">
        <v>272</v>
      </c>
      <c r="J35" t="n">
        <v>0.23333</v>
      </c>
    </row>
    <row r="36" ht="17.25" customHeight="1">
      <c r="A36" t="inlineStr">
        <is>
          <t>2021_Czerwiec_W3</t>
        </is>
      </c>
      <c r="B36" t="n">
        <v>2021</v>
      </c>
      <c r="C36" t="inlineStr">
        <is>
          <t>Czerwiec</t>
        </is>
      </c>
      <c r="D36" t="inlineStr">
        <is>
          <t>W3</t>
        </is>
      </c>
      <c r="E36" t="n">
        <v>7</v>
      </c>
      <c r="F36" t="inlineStr">
        <is>
          <t>Pełny (7 dni)</t>
        </is>
      </c>
      <c r="G36" t="inlineStr">
        <is>
          <t>15.06</t>
        </is>
      </c>
      <c r="H36" t="inlineStr">
        <is>
          <t>21.06</t>
        </is>
      </c>
      <c r="I36" t="n">
        <v>272</v>
      </c>
      <c r="J36" t="n">
        <v>0.23333</v>
      </c>
    </row>
    <row r="37" ht="17.25" customHeight="1">
      <c r="A37" t="inlineStr">
        <is>
          <t>2021_Czerwiec_W4</t>
        </is>
      </c>
      <c r="B37" t="n">
        <v>2021</v>
      </c>
      <c r="C37" t="inlineStr">
        <is>
          <t>Czerwiec</t>
        </is>
      </c>
      <c r="D37" t="inlineStr">
        <is>
          <t>W4</t>
        </is>
      </c>
      <c r="E37" t="n">
        <v>7</v>
      </c>
      <c r="F37" t="inlineStr">
        <is>
          <t>Pełny (7 dni)</t>
        </is>
      </c>
      <c r="G37" t="inlineStr">
        <is>
          <t>22.06</t>
        </is>
      </c>
      <c r="H37" t="inlineStr">
        <is>
          <t>28.06</t>
        </is>
      </c>
      <c r="I37" t="n">
        <v>272</v>
      </c>
      <c r="J37" t="n">
        <v>0.23333</v>
      </c>
    </row>
    <row r="38" ht="17.25" customHeight="1">
      <c r="A38" t="inlineStr">
        <is>
          <t>2021_Czerwiec_W5</t>
        </is>
      </c>
      <c r="B38" t="n">
        <v>2021</v>
      </c>
      <c r="C38" t="inlineStr">
        <is>
          <t>Czerwiec</t>
        </is>
      </c>
      <c r="D38" t="inlineStr">
        <is>
          <t>W5</t>
        </is>
      </c>
      <c r="E38" t="n">
        <v>2</v>
      </c>
      <c r="F38" t="inlineStr">
        <is>
          <t>Niepełny (2 dni)</t>
        </is>
      </c>
      <c r="G38" t="inlineStr">
        <is>
          <t>29.06</t>
        </is>
      </c>
      <c r="H38" t="inlineStr">
        <is>
          <t>30.06</t>
        </is>
      </c>
      <c r="I38" t="n">
        <v>80</v>
      </c>
      <c r="J38" t="n">
        <v>0.06666999999999999</v>
      </c>
    </row>
    <row r="39" ht="17.25" customHeight="1">
      <c r="A39" t="inlineStr">
        <is>
          <t>2021_Czerwiec_W6</t>
        </is>
      </c>
      <c r="B39" t="n">
        <v>2021</v>
      </c>
      <c r="C39" t="inlineStr">
        <is>
          <t>Czerwiec</t>
        </is>
      </c>
      <c r="D39" t="inlineStr">
        <is>
          <t>W6</t>
        </is>
      </c>
      <c r="E39" t="n">
        <v>0</v>
      </c>
      <c r="F39" t="inlineStr">
        <is>
          <t>Brak w miesiącu</t>
        </is>
      </c>
      <c r="G39" t="inlineStr">
        <is>
          <t>-</t>
        </is>
      </c>
      <c r="H39" t="inlineStr">
        <is>
          <t>-</t>
        </is>
      </c>
      <c r="I39" t="n">
        <v>0</v>
      </c>
      <c r="J39" t="n">
        <v>0</v>
      </c>
    </row>
    <row r="40" ht="17.25" customHeight="1">
      <c r="A40" t="inlineStr">
        <is>
          <t>2021_Lipiec_W1</t>
        </is>
      </c>
      <c r="B40" t="n">
        <v>2021</v>
      </c>
      <c r="C40" t="inlineStr">
        <is>
          <t>Lipiec</t>
        </is>
      </c>
      <c r="D40" t="inlineStr">
        <is>
          <t>W1</t>
        </is>
      </c>
      <c r="E40" t="n">
        <v>5</v>
      </c>
      <c r="F40" t="inlineStr">
        <is>
          <t>Niepełny (5 dni)</t>
        </is>
      </c>
      <c r="G40" t="inlineStr">
        <is>
          <t>01.07</t>
        </is>
      </c>
      <c r="H40" t="inlineStr">
        <is>
          <t>05.07</t>
        </is>
      </c>
      <c r="I40" t="n">
        <v>192</v>
      </c>
      <c r="J40" t="n">
        <v>0.16129</v>
      </c>
    </row>
    <row r="41" ht="17.25" customHeight="1">
      <c r="A41" t="inlineStr">
        <is>
          <t>2021_Lipiec_W2</t>
        </is>
      </c>
      <c r="B41" t="n">
        <v>2021</v>
      </c>
      <c r="C41" t="inlineStr">
        <is>
          <t>Lipiec</t>
        </is>
      </c>
      <c r="D41" t="inlineStr">
        <is>
          <t>W2</t>
        </is>
      </c>
      <c r="E41" t="n">
        <v>7</v>
      </c>
      <c r="F41" t="inlineStr">
        <is>
          <t>Pełny (7 dni)</t>
        </is>
      </c>
      <c r="G41" t="inlineStr">
        <is>
          <t>06.07</t>
        </is>
      </c>
      <c r="H41" t="inlineStr">
        <is>
          <t>12.07</t>
        </is>
      </c>
      <c r="I41" t="n">
        <v>272</v>
      </c>
      <c r="J41" t="n">
        <v>0.22581</v>
      </c>
    </row>
    <row r="42" ht="17.25" customHeight="1">
      <c r="A42" t="inlineStr">
        <is>
          <t>2021_Lipiec_W3</t>
        </is>
      </c>
      <c r="B42" t="n">
        <v>2021</v>
      </c>
      <c r="C42" t="inlineStr">
        <is>
          <t>Lipiec</t>
        </is>
      </c>
      <c r="D42" t="inlineStr">
        <is>
          <t>W3</t>
        </is>
      </c>
      <c r="E42" t="n">
        <v>7</v>
      </c>
      <c r="F42" t="inlineStr">
        <is>
          <t>Pełny (7 dni)</t>
        </is>
      </c>
      <c r="G42" t="inlineStr">
        <is>
          <t>13.07</t>
        </is>
      </c>
      <c r="H42" t="inlineStr">
        <is>
          <t>19.07</t>
        </is>
      </c>
      <c r="I42" t="n">
        <v>272</v>
      </c>
      <c r="J42" t="n">
        <v>0.22581</v>
      </c>
    </row>
    <row r="43" ht="17.25" customHeight="1">
      <c r="A43" t="inlineStr">
        <is>
          <t>2021_Lipiec_W4</t>
        </is>
      </c>
      <c r="B43" t="n">
        <v>2021</v>
      </c>
      <c r="C43" t="inlineStr">
        <is>
          <t>Lipiec</t>
        </is>
      </c>
      <c r="D43" t="inlineStr">
        <is>
          <t>W4</t>
        </is>
      </c>
      <c r="E43" t="n">
        <v>7</v>
      </c>
      <c r="F43" t="inlineStr">
        <is>
          <t>Pełny (7 dni)</t>
        </is>
      </c>
      <c r="G43" t="inlineStr">
        <is>
          <t>20.07</t>
        </is>
      </c>
      <c r="H43" t="inlineStr">
        <is>
          <t>26.07</t>
        </is>
      </c>
      <c r="I43" t="n">
        <v>272</v>
      </c>
      <c r="J43" t="n">
        <v>0.22581</v>
      </c>
    </row>
    <row r="44" ht="17.25" customHeight="1">
      <c r="A44" t="inlineStr">
        <is>
          <t>2021_Lipiec_W5</t>
        </is>
      </c>
      <c r="B44" t="n">
        <v>2021</v>
      </c>
      <c r="C44" t="inlineStr">
        <is>
          <t>Lipiec</t>
        </is>
      </c>
      <c r="D44" t="inlineStr">
        <is>
          <t>W5</t>
        </is>
      </c>
      <c r="E44" t="n">
        <v>5</v>
      </c>
      <c r="F44" t="inlineStr">
        <is>
          <t>Niepełny (5 dni)</t>
        </is>
      </c>
      <c r="G44" t="inlineStr">
        <is>
          <t>27.07</t>
        </is>
      </c>
      <c r="H44" t="inlineStr">
        <is>
          <t>31.07</t>
        </is>
      </c>
      <c r="I44" t="n">
        <v>200</v>
      </c>
      <c r="J44" t="n">
        <v>0.16129</v>
      </c>
    </row>
    <row r="45" ht="17.25" customHeight="1">
      <c r="A45" t="inlineStr">
        <is>
          <t>2021_Lipiec_W6</t>
        </is>
      </c>
      <c r="B45" t="n">
        <v>2021</v>
      </c>
      <c r="C45" t="inlineStr">
        <is>
          <t>Lipiec</t>
        </is>
      </c>
      <c r="D45" t="inlineStr">
        <is>
          <t>W6</t>
        </is>
      </c>
      <c r="E45" t="n">
        <v>0</v>
      </c>
      <c r="F45" t="inlineStr">
        <is>
          <t>Brak w miesiącu</t>
        </is>
      </c>
      <c r="G45" t="inlineStr">
        <is>
          <t>-</t>
        </is>
      </c>
      <c r="H45" t="inlineStr">
        <is>
          <t>-</t>
        </is>
      </c>
      <c r="I45" t="n">
        <v>0</v>
      </c>
      <c r="J45" t="n">
        <v>0</v>
      </c>
    </row>
    <row r="46" ht="17.25" customHeight="1">
      <c r="A46" t="inlineStr">
        <is>
          <t>2021_Sierpień_W1</t>
        </is>
      </c>
      <c r="B46" t="n">
        <v>2021</v>
      </c>
      <c r="C46" t="inlineStr">
        <is>
          <t>Sierpień</t>
        </is>
      </c>
      <c r="D46" t="inlineStr">
        <is>
          <t>W1</t>
        </is>
      </c>
      <c r="E46" t="n">
        <v>2</v>
      </c>
      <c r="F46" t="inlineStr">
        <is>
          <t>Niepełny (2 dni)</t>
        </is>
      </c>
      <c r="G46" t="inlineStr">
        <is>
          <t>01.08</t>
        </is>
      </c>
      <c r="H46" t="inlineStr">
        <is>
          <t>02.08</t>
        </is>
      </c>
      <c r="I46" t="n">
        <v>72</v>
      </c>
      <c r="J46" t="n">
        <v>0.06451999999999999</v>
      </c>
    </row>
    <row r="47" ht="17.25" customHeight="1">
      <c r="A47" t="inlineStr">
        <is>
          <t>2021_Sierpień_W2</t>
        </is>
      </c>
      <c r="B47" t="n">
        <v>2021</v>
      </c>
      <c r="C47" t="inlineStr">
        <is>
          <t>Sierpień</t>
        </is>
      </c>
      <c r="D47" t="inlineStr">
        <is>
          <t>W2</t>
        </is>
      </c>
      <c r="E47" t="n">
        <v>7</v>
      </c>
      <c r="F47" t="inlineStr">
        <is>
          <t>Pełny (7 dni)</t>
        </is>
      </c>
      <c r="G47" t="inlineStr">
        <is>
          <t>03.08</t>
        </is>
      </c>
      <c r="H47" t="inlineStr">
        <is>
          <t>09.08</t>
        </is>
      </c>
      <c r="I47" t="n">
        <v>272</v>
      </c>
      <c r="J47" t="n">
        <v>0.22581</v>
      </c>
    </row>
    <row r="48" ht="17.25" customHeight="1">
      <c r="A48" t="inlineStr">
        <is>
          <t>2021_Sierpień_W3</t>
        </is>
      </c>
      <c r="B48" t="n">
        <v>2021</v>
      </c>
      <c r="C48" t="inlineStr">
        <is>
          <t>Sierpień</t>
        </is>
      </c>
      <c r="D48" t="inlineStr">
        <is>
          <t>W3</t>
        </is>
      </c>
      <c r="E48" t="n">
        <v>7</v>
      </c>
      <c r="F48" t="inlineStr">
        <is>
          <t>Pełny (7 dni)</t>
        </is>
      </c>
      <c r="G48" t="inlineStr">
        <is>
          <t>10.08</t>
        </is>
      </c>
      <c r="H48" t="inlineStr">
        <is>
          <t>16.08</t>
        </is>
      </c>
      <c r="I48" t="n">
        <v>272</v>
      </c>
      <c r="J48" t="n">
        <v>0.22581</v>
      </c>
    </row>
    <row r="49" ht="17.25" customHeight="1">
      <c r="A49" t="inlineStr">
        <is>
          <t>2021_Sierpień_W4</t>
        </is>
      </c>
      <c r="B49" t="n">
        <v>2021</v>
      </c>
      <c r="C49" t="inlineStr">
        <is>
          <t>Sierpień</t>
        </is>
      </c>
      <c r="D49" t="inlineStr">
        <is>
          <t>W4</t>
        </is>
      </c>
      <c r="E49" t="n">
        <v>7</v>
      </c>
      <c r="F49" t="inlineStr">
        <is>
          <t>Pełny (7 dni)</t>
        </is>
      </c>
      <c r="G49" t="inlineStr">
        <is>
          <t>17.08</t>
        </is>
      </c>
      <c r="H49" t="inlineStr">
        <is>
          <t>23.08</t>
        </is>
      </c>
      <c r="I49" t="n">
        <v>272</v>
      </c>
      <c r="J49" t="n">
        <v>0.22581</v>
      </c>
    </row>
    <row r="50" ht="17.25" customHeight="1">
      <c r="A50" t="inlineStr">
        <is>
          <t>2021_Sierpień_W5</t>
        </is>
      </c>
      <c r="B50" t="n">
        <v>2021</v>
      </c>
      <c r="C50" t="inlineStr">
        <is>
          <t>Sierpień</t>
        </is>
      </c>
      <c r="D50" t="inlineStr">
        <is>
          <t>W5</t>
        </is>
      </c>
      <c r="E50" t="n">
        <v>7</v>
      </c>
      <c r="F50" t="inlineStr">
        <is>
          <t>Pełny (7 dni)</t>
        </is>
      </c>
      <c r="G50" t="inlineStr">
        <is>
          <t>24.08</t>
        </is>
      </c>
      <c r="H50" t="inlineStr">
        <is>
          <t>30.08</t>
        </is>
      </c>
      <c r="I50" t="n">
        <v>272</v>
      </c>
      <c r="J50" t="n">
        <v>0.22581</v>
      </c>
    </row>
    <row r="51" ht="17.25" customHeight="1">
      <c r="A51" t="inlineStr">
        <is>
          <t>2021_Sierpień_W6</t>
        </is>
      </c>
      <c r="B51" t="n">
        <v>2021</v>
      </c>
      <c r="C51" t="inlineStr">
        <is>
          <t>Sierpień</t>
        </is>
      </c>
      <c r="D51" t="inlineStr">
        <is>
          <t>W6</t>
        </is>
      </c>
      <c r="E51" t="n">
        <v>1</v>
      </c>
      <c r="F51" t="inlineStr">
        <is>
          <t>Niepełny (1 dni)</t>
        </is>
      </c>
      <c r="G51" t="inlineStr">
        <is>
          <t>31.08</t>
        </is>
      </c>
      <c r="H51" t="inlineStr">
        <is>
          <t>31.08</t>
        </is>
      </c>
      <c r="I51" t="n">
        <v>40</v>
      </c>
      <c r="J51" t="n">
        <v>0.03226</v>
      </c>
    </row>
    <row r="52" ht="17.25" customHeight="1">
      <c r="A52" t="inlineStr">
        <is>
          <t>2021_Wrzesień_W1</t>
        </is>
      </c>
      <c r="B52" t="n">
        <v>2021</v>
      </c>
      <c r="C52" t="inlineStr">
        <is>
          <t>Wrzesień</t>
        </is>
      </c>
      <c r="D52" t="inlineStr">
        <is>
          <t>W1</t>
        </is>
      </c>
      <c r="E52" t="n">
        <v>6</v>
      </c>
      <c r="F52" t="inlineStr">
        <is>
          <t>Niepełny (6 dni)</t>
        </is>
      </c>
      <c r="G52" t="inlineStr">
        <is>
          <t>01.09</t>
        </is>
      </c>
      <c r="H52" t="inlineStr">
        <is>
          <t>06.09</t>
        </is>
      </c>
      <c r="I52" t="n">
        <v>232</v>
      </c>
      <c r="J52" t="n">
        <v>0.2</v>
      </c>
    </row>
    <row r="53" ht="17.25" customHeight="1">
      <c r="A53" t="inlineStr">
        <is>
          <t>2021_Wrzesień_W2</t>
        </is>
      </c>
      <c r="B53" t="n">
        <v>2021</v>
      </c>
      <c r="C53" t="inlineStr">
        <is>
          <t>Wrzesień</t>
        </is>
      </c>
      <c r="D53" t="inlineStr">
        <is>
          <t>W2</t>
        </is>
      </c>
      <c r="E53" t="n">
        <v>7</v>
      </c>
      <c r="F53" t="inlineStr">
        <is>
          <t>Pełny (7 dni)</t>
        </is>
      </c>
      <c r="G53" t="inlineStr">
        <is>
          <t>07.09</t>
        </is>
      </c>
      <c r="H53" t="inlineStr">
        <is>
          <t>13.09</t>
        </is>
      </c>
      <c r="I53" t="n">
        <v>272</v>
      </c>
      <c r="J53" t="n">
        <v>0.23333</v>
      </c>
    </row>
    <row r="54" ht="17.25" customHeight="1">
      <c r="A54" t="inlineStr">
        <is>
          <t>2021_Wrzesień_W3</t>
        </is>
      </c>
      <c r="B54" t="n">
        <v>2021</v>
      </c>
      <c r="C54" t="inlineStr">
        <is>
          <t>Wrzesień</t>
        </is>
      </c>
      <c r="D54" t="inlineStr">
        <is>
          <t>W3</t>
        </is>
      </c>
      <c r="E54" t="n">
        <v>7</v>
      </c>
      <c r="F54" t="inlineStr">
        <is>
          <t>Pełny (7 dni)</t>
        </is>
      </c>
      <c r="G54" t="inlineStr">
        <is>
          <t>14.09</t>
        </is>
      </c>
      <c r="H54" t="inlineStr">
        <is>
          <t>20.09</t>
        </is>
      </c>
      <c r="I54" t="n">
        <v>272</v>
      </c>
      <c r="J54" t="n">
        <v>0.23333</v>
      </c>
    </row>
    <row r="55" ht="17.25" customHeight="1">
      <c r="A55" t="inlineStr">
        <is>
          <t>2021_Wrzesień_W4</t>
        </is>
      </c>
      <c r="B55" t="n">
        <v>2021</v>
      </c>
      <c r="C55" t="inlineStr">
        <is>
          <t>Wrzesień</t>
        </is>
      </c>
      <c r="D55" t="inlineStr">
        <is>
          <t>W4</t>
        </is>
      </c>
      <c r="E55" t="n">
        <v>7</v>
      </c>
      <c r="F55" t="inlineStr">
        <is>
          <t>Pełny (7 dni)</t>
        </is>
      </c>
      <c r="G55" t="inlineStr">
        <is>
          <t>21.09</t>
        </is>
      </c>
      <c r="H55" t="inlineStr">
        <is>
          <t>27.09</t>
        </is>
      </c>
      <c r="I55" t="n">
        <v>272</v>
      </c>
      <c r="J55" t="n">
        <v>0.23333</v>
      </c>
    </row>
    <row r="56" ht="17.25" customHeight="1">
      <c r="A56" t="inlineStr">
        <is>
          <t>2021_Wrzesień_W5</t>
        </is>
      </c>
      <c r="B56" t="n">
        <v>2021</v>
      </c>
      <c r="C56" t="inlineStr">
        <is>
          <t>Wrzesień</t>
        </is>
      </c>
      <c r="D56" t="inlineStr">
        <is>
          <t>W5</t>
        </is>
      </c>
      <c r="E56" t="n">
        <v>3</v>
      </c>
      <c r="F56" t="inlineStr">
        <is>
          <t>Niepełny (3 dni)</t>
        </is>
      </c>
      <c r="G56" t="inlineStr">
        <is>
          <t>28.09</t>
        </is>
      </c>
      <c r="H56" t="inlineStr">
        <is>
          <t>30.09</t>
        </is>
      </c>
      <c r="I56" t="n">
        <v>120</v>
      </c>
      <c r="J56" t="n">
        <v>0.1</v>
      </c>
    </row>
    <row r="57" ht="17.25" customHeight="1">
      <c r="A57" t="inlineStr">
        <is>
          <t>2021_Wrzesień_W6</t>
        </is>
      </c>
      <c r="B57" t="n">
        <v>2021</v>
      </c>
      <c r="C57" t="inlineStr">
        <is>
          <t>Wrzesień</t>
        </is>
      </c>
      <c r="D57" t="inlineStr">
        <is>
          <t>W6</t>
        </is>
      </c>
      <c r="E57" t="n">
        <v>0</v>
      </c>
      <c r="F57" t="inlineStr">
        <is>
          <t>Brak w miesiącu</t>
        </is>
      </c>
      <c r="G57" t="inlineStr">
        <is>
          <t>-</t>
        </is>
      </c>
      <c r="H57" t="inlineStr">
        <is>
          <t>-</t>
        </is>
      </c>
      <c r="I57" t="n">
        <v>0</v>
      </c>
      <c r="J57" t="n">
        <v>0</v>
      </c>
    </row>
    <row r="58" ht="17.25" customHeight="1">
      <c r="A58" t="inlineStr">
        <is>
          <t>2021_Październik_W1</t>
        </is>
      </c>
      <c r="B58" t="n">
        <v>2021</v>
      </c>
      <c r="C58" t="inlineStr">
        <is>
          <t>Październik</t>
        </is>
      </c>
      <c r="D58" t="inlineStr">
        <is>
          <t>W1</t>
        </is>
      </c>
      <c r="E58" t="n">
        <v>4</v>
      </c>
      <c r="F58" t="inlineStr">
        <is>
          <t>Niepełny (4 dni)</t>
        </is>
      </c>
      <c r="G58" t="inlineStr">
        <is>
          <t>01.10</t>
        </is>
      </c>
      <c r="H58" t="inlineStr">
        <is>
          <t>04.10</t>
        </is>
      </c>
      <c r="I58" t="n">
        <v>152</v>
      </c>
      <c r="J58" t="n">
        <v>0.12903</v>
      </c>
    </row>
    <row r="59" ht="17.25" customHeight="1">
      <c r="A59" t="inlineStr">
        <is>
          <t>2021_Październik_W2</t>
        </is>
      </c>
      <c r="B59" t="n">
        <v>2021</v>
      </c>
      <c r="C59" t="inlineStr">
        <is>
          <t>Październik</t>
        </is>
      </c>
      <c r="D59" t="inlineStr">
        <is>
          <t>W2</t>
        </is>
      </c>
      <c r="E59" t="n">
        <v>7</v>
      </c>
      <c r="F59" t="inlineStr">
        <is>
          <t>Pełny (7 dni)</t>
        </is>
      </c>
      <c r="G59" t="inlineStr">
        <is>
          <t>05.10</t>
        </is>
      </c>
      <c r="H59" t="inlineStr">
        <is>
          <t>11.10</t>
        </is>
      </c>
      <c r="I59" t="n">
        <v>272</v>
      </c>
      <c r="J59" t="n">
        <v>0.22581</v>
      </c>
    </row>
    <row r="60" ht="17.25" customHeight="1">
      <c r="A60" t="inlineStr">
        <is>
          <t>2021_Październik_W3</t>
        </is>
      </c>
      <c r="B60" t="n">
        <v>2021</v>
      </c>
      <c r="C60" t="inlineStr">
        <is>
          <t>Październik</t>
        </is>
      </c>
      <c r="D60" t="inlineStr">
        <is>
          <t>W3</t>
        </is>
      </c>
      <c r="E60" t="n">
        <v>7</v>
      </c>
      <c r="F60" t="inlineStr">
        <is>
          <t>Pełny (7 dni)</t>
        </is>
      </c>
      <c r="G60" t="inlineStr">
        <is>
          <t>12.10</t>
        </is>
      </c>
      <c r="H60" t="inlineStr">
        <is>
          <t>18.10</t>
        </is>
      </c>
      <c r="I60" t="n">
        <v>272</v>
      </c>
      <c r="J60" t="n">
        <v>0.22581</v>
      </c>
    </row>
    <row r="61" ht="17.25" customHeight="1">
      <c r="A61" t="inlineStr">
        <is>
          <t>2021_Październik_W4</t>
        </is>
      </c>
      <c r="B61" t="n">
        <v>2021</v>
      </c>
      <c r="C61" t="inlineStr">
        <is>
          <t>Październik</t>
        </is>
      </c>
      <c r="D61" t="inlineStr">
        <is>
          <t>W4</t>
        </is>
      </c>
      <c r="E61" t="n">
        <v>7</v>
      </c>
      <c r="F61" t="inlineStr">
        <is>
          <t>Pełny (7 dni)</t>
        </is>
      </c>
      <c r="G61" t="inlineStr">
        <is>
          <t>19.10</t>
        </is>
      </c>
      <c r="H61" t="inlineStr">
        <is>
          <t>25.10</t>
        </is>
      </c>
      <c r="I61" t="n">
        <v>272</v>
      </c>
      <c r="J61" t="n">
        <v>0.22581</v>
      </c>
    </row>
    <row r="62" ht="17.25" customHeight="1">
      <c r="A62" t="inlineStr">
        <is>
          <t>2021_Październik_W5</t>
        </is>
      </c>
      <c r="B62" t="n">
        <v>2021</v>
      </c>
      <c r="C62" t="inlineStr">
        <is>
          <t>Październik</t>
        </is>
      </c>
      <c r="D62" t="inlineStr">
        <is>
          <t>W5</t>
        </is>
      </c>
      <c r="E62" t="n">
        <v>6</v>
      </c>
      <c r="F62" t="inlineStr">
        <is>
          <t>Niepełny (6 dni)</t>
        </is>
      </c>
      <c r="G62" t="inlineStr">
        <is>
          <t>26.10</t>
        </is>
      </c>
      <c r="H62" t="inlineStr">
        <is>
          <t>31.10</t>
        </is>
      </c>
      <c r="I62" t="n">
        <v>232</v>
      </c>
      <c r="J62" t="n">
        <v>0.19355</v>
      </c>
    </row>
    <row r="63" ht="17.25" customHeight="1">
      <c r="A63" t="inlineStr">
        <is>
          <t>2021_Październik_W6</t>
        </is>
      </c>
      <c r="B63" t="n">
        <v>2021</v>
      </c>
      <c r="C63" t="inlineStr">
        <is>
          <t>Październik</t>
        </is>
      </c>
      <c r="D63" t="inlineStr">
        <is>
          <t>W6</t>
        </is>
      </c>
      <c r="E63" t="n">
        <v>0</v>
      </c>
      <c r="F63" t="inlineStr">
        <is>
          <t>Brak w miesiącu</t>
        </is>
      </c>
      <c r="G63" t="inlineStr">
        <is>
          <t>-</t>
        </is>
      </c>
      <c r="H63" t="inlineStr">
        <is>
          <t>-</t>
        </is>
      </c>
      <c r="I63" t="n">
        <v>0</v>
      </c>
      <c r="J63" t="n">
        <v>0</v>
      </c>
    </row>
    <row r="64" ht="17.25" customHeight="1">
      <c r="A64" t="inlineStr">
        <is>
          <t>2021_Listopad_W1</t>
        </is>
      </c>
      <c r="B64" t="n">
        <v>2021</v>
      </c>
      <c r="C64" t="inlineStr">
        <is>
          <t>Listopad</t>
        </is>
      </c>
      <c r="D64" t="inlineStr">
        <is>
          <t>W1</t>
        </is>
      </c>
      <c r="E64" t="n">
        <v>1</v>
      </c>
      <c r="F64" t="inlineStr">
        <is>
          <t>Niepełny (1 dni)</t>
        </is>
      </c>
      <c r="G64" t="inlineStr">
        <is>
          <t>01.11</t>
        </is>
      </c>
      <c r="H64" t="inlineStr">
        <is>
          <t>01.11</t>
        </is>
      </c>
      <c r="I64" t="n">
        <v>40</v>
      </c>
      <c r="J64" t="n">
        <v>0.03333</v>
      </c>
    </row>
    <row r="65" ht="17.25" customHeight="1">
      <c r="A65" t="inlineStr">
        <is>
          <t>2021_Listopad_W2</t>
        </is>
      </c>
      <c r="B65" t="n">
        <v>2021</v>
      </c>
      <c r="C65" t="inlineStr">
        <is>
          <t>Listopad</t>
        </is>
      </c>
      <c r="D65" t="inlineStr">
        <is>
          <t>W2</t>
        </is>
      </c>
      <c r="E65" t="n">
        <v>7</v>
      </c>
      <c r="F65" t="inlineStr">
        <is>
          <t>Pełny (7 dni)</t>
        </is>
      </c>
      <c r="G65" t="inlineStr">
        <is>
          <t>02.11</t>
        </is>
      </c>
      <c r="H65" t="inlineStr">
        <is>
          <t>08.11</t>
        </is>
      </c>
      <c r="I65" t="n">
        <v>272</v>
      </c>
      <c r="J65" t="n">
        <v>0.23333</v>
      </c>
    </row>
    <row r="66" ht="17.25" customHeight="1">
      <c r="A66" t="inlineStr">
        <is>
          <t>2021_Listopad_W3</t>
        </is>
      </c>
      <c r="B66" t="n">
        <v>2021</v>
      </c>
      <c r="C66" t="inlineStr">
        <is>
          <t>Listopad</t>
        </is>
      </c>
      <c r="D66" t="inlineStr">
        <is>
          <t>W3</t>
        </is>
      </c>
      <c r="E66" t="n">
        <v>7</v>
      </c>
      <c r="F66" t="inlineStr">
        <is>
          <t>Pełny (7 dni)</t>
        </is>
      </c>
      <c r="G66" t="inlineStr">
        <is>
          <t>09.11</t>
        </is>
      </c>
      <c r="H66" t="inlineStr">
        <is>
          <t>15.11</t>
        </is>
      </c>
      <c r="I66" t="n">
        <v>272</v>
      </c>
      <c r="J66" t="n">
        <v>0.23333</v>
      </c>
    </row>
    <row r="67" ht="17.25" customHeight="1">
      <c r="A67" t="inlineStr">
        <is>
          <t>2021_Listopad_W4</t>
        </is>
      </c>
      <c r="B67" t="n">
        <v>2021</v>
      </c>
      <c r="C67" t="inlineStr">
        <is>
          <t>Listopad</t>
        </is>
      </c>
      <c r="D67" t="inlineStr">
        <is>
          <t>W4</t>
        </is>
      </c>
      <c r="E67" t="n">
        <v>7</v>
      </c>
      <c r="F67" t="inlineStr">
        <is>
          <t>Pełny (7 dni)</t>
        </is>
      </c>
      <c r="G67" t="inlineStr">
        <is>
          <t>16.11</t>
        </is>
      </c>
      <c r="H67" t="inlineStr">
        <is>
          <t>22.11</t>
        </is>
      </c>
      <c r="I67" t="n">
        <v>272</v>
      </c>
      <c r="J67" t="n">
        <v>0.23333</v>
      </c>
    </row>
    <row r="68" ht="17.25" customHeight="1">
      <c r="A68" t="inlineStr">
        <is>
          <t>2021_Listopad_W5</t>
        </is>
      </c>
      <c r="B68" t="n">
        <v>2021</v>
      </c>
      <c r="C68" t="inlineStr">
        <is>
          <t>Listopad</t>
        </is>
      </c>
      <c r="D68" t="inlineStr">
        <is>
          <t>W5</t>
        </is>
      </c>
      <c r="E68" t="n">
        <v>7</v>
      </c>
      <c r="F68" t="inlineStr">
        <is>
          <t>Pełny (7 dni)</t>
        </is>
      </c>
      <c r="G68" t="inlineStr">
        <is>
          <t>23.11</t>
        </is>
      </c>
      <c r="H68" t="inlineStr">
        <is>
          <t>29.11</t>
        </is>
      </c>
      <c r="I68" t="n">
        <v>272</v>
      </c>
      <c r="J68" t="n">
        <v>0.23333</v>
      </c>
    </row>
    <row r="69" ht="17.25" customHeight="1">
      <c r="A69" t="inlineStr">
        <is>
          <t>2021_Listopad_W6</t>
        </is>
      </c>
      <c r="B69" t="n">
        <v>2021</v>
      </c>
      <c r="C69" t="inlineStr">
        <is>
          <t>Listopad</t>
        </is>
      </c>
      <c r="D69" t="inlineStr">
        <is>
          <t>W6</t>
        </is>
      </c>
      <c r="E69" t="n">
        <v>1</v>
      </c>
      <c r="F69" t="inlineStr">
        <is>
          <t>Niepełny (1 dni)</t>
        </is>
      </c>
      <c r="G69" t="inlineStr">
        <is>
          <t>30.11</t>
        </is>
      </c>
      <c r="H69" t="inlineStr">
        <is>
          <t>30.11</t>
        </is>
      </c>
      <c r="I69" t="n">
        <v>40</v>
      </c>
      <c r="J69" t="n">
        <v>0.03333</v>
      </c>
    </row>
    <row r="70" ht="17.25" customHeight="1">
      <c r="A70" t="inlineStr">
        <is>
          <t>2021_Grudzień_W1</t>
        </is>
      </c>
      <c r="B70" t="n">
        <v>2021</v>
      </c>
      <c r="C70" t="inlineStr">
        <is>
          <t>Grudzień</t>
        </is>
      </c>
      <c r="D70" t="inlineStr">
        <is>
          <t>W1</t>
        </is>
      </c>
      <c r="E70" t="n">
        <v>6</v>
      </c>
      <c r="F70" t="inlineStr">
        <is>
          <t>Niepełny (6 dni)</t>
        </is>
      </c>
      <c r="G70" t="inlineStr">
        <is>
          <t>01.12</t>
        </is>
      </c>
      <c r="H70" t="inlineStr">
        <is>
          <t>06.12</t>
        </is>
      </c>
      <c r="I70" t="n">
        <v>232</v>
      </c>
      <c r="J70" t="n">
        <v>0.19355</v>
      </c>
    </row>
    <row r="71" ht="17.25" customHeight="1">
      <c r="A71" t="inlineStr">
        <is>
          <t>2021_Grudzień_W2</t>
        </is>
      </c>
      <c r="B71" t="n">
        <v>2021</v>
      </c>
      <c r="C71" t="inlineStr">
        <is>
          <t>Grudzień</t>
        </is>
      </c>
      <c r="D71" t="inlineStr">
        <is>
          <t>W2</t>
        </is>
      </c>
      <c r="E71" t="n">
        <v>7</v>
      </c>
      <c r="F71" t="inlineStr">
        <is>
          <t>Pełny (7 dni)</t>
        </is>
      </c>
      <c r="G71" t="inlineStr">
        <is>
          <t>07.12</t>
        </is>
      </c>
      <c r="H71" t="inlineStr">
        <is>
          <t>13.12</t>
        </is>
      </c>
      <c r="I71" t="n">
        <v>272</v>
      </c>
      <c r="J71" t="n">
        <v>0.22581</v>
      </c>
    </row>
    <row r="72" ht="17.25" customHeight="1">
      <c r="A72" t="inlineStr">
        <is>
          <t>2021_Grudzień_W3</t>
        </is>
      </c>
      <c r="B72" t="n">
        <v>2021</v>
      </c>
      <c r="C72" t="inlineStr">
        <is>
          <t>Grudzień</t>
        </is>
      </c>
      <c r="D72" t="inlineStr">
        <is>
          <t>W3</t>
        </is>
      </c>
      <c r="E72" t="n">
        <v>7</v>
      </c>
      <c r="F72" t="inlineStr">
        <is>
          <t>Pełny (7 dni)</t>
        </is>
      </c>
      <c r="G72" t="inlineStr">
        <is>
          <t>14.12</t>
        </is>
      </c>
      <c r="H72" t="inlineStr">
        <is>
          <t>20.12</t>
        </is>
      </c>
      <c r="I72" t="n">
        <v>272</v>
      </c>
      <c r="J72" t="n">
        <v>0.22581</v>
      </c>
    </row>
    <row r="73" ht="17.25" customHeight="1">
      <c r="A73" t="inlineStr">
        <is>
          <t>2021_Grudzień_W4</t>
        </is>
      </c>
      <c r="B73" t="n">
        <v>2021</v>
      </c>
      <c r="C73" t="inlineStr">
        <is>
          <t>Grudzień</t>
        </is>
      </c>
      <c r="D73" t="inlineStr">
        <is>
          <t>W4</t>
        </is>
      </c>
      <c r="E73" t="n">
        <v>7</v>
      </c>
      <c r="F73" t="inlineStr">
        <is>
          <t>Pełny (7 dni)</t>
        </is>
      </c>
      <c r="G73" t="inlineStr">
        <is>
          <t>21.12</t>
        </is>
      </c>
      <c r="H73" t="inlineStr">
        <is>
          <t>27.12</t>
        </is>
      </c>
      <c r="I73" t="n">
        <v>272</v>
      </c>
      <c r="J73" t="n">
        <v>0.22581</v>
      </c>
    </row>
    <row r="74" ht="17.25" customHeight="1">
      <c r="A74" t="inlineStr">
        <is>
          <t>2021_Grudzień_W5</t>
        </is>
      </c>
      <c r="B74" t="n">
        <v>2021</v>
      </c>
      <c r="C74" t="inlineStr">
        <is>
          <t>Grudzień</t>
        </is>
      </c>
      <c r="D74" t="inlineStr">
        <is>
          <t>W5</t>
        </is>
      </c>
      <c r="E74" t="n">
        <v>4</v>
      </c>
      <c r="F74" t="inlineStr">
        <is>
          <t>Niepełny (4 dni)</t>
        </is>
      </c>
      <c r="G74" t="inlineStr">
        <is>
          <t>28.12</t>
        </is>
      </c>
      <c r="H74" t="inlineStr">
        <is>
          <t>31.12</t>
        </is>
      </c>
      <c r="I74" t="n">
        <v>160</v>
      </c>
      <c r="J74" t="n">
        <v>0.12903</v>
      </c>
    </row>
    <row r="75" ht="17.25" customHeight="1">
      <c r="A75" t="inlineStr">
        <is>
          <t>2021_Grudzień_W6</t>
        </is>
      </c>
      <c r="B75" t="n">
        <v>2021</v>
      </c>
      <c r="C75" t="inlineStr">
        <is>
          <t>Grudzień</t>
        </is>
      </c>
      <c r="D75" t="inlineStr">
        <is>
          <t>W6</t>
        </is>
      </c>
      <c r="E75" t="n">
        <v>0</v>
      </c>
      <c r="F75" t="inlineStr">
        <is>
          <t>Brak w miesiącu</t>
        </is>
      </c>
      <c r="G75" t="inlineStr">
        <is>
          <t>-</t>
        </is>
      </c>
      <c r="H75" t="inlineStr">
        <is>
          <t>-</t>
        </is>
      </c>
      <c r="I75" t="n">
        <v>0</v>
      </c>
      <c r="J75" t="n">
        <v>0</v>
      </c>
    </row>
    <row r="76">
      <c r="A76" t="inlineStr">
        <is>
          <t>2022_Styczeń_W1</t>
        </is>
      </c>
      <c r="B76" t="n">
        <v>2022</v>
      </c>
      <c r="C76" t="inlineStr">
        <is>
          <t>Styczeń</t>
        </is>
      </c>
      <c r="D76" t="inlineStr">
        <is>
          <t>W1</t>
        </is>
      </c>
      <c r="E76" t="n">
        <v>3</v>
      </c>
      <c r="F76" t="inlineStr">
        <is>
          <t>Niepełny (3 dni)</t>
        </is>
      </c>
      <c r="G76" t="inlineStr">
        <is>
          <t>01.01</t>
        </is>
      </c>
      <c r="H76" t="inlineStr">
        <is>
          <t>03.01</t>
        </is>
      </c>
      <c r="I76" t="n">
        <v>112</v>
      </c>
      <c r="J76" t="n">
        <v>0.09676999999999999</v>
      </c>
    </row>
    <row r="77">
      <c r="A77" t="inlineStr">
        <is>
          <t>2022_Styczeń_W2</t>
        </is>
      </c>
      <c r="B77" t="n">
        <v>2022</v>
      </c>
      <c r="C77" t="inlineStr">
        <is>
          <t>Styczeń</t>
        </is>
      </c>
      <c r="D77" t="inlineStr">
        <is>
          <t>W2</t>
        </is>
      </c>
      <c r="E77" t="n">
        <v>7</v>
      </c>
      <c r="F77" t="inlineStr">
        <is>
          <t>Pełny (7 dni)</t>
        </is>
      </c>
      <c r="G77" t="inlineStr">
        <is>
          <t>04.01</t>
        </is>
      </c>
      <c r="H77" t="inlineStr">
        <is>
          <t>10.01</t>
        </is>
      </c>
      <c r="I77" t="n">
        <v>272</v>
      </c>
      <c r="J77" t="n">
        <v>0.22581</v>
      </c>
    </row>
    <row r="78">
      <c r="A78" t="inlineStr">
        <is>
          <t>2022_Styczeń_W3</t>
        </is>
      </c>
      <c r="B78" t="n">
        <v>2022</v>
      </c>
      <c r="C78" t="inlineStr">
        <is>
          <t>Styczeń</t>
        </is>
      </c>
      <c r="D78" t="inlineStr">
        <is>
          <t>W3</t>
        </is>
      </c>
      <c r="E78" t="n">
        <v>7</v>
      </c>
      <c r="F78" t="inlineStr">
        <is>
          <t>Pełny (7 dni)</t>
        </is>
      </c>
      <c r="G78" t="inlineStr">
        <is>
          <t>11.01</t>
        </is>
      </c>
      <c r="H78" t="inlineStr">
        <is>
          <t>17.01</t>
        </is>
      </c>
      <c r="I78" t="n">
        <v>272</v>
      </c>
      <c r="J78" t="n">
        <v>0.22581</v>
      </c>
    </row>
    <row r="79">
      <c r="A79" t="inlineStr">
        <is>
          <t>2022_Styczeń_W4</t>
        </is>
      </c>
      <c r="B79" t="n">
        <v>2022</v>
      </c>
      <c r="C79" t="inlineStr">
        <is>
          <t>Styczeń</t>
        </is>
      </c>
      <c r="D79" t="inlineStr">
        <is>
          <t>W4</t>
        </is>
      </c>
      <c r="E79" t="n">
        <v>7</v>
      </c>
      <c r="F79" t="inlineStr">
        <is>
          <t>Pełny (7 dni)</t>
        </is>
      </c>
      <c r="G79" t="inlineStr">
        <is>
          <t>18.01</t>
        </is>
      </c>
      <c r="H79" t="inlineStr">
        <is>
          <t>24.01</t>
        </is>
      </c>
      <c r="I79" t="n">
        <v>272</v>
      </c>
      <c r="J79" t="n">
        <v>0.22581</v>
      </c>
    </row>
    <row r="80">
      <c r="A80" t="inlineStr">
        <is>
          <t>2022_Styczeń_W5</t>
        </is>
      </c>
      <c r="B80" t="n">
        <v>2022</v>
      </c>
      <c r="C80" t="inlineStr">
        <is>
          <t>Styczeń</t>
        </is>
      </c>
      <c r="D80" t="inlineStr">
        <is>
          <t>W5</t>
        </is>
      </c>
      <c r="E80" t="n">
        <v>7</v>
      </c>
      <c r="F80" t="inlineStr">
        <is>
          <t>Pełny (7 dni)</t>
        </is>
      </c>
      <c r="G80" t="inlineStr">
        <is>
          <t>25.01</t>
        </is>
      </c>
      <c r="H80" t="inlineStr">
        <is>
          <t>31.01</t>
        </is>
      </c>
      <c r="I80" t="n">
        <v>272</v>
      </c>
      <c r="J80" t="n">
        <v>0.22581</v>
      </c>
    </row>
    <row r="81">
      <c r="A81" t="inlineStr">
        <is>
          <t>2022_Styczeń_W6</t>
        </is>
      </c>
      <c r="B81" t="n">
        <v>2022</v>
      </c>
      <c r="C81" t="inlineStr">
        <is>
          <t>Styczeń</t>
        </is>
      </c>
      <c r="D81" t="inlineStr">
        <is>
          <t>W6</t>
        </is>
      </c>
      <c r="E81" t="n">
        <v>0</v>
      </c>
      <c r="F81" t="inlineStr">
        <is>
          <t>Brak w miesiącu</t>
        </is>
      </c>
      <c r="G81" t="inlineStr">
        <is>
          <t>-</t>
        </is>
      </c>
      <c r="H81" t="inlineStr">
        <is>
          <t>-</t>
        </is>
      </c>
      <c r="I81" t="n">
        <v>0</v>
      </c>
      <c r="J81" t="n">
        <v>0</v>
      </c>
    </row>
    <row r="82">
      <c r="A82" t="inlineStr">
        <is>
          <t>2022_Luty_W1</t>
        </is>
      </c>
      <c r="B82" t="n">
        <v>2022</v>
      </c>
      <c r="C82" t="inlineStr">
        <is>
          <t>Luty</t>
        </is>
      </c>
      <c r="D82" t="inlineStr">
        <is>
          <t>W1</t>
        </is>
      </c>
      <c r="E82" t="n">
        <v>7</v>
      </c>
      <c r="F82" t="inlineStr">
        <is>
          <t>Pełny (7 dni)</t>
        </is>
      </c>
      <c r="G82" t="inlineStr">
        <is>
          <t>01.02</t>
        </is>
      </c>
      <c r="H82" t="inlineStr">
        <is>
          <t>07.02</t>
        </is>
      </c>
      <c r="I82" t="n">
        <v>272</v>
      </c>
      <c r="J82" t="n">
        <v>0.25</v>
      </c>
    </row>
    <row r="83">
      <c r="A83" t="inlineStr">
        <is>
          <t>2022_Luty_W2</t>
        </is>
      </c>
      <c r="B83" t="n">
        <v>2022</v>
      </c>
      <c r="C83" t="inlineStr">
        <is>
          <t>Luty</t>
        </is>
      </c>
      <c r="D83" t="inlineStr">
        <is>
          <t>W2</t>
        </is>
      </c>
      <c r="E83" t="n">
        <v>7</v>
      </c>
      <c r="F83" t="inlineStr">
        <is>
          <t>Pełny (7 dni)</t>
        </is>
      </c>
      <c r="G83" t="inlineStr">
        <is>
          <t>08.02</t>
        </is>
      </c>
      <c r="H83" t="inlineStr">
        <is>
          <t>14.02</t>
        </is>
      </c>
      <c r="I83" t="n">
        <v>272</v>
      </c>
      <c r="J83" t="n">
        <v>0.25</v>
      </c>
    </row>
    <row r="84">
      <c r="A84" t="inlineStr">
        <is>
          <t>2022_Luty_W3</t>
        </is>
      </c>
      <c r="B84" t="n">
        <v>2022</v>
      </c>
      <c r="C84" t="inlineStr">
        <is>
          <t>Luty</t>
        </is>
      </c>
      <c r="D84" t="inlineStr">
        <is>
          <t>W3</t>
        </is>
      </c>
      <c r="E84" t="n">
        <v>7</v>
      </c>
      <c r="F84" t="inlineStr">
        <is>
          <t>Pełny (7 dni)</t>
        </is>
      </c>
      <c r="G84" t="inlineStr">
        <is>
          <t>15.02</t>
        </is>
      </c>
      <c r="H84" t="inlineStr">
        <is>
          <t>21.02</t>
        </is>
      </c>
      <c r="I84" t="n">
        <v>272</v>
      </c>
      <c r="J84" t="n">
        <v>0.25</v>
      </c>
    </row>
    <row r="85">
      <c r="A85" t="inlineStr">
        <is>
          <t>2022_Luty_W4</t>
        </is>
      </c>
      <c r="B85" t="n">
        <v>2022</v>
      </c>
      <c r="C85" t="inlineStr">
        <is>
          <t>Luty</t>
        </is>
      </c>
      <c r="D85" t="inlineStr">
        <is>
          <t>W4</t>
        </is>
      </c>
      <c r="E85" t="n">
        <v>7</v>
      </c>
      <c r="F85" t="inlineStr">
        <is>
          <t>Pełny (7 dni)</t>
        </is>
      </c>
      <c r="G85" t="inlineStr">
        <is>
          <t>22.02</t>
        </is>
      </c>
      <c r="H85" t="inlineStr">
        <is>
          <t>28.02</t>
        </is>
      </c>
      <c r="I85" t="n">
        <v>272</v>
      </c>
      <c r="J85" t="n">
        <v>0.25</v>
      </c>
    </row>
    <row r="86">
      <c r="A86" t="inlineStr">
        <is>
          <t>2022_Luty_W5</t>
        </is>
      </c>
      <c r="B86" t="n">
        <v>2022</v>
      </c>
      <c r="C86" t="inlineStr">
        <is>
          <t>Luty</t>
        </is>
      </c>
      <c r="D86" t="inlineStr">
        <is>
          <t>W5</t>
        </is>
      </c>
      <c r="E86" t="n">
        <v>0</v>
      </c>
      <c r="F86" t="inlineStr">
        <is>
          <t>Brak w miesiącu</t>
        </is>
      </c>
      <c r="G86" t="inlineStr">
        <is>
          <t>-</t>
        </is>
      </c>
      <c r="H86" t="inlineStr">
        <is>
          <t>-</t>
        </is>
      </c>
      <c r="I86" t="n">
        <v>0</v>
      </c>
      <c r="J86" t="n">
        <v>0</v>
      </c>
    </row>
    <row r="87">
      <c r="A87" t="inlineStr">
        <is>
          <t>2022_Luty_W6</t>
        </is>
      </c>
      <c r="B87" t="n">
        <v>2022</v>
      </c>
      <c r="C87" t="inlineStr">
        <is>
          <t>Luty</t>
        </is>
      </c>
      <c r="D87" t="inlineStr">
        <is>
          <t>W6</t>
        </is>
      </c>
      <c r="E87" t="n">
        <v>0</v>
      </c>
      <c r="F87" t="inlineStr">
        <is>
          <t>Brak w miesiącu</t>
        </is>
      </c>
      <c r="G87" t="inlineStr">
        <is>
          <t>-</t>
        </is>
      </c>
      <c r="H87" t="inlineStr">
        <is>
          <t>-</t>
        </is>
      </c>
      <c r="I87" t="n">
        <v>0</v>
      </c>
      <c r="J87" t="n">
        <v>0</v>
      </c>
    </row>
    <row r="88">
      <c r="A88" t="inlineStr">
        <is>
          <t>2022_Marzec_W1</t>
        </is>
      </c>
      <c r="B88" t="n">
        <v>2022</v>
      </c>
      <c r="C88" t="inlineStr">
        <is>
          <t>Marzec</t>
        </is>
      </c>
      <c r="D88" t="inlineStr">
        <is>
          <t>W1</t>
        </is>
      </c>
      <c r="E88" t="n">
        <v>7</v>
      </c>
      <c r="F88" t="inlineStr">
        <is>
          <t>Pełny (7 dni)</t>
        </is>
      </c>
      <c r="G88" t="inlineStr">
        <is>
          <t>01.03</t>
        </is>
      </c>
      <c r="H88" t="inlineStr">
        <is>
          <t>07.03</t>
        </is>
      </c>
      <c r="I88" t="n">
        <v>272</v>
      </c>
      <c r="J88" t="n">
        <v>0.22581</v>
      </c>
    </row>
    <row r="89">
      <c r="A89" t="inlineStr">
        <is>
          <t>2022_Marzec_W2</t>
        </is>
      </c>
      <c r="B89" t="n">
        <v>2022</v>
      </c>
      <c r="C89" t="inlineStr">
        <is>
          <t>Marzec</t>
        </is>
      </c>
      <c r="D89" t="inlineStr">
        <is>
          <t>W2</t>
        </is>
      </c>
      <c r="E89" t="n">
        <v>7</v>
      </c>
      <c r="F89" t="inlineStr">
        <is>
          <t>Pełny (7 dni)</t>
        </is>
      </c>
      <c r="G89" t="inlineStr">
        <is>
          <t>08.03</t>
        </is>
      </c>
      <c r="H89" t="inlineStr">
        <is>
          <t>14.03</t>
        </is>
      </c>
      <c r="I89" t="n">
        <v>272</v>
      </c>
      <c r="J89" t="n">
        <v>0.22581</v>
      </c>
    </row>
    <row r="90">
      <c r="A90" t="inlineStr">
        <is>
          <t>2022_Marzec_W3</t>
        </is>
      </c>
      <c r="B90" t="n">
        <v>2022</v>
      </c>
      <c r="C90" t="inlineStr">
        <is>
          <t>Marzec</t>
        </is>
      </c>
      <c r="D90" t="inlineStr">
        <is>
          <t>W3</t>
        </is>
      </c>
      <c r="E90" t="n">
        <v>7</v>
      </c>
      <c r="F90" t="inlineStr">
        <is>
          <t>Pełny (7 dni)</t>
        </is>
      </c>
      <c r="G90" t="inlineStr">
        <is>
          <t>15.03</t>
        </is>
      </c>
      <c r="H90" t="inlineStr">
        <is>
          <t>21.03</t>
        </is>
      </c>
      <c r="I90" t="n">
        <v>272</v>
      </c>
      <c r="J90" t="n">
        <v>0.22581</v>
      </c>
    </row>
    <row r="91">
      <c r="A91" t="inlineStr">
        <is>
          <t>2022_Marzec_W4</t>
        </is>
      </c>
      <c r="B91" t="n">
        <v>2022</v>
      </c>
      <c r="C91" t="inlineStr">
        <is>
          <t>Marzec</t>
        </is>
      </c>
      <c r="D91" t="inlineStr">
        <is>
          <t>W4</t>
        </is>
      </c>
      <c r="E91" t="n">
        <v>7</v>
      </c>
      <c r="F91" t="inlineStr">
        <is>
          <t>Pełny (7 dni)</t>
        </is>
      </c>
      <c r="G91" t="inlineStr">
        <is>
          <t>22.03</t>
        </is>
      </c>
      <c r="H91" t="inlineStr">
        <is>
          <t>28.03</t>
        </is>
      </c>
      <c r="I91" t="n">
        <v>272</v>
      </c>
      <c r="J91" t="n">
        <v>0.22581</v>
      </c>
    </row>
    <row r="92">
      <c r="A92" t="inlineStr">
        <is>
          <t>2022_Marzec_W5</t>
        </is>
      </c>
      <c r="B92" t="n">
        <v>2022</v>
      </c>
      <c r="C92" t="inlineStr">
        <is>
          <t>Marzec</t>
        </is>
      </c>
      <c r="D92" t="inlineStr">
        <is>
          <t>W5</t>
        </is>
      </c>
      <c r="E92" t="n">
        <v>3</v>
      </c>
      <c r="F92" t="inlineStr">
        <is>
          <t>Niepełny (3 dni)</t>
        </is>
      </c>
      <c r="G92" t="inlineStr">
        <is>
          <t>29.03</t>
        </is>
      </c>
      <c r="H92" t="inlineStr">
        <is>
          <t>31.03</t>
        </is>
      </c>
      <c r="I92" t="n">
        <v>120</v>
      </c>
      <c r="J92" t="n">
        <v>0.09676999999999999</v>
      </c>
    </row>
    <row r="93">
      <c r="A93" t="inlineStr">
        <is>
          <t>2022_Marzec_W6</t>
        </is>
      </c>
      <c r="B93" t="n">
        <v>2022</v>
      </c>
      <c r="C93" t="inlineStr">
        <is>
          <t>Marzec</t>
        </is>
      </c>
      <c r="D93" t="inlineStr">
        <is>
          <t>W6</t>
        </is>
      </c>
      <c r="E93" t="n">
        <v>0</v>
      </c>
      <c r="F93" t="inlineStr">
        <is>
          <t>Brak w miesiącu</t>
        </is>
      </c>
      <c r="G93" t="inlineStr">
        <is>
          <t>-</t>
        </is>
      </c>
      <c r="H93" t="inlineStr">
        <is>
          <t>-</t>
        </is>
      </c>
      <c r="I93" t="n">
        <v>0</v>
      </c>
      <c r="J93" t="n">
        <v>0</v>
      </c>
    </row>
    <row r="94">
      <c r="A94" t="inlineStr">
        <is>
          <t>2022_Kwiecień_W1</t>
        </is>
      </c>
      <c r="B94" t="n">
        <v>2022</v>
      </c>
      <c r="C94" t="inlineStr">
        <is>
          <t>Kwiecień</t>
        </is>
      </c>
      <c r="D94" t="inlineStr">
        <is>
          <t>W1</t>
        </is>
      </c>
      <c r="E94" t="n">
        <v>4</v>
      </c>
      <c r="F94" t="inlineStr">
        <is>
          <t>Niepełny (4 dni)</t>
        </is>
      </c>
      <c r="G94" t="inlineStr">
        <is>
          <t>01.04</t>
        </is>
      </c>
      <c r="H94" t="inlineStr">
        <is>
          <t>04.04</t>
        </is>
      </c>
      <c r="I94" t="n">
        <v>152</v>
      </c>
      <c r="J94" t="n">
        <v>0.13333</v>
      </c>
    </row>
    <row r="95">
      <c r="A95" t="inlineStr">
        <is>
          <t>2022_Kwiecień_W2</t>
        </is>
      </c>
      <c r="B95" t="n">
        <v>2022</v>
      </c>
      <c r="C95" t="inlineStr">
        <is>
          <t>Kwiecień</t>
        </is>
      </c>
      <c r="D95" t="inlineStr">
        <is>
          <t>W2</t>
        </is>
      </c>
      <c r="E95" t="n">
        <v>7</v>
      </c>
      <c r="F95" t="inlineStr">
        <is>
          <t>Pełny (7 dni)</t>
        </is>
      </c>
      <c r="G95" t="inlineStr">
        <is>
          <t>05.04</t>
        </is>
      </c>
      <c r="H95" t="inlineStr">
        <is>
          <t>11.04</t>
        </is>
      </c>
      <c r="I95" t="n">
        <v>272</v>
      </c>
      <c r="J95" t="n">
        <v>0.23333</v>
      </c>
    </row>
    <row r="96">
      <c r="A96" t="inlineStr">
        <is>
          <t>2022_Kwiecień_W3</t>
        </is>
      </c>
      <c r="B96" t="n">
        <v>2022</v>
      </c>
      <c r="C96" t="inlineStr">
        <is>
          <t>Kwiecień</t>
        </is>
      </c>
      <c r="D96" t="inlineStr">
        <is>
          <t>W3</t>
        </is>
      </c>
      <c r="E96" t="n">
        <v>7</v>
      </c>
      <c r="F96" t="inlineStr">
        <is>
          <t>Pełny (7 dni)</t>
        </is>
      </c>
      <c r="G96" t="inlineStr">
        <is>
          <t>12.04</t>
        </is>
      </c>
      <c r="H96" t="inlineStr">
        <is>
          <t>18.04</t>
        </is>
      </c>
      <c r="I96" t="n">
        <v>272</v>
      </c>
      <c r="J96" t="n">
        <v>0.23333</v>
      </c>
    </row>
    <row r="97">
      <c r="A97" t="inlineStr">
        <is>
          <t>2022_Kwiecień_W4</t>
        </is>
      </c>
      <c r="B97" t="n">
        <v>2022</v>
      </c>
      <c r="C97" t="inlineStr">
        <is>
          <t>Kwiecień</t>
        </is>
      </c>
      <c r="D97" t="inlineStr">
        <is>
          <t>W4</t>
        </is>
      </c>
      <c r="E97" t="n">
        <v>7</v>
      </c>
      <c r="F97" t="inlineStr">
        <is>
          <t>Pełny (7 dni)</t>
        </is>
      </c>
      <c r="G97" t="inlineStr">
        <is>
          <t>19.04</t>
        </is>
      </c>
      <c r="H97" t="inlineStr">
        <is>
          <t>25.04</t>
        </is>
      </c>
      <c r="I97" t="n">
        <v>272</v>
      </c>
      <c r="J97" t="n">
        <v>0.23333</v>
      </c>
    </row>
    <row r="98">
      <c r="A98" t="inlineStr">
        <is>
          <t>2022_Kwiecień_W5</t>
        </is>
      </c>
      <c r="B98" t="n">
        <v>2022</v>
      </c>
      <c r="C98" t="inlineStr">
        <is>
          <t>Kwiecień</t>
        </is>
      </c>
      <c r="D98" t="inlineStr">
        <is>
          <t>W5</t>
        </is>
      </c>
      <c r="E98" t="n">
        <v>5</v>
      </c>
      <c r="F98" t="inlineStr">
        <is>
          <t>Niepełny (5 dni)</t>
        </is>
      </c>
      <c r="G98" t="inlineStr">
        <is>
          <t>26.04</t>
        </is>
      </c>
      <c r="H98" t="inlineStr">
        <is>
          <t>30.04</t>
        </is>
      </c>
      <c r="I98" t="n">
        <v>200</v>
      </c>
      <c r="J98" t="n">
        <v>0.16667</v>
      </c>
    </row>
    <row r="99">
      <c r="A99" t="inlineStr">
        <is>
          <t>2022_Kwiecień_W6</t>
        </is>
      </c>
      <c r="B99" t="n">
        <v>2022</v>
      </c>
      <c r="C99" t="inlineStr">
        <is>
          <t>Kwiecień</t>
        </is>
      </c>
      <c r="D99" t="inlineStr">
        <is>
          <t>W6</t>
        </is>
      </c>
      <c r="E99" t="n">
        <v>0</v>
      </c>
      <c r="F99" t="inlineStr">
        <is>
          <t>Brak w miesiącu</t>
        </is>
      </c>
      <c r="G99" t="inlineStr">
        <is>
          <t>-</t>
        </is>
      </c>
      <c r="H99" t="inlineStr">
        <is>
          <t>-</t>
        </is>
      </c>
      <c r="I99" t="n">
        <v>0</v>
      </c>
      <c r="J99" t="n">
        <v>0</v>
      </c>
    </row>
    <row r="100">
      <c r="A100" t="inlineStr">
        <is>
          <t>2022_Maj_W1</t>
        </is>
      </c>
      <c r="B100" t="n">
        <v>2022</v>
      </c>
      <c r="C100" t="inlineStr">
        <is>
          <t>Maj</t>
        </is>
      </c>
      <c r="D100" t="inlineStr">
        <is>
          <t>W1</t>
        </is>
      </c>
      <c r="E100" t="n">
        <v>2</v>
      </c>
      <c r="F100" t="inlineStr">
        <is>
          <t>Niepełny (2 dni)</t>
        </is>
      </c>
      <c r="G100" t="inlineStr">
        <is>
          <t>01.05</t>
        </is>
      </c>
      <c r="H100" t="inlineStr">
        <is>
          <t>02.05</t>
        </is>
      </c>
      <c r="I100" t="n">
        <v>72</v>
      </c>
      <c r="J100" t="n">
        <v>0.06451999999999999</v>
      </c>
    </row>
    <row r="101">
      <c r="A101" t="inlineStr">
        <is>
          <t>2022_Maj_W2</t>
        </is>
      </c>
      <c r="B101" t="n">
        <v>2022</v>
      </c>
      <c r="C101" t="inlineStr">
        <is>
          <t>Maj</t>
        </is>
      </c>
      <c r="D101" t="inlineStr">
        <is>
          <t>W2</t>
        </is>
      </c>
      <c r="E101" t="n">
        <v>7</v>
      </c>
      <c r="F101" t="inlineStr">
        <is>
          <t>Pełny (7 dni)</t>
        </is>
      </c>
      <c r="G101" t="inlineStr">
        <is>
          <t>03.05</t>
        </is>
      </c>
      <c r="H101" t="inlineStr">
        <is>
          <t>09.05</t>
        </is>
      </c>
      <c r="I101" t="n">
        <v>272</v>
      </c>
      <c r="J101" t="n">
        <v>0.22581</v>
      </c>
    </row>
    <row r="102">
      <c r="A102" t="inlineStr">
        <is>
          <t>2022_Maj_W3</t>
        </is>
      </c>
      <c r="B102" t="n">
        <v>2022</v>
      </c>
      <c r="C102" t="inlineStr">
        <is>
          <t>Maj</t>
        </is>
      </c>
      <c r="D102" t="inlineStr">
        <is>
          <t>W3</t>
        </is>
      </c>
      <c r="E102" t="n">
        <v>7</v>
      </c>
      <c r="F102" t="inlineStr">
        <is>
          <t>Pełny (7 dni)</t>
        </is>
      </c>
      <c r="G102" t="inlineStr">
        <is>
          <t>10.05</t>
        </is>
      </c>
      <c r="H102" t="inlineStr">
        <is>
          <t>16.05</t>
        </is>
      </c>
      <c r="I102" t="n">
        <v>272</v>
      </c>
      <c r="J102" t="n">
        <v>0.22581</v>
      </c>
    </row>
    <row r="103">
      <c r="A103" t="inlineStr">
        <is>
          <t>2022_Maj_W4</t>
        </is>
      </c>
      <c r="B103" t="n">
        <v>2022</v>
      </c>
      <c r="C103" t="inlineStr">
        <is>
          <t>Maj</t>
        </is>
      </c>
      <c r="D103" t="inlineStr">
        <is>
          <t>W4</t>
        </is>
      </c>
      <c r="E103" t="n">
        <v>7</v>
      </c>
      <c r="F103" t="inlineStr">
        <is>
          <t>Pełny (7 dni)</t>
        </is>
      </c>
      <c r="G103" t="inlineStr">
        <is>
          <t>17.05</t>
        </is>
      </c>
      <c r="H103" t="inlineStr">
        <is>
          <t>23.05</t>
        </is>
      </c>
      <c r="I103" t="n">
        <v>272</v>
      </c>
      <c r="J103" t="n">
        <v>0.22581</v>
      </c>
    </row>
    <row r="104">
      <c r="A104" t="inlineStr">
        <is>
          <t>2022_Maj_W5</t>
        </is>
      </c>
      <c r="B104" t="n">
        <v>2022</v>
      </c>
      <c r="C104" t="inlineStr">
        <is>
          <t>Maj</t>
        </is>
      </c>
      <c r="D104" t="inlineStr">
        <is>
          <t>W5</t>
        </is>
      </c>
      <c r="E104" t="n">
        <v>7</v>
      </c>
      <c r="F104" t="inlineStr">
        <is>
          <t>Pełny (7 dni)</t>
        </is>
      </c>
      <c r="G104" t="inlineStr">
        <is>
          <t>24.05</t>
        </is>
      </c>
      <c r="H104" t="inlineStr">
        <is>
          <t>30.05</t>
        </is>
      </c>
      <c r="I104" t="n">
        <v>272</v>
      </c>
      <c r="J104" t="n">
        <v>0.22581</v>
      </c>
    </row>
    <row r="105">
      <c r="A105" t="inlineStr">
        <is>
          <t>2022_Maj_W6</t>
        </is>
      </c>
      <c r="B105" t="n">
        <v>2022</v>
      </c>
      <c r="C105" t="inlineStr">
        <is>
          <t>Maj</t>
        </is>
      </c>
      <c r="D105" t="inlineStr">
        <is>
          <t>W6</t>
        </is>
      </c>
      <c r="E105" t="n">
        <v>1</v>
      </c>
      <c r="F105" t="inlineStr">
        <is>
          <t>Niepełny (1 dni)</t>
        </is>
      </c>
      <c r="G105" t="inlineStr">
        <is>
          <t>31.05</t>
        </is>
      </c>
      <c r="H105" t="inlineStr">
        <is>
          <t>31.05</t>
        </is>
      </c>
      <c r="I105" t="n">
        <v>40</v>
      </c>
      <c r="J105" t="n">
        <v>0.03226</v>
      </c>
    </row>
    <row r="106">
      <c r="A106" t="inlineStr">
        <is>
          <t>2022_Czerwiec_W1</t>
        </is>
      </c>
      <c r="B106" t="n">
        <v>2022</v>
      </c>
      <c r="C106" t="inlineStr">
        <is>
          <t>Czerwiec</t>
        </is>
      </c>
      <c r="D106" t="inlineStr">
        <is>
          <t>W1</t>
        </is>
      </c>
      <c r="E106" t="n">
        <v>6</v>
      </c>
      <c r="F106" t="inlineStr">
        <is>
          <t>Niepełny (6 dni)</t>
        </is>
      </c>
      <c r="G106" t="inlineStr">
        <is>
          <t>01.06</t>
        </is>
      </c>
      <c r="H106" t="inlineStr">
        <is>
          <t>06.06</t>
        </is>
      </c>
      <c r="I106" t="n">
        <v>232</v>
      </c>
      <c r="J106" t="n">
        <v>0.2</v>
      </c>
    </row>
    <row r="107">
      <c r="A107" t="inlineStr">
        <is>
          <t>2022_Czerwiec_W2</t>
        </is>
      </c>
      <c r="B107" t="n">
        <v>2022</v>
      </c>
      <c r="C107" t="inlineStr">
        <is>
          <t>Czerwiec</t>
        </is>
      </c>
      <c r="D107" t="inlineStr">
        <is>
          <t>W2</t>
        </is>
      </c>
      <c r="E107" t="n">
        <v>7</v>
      </c>
      <c r="F107" t="inlineStr">
        <is>
          <t>Pełny (7 dni)</t>
        </is>
      </c>
      <c r="G107" t="inlineStr">
        <is>
          <t>07.06</t>
        </is>
      </c>
      <c r="H107" t="inlineStr">
        <is>
          <t>13.06</t>
        </is>
      </c>
      <c r="I107" t="n">
        <v>272</v>
      </c>
      <c r="J107" t="n">
        <v>0.23333</v>
      </c>
    </row>
    <row r="108">
      <c r="A108" t="inlineStr">
        <is>
          <t>2022_Czerwiec_W3</t>
        </is>
      </c>
      <c r="B108" t="n">
        <v>2022</v>
      </c>
      <c r="C108" t="inlineStr">
        <is>
          <t>Czerwiec</t>
        </is>
      </c>
      <c r="D108" t="inlineStr">
        <is>
          <t>W3</t>
        </is>
      </c>
      <c r="E108" t="n">
        <v>7</v>
      </c>
      <c r="F108" t="inlineStr">
        <is>
          <t>Pełny (7 dni)</t>
        </is>
      </c>
      <c r="G108" t="inlineStr">
        <is>
          <t>14.06</t>
        </is>
      </c>
      <c r="H108" t="inlineStr">
        <is>
          <t>20.06</t>
        </is>
      </c>
      <c r="I108" t="n">
        <v>272</v>
      </c>
      <c r="J108" t="n">
        <v>0.23333</v>
      </c>
    </row>
    <row r="109">
      <c r="A109" t="inlineStr">
        <is>
          <t>2022_Czerwiec_W4</t>
        </is>
      </c>
      <c r="B109" t="n">
        <v>2022</v>
      </c>
      <c r="C109" t="inlineStr">
        <is>
          <t>Czerwiec</t>
        </is>
      </c>
      <c r="D109" t="inlineStr">
        <is>
          <t>W4</t>
        </is>
      </c>
      <c r="E109" t="n">
        <v>7</v>
      </c>
      <c r="F109" t="inlineStr">
        <is>
          <t>Pełny (7 dni)</t>
        </is>
      </c>
      <c r="G109" t="inlineStr">
        <is>
          <t>21.06</t>
        </is>
      </c>
      <c r="H109" t="inlineStr">
        <is>
          <t>27.06</t>
        </is>
      </c>
      <c r="I109" t="n">
        <v>272</v>
      </c>
      <c r="J109" t="n">
        <v>0.23333</v>
      </c>
    </row>
    <row r="110">
      <c r="A110" t="inlineStr">
        <is>
          <t>2022_Czerwiec_W5</t>
        </is>
      </c>
      <c r="B110" t="n">
        <v>2022</v>
      </c>
      <c r="C110" t="inlineStr">
        <is>
          <t>Czerwiec</t>
        </is>
      </c>
      <c r="D110" t="inlineStr">
        <is>
          <t>W5</t>
        </is>
      </c>
      <c r="E110" t="n">
        <v>3</v>
      </c>
      <c r="F110" t="inlineStr">
        <is>
          <t>Niepełny (3 dni)</t>
        </is>
      </c>
      <c r="G110" t="inlineStr">
        <is>
          <t>28.06</t>
        </is>
      </c>
      <c r="H110" t="inlineStr">
        <is>
          <t>30.06</t>
        </is>
      </c>
      <c r="I110" t="n">
        <v>120</v>
      </c>
      <c r="J110" t="n">
        <v>0.1</v>
      </c>
    </row>
    <row r="111">
      <c r="A111" t="inlineStr">
        <is>
          <t>2022_Czerwiec_W6</t>
        </is>
      </c>
      <c r="B111" t="n">
        <v>2022</v>
      </c>
      <c r="C111" t="inlineStr">
        <is>
          <t>Czerwiec</t>
        </is>
      </c>
      <c r="D111" t="inlineStr">
        <is>
          <t>W6</t>
        </is>
      </c>
      <c r="E111" t="n">
        <v>0</v>
      </c>
      <c r="F111" t="inlineStr">
        <is>
          <t>Brak w miesiącu</t>
        </is>
      </c>
      <c r="G111" t="inlineStr">
        <is>
          <t>-</t>
        </is>
      </c>
      <c r="H111" t="inlineStr">
        <is>
          <t>-</t>
        </is>
      </c>
      <c r="I111" t="n">
        <v>0</v>
      </c>
      <c r="J111" t="n">
        <v>0</v>
      </c>
    </row>
    <row r="112">
      <c r="A112" t="inlineStr">
        <is>
          <t>2022_Lipiec_W1</t>
        </is>
      </c>
      <c r="B112" t="n">
        <v>2022</v>
      </c>
      <c r="C112" t="inlineStr">
        <is>
          <t>Lipiec</t>
        </is>
      </c>
      <c r="D112" t="inlineStr">
        <is>
          <t>W1</t>
        </is>
      </c>
      <c r="E112" t="n">
        <v>4</v>
      </c>
      <c r="F112" t="inlineStr">
        <is>
          <t>Niepełny (4 dni)</t>
        </is>
      </c>
      <c r="G112" t="inlineStr">
        <is>
          <t>01.07</t>
        </is>
      </c>
      <c r="H112" t="inlineStr">
        <is>
          <t>04.07</t>
        </is>
      </c>
      <c r="I112" t="n">
        <v>152</v>
      </c>
      <c r="J112" t="n">
        <v>0.12903</v>
      </c>
    </row>
    <row r="113">
      <c r="A113" t="inlineStr">
        <is>
          <t>2022_Lipiec_W2</t>
        </is>
      </c>
      <c r="B113" t="n">
        <v>2022</v>
      </c>
      <c r="C113" t="inlineStr">
        <is>
          <t>Lipiec</t>
        </is>
      </c>
      <c r="D113" t="inlineStr">
        <is>
          <t>W2</t>
        </is>
      </c>
      <c r="E113" t="n">
        <v>7</v>
      </c>
      <c r="F113" t="inlineStr">
        <is>
          <t>Pełny (7 dni)</t>
        </is>
      </c>
      <c r="G113" t="inlineStr">
        <is>
          <t>05.07</t>
        </is>
      </c>
      <c r="H113" t="inlineStr">
        <is>
          <t>11.07</t>
        </is>
      </c>
      <c r="I113" t="n">
        <v>272</v>
      </c>
      <c r="J113" t="n">
        <v>0.22581</v>
      </c>
    </row>
    <row r="114">
      <c r="A114" t="inlineStr">
        <is>
          <t>2022_Lipiec_W3</t>
        </is>
      </c>
      <c r="B114" t="n">
        <v>2022</v>
      </c>
      <c r="C114" t="inlineStr">
        <is>
          <t>Lipiec</t>
        </is>
      </c>
      <c r="D114" t="inlineStr">
        <is>
          <t>W3</t>
        </is>
      </c>
      <c r="E114" t="n">
        <v>7</v>
      </c>
      <c r="F114" t="inlineStr">
        <is>
          <t>Pełny (7 dni)</t>
        </is>
      </c>
      <c r="G114" t="inlineStr">
        <is>
          <t>12.07</t>
        </is>
      </c>
      <c r="H114" t="inlineStr">
        <is>
          <t>18.07</t>
        </is>
      </c>
      <c r="I114" t="n">
        <v>272</v>
      </c>
      <c r="J114" t="n">
        <v>0.22581</v>
      </c>
    </row>
    <row r="115">
      <c r="A115" t="inlineStr">
        <is>
          <t>2022_Lipiec_W4</t>
        </is>
      </c>
      <c r="B115" t="n">
        <v>2022</v>
      </c>
      <c r="C115" t="inlineStr">
        <is>
          <t>Lipiec</t>
        </is>
      </c>
      <c r="D115" t="inlineStr">
        <is>
          <t>W4</t>
        </is>
      </c>
      <c r="E115" t="n">
        <v>7</v>
      </c>
      <c r="F115" t="inlineStr">
        <is>
          <t>Pełny (7 dni)</t>
        </is>
      </c>
      <c r="G115" t="inlineStr">
        <is>
          <t>19.07</t>
        </is>
      </c>
      <c r="H115" t="inlineStr">
        <is>
          <t>25.07</t>
        </is>
      </c>
      <c r="I115" t="n">
        <v>272</v>
      </c>
      <c r="J115" t="n">
        <v>0.22581</v>
      </c>
    </row>
    <row r="116">
      <c r="A116" t="inlineStr">
        <is>
          <t>2022_Lipiec_W5</t>
        </is>
      </c>
      <c r="B116" t="n">
        <v>2022</v>
      </c>
      <c r="C116" t="inlineStr">
        <is>
          <t>Lipiec</t>
        </is>
      </c>
      <c r="D116" t="inlineStr">
        <is>
          <t>W5</t>
        </is>
      </c>
      <c r="E116" t="n">
        <v>6</v>
      </c>
      <c r="F116" t="inlineStr">
        <is>
          <t>Niepełny (6 dni)</t>
        </is>
      </c>
      <c r="G116" t="inlineStr">
        <is>
          <t>26.07</t>
        </is>
      </c>
      <c r="H116" t="inlineStr">
        <is>
          <t>31.07</t>
        </is>
      </c>
      <c r="I116" t="n">
        <v>232</v>
      </c>
      <c r="J116" t="n">
        <v>0.19355</v>
      </c>
    </row>
    <row r="117">
      <c r="A117" t="inlineStr">
        <is>
          <t>2022_Lipiec_W6</t>
        </is>
      </c>
      <c r="B117" t="n">
        <v>2022</v>
      </c>
      <c r="C117" t="inlineStr">
        <is>
          <t>Lipiec</t>
        </is>
      </c>
      <c r="D117" t="inlineStr">
        <is>
          <t>W6</t>
        </is>
      </c>
      <c r="E117" t="n">
        <v>0</v>
      </c>
      <c r="F117" t="inlineStr">
        <is>
          <t>Brak w miesiącu</t>
        </is>
      </c>
      <c r="G117" t="inlineStr">
        <is>
          <t>-</t>
        </is>
      </c>
      <c r="H117" t="inlineStr">
        <is>
          <t>-</t>
        </is>
      </c>
      <c r="I117" t="n">
        <v>0</v>
      </c>
      <c r="J117" t="n">
        <v>0</v>
      </c>
    </row>
    <row r="118">
      <c r="A118" t="inlineStr">
        <is>
          <t>2022_Sierpień_W1</t>
        </is>
      </c>
      <c r="B118" t="n">
        <v>2022</v>
      </c>
      <c r="C118" t="inlineStr">
        <is>
          <t>Sierpień</t>
        </is>
      </c>
      <c r="D118" t="inlineStr">
        <is>
          <t>W1</t>
        </is>
      </c>
      <c r="E118" t="n">
        <v>1</v>
      </c>
      <c r="F118" t="inlineStr">
        <is>
          <t>Niepełny (1 dni)</t>
        </is>
      </c>
      <c r="G118" t="inlineStr">
        <is>
          <t>01.08</t>
        </is>
      </c>
      <c r="H118" t="inlineStr">
        <is>
          <t>01.08</t>
        </is>
      </c>
      <c r="I118" t="n">
        <v>40</v>
      </c>
      <c r="J118" t="n">
        <v>0.03226</v>
      </c>
    </row>
    <row r="119">
      <c r="A119" t="inlineStr">
        <is>
          <t>2022_Sierpień_W2</t>
        </is>
      </c>
      <c r="B119" t="n">
        <v>2022</v>
      </c>
      <c r="C119" t="inlineStr">
        <is>
          <t>Sierpień</t>
        </is>
      </c>
      <c r="D119" t="inlineStr">
        <is>
          <t>W2</t>
        </is>
      </c>
      <c r="E119" t="n">
        <v>7</v>
      </c>
      <c r="F119" t="inlineStr">
        <is>
          <t>Pełny (7 dni)</t>
        </is>
      </c>
      <c r="G119" t="inlineStr">
        <is>
          <t>02.08</t>
        </is>
      </c>
      <c r="H119" t="inlineStr">
        <is>
          <t>08.08</t>
        </is>
      </c>
      <c r="I119" t="n">
        <v>272</v>
      </c>
      <c r="J119" t="n">
        <v>0.22581</v>
      </c>
    </row>
    <row r="120">
      <c r="A120" t="inlineStr">
        <is>
          <t>2022_Sierpień_W3</t>
        </is>
      </c>
      <c r="B120" t="n">
        <v>2022</v>
      </c>
      <c r="C120" t="inlineStr">
        <is>
          <t>Sierpień</t>
        </is>
      </c>
      <c r="D120" t="inlineStr">
        <is>
          <t>W3</t>
        </is>
      </c>
      <c r="E120" t="n">
        <v>7</v>
      </c>
      <c r="F120" t="inlineStr">
        <is>
          <t>Pełny (7 dni)</t>
        </is>
      </c>
      <c r="G120" t="inlineStr">
        <is>
          <t>09.08</t>
        </is>
      </c>
      <c r="H120" t="inlineStr">
        <is>
          <t>15.08</t>
        </is>
      </c>
      <c r="I120" t="n">
        <v>272</v>
      </c>
      <c r="J120" t="n">
        <v>0.22581</v>
      </c>
    </row>
    <row r="121">
      <c r="A121" t="inlineStr">
        <is>
          <t>2022_Sierpień_W4</t>
        </is>
      </c>
      <c r="B121" t="n">
        <v>2022</v>
      </c>
      <c r="C121" t="inlineStr">
        <is>
          <t>Sierpień</t>
        </is>
      </c>
      <c r="D121" t="inlineStr">
        <is>
          <t>W4</t>
        </is>
      </c>
      <c r="E121" t="n">
        <v>7</v>
      </c>
      <c r="F121" t="inlineStr">
        <is>
          <t>Pełny (7 dni)</t>
        </is>
      </c>
      <c r="G121" t="inlineStr">
        <is>
          <t>16.08</t>
        </is>
      </c>
      <c r="H121" t="inlineStr">
        <is>
          <t>22.08</t>
        </is>
      </c>
      <c r="I121" t="n">
        <v>272</v>
      </c>
      <c r="J121" t="n">
        <v>0.22581</v>
      </c>
    </row>
    <row r="122">
      <c r="A122" t="inlineStr">
        <is>
          <t>2022_Sierpień_W5</t>
        </is>
      </c>
      <c r="B122" t="n">
        <v>2022</v>
      </c>
      <c r="C122" t="inlineStr">
        <is>
          <t>Sierpień</t>
        </is>
      </c>
      <c r="D122" t="inlineStr">
        <is>
          <t>W5</t>
        </is>
      </c>
      <c r="E122" t="n">
        <v>7</v>
      </c>
      <c r="F122" t="inlineStr">
        <is>
          <t>Pełny (7 dni)</t>
        </is>
      </c>
      <c r="G122" t="inlineStr">
        <is>
          <t>23.08</t>
        </is>
      </c>
      <c r="H122" t="inlineStr">
        <is>
          <t>29.08</t>
        </is>
      </c>
      <c r="I122" t="n">
        <v>272</v>
      </c>
      <c r="J122" t="n">
        <v>0.22581</v>
      </c>
    </row>
    <row r="123">
      <c r="A123" t="inlineStr">
        <is>
          <t>2022_Sierpień_W6</t>
        </is>
      </c>
      <c r="B123" t="n">
        <v>2022</v>
      </c>
      <c r="C123" t="inlineStr">
        <is>
          <t>Sierpień</t>
        </is>
      </c>
      <c r="D123" t="inlineStr">
        <is>
          <t>W6</t>
        </is>
      </c>
      <c r="E123" t="n">
        <v>2</v>
      </c>
      <c r="F123" t="inlineStr">
        <is>
          <t>Niepełny (2 dni)</t>
        </is>
      </c>
      <c r="G123" t="inlineStr">
        <is>
          <t>30.08</t>
        </is>
      </c>
      <c r="H123" t="inlineStr">
        <is>
          <t>31.08</t>
        </is>
      </c>
      <c r="I123" t="n">
        <v>80</v>
      </c>
      <c r="J123" t="n">
        <v>0.06451999999999999</v>
      </c>
    </row>
    <row r="124">
      <c r="A124" t="inlineStr">
        <is>
          <t>2022_Wrzesień_W1</t>
        </is>
      </c>
      <c r="B124" t="n">
        <v>2022</v>
      </c>
      <c r="C124" t="inlineStr">
        <is>
          <t>Wrzesień</t>
        </is>
      </c>
      <c r="D124" t="inlineStr">
        <is>
          <t>W1</t>
        </is>
      </c>
      <c r="E124" t="n">
        <v>5</v>
      </c>
      <c r="F124" t="inlineStr">
        <is>
          <t>Niepełny (5 dni)</t>
        </is>
      </c>
      <c r="G124" t="inlineStr">
        <is>
          <t>01.09</t>
        </is>
      </c>
      <c r="H124" t="inlineStr">
        <is>
          <t>05.09</t>
        </is>
      </c>
      <c r="I124" t="n">
        <v>192</v>
      </c>
      <c r="J124" t="n">
        <v>0.16667</v>
      </c>
    </row>
    <row r="125">
      <c r="A125" t="inlineStr">
        <is>
          <t>2022_Wrzesień_W2</t>
        </is>
      </c>
      <c r="B125" t="n">
        <v>2022</v>
      </c>
      <c r="C125" t="inlineStr">
        <is>
          <t>Wrzesień</t>
        </is>
      </c>
      <c r="D125" t="inlineStr">
        <is>
          <t>W2</t>
        </is>
      </c>
      <c r="E125" t="n">
        <v>7</v>
      </c>
      <c r="F125" t="inlineStr">
        <is>
          <t>Pełny (7 dni)</t>
        </is>
      </c>
      <c r="G125" t="inlineStr">
        <is>
          <t>06.09</t>
        </is>
      </c>
      <c r="H125" t="inlineStr">
        <is>
          <t>12.09</t>
        </is>
      </c>
      <c r="I125" t="n">
        <v>272</v>
      </c>
      <c r="J125" t="n">
        <v>0.23333</v>
      </c>
    </row>
    <row r="126">
      <c r="A126" t="inlineStr">
        <is>
          <t>2022_Wrzesień_W3</t>
        </is>
      </c>
      <c r="B126" t="n">
        <v>2022</v>
      </c>
      <c r="C126" t="inlineStr">
        <is>
          <t>Wrzesień</t>
        </is>
      </c>
      <c r="D126" t="inlineStr">
        <is>
          <t>W3</t>
        </is>
      </c>
      <c r="E126" t="n">
        <v>7</v>
      </c>
      <c r="F126" t="inlineStr">
        <is>
          <t>Pełny (7 dni)</t>
        </is>
      </c>
      <c r="G126" t="inlineStr">
        <is>
          <t>13.09</t>
        </is>
      </c>
      <c r="H126" t="inlineStr">
        <is>
          <t>19.09</t>
        </is>
      </c>
      <c r="I126" t="n">
        <v>272</v>
      </c>
      <c r="J126" t="n">
        <v>0.23333</v>
      </c>
    </row>
    <row r="127">
      <c r="A127" t="inlineStr">
        <is>
          <t>2022_Wrzesień_W4</t>
        </is>
      </c>
      <c r="B127" t="n">
        <v>2022</v>
      </c>
      <c r="C127" t="inlineStr">
        <is>
          <t>Wrzesień</t>
        </is>
      </c>
      <c r="D127" t="inlineStr">
        <is>
          <t>W4</t>
        </is>
      </c>
      <c r="E127" t="n">
        <v>7</v>
      </c>
      <c r="F127" t="inlineStr">
        <is>
          <t>Pełny (7 dni)</t>
        </is>
      </c>
      <c r="G127" t="inlineStr">
        <is>
          <t>20.09</t>
        </is>
      </c>
      <c r="H127" t="inlineStr">
        <is>
          <t>26.09</t>
        </is>
      </c>
      <c r="I127" t="n">
        <v>272</v>
      </c>
      <c r="J127" t="n">
        <v>0.23333</v>
      </c>
    </row>
    <row r="128">
      <c r="A128" t="inlineStr">
        <is>
          <t>2022_Wrzesień_W5</t>
        </is>
      </c>
      <c r="B128" t="n">
        <v>2022</v>
      </c>
      <c r="C128" t="inlineStr">
        <is>
          <t>Wrzesień</t>
        </is>
      </c>
      <c r="D128" t="inlineStr">
        <is>
          <t>W5</t>
        </is>
      </c>
      <c r="E128" t="n">
        <v>4</v>
      </c>
      <c r="F128" t="inlineStr">
        <is>
          <t>Niepełny (4 dni)</t>
        </is>
      </c>
      <c r="G128" t="inlineStr">
        <is>
          <t>27.09</t>
        </is>
      </c>
      <c r="H128" t="inlineStr">
        <is>
          <t>30.09</t>
        </is>
      </c>
      <c r="I128" t="n">
        <v>160</v>
      </c>
      <c r="J128" t="n">
        <v>0.13333</v>
      </c>
    </row>
    <row r="129">
      <c r="A129" t="inlineStr">
        <is>
          <t>2022_Wrzesień_W6</t>
        </is>
      </c>
      <c r="B129" t="n">
        <v>2022</v>
      </c>
      <c r="C129" t="inlineStr">
        <is>
          <t>Wrzesień</t>
        </is>
      </c>
      <c r="D129" t="inlineStr">
        <is>
          <t>W6</t>
        </is>
      </c>
      <c r="E129" t="n">
        <v>0</v>
      </c>
      <c r="F129" t="inlineStr">
        <is>
          <t>Brak w miesiącu</t>
        </is>
      </c>
      <c r="G129" t="inlineStr">
        <is>
          <t>-</t>
        </is>
      </c>
      <c r="H129" t="inlineStr">
        <is>
          <t>-</t>
        </is>
      </c>
      <c r="I129" t="n">
        <v>0</v>
      </c>
      <c r="J129" t="n">
        <v>0</v>
      </c>
    </row>
    <row r="130">
      <c r="A130" t="inlineStr">
        <is>
          <t>2022_Październik_W1</t>
        </is>
      </c>
      <c r="B130" t="n">
        <v>2022</v>
      </c>
      <c r="C130" t="inlineStr">
        <is>
          <t>Październik</t>
        </is>
      </c>
      <c r="D130" t="inlineStr">
        <is>
          <t>W1</t>
        </is>
      </c>
      <c r="E130" t="n">
        <v>3</v>
      </c>
      <c r="F130" t="inlineStr">
        <is>
          <t>Niepełny (3 dni)</t>
        </is>
      </c>
      <c r="G130" t="inlineStr">
        <is>
          <t>01.10</t>
        </is>
      </c>
      <c r="H130" t="inlineStr">
        <is>
          <t>03.10</t>
        </is>
      </c>
      <c r="I130" t="n">
        <v>112</v>
      </c>
      <c r="J130" t="n">
        <v>0.09676999999999999</v>
      </c>
    </row>
    <row r="131">
      <c r="A131" t="inlineStr">
        <is>
          <t>2022_Październik_W2</t>
        </is>
      </c>
      <c r="B131" t="n">
        <v>2022</v>
      </c>
      <c r="C131" t="inlineStr">
        <is>
          <t>Październik</t>
        </is>
      </c>
      <c r="D131" t="inlineStr">
        <is>
          <t>W2</t>
        </is>
      </c>
      <c r="E131" t="n">
        <v>7</v>
      </c>
      <c r="F131" t="inlineStr">
        <is>
          <t>Pełny (7 dni)</t>
        </is>
      </c>
      <c r="G131" t="inlineStr">
        <is>
          <t>04.10</t>
        </is>
      </c>
      <c r="H131" t="inlineStr">
        <is>
          <t>10.10</t>
        </is>
      </c>
      <c r="I131" t="n">
        <v>272</v>
      </c>
      <c r="J131" t="n">
        <v>0.22581</v>
      </c>
    </row>
    <row r="132">
      <c r="A132" t="inlineStr">
        <is>
          <t>2022_Październik_W3</t>
        </is>
      </c>
      <c r="B132" t="n">
        <v>2022</v>
      </c>
      <c r="C132" t="inlineStr">
        <is>
          <t>Październik</t>
        </is>
      </c>
      <c r="D132" t="inlineStr">
        <is>
          <t>W3</t>
        </is>
      </c>
      <c r="E132" t="n">
        <v>7</v>
      </c>
      <c r="F132" t="inlineStr">
        <is>
          <t>Pełny (7 dni)</t>
        </is>
      </c>
      <c r="G132" t="inlineStr">
        <is>
          <t>11.10</t>
        </is>
      </c>
      <c r="H132" t="inlineStr">
        <is>
          <t>17.10</t>
        </is>
      </c>
      <c r="I132" t="n">
        <v>272</v>
      </c>
      <c r="J132" t="n">
        <v>0.22581</v>
      </c>
    </row>
    <row r="133">
      <c r="A133" t="inlineStr">
        <is>
          <t>2022_Październik_W4</t>
        </is>
      </c>
      <c r="B133" t="n">
        <v>2022</v>
      </c>
      <c r="C133" t="inlineStr">
        <is>
          <t>Październik</t>
        </is>
      </c>
      <c r="D133" t="inlineStr">
        <is>
          <t>W4</t>
        </is>
      </c>
      <c r="E133" t="n">
        <v>7</v>
      </c>
      <c r="F133" t="inlineStr">
        <is>
          <t>Pełny (7 dni)</t>
        </is>
      </c>
      <c r="G133" t="inlineStr">
        <is>
          <t>18.10</t>
        </is>
      </c>
      <c r="H133" t="inlineStr">
        <is>
          <t>24.10</t>
        </is>
      </c>
      <c r="I133" t="n">
        <v>272</v>
      </c>
      <c r="J133" t="n">
        <v>0.22581</v>
      </c>
    </row>
    <row r="134">
      <c r="A134" t="inlineStr">
        <is>
          <t>2022_Październik_W5</t>
        </is>
      </c>
      <c r="B134" t="n">
        <v>2022</v>
      </c>
      <c r="C134" t="inlineStr">
        <is>
          <t>Październik</t>
        </is>
      </c>
      <c r="D134" t="inlineStr">
        <is>
          <t>W5</t>
        </is>
      </c>
      <c r="E134" t="n">
        <v>7</v>
      </c>
      <c r="F134" t="inlineStr">
        <is>
          <t>Pełny (7 dni)</t>
        </is>
      </c>
      <c r="G134" t="inlineStr">
        <is>
          <t>25.10</t>
        </is>
      </c>
      <c r="H134" t="inlineStr">
        <is>
          <t>31.10</t>
        </is>
      </c>
      <c r="I134" t="n">
        <v>272</v>
      </c>
      <c r="J134" t="n">
        <v>0.22581</v>
      </c>
    </row>
    <row r="135">
      <c r="A135" t="inlineStr">
        <is>
          <t>2022_Październik_W6</t>
        </is>
      </c>
      <c r="B135" t="n">
        <v>2022</v>
      </c>
      <c r="C135" t="inlineStr">
        <is>
          <t>Październik</t>
        </is>
      </c>
      <c r="D135" t="inlineStr">
        <is>
          <t>W6</t>
        </is>
      </c>
      <c r="E135" t="n">
        <v>0</v>
      </c>
      <c r="F135" t="inlineStr">
        <is>
          <t>Brak w miesiącu</t>
        </is>
      </c>
      <c r="G135" t="inlineStr">
        <is>
          <t>-</t>
        </is>
      </c>
      <c r="H135" t="inlineStr">
        <is>
          <t>-</t>
        </is>
      </c>
      <c r="I135" t="n">
        <v>0</v>
      </c>
      <c r="J135" t="n">
        <v>0</v>
      </c>
    </row>
    <row r="136">
      <c r="A136" t="inlineStr">
        <is>
          <t>2022_Listopad_W1</t>
        </is>
      </c>
      <c r="B136" t="n">
        <v>2022</v>
      </c>
      <c r="C136" t="inlineStr">
        <is>
          <t>Listopad</t>
        </is>
      </c>
      <c r="D136" t="inlineStr">
        <is>
          <t>W1</t>
        </is>
      </c>
      <c r="E136" t="n">
        <v>7</v>
      </c>
      <c r="F136" t="inlineStr">
        <is>
          <t>Pełny (7 dni)</t>
        </is>
      </c>
      <c r="G136" t="inlineStr">
        <is>
          <t>01.11</t>
        </is>
      </c>
      <c r="H136" t="inlineStr">
        <is>
          <t>07.11</t>
        </is>
      </c>
      <c r="I136" t="n">
        <v>272</v>
      </c>
      <c r="J136" t="n">
        <v>0.23333</v>
      </c>
    </row>
    <row r="137">
      <c r="A137" t="inlineStr">
        <is>
          <t>2022_Listopad_W2</t>
        </is>
      </c>
      <c r="B137" t="n">
        <v>2022</v>
      </c>
      <c r="C137" t="inlineStr">
        <is>
          <t>Listopad</t>
        </is>
      </c>
      <c r="D137" t="inlineStr">
        <is>
          <t>W2</t>
        </is>
      </c>
      <c r="E137" t="n">
        <v>7</v>
      </c>
      <c r="F137" t="inlineStr">
        <is>
          <t>Pełny (7 dni)</t>
        </is>
      </c>
      <c r="G137" t="inlineStr">
        <is>
          <t>08.11</t>
        </is>
      </c>
      <c r="H137" t="inlineStr">
        <is>
          <t>14.11</t>
        </is>
      </c>
      <c r="I137" t="n">
        <v>272</v>
      </c>
      <c r="J137" t="n">
        <v>0.23333</v>
      </c>
    </row>
    <row r="138">
      <c r="A138" t="inlineStr">
        <is>
          <t>2022_Listopad_W3</t>
        </is>
      </c>
      <c r="B138" t="n">
        <v>2022</v>
      </c>
      <c r="C138" t="inlineStr">
        <is>
          <t>Listopad</t>
        </is>
      </c>
      <c r="D138" t="inlineStr">
        <is>
          <t>W3</t>
        </is>
      </c>
      <c r="E138" t="n">
        <v>7</v>
      </c>
      <c r="F138" t="inlineStr">
        <is>
          <t>Pełny (7 dni)</t>
        </is>
      </c>
      <c r="G138" t="inlineStr">
        <is>
          <t>15.11</t>
        </is>
      </c>
      <c r="H138" t="inlineStr">
        <is>
          <t>21.11</t>
        </is>
      </c>
      <c r="I138" t="n">
        <v>272</v>
      </c>
      <c r="J138" t="n">
        <v>0.23333</v>
      </c>
    </row>
    <row r="139">
      <c r="A139" t="inlineStr">
        <is>
          <t>2022_Listopad_W4</t>
        </is>
      </c>
      <c r="B139" t="n">
        <v>2022</v>
      </c>
      <c r="C139" t="inlineStr">
        <is>
          <t>Listopad</t>
        </is>
      </c>
      <c r="D139" t="inlineStr">
        <is>
          <t>W4</t>
        </is>
      </c>
      <c r="E139" t="n">
        <v>7</v>
      </c>
      <c r="F139" t="inlineStr">
        <is>
          <t>Pełny (7 dni)</t>
        </is>
      </c>
      <c r="G139" t="inlineStr">
        <is>
          <t>22.11</t>
        </is>
      </c>
      <c r="H139" t="inlineStr">
        <is>
          <t>28.11</t>
        </is>
      </c>
      <c r="I139" t="n">
        <v>272</v>
      </c>
      <c r="J139" t="n">
        <v>0.23333</v>
      </c>
    </row>
    <row r="140">
      <c r="A140" t="inlineStr">
        <is>
          <t>2022_Listopad_W5</t>
        </is>
      </c>
      <c r="B140" t="n">
        <v>2022</v>
      </c>
      <c r="C140" t="inlineStr">
        <is>
          <t>Listopad</t>
        </is>
      </c>
      <c r="D140" t="inlineStr">
        <is>
          <t>W5</t>
        </is>
      </c>
      <c r="E140" t="n">
        <v>2</v>
      </c>
      <c r="F140" t="inlineStr">
        <is>
          <t>Niepełny (2 dni)</t>
        </is>
      </c>
      <c r="G140" t="inlineStr">
        <is>
          <t>29.11</t>
        </is>
      </c>
      <c r="H140" t="inlineStr">
        <is>
          <t>30.11</t>
        </is>
      </c>
      <c r="I140" t="n">
        <v>80</v>
      </c>
      <c r="J140" t="n">
        <v>0.06666999999999999</v>
      </c>
    </row>
    <row r="141">
      <c r="A141" t="inlineStr">
        <is>
          <t>2022_Listopad_W6</t>
        </is>
      </c>
      <c r="B141" t="n">
        <v>2022</v>
      </c>
      <c r="C141" t="inlineStr">
        <is>
          <t>Listopad</t>
        </is>
      </c>
      <c r="D141" t="inlineStr">
        <is>
          <t>W6</t>
        </is>
      </c>
      <c r="E141" t="n">
        <v>0</v>
      </c>
      <c r="F141" t="inlineStr">
        <is>
          <t>Brak w miesiącu</t>
        </is>
      </c>
      <c r="G141" t="inlineStr">
        <is>
          <t>-</t>
        </is>
      </c>
      <c r="H141" t="inlineStr">
        <is>
          <t>-</t>
        </is>
      </c>
      <c r="I141" t="n">
        <v>0</v>
      </c>
      <c r="J141" t="n">
        <v>0</v>
      </c>
    </row>
    <row r="142">
      <c r="A142" t="inlineStr">
        <is>
          <t>2022_Grudzień_W1</t>
        </is>
      </c>
      <c r="B142" t="n">
        <v>2022</v>
      </c>
      <c r="C142" t="inlineStr">
        <is>
          <t>Grudzień</t>
        </is>
      </c>
      <c r="D142" t="inlineStr">
        <is>
          <t>W1</t>
        </is>
      </c>
      <c r="E142" t="n">
        <v>5</v>
      </c>
      <c r="F142" t="inlineStr">
        <is>
          <t>Niepełny (5 dni)</t>
        </is>
      </c>
      <c r="G142" t="inlineStr">
        <is>
          <t>01.12</t>
        </is>
      </c>
      <c r="H142" t="inlineStr">
        <is>
          <t>05.12</t>
        </is>
      </c>
      <c r="I142" t="n">
        <v>192</v>
      </c>
      <c r="J142" t="n">
        <v>0.16129</v>
      </c>
    </row>
    <row r="143">
      <c r="A143" t="inlineStr">
        <is>
          <t>2022_Grudzień_W2</t>
        </is>
      </c>
      <c r="B143" t="n">
        <v>2022</v>
      </c>
      <c r="C143" t="inlineStr">
        <is>
          <t>Grudzień</t>
        </is>
      </c>
      <c r="D143" t="inlineStr">
        <is>
          <t>W2</t>
        </is>
      </c>
      <c r="E143" t="n">
        <v>7</v>
      </c>
      <c r="F143" t="inlineStr">
        <is>
          <t>Pełny (7 dni)</t>
        </is>
      </c>
      <c r="G143" t="inlineStr">
        <is>
          <t>06.12</t>
        </is>
      </c>
      <c r="H143" t="inlineStr">
        <is>
          <t>12.12</t>
        </is>
      </c>
      <c r="I143" t="n">
        <v>272</v>
      </c>
      <c r="J143" t="n">
        <v>0.22581</v>
      </c>
    </row>
    <row r="144">
      <c r="A144" t="inlineStr">
        <is>
          <t>2022_Grudzień_W3</t>
        </is>
      </c>
      <c r="B144" t="n">
        <v>2022</v>
      </c>
      <c r="C144" t="inlineStr">
        <is>
          <t>Grudzień</t>
        </is>
      </c>
      <c r="D144" t="inlineStr">
        <is>
          <t>W3</t>
        </is>
      </c>
      <c r="E144" t="n">
        <v>7</v>
      </c>
      <c r="F144" t="inlineStr">
        <is>
          <t>Pełny (7 dni)</t>
        </is>
      </c>
      <c r="G144" t="inlineStr">
        <is>
          <t>13.12</t>
        </is>
      </c>
      <c r="H144" t="inlineStr">
        <is>
          <t>19.12</t>
        </is>
      </c>
      <c r="I144" t="n">
        <v>272</v>
      </c>
      <c r="J144" t="n">
        <v>0.22581</v>
      </c>
    </row>
    <row r="145">
      <c r="A145" t="inlineStr">
        <is>
          <t>2022_Grudzień_W4</t>
        </is>
      </c>
      <c r="B145" t="n">
        <v>2022</v>
      </c>
      <c r="C145" t="inlineStr">
        <is>
          <t>Grudzień</t>
        </is>
      </c>
      <c r="D145" t="inlineStr">
        <is>
          <t>W4</t>
        </is>
      </c>
      <c r="E145" t="n">
        <v>7</v>
      </c>
      <c r="F145" t="inlineStr">
        <is>
          <t>Pełny (7 dni)</t>
        </is>
      </c>
      <c r="G145" t="inlineStr">
        <is>
          <t>20.12</t>
        </is>
      </c>
      <c r="H145" t="inlineStr">
        <is>
          <t>26.12</t>
        </is>
      </c>
      <c r="I145" t="n">
        <v>272</v>
      </c>
      <c r="J145" t="n">
        <v>0.22581</v>
      </c>
    </row>
    <row r="146">
      <c r="A146" t="inlineStr">
        <is>
          <t>2022_Grudzień_W5</t>
        </is>
      </c>
      <c r="B146" t="n">
        <v>2022</v>
      </c>
      <c r="C146" t="inlineStr">
        <is>
          <t>Grudzień</t>
        </is>
      </c>
      <c r="D146" t="inlineStr">
        <is>
          <t>W5</t>
        </is>
      </c>
      <c r="E146" t="n">
        <v>5</v>
      </c>
      <c r="F146" t="inlineStr">
        <is>
          <t>Niepełny (5 dni)</t>
        </is>
      </c>
      <c r="G146" t="inlineStr">
        <is>
          <t>27.12</t>
        </is>
      </c>
      <c r="H146" t="inlineStr">
        <is>
          <t>31.12</t>
        </is>
      </c>
      <c r="I146" t="n">
        <v>200</v>
      </c>
      <c r="J146" t="n">
        <v>0.16129</v>
      </c>
    </row>
    <row r="147">
      <c r="A147" t="inlineStr">
        <is>
          <t>2022_Grudzień_W6</t>
        </is>
      </c>
      <c r="B147" t="n">
        <v>2022</v>
      </c>
      <c r="C147" t="inlineStr">
        <is>
          <t>Grudzień</t>
        </is>
      </c>
      <c r="D147" t="inlineStr">
        <is>
          <t>W6</t>
        </is>
      </c>
      <c r="E147" t="n">
        <v>0</v>
      </c>
      <c r="F147" t="inlineStr">
        <is>
          <t>Brak w miesiącu</t>
        </is>
      </c>
      <c r="G147" t="inlineStr">
        <is>
          <t>-</t>
        </is>
      </c>
      <c r="H147" t="inlineStr">
        <is>
          <t>-</t>
        </is>
      </c>
      <c r="I147" t="n">
        <v>0</v>
      </c>
      <c r="J147" t="n">
        <v>0</v>
      </c>
    </row>
    <row r="148">
      <c r="A148" t="inlineStr">
        <is>
          <t>2023_Styczeń_W1</t>
        </is>
      </c>
      <c r="B148" t="n">
        <v>2023</v>
      </c>
      <c r="C148" t="inlineStr">
        <is>
          <t>Styczeń</t>
        </is>
      </c>
      <c r="D148" t="inlineStr">
        <is>
          <t>W1</t>
        </is>
      </c>
      <c r="E148" t="n">
        <v>2</v>
      </c>
      <c r="F148" t="inlineStr">
        <is>
          <t>Niepełny (2 dni)</t>
        </is>
      </c>
      <c r="G148" t="inlineStr">
        <is>
          <t>01.01</t>
        </is>
      </c>
      <c r="H148" t="inlineStr">
        <is>
          <t>02.01</t>
        </is>
      </c>
      <c r="I148" t="n">
        <v>72</v>
      </c>
      <c r="J148" t="n">
        <v>0.06451999999999999</v>
      </c>
    </row>
    <row r="149">
      <c r="A149" t="inlineStr">
        <is>
          <t>2023_Styczeń_W2</t>
        </is>
      </c>
      <c r="B149" t="n">
        <v>2023</v>
      </c>
      <c r="C149" t="inlineStr">
        <is>
          <t>Styczeń</t>
        </is>
      </c>
      <c r="D149" t="inlineStr">
        <is>
          <t>W2</t>
        </is>
      </c>
      <c r="E149" t="n">
        <v>7</v>
      </c>
      <c r="F149" t="inlineStr">
        <is>
          <t>Pełny (7 dni)</t>
        </is>
      </c>
      <c r="G149" t="inlineStr">
        <is>
          <t>03.01</t>
        </is>
      </c>
      <c r="H149" t="inlineStr">
        <is>
          <t>09.01</t>
        </is>
      </c>
      <c r="I149" t="n">
        <v>272</v>
      </c>
      <c r="J149" t="n">
        <v>0.22581</v>
      </c>
    </row>
    <row r="150">
      <c r="A150" t="inlineStr">
        <is>
          <t>2023_Styczeń_W3</t>
        </is>
      </c>
      <c r="B150" t="n">
        <v>2023</v>
      </c>
      <c r="C150" t="inlineStr">
        <is>
          <t>Styczeń</t>
        </is>
      </c>
      <c r="D150" t="inlineStr">
        <is>
          <t>W3</t>
        </is>
      </c>
      <c r="E150" t="n">
        <v>7</v>
      </c>
      <c r="F150" t="inlineStr">
        <is>
          <t>Pełny (7 dni)</t>
        </is>
      </c>
      <c r="G150" t="inlineStr">
        <is>
          <t>10.01</t>
        </is>
      </c>
      <c r="H150" t="inlineStr">
        <is>
          <t>16.01</t>
        </is>
      </c>
      <c r="I150" t="n">
        <v>272</v>
      </c>
      <c r="J150" t="n">
        <v>0.22581</v>
      </c>
    </row>
    <row r="151">
      <c r="A151" t="inlineStr">
        <is>
          <t>2023_Styczeń_W4</t>
        </is>
      </c>
      <c r="B151" t="n">
        <v>2023</v>
      </c>
      <c r="C151" t="inlineStr">
        <is>
          <t>Styczeń</t>
        </is>
      </c>
      <c r="D151" t="inlineStr">
        <is>
          <t>W4</t>
        </is>
      </c>
      <c r="E151" t="n">
        <v>7</v>
      </c>
      <c r="F151" t="inlineStr">
        <is>
          <t>Pełny (7 dni)</t>
        </is>
      </c>
      <c r="G151" t="inlineStr">
        <is>
          <t>17.01</t>
        </is>
      </c>
      <c r="H151" t="inlineStr">
        <is>
          <t>23.01</t>
        </is>
      </c>
      <c r="I151" t="n">
        <v>272</v>
      </c>
      <c r="J151" t="n">
        <v>0.22581</v>
      </c>
    </row>
    <row r="152">
      <c r="A152" t="inlineStr">
        <is>
          <t>2023_Styczeń_W5</t>
        </is>
      </c>
      <c r="B152" t="n">
        <v>2023</v>
      </c>
      <c r="C152" t="inlineStr">
        <is>
          <t>Styczeń</t>
        </is>
      </c>
      <c r="D152" t="inlineStr">
        <is>
          <t>W5</t>
        </is>
      </c>
      <c r="E152" t="n">
        <v>7</v>
      </c>
      <c r="F152" t="inlineStr">
        <is>
          <t>Pełny (7 dni)</t>
        </is>
      </c>
      <c r="G152" t="inlineStr">
        <is>
          <t>24.01</t>
        </is>
      </c>
      <c r="H152" t="inlineStr">
        <is>
          <t>30.01</t>
        </is>
      </c>
      <c r="I152" t="n">
        <v>272</v>
      </c>
      <c r="J152" t="n">
        <v>0.22581</v>
      </c>
    </row>
    <row r="153">
      <c r="A153" t="inlineStr">
        <is>
          <t>2023_Styczeń_W6</t>
        </is>
      </c>
      <c r="B153" t="n">
        <v>2023</v>
      </c>
      <c r="C153" t="inlineStr">
        <is>
          <t>Styczeń</t>
        </is>
      </c>
      <c r="D153" t="inlineStr">
        <is>
          <t>W6</t>
        </is>
      </c>
      <c r="E153" t="n">
        <v>1</v>
      </c>
      <c r="F153" t="inlineStr">
        <is>
          <t>Niepełny (1 dni)</t>
        </is>
      </c>
      <c r="G153" t="inlineStr">
        <is>
          <t>31.01</t>
        </is>
      </c>
      <c r="H153" t="inlineStr">
        <is>
          <t>31.01</t>
        </is>
      </c>
      <c r="I153" t="n">
        <v>40</v>
      </c>
      <c r="J153" t="n">
        <v>0.03226</v>
      </c>
    </row>
    <row r="154">
      <c r="A154" t="inlineStr">
        <is>
          <t>2023_Luty_W1</t>
        </is>
      </c>
      <c r="B154" t="n">
        <v>2023</v>
      </c>
      <c r="C154" t="inlineStr">
        <is>
          <t>Luty</t>
        </is>
      </c>
      <c r="D154" t="inlineStr">
        <is>
          <t>W1</t>
        </is>
      </c>
      <c r="E154" t="n">
        <v>6</v>
      </c>
      <c r="F154" t="inlineStr">
        <is>
          <t>Niepełny (6 dni)</t>
        </is>
      </c>
      <c r="G154" t="inlineStr">
        <is>
          <t>01.02</t>
        </is>
      </c>
      <c r="H154" t="inlineStr">
        <is>
          <t>06.02</t>
        </is>
      </c>
      <c r="I154" t="n">
        <v>232</v>
      </c>
      <c r="J154" t="n">
        <v>0.21429</v>
      </c>
    </row>
    <row r="155">
      <c r="A155" t="inlineStr">
        <is>
          <t>2023_Luty_W2</t>
        </is>
      </c>
      <c r="B155" t="n">
        <v>2023</v>
      </c>
      <c r="C155" t="inlineStr">
        <is>
          <t>Luty</t>
        </is>
      </c>
      <c r="D155" t="inlineStr">
        <is>
          <t>W2</t>
        </is>
      </c>
      <c r="E155" t="n">
        <v>7</v>
      </c>
      <c r="F155" t="inlineStr">
        <is>
          <t>Pełny (7 dni)</t>
        </is>
      </c>
      <c r="G155" t="inlineStr">
        <is>
          <t>07.02</t>
        </is>
      </c>
      <c r="H155" t="inlineStr">
        <is>
          <t>13.02</t>
        </is>
      </c>
      <c r="I155" t="n">
        <v>272</v>
      </c>
      <c r="J155" t="n">
        <v>0.25</v>
      </c>
    </row>
    <row r="156">
      <c r="A156" t="inlineStr">
        <is>
          <t>2023_Luty_W3</t>
        </is>
      </c>
      <c r="B156" t="n">
        <v>2023</v>
      </c>
      <c r="C156" t="inlineStr">
        <is>
          <t>Luty</t>
        </is>
      </c>
      <c r="D156" t="inlineStr">
        <is>
          <t>W3</t>
        </is>
      </c>
      <c r="E156" t="n">
        <v>7</v>
      </c>
      <c r="F156" t="inlineStr">
        <is>
          <t>Pełny (7 dni)</t>
        </is>
      </c>
      <c r="G156" t="inlineStr">
        <is>
          <t>14.02</t>
        </is>
      </c>
      <c r="H156" t="inlineStr">
        <is>
          <t>20.02</t>
        </is>
      </c>
      <c r="I156" t="n">
        <v>272</v>
      </c>
      <c r="J156" t="n">
        <v>0.25</v>
      </c>
    </row>
    <row r="157">
      <c r="A157" t="inlineStr">
        <is>
          <t>2023_Luty_W4</t>
        </is>
      </c>
      <c r="B157" t="n">
        <v>2023</v>
      </c>
      <c r="C157" t="inlineStr">
        <is>
          <t>Luty</t>
        </is>
      </c>
      <c r="D157" t="inlineStr">
        <is>
          <t>W4</t>
        </is>
      </c>
      <c r="E157" t="n">
        <v>7</v>
      </c>
      <c r="F157" t="inlineStr">
        <is>
          <t>Pełny (7 dni)</t>
        </is>
      </c>
      <c r="G157" t="inlineStr">
        <is>
          <t>21.02</t>
        </is>
      </c>
      <c r="H157" t="inlineStr">
        <is>
          <t>27.02</t>
        </is>
      </c>
      <c r="I157" t="n">
        <v>272</v>
      </c>
      <c r="J157" t="n">
        <v>0.25</v>
      </c>
    </row>
    <row r="158">
      <c r="A158" t="inlineStr">
        <is>
          <t>2023_Luty_W5</t>
        </is>
      </c>
      <c r="B158" t="n">
        <v>2023</v>
      </c>
      <c r="C158" t="inlineStr">
        <is>
          <t>Luty</t>
        </is>
      </c>
      <c r="D158" t="inlineStr">
        <is>
          <t>W5</t>
        </is>
      </c>
      <c r="E158" t="n">
        <v>1</v>
      </c>
      <c r="F158" t="inlineStr">
        <is>
          <t>Niepełny (1 dni)</t>
        </is>
      </c>
      <c r="G158" t="inlineStr">
        <is>
          <t>28.02</t>
        </is>
      </c>
      <c r="H158" t="inlineStr">
        <is>
          <t>28.02</t>
        </is>
      </c>
      <c r="I158" t="n">
        <v>40</v>
      </c>
      <c r="J158" t="n">
        <v>0.03571</v>
      </c>
    </row>
    <row r="159">
      <c r="A159" t="inlineStr">
        <is>
          <t>2023_Luty_W6</t>
        </is>
      </c>
      <c r="B159" t="n">
        <v>2023</v>
      </c>
      <c r="C159" t="inlineStr">
        <is>
          <t>Luty</t>
        </is>
      </c>
      <c r="D159" t="inlineStr">
        <is>
          <t>W6</t>
        </is>
      </c>
      <c r="E159" t="n">
        <v>0</v>
      </c>
      <c r="F159" t="inlineStr">
        <is>
          <t>Brak w miesiącu</t>
        </is>
      </c>
      <c r="G159" t="inlineStr">
        <is>
          <t>-</t>
        </is>
      </c>
      <c r="H159" t="inlineStr">
        <is>
          <t>-</t>
        </is>
      </c>
      <c r="I159" t="n">
        <v>0</v>
      </c>
      <c r="J159" t="n">
        <v>0</v>
      </c>
    </row>
    <row r="160">
      <c r="A160" t="inlineStr">
        <is>
          <t>2023_Marzec_W1</t>
        </is>
      </c>
      <c r="B160" t="n">
        <v>2023</v>
      </c>
      <c r="C160" t="inlineStr">
        <is>
          <t>Marzec</t>
        </is>
      </c>
      <c r="D160" t="inlineStr">
        <is>
          <t>W1</t>
        </is>
      </c>
      <c r="E160" t="n">
        <v>6</v>
      </c>
      <c r="F160" t="inlineStr">
        <is>
          <t>Niepełny (6 dni)</t>
        </is>
      </c>
      <c r="G160" t="inlineStr">
        <is>
          <t>01.03</t>
        </is>
      </c>
      <c r="H160" t="inlineStr">
        <is>
          <t>06.03</t>
        </is>
      </c>
      <c r="I160" t="n">
        <v>232</v>
      </c>
      <c r="J160" t="n">
        <v>0.19355</v>
      </c>
    </row>
    <row r="161">
      <c r="A161" t="inlineStr">
        <is>
          <t>2023_Marzec_W2</t>
        </is>
      </c>
      <c r="B161" t="n">
        <v>2023</v>
      </c>
      <c r="C161" t="inlineStr">
        <is>
          <t>Marzec</t>
        </is>
      </c>
      <c r="D161" t="inlineStr">
        <is>
          <t>W2</t>
        </is>
      </c>
      <c r="E161" t="n">
        <v>7</v>
      </c>
      <c r="F161" t="inlineStr">
        <is>
          <t>Pełny (7 dni)</t>
        </is>
      </c>
      <c r="G161" t="inlineStr">
        <is>
          <t>07.03</t>
        </is>
      </c>
      <c r="H161" t="inlineStr">
        <is>
          <t>13.03</t>
        </is>
      </c>
      <c r="I161" t="n">
        <v>272</v>
      </c>
      <c r="J161" t="n">
        <v>0.22581</v>
      </c>
    </row>
    <row r="162">
      <c r="A162" t="inlineStr">
        <is>
          <t>2023_Marzec_W3</t>
        </is>
      </c>
      <c r="B162" t="n">
        <v>2023</v>
      </c>
      <c r="C162" t="inlineStr">
        <is>
          <t>Marzec</t>
        </is>
      </c>
      <c r="D162" t="inlineStr">
        <is>
          <t>W3</t>
        </is>
      </c>
      <c r="E162" t="n">
        <v>7</v>
      </c>
      <c r="F162" t="inlineStr">
        <is>
          <t>Pełny (7 dni)</t>
        </is>
      </c>
      <c r="G162" t="inlineStr">
        <is>
          <t>14.03</t>
        </is>
      </c>
      <c r="H162" t="inlineStr">
        <is>
          <t>20.03</t>
        </is>
      </c>
      <c r="I162" t="n">
        <v>272</v>
      </c>
      <c r="J162" t="n">
        <v>0.22581</v>
      </c>
    </row>
    <row r="163">
      <c r="A163" t="inlineStr">
        <is>
          <t>2023_Marzec_W4</t>
        </is>
      </c>
      <c r="B163" t="n">
        <v>2023</v>
      </c>
      <c r="C163" t="inlineStr">
        <is>
          <t>Marzec</t>
        </is>
      </c>
      <c r="D163" t="inlineStr">
        <is>
          <t>W4</t>
        </is>
      </c>
      <c r="E163" t="n">
        <v>7</v>
      </c>
      <c r="F163" t="inlineStr">
        <is>
          <t>Pełny (7 dni)</t>
        </is>
      </c>
      <c r="G163" t="inlineStr">
        <is>
          <t>21.03</t>
        </is>
      </c>
      <c r="H163" t="inlineStr">
        <is>
          <t>27.03</t>
        </is>
      </c>
      <c r="I163" t="n">
        <v>272</v>
      </c>
      <c r="J163" t="n">
        <v>0.22581</v>
      </c>
    </row>
    <row r="164">
      <c r="A164" t="inlineStr">
        <is>
          <t>2023_Marzec_W5</t>
        </is>
      </c>
      <c r="B164" t="n">
        <v>2023</v>
      </c>
      <c r="C164" t="inlineStr">
        <is>
          <t>Marzec</t>
        </is>
      </c>
      <c r="D164" t="inlineStr">
        <is>
          <t>W5</t>
        </is>
      </c>
      <c r="E164" t="n">
        <v>4</v>
      </c>
      <c r="F164" t="inlineStr">
        <is>
          <t>Niepełny (4 dni)</t>
        </is>
      </c>
      <c r="G164" t="inlineStr">
        <is>
          <t>28.03</t>
        </is>
      </c>
      <c r="H164" t="inlineStr">
        <is>
          <t>31.03</t>
        </is>
      </c>
      <c r="I164" t="n">
        <v>160</v>
      </c>
      <c r="J164" t="n">
        <v>0.12903</v>
      </c>
    </row>
    <row r="165">
      <c r="A165" t="inlineStr">
        <is>
          <t>2023_Marzec_W6</t>
        </is>
      </c>
      <c r="B165" t="n">
        <v>2023</v>
      </c>
      <c r="C165" t="inlineStr">
        <is>
          <t>Marzec</t>
        </is>
      </c>
      <c r="D165" t="inlineStr">
        <is>
          <t>W6</t>
        </is>
      </c>
      <c r="E165" t="n">
        <v>0</v>
      </c>
      <c r="F165" t="inlineStr">
        <is>
          <t>Brak w miesiącu</t>
        </is>
      </c>
      <c r="G165" t="inlineStr">
        <is>
          <t>-</t>
        </is>
      </c>
      <c r="H165" t="inlineStr">
        <is>
          <t>-</t>
        </is>
      </c>
      <c r="I165" t="n">
        <v>0</v>
      </c>
      <c r="J165" t="n">
        <v>0</v>
      </c>
    </row>
    <row r="166">
      <c r="A166" t="inlineStr">
        <is>
          <t>2023_Kwiecień_W1</t>
        </is>
      </c>
      <c r="B166" t="n">
        <v>2023</v>
      </c>
      <c r="C166" t="inlineStr">
        <is>
          <t>Kwiecień</t>
        </is>
      </c>
      <c r="D166" t="inlineStr">
        <is>
          <t>W1</t>
        </is>
      </c>
      <c r="E166" t="n">
        <v>3</v>
      </c>
      <c r="F166" t="inlineStr">
        <is>
          <t>Niepełny (3 dni)</t>
        </is>
      </c>
      <c r="G166" t="inlineStr">
        <is>
          <t>01.04</t>
        </is>
      </c>
      <c r="H166" t="inlineStr">
        <is>
          <t>03.04</t>
        </is>
      </c>
      <c r="I166" t="n">
        <v>112</v>
      </c>
      <c r="J166" t="n">
        <v>0.1</v>
      </c>
    </row>
    <row r="167">
      <c r="A167" t="inlineStr">
        <is>
          <t>2023_Kwiecień_W2</t>
        </is>
      </c>
      <c r="B167" t="n">
        <v>2023</v>
      </c>
      <c r="C167" t="inlineStr">
        <is>
          <t>Kwiecień</t>
        </is>
      </c>
      <c r="D167" t="inlineStr">
        <is>
          <t>W2</t>
        </is>
      </c>
      <c r="E167" t="n">
        <v>7</v>
      </c>
      <c r="F167" t="inlineStr">
        <is>
          <t>Pełny (7 dni)</t>
        </is>
      </c>
      <c r="G167" t="inlineStr">
        <is>
          <t>04.04</t>
        </is>
      </c>
      <c r="H167" t="inlineStr">
        <is>
          <t>10.04</t>
        </is>
      </c>
      <c r="I167" t="n">
        <v>272</v>
      </c>
      <c r="J167" t="n">
        <v>0.23333</v>
      </c>
    </row>
    <row r="168">
      <c r="A168" t="inlineStr">
        <is>
          <t>2023_Kwiecień_W3</t>
        </is>
      </c>
      <c r="B168" t="n">
        <v>2023</v>
      </c>
      <c r="C168" t="inlineStr">
        <is>
          <t>Kwiecień</t>
        </is>
      </c>
      <c r="D168" t="inlineStr">
        <is>
          <t>W3</t>
        </is>
      </c>
      <c r="E168" t="n">
        <v>7</v>
      </c>
      <c r="F168" t="inlineStr">
        <is>
          <t>Pełny (7 dni)</t>
        </is>
      </c>
      <c r="G168" t="inlineStr">
        <is>
          <t>11.04</t>
        </is>
      </c>
      <c r="H168" t="inlineStr">
        <is>
          <t>17.04</t>
        </is>
      </c>
      <c r="I168" t="n">
        <v>272</v>
      </c>
      <c r="J168" t="n">
        <v>0.23333</v>
      </c>
    </row>
    <row r="169">
      <c r="A169" t="inlineStr">
        <is>
          <t>2023_Kwiecień_W4</t>
        </is>
      </c>
      <c r="B169" t="n">
        <v>2023</v>
      </c>
      <c r="C169" t="inlineStr">
        <is>
          <t>Kwiecień</t>
        </is>
      </c>
      <c r="D169" t="inlineStr">
        <is>
          <t>W4</t>
        </is>
      </c>
      <c r="E169" t="n">
        <v>7</v>
      </c>
      <c r="F169" t="inlineStr">
        <is>
          <t>Pełny (7 dni)</t>
        </is>
      </c>
      <c r="G169" t="inlineStr">
        <is>
          <t>18.04</t>
        </is>
      </c>
      <c r="H169" t="inlineStr">
        <is>
          <t>24.04</t>
        </is>
      </c>
      <c r="I169" t="n">
        <v>272</v>
      </c>
      <c r="J169" t="n">
        <v>0.23333</v>
      </c>
    </row>
    <row r="170">
      <c r="A170" t="inlineStr">
        <is>
          <t>2023_Kwiecień_W5</t>
        </is>
      </c>
      <c r="B170" t="n">
        <v>2023</v>
      </c>
      <c r="C170" t="inlineStr">
        <is>
          <t>Kwiecień</t>
        </is>
      </c>
      <c r="D170" t="inlineStr">
        <is>
          <t>W5</t>
        </is>
      </c>
      <c r="E170" t="n">
        <v>6</v>
      </c>
      <c r="F170" t="inlineStr">
        <is>
          <t>Niepełny (6 dni)</t>
        </is>
      </c>
      <c r="G170" t="inlineStr">
        <is>
          <t>25.04</t>
        </is>
      </c>
      <c r="H170" t="inlineStr">
        <is>
          <t>30.04</t>
        </is>
      </c>
      <c r="I170" t="n">
        <v>232</v>
      </c>
      <c r="J170" t="n">
        <v>0.2</v>
      </c>
    </row>
    <row r="171">
      <c r="A171" t="inlineStr">
        <is>
          <t>2023_Kwiecień_W6</t>
        </is>
      </c>
      <c r="B171" t="n">
        <v>2023</v>
      </c>
      <c r="C171" t="inlineStr">
        <is>
          <t>Kwiecień</t>
        </is>
      </c>
      <c r="D171" t="inlineStr">
        <is>
          <t>W6</t>
        </is>
      </c>
      <c r="E171" t="n">
        <v>0</v>
      </c>
      <c r="F171" t="inlineStr">
        <is>
          <t>Brak w miesiącu</t>
        </is>
      </c>
      <c r="G171" t="inlineStr">
        <is>
          <t>-</t>
        </is>
      </c>
      <c r="H171" t="inlineStr">
        <is>
          <t>-</t>
        </is>
      </c>
      <c r="I171" t="n">
        <v>0</v>
      </c>
      <c r="J171" t="n">
        <v>0</v>
      </c>
    </row>
    <row r="172">
      <c r="A172" t="inlineStr">
        <is>
          <t>2023_Maj_W1</t>
        </is>
      </c>
      <c r="B172" t="n">
        <v>2023</v>
      </c>
      <c r="C172" t="inlineStr">
        <is>
          <t>Maj</t>
        </is>
      </c>
      <c r="D172" t="inlineStr">
        <is>
          <t>W1</t>
        </is>
      </c>
      <c r="E172" t="n">
        <v>1</v>
      </c>
      <c r="F172" t="inlineStr">
        <is>
          <t>Niepełny (1 dni)</t>
        </is>
      </c>
      <c r="G172" t="inlineStr">
        <is>
          <t>01.05</t>
        </is>
      </c>
      <c r="H172" t="inlineStr">
        <is>
          <t>01.05</t>
        </is>
      </c>
      <c r="I172" t="n">
        <v>40</v>
      </c>
      <c r="J172" t="n">
        <v>0.03226</v>
      </c>
    </row>
    <row r="173">
      <c r="A173" t="inlineStr">
        <is>
          <t>2023_Maj_W2</t>
        </is>
      </c>
      <c r="B173" t="n">
        <v>2023</v>
      </c>
      <c r="C173" t="inlineStr">
        <is>
          <t>Maj</t>
        </is>
      </c>
      <c r="D173" t="inlineStr">
        <is>
          <t>W2</t>
        </is>
      </c>
      <c r="E173" t="n">
        <v>7</v>
      </c>
      <c r="F173" t="inlineStr">
        <is>
          <t>Pełny (7 dni)</t>
        </is>
      </c>
      <c r="G173" t="inlineStr">
        <is>
          <t>02.05</t>
        </is>
      </c>
      <c r="H173" t="inlineStr">
        <is>
          <t>08.05</t>
        </is>
      </c>
      <c r="I173" t="n">
        <v>272</v>
      </c>
      <c r="J173" t="n">
        <v>0.22581</v>
      </c>
    </row>
    <row r="174">
      <c r="A174" t="inlineStr">
        <is>
          <t>2023_Maj_W3</t>
        </is>
      </c>
      <c r="B174" t="n">
        <v>2023</v>
      </c>
      <c r="C174" t="inlineStr">
        <is>
          <t>Maj</t>
        </is>
      </c>
      <c r="D174" t="inlineStr">
        <is>
          <t>W3</t>
        </is>
      </c>
      <c r="E174" t="n">
        <v>7</v>
      </c>
      <c r="F174" t="inlineStr">
        <is>
          <t>Pełny (7 dni)</t>
        </is>
      </c>
      <c r="G174" t="inlineStr">
        <is>
          <t>09.05</t>
        </is>
      </c>
      <c r="H174" t="inlineStr">
        <is>
          <t>15.05</t>
        </is>
      </c>
      <c r="I174" t="n">
        <v>272</v>
      </c>
      <c r="J174" t="n">
        <v>0.22581</v>
      </c>
    </row>
    <row r="175">
      <c r="A175" t="inlineStr">
        <is>
          <t>2023_Maj_W4</t>
        </is>
      </c>
      <c r="B175" t="n">
        <v>2023</v>
      </c>
      <c r="C175" t="inlineStr">
        <is>
          <t>Maj</t>
        </is>
      </c>
      <c r="D175" t="inlineStr">
        <is>
          <t>W4</t>
        </is>
      </c>
      <c r="E175" t="n">
        <v>7</v>
      </c>
      <c r="F175" t="inlineStr">
        <is>
          <t>Pełny (7 dni)</t>
        </is>
      </c>
      <c r="G175" t="inlineStr">
        <is>
          <t>16.05</t>
        </is>
      </c>
      <c r="H175" t="inlineStr">
        <is>
          <t>22.05</t>
        </is>
      </c>
      <c r="I175" t="n">
        <v>272</v>
      </c>
      <c r="J175" t="n">
        <v>0.22581</v>
      </c>
    </row>
    <row r="176">
      <c r="A176" t="inlineStr">
        <is>
          <t>2023_Maj_W5</t>
        </is>
      </c>
      <c r="B176" t="n">
        <v>2023</v>
      </c>
      <c r="C176" t="inlineStr">
        <is>
          <t>Maj</t>
        </is>
      </c>
      <c r="D176" t="inlineStr">
        <is>
          <t>W5</t>
        </is>
      </c>
      <c r="E176" t="n">
        <v>7</v>
      </c>
      <c r="F176" t="inlineStr">
        <is>
          <t>Pełny (7 dni)</t>
        </is>
      </c>
      <c r="G176" t="inlineStr">
        <is>
          <t>23.05</t>
        </is>
      </c>
      <c r="H176" t="inlineStr">
        <is>
          <t>29.05</t>
        </is>
      </c>
      <c r="I176" t="n">
        <v>272</v>
      </c>
      <c r="J176" t="n">
        <v>0.22581</v>
      </c>
    </row>
    <row r="177">
      <c r="A177" t="inlineStr">
        <is>
          <t>2023_Maj_W6</t>
        </is>
      </c>
      <c r="B177" t="n">
        <v>2023</v>
      </c>
      <c r="C177" t="inlineStr">
        <is>
          <t>Maj</t>
        </is>
      </c>
      <c r="D177" t="inlineStr">
        <is>
          <t>W6</t>
        </is>
      </c>
      <c r="E177" t="n">
        <v>2</v>
      </c>
      <c r="F177" t="inlineStr">
        <is>
          <t>Niepełny (2 dni)</t>
        </is>
      </c>
      <c r="G177" t="inlineStr">
        <is>
          <t>30.05</t>
        </is>
      </c>
      <c r="H177" t="inlineStr">
        <is>
          <t>31.05</t>
        </is>
      </c>
      <c r="I177" t="n">
        <v>80</v>
      </c>
      <c r="J177" t="n">
        <v>0.06451999999999999</v>
      </c>
    </row>
    <row r="178">
      <c r="A178" t="inlineStr">
        <is>
          <t>2023_Czerwiec_W1</t>
        </is>
      </c>
      <c r="B178" t="n">
        <v>2023</v>
      </c>
      <c r="C178" t="inlineStr">
        <is>
          <t>Czerwiec</t>
        </is>
      </c>
      <c r="D178" t="inlineStr">
        <is>
          <t>W1</t>
        </is>
      </c>
      <c r="E178" t="n">
        <v>5</v>
      </c>
      <c r="F178" t="inlineStr">
        <is>
          <t>Niepełny (5 dni)</t>
        </is>
      </c>
      <c r="G178" t="inlineStr">
        <is>
          <t>01.06</t>
        </is>
      </c>
      <c r="H178" t="inlineStr">
        <is>
          <t>05.06</t>
        </is>
      </c>
      <c r="I178" t="n">
        <v>192</v>
      </c>
      <c r="J178" t="n">
        <v>0.16667</v>
      </c>
    </row>
    <row r="179">
      <c r="A179" t="inlineStr">
        <is>
          <t>2023_Czerwiec_W2</t>
        </is>
      </c>
      <c r="B179" t="n">
        <v>2023</v>
      </c>
      <c r="C179" t="inlineStr">
        <is>
          <t>Czerwiec</t>
        </is>
      </c>
      <c r="D179" t="inlineStr">
        <is>
          <t>W2</t>
        </is>
      </c>
      <c r="E179" t="n">
        <v>7</v>
      </c>
      <c r="F179" t="inlineStr">
        <is>
          <t>Pełny (7 dni)</t>
        </is>
      </c>
      <c r="G179" t="inlineStr">
        <is>
          <t>06.06</t>
        </is>
      </c>
      <c r="H179" t="inlineStr">
        <is>
          <t>12.06</t>
        </is>
      </c>
      <c r="I179" t="n">
        <v>272</v>
      </c>
      <c r="J179" t="n">
        <v>0.23333</v>
      </c>
    </row>
    <row r="180">
      <c r="A180" t="inlineStr">
        <is>
          <t>2023_Czerwiec_W3</t>
        </is>
      </c>
      <c r="B180" t="n">
        <v>2023</v>
      </c>
      <c r="C180" t="inlineStr">
        <is>
          <t>Czerwiec</t>
        </is>
      </c>
      <c r="D180" t="inlineStr">
        <is>
          <t>W3</t>
        </is>
      </c>
      <c r="E180" t="n">
        <v>7</v>
      </c>
      <c r="F180" t="inlineStr">
        <is>
          <t>Pełny (7 dni)</t>
        </is>
      </c>
      <c r="G180" t="inlineStr">
        <is>
          <t>13.06</t>
        </is>
      </c>
      <c r="H180" t="inlineStr">
        <is>
          <t>19.06</t>
        </is>
      </c>
      <c r="I180" t="n">
        <v>272</v>
      </c>
      <c r="J180" t="n">
        <v>0.23333</v>
      </c>
    </row>
    <row r="181">
      <c r="A181" t="inlineStr">
        <is>
          <t>2023_Czerwiec_W4</t>
        </is>
      </c>
      <c r="B181" t="n">
        <v>2023</v>
      </c>
      <c r="C181" t="inlineStr">
        <is>
          <t>Czerwiec</t>
        </is>
      </c>
      <c r="D181" t="inlineStr">
        <is>
          <t>W4</t>
        </is>
      </c>
      <c r="E181" t="n">
        <v>7</v>
      </c>
      <c r="F181" t="inlineStr">
        <is>
          <t>Pełny (7 dni)</t>
        </is>
      </c>
      <c r="G181" t="inlineStr">
        <is>
          <t>20.06</t>
        </is>
      </c>
      <c r="H181" t="inlineStr">
        <is>
          <t>26.06</t>
        </is>
      </c>
      <c r="I181" t="n">
        <v>272</v>
      </c>
      <c r="J181" t="n">
        <v>0.23333</v>
      </c>
    </row>
    <row r="182">
      <c r="A182" t="inlineStr">
        <is>
          <t>2023_Czerwiec_W5</t>
        </is>
      </c>
      <c r="B182" t="n">
        <v>2023</v>
      </c>
      <c r="C182" t="inlineStr">
        <is>
          <t>Czerwiec</t>
        </is>
      </c>
      <c r="D182" t="inlineStr">
        <is>
          <t>W5</t>
        </is>
      </c>
      <c r="E182" t="n">
        <v>4</v>
      </c>
      <c r="F182" t="inlineStr">
        <is>
          <t>Niepełny (4 dni)</t>
        </is>
      </c>
      <c r="G182" t="inlineStr">
        <is>
          <t>27.06</t>
        </is>
      </c>
      <c r="H182" t="inlineStr">
        <is>
          <t>30.06</t>
        </is>
      </c>
      <c r="I182" t="n">
        <v>160</v>
      </c>
      <c r="J182" t="n">
        <v>0.13333</v>
      </c>
    </row>
    <row r="183">
      <c r="A183" t="inlineStr">
        <is>
          <t>2023_Czerwiec_W6</t>
        </is>
      </c>
      <c r="B183" t="n">
        <v>2023</v>
      </c>
      <c r="C183" t="inlineStr">
        <is>
          <t>Czerwiec</t>
        </is>
      </c>
      <c r="D183" t="inlineStr">
        <is>
          <t>W6</t>
        </is>
      </c>
      <c r="E183" t="n">
        <v>0</v>
      </c>
      <c r="F183" t="inlineStr">
        <is>
          <t>Brak w miesiącu</t>
        </is>
      </c>
      <c r="G183" t="inlineStr">
        <is>
          <t>-</t>
        </is>
      </c>
      <c r="H183" t="inlineStr">
        <is>
          <t>-</t>
        </is>
      </c>
      <c r="I183" t="n">
        <v>0</v>
      </c>
      <c r="J183" t="n">
        <v>0</v>
      </c>
    </row>
    <row r="184">
      <c r="A184" t="inlineStr">
        <is>
          <t>2023_Lipiec_W1</t>
        </is>
      </c>
      <c r="B184" t="n">
        <v>2023</v>
      </c>
      <c r="C184" t="inlineStr">
        <is>
          <t>Lipiec</t>
        </is>
      </c>
      <c r="D184" t="inlineStr">
        <is>
          <t>W1</t>
        </is>
      </c>
      <c r="E184" t="n">
        <v>3</v>
      </c>
      <c r="F184" t="inlineStr">
        <is>
          <t>Niepełny (3 dni)</t>
        </is>
      </c>
      <c r="G184" t="inlineStr">
        <is>
          <t>01.07</t>
        </is>
      </c>
      <c r="H184" t="inlineStr">
        <is>
          <t>03.07</t>
        </is>
      </c>
      <c r="I184" t="n">
        <v>112</v>
      </c>
      <c r="J184" t="n">
        <v>0.09676999999999999</v>
      </c>
    </row>
    <row r="185">
      <c r="A185" t="inlineStr">
        <is>
          <t>2023_Lipiec_W2</t>
        </is>
      </c>
      <c r="B185" t="n">
        <v>2023</v>
      </c>
      <c r="C185" t="inlineStr">
        <is>
          <t>Lipiec</t>
        </is>
      </c>
      <c r="D185" t="inlineStr">
        <is>
          <t>W2</t>
        </is>
      </c>
      <c r="E185" t="n">
        <v>7</v>
      </c>
      <c r="F185" t="inlineStr">
        <is>
          <t>Pełny (7 dni)</t>
        </is>
      </c>
      <c r="G185" t="inlineStr">
        <is>
          <t>04.07</t>
        </is>
      </c>
      <c r="H185" t="inlineStr">
        <is>
          <t>10.07</t>
        </is>
      </c>
      <c r="I185" t="n">
        <v>272</v>
      </c>
      <c r="J185" t="n">
        <v>0.22581</v>
      </c>
    </row>
    <row r="186">
      <c r="A186" t="inlineStr">
        <is>
          <t>2023_Lipiec_W3</t>
        </is>
      </c>
      <c r="B186" t="n">
        <v>2023</v>
      </c>
      <c r="C186" t="inlineStr">
        <is>
          <t>Lipiec</t>
        </is>
      </c>
      <c r="D186" t="inlineStr">
        <is>
          <t>W3</t>
        </is>
      </c>
      <c r="E186" t="n">
        <v>7</v>
      </c>
      <c r="F186" t="inlineStr">
        <is>
          <t>Pełny (7 dni)</t>
        </is>
      </c>
      <c r="G186" t="inlineStr">
        <is>
          <t>11.07</t>
        </is>
      </c>
      <c r="H186" t="inlineStr">
        <is>
          <t>17.07</t>
        </is>
      </c>
      <c r="I186" t="n">
        <v>272</v>
      </c>
      <c r="J186" t="n">
        <v>0.22581</v>
      </c>
    </row>
    <row r="187">
      <c r="A187" t="inlineStr">
        <is>
          <t>2023_Lipiec_W4</t>
        </is>
      </c>
      <c r="B187" t="n">
        <v>2023</v>
      </c>
      <c r="C187" t="inlineStr">
        <is>
          <t>Lipiec</t>
        </is>
      </c>
      <c r="D187" t="inlineStr">
        <is>
          <t>W4</t>
        </is>
      </c>
      <c r="E187" t="n">
        <v>7</v>
      </c>
      <c r="F187" t="inlineStr">
        <is>
          <t>Pełny (7 dni)</t>
        </is>
      </c>
      <c r="G187" t="inlineStr">
        <is>
          <t>18.07</t>
        </is>
      </c>
      <c r="H187" t="inlineStr">
        <is>
          <t>24.07</t>
        </is>
      </c>
      <c r="I187" t="n">
        <v>272</v>
      </c>
      <c r="J187" t="n">
        <v>0.22581</v>
      </c>
    </row>
    <row r="188">
      <c r="A188" t="inlineStr">
        <is>
          <t>2023_Lipiec_W5</t>
        </is>
      </c>
      <c r="B188" t="n">
        <v>2023</v>
      </c>
      <c r="C188" t="inlineStr">
        <is>
          <t>Lipiec</t>
        </is>
      </c>
      <c r="D188" t="inlineStr">
        <is>
          <t>W5</t>
        </is>
      </c>
      <c r="E188" t="n">
        <v>7</v>
      </c>
      <c r="F188" t="inlineStr">
        <is>
          <t>Pełny (7 dni)</t>
        </is>
      </c>
      <c r="G188" t="inlineStr">
        <is>
          <t>25.07</t>
        </is>
      </c>
      <c r="H188" t="inlineStr">
        <is>
          <t>31.07</t>
        </is>
      </c>
      <c r="I188" t="n">
        <v>272</v>
      </c>
      <c r="J188" t="n">
        <v>0.22581</v>
      </c>
    </row>
    <row r="189">
      <c r="A189" t="inlineStr">
        <is>
          <t>2023_Lipiec_W6</t>
        </is>
      </c>
      <c r="B189" t="n">
        <v>2023</v>
      </c>
      <c r="C189" t="inlineStr">
        <is>
          <t>Lipiec</t>
        </is>
      </c>
      <c r="D189" t="inlineStr">
        <is>
          <t>W6</t>
        </is>
      </c>
      <c r="E189" t="n">
        <v>0</v>
      </c>
      <c r="F189" t="inlineStr">
        <is>
          <t>Brak w miesiącu</t>
        </is>
      </c>
      <c r="G189" t="inlineStr">
        <is>
          <t>-</t>
        </is>
      </c>
      <c r="H189" t="inlineStr">
        <is>
          <t>-</t>
        </is>
      </c>
      <c r="I189" t="n">
        <v>0</v>
      </c>
      <c r="J189" t="n">
        <v>0</v>
      </c>
    </row>
    <row r="190">
      <c r="A190" t="inlineStr">
        <is>
          <t>2023_Sierpień_W1</t>
        </is>
      </c>
      <c r="B190" t="n">
        <v>2023</v>
      </c>
      <c r="C190" t="inlineStr">
        <is>
          <t>Sierpień</t>
        </is>
      </c>
      <c r="D190" t="inlineStr">
        <is>
          <t>W1</t>
        </is>
      </c>
      <c r="E190" t="n">
        <v>7</v>
      </c>
      <c r="F190" t="inlineStr">
        <is>
          <t>Pełny (7 dni)</t>
        </is>
      </c>
      <c r="G190" t="inlineStr">
        <is>
          <t>01.08</t>
        </is>
      </c>
      <c r="H190" t="inlineStr">
        <is>
          <t>07.08</t>
        </is>
      </c>
      <c r="I190" t="n">
        <v>272</v>
      </c>
      <c r="J190" t="n">
        <v>0.22581</v>
      </c>
    </row>
    <row r="191">
      <c r="A191" t="inlineStr">
        <is>
          <t>2023_Sierpień_W2</t>
        </is>
      </c>
      <c r="B191" t="n">
        <v>2023</v>
      </c>
      <c r="C191" t="inlineStr">
        <is>
          <t>Sierpień</t>
        </is>
      </c>
      <c r="D191" t="inlineStr">
        <is>
          <t>W2</t>
        </is>
      </c>
      <c r="E191" t="n">
        <v>7</v>
      </c>
      <c r="F191" t="inlineStr">
        <is>
          <t>Pełny (7 dni)</t>
        </is>
      </c>
      <c r="G191" t="inlineStr">
        <is>
          <t>08.08</t>
        </is>
      </c>
      <c r="H191" t="inlineStr">
        <is>
          <t>14.08</t>
        </is>
      </c>
      <c r="I191" t="n">
        <v>272</v>
      </c>
      <c r="J191" t="n">
        <v>0.22581</v>
      </c>
    </row>
    <row r="192">
      <c r="A192" t="inlineStr">
        <is>
          <t>2023_Sierpień_W3</t>
        </is>
      </c>
      <c r="B192" t="n">
        <v>2023</v>
      </c>
      <c r="C192" t="inlineStr">
        <is>
          <t>Sierpień</t>
        </is>
      </c>
      <c r="D192" t="inlineStr">
        <is>
          <t>W3</t>
        </is>
      </c>
      <c r="E192" t="n">
        <v>7</v>
      </c>
      <c r="F192" t="inlineStr">
        <is>
          <t>Pełny (7 dni)</t>
        </is>
      </c>
      <c r="G192" t="inlineStr">
        <is>
          <t>15.08</t>
        </is>
      </c>
      <c r="H192" t="inlineStr">
        <is>
          <t>21.08</t>
        </is>
      </c>
      <c r="I192" t="n">
        <v>272</v>
      </c>
      <c r="J192" t="n">
        <v>0.22581</v>
      </c>
    </row>
    <row r="193">
      <c r="A193" t="inlineStr">
        <is>
          <t>2023_Sierpień_W4</t>
        </is>
      </c>
      <c r="B193" t="n">
        <v>2023</v>
      </c>
      <c r="C193" t="inlineStr">
        <is>
          <t>Sierpień</t>
        </is>
      </c>
      <c r="D193" t="inlineStr">
        <is>
          <t>W4</t>
        </is>
      </c>
      <c r="E193" t="n">
        <v>7</v>
      </c>
      <c r="F193" t="inlineStr">
        <is>
          <t>Pełny (7 dni)</t>
        </is>
      </c>
      <c r="G193" t="inlineStr">
        <is>
          <t>22.08</t>
        </is>
      </c>
      <c r="H193" t="inlineStr">
        <is>
          <t>28.08</t>
        </is>
      </c>
      <c r="I193" t="n">
        <v>272</v>
      </c>
      <c r="J193" t="n">
        <v>0.22581</v>
      </c>
    </row>
    <row r="194">
      <c r="A194" t="inlineStr">
        <is>
          <t>2023_Sierpień_W5</t>
        </is>
      </c>
      <c r="B194" t="n">
        <v>2023</v>
      </c>
      <c r="C194" t="inlineStr">
        <is>
          <t>Sierpień</t>
        </is>
      </c>
      <c r="D194" t="inlineStr">
        <is>
          <t>W5</t>
        </is>
      </c>
      <c r="E194" t="n">
        <v>3</v>
      </c>
      <c r="F194" t="inlineStr">
        <is>
          <t>Niepełny (3 dni)</t>
        </is>
      </c>
      <c r="G194" t="inlineStr">
        <is>
          <t>29.08</t>
        </is>
      </c>
      <c r="H194" t="inlineStr">
        <is>
          <t>31.08</t>
        </is>
      </c>
      <c r="I194" t="n">
        <v>120</v>
      </c>
      <c r="J194" t="n">
        <v>0.09676999999999999</v>
      </c>
    </row>
    <row r="195">
      <c r="A195" t="inlineStr">
        <is>
          <t>2023_Sierpień_W6</t>
        </is>
      </c>
      <c r="B195" t="n">
        <v>2023</v>
      </c>
      <c r="C195" t="inlineStr">
        <is>
          <t>Sierpień</t>
        </is>
      </c>
      <c r="D195" t="inlineStr">
        <is>
          <t>W6</t>
        </is>
      </c>
      <c r="E195" t="n">
        <v>0</v>
      </c>
      <c r="F195" t="inlineStr">
        <is>
          <t>Brak w miesiącu</t>
        </is>
      </c>
      <c r="G195" t="inlineStr">
        <is>
          <t>-</t>
        </is>
      </c>
      <c r="H195" t="inlineStr">
        <is>
          <t>-</t>
        </is>
      </c>
      <c r="I195" t="n">
        <v>0</v>
      </c>
      <c r="J195" t="n">
        <v>0</v>
      </c>
    </row>
    <row r="196">
      <c r="A196" t="inlineStr">
        <is>
          <t>2023_Wrzesień_W1</t>
        </is>
      </c>
      <c r="B196" t="n">
        <v>2023</v>
      </c>
      <c r="C196" t="inlineStr">
        <is>
          <t>Wrzesień</t>
        </is>
      </c>
      <c r="D196" t="inlineStr">
        <is>
          <t>W1</t>
        </is>
      </c>
      <c r="E196" t="n">
        <v>4</v>
      </c>
      <c r="F196" t="inlineStr">
        <is>
          <t>Niepełny (4 dni)</t>
        </is>
      </c>
      <c r="G196" t="inlineStr">
        <is>
          <t>01.09</t>
        </is>
      </c>
      <c r="H196" t="inlineStr">
        <is>
          <t>04.09</t>
        </is>
      </c>
      <c r="I196" t="n">
        <v>152</v>
      </c>
      <c r="J196" t="n">
        <v>0.13333</v>
      </c>
    </row>
    <row r="197">
      <c r="A197" t="inlineStr">
        <is>
          <t>2023_Wrzesień_W2</t>
        </is>
      </c>
      <c r="B197" t="n">
        <v>2023</v>
      </c>
      <c r="C197" t="inlineStr">
        <is>
          <t>Wrzesień</t>
        </is>
      </c>
      <c r="D197" t="inlineStr">
        <is>
          <t>W2</t>
        </is>
      </c>
      <c r="E197" t="n">
        <v>7</v>
      </c>
      <c r="F197" t="inlineStr">
        <is>
          <t>Pełny (7 dni)</t>
        </is>
      </c>
      <c r="G197" t="inlineStr">
        <is>
          <t>05.09</t>
        </is>
      </c>
      <c r="H197" t="inlineStr">
        <is>
          <t>11.09</t>
        </is>
      </c>
      <c r="I197" t="n">
        <v>272</v>
      </c>
      <c r="J197" t="n">
        <v>0.23333</v>
      </c>
    </row>
    <row r="198">
      <c r="A198" t="inlineStr">
        <is>
          <t>2023_Wrzesień_W3</t>
        </is>
      </c>
      <c r="B198" t="n">
        <v>2023</v>
      </c>
      <c r="C198" t="inlineStr">
        <is>
          <t>Wrzesień</t>
        </is>
      </c>
      <c r="D198" t="inlineStr">
        <is>
          <t>W3</t>
        </is>
      </c>
      <c r="E198" t="n">
        <v>7</v>
      </c>
      <c r="F198" t="inlineStr">
        <is>
          <t>Pełny (7 dni)</t>
        </is>
      </c>
      <c r="G198" t="inlineStr">
        <is>
          <t>12.09</t>
        </is>
      </c>
      <c r="H198" t="inlineStr">
        <is>
          <t>18.09</t>
        </is>
      </c>
      <c r="I198" t="n">
        <v>272</v>
      </c>
      <c r="J198" t="n">
        <v>0.23333</v>
      </c>
    </row>
    <row r="199">
      <c r="A199" t="inlineStr">
        <is>
          <t>2023_Wrzesień_W4</t>
        </is>
      </c>
      <c r="B199" t="n">
        <v>2023</v>
      </c>
      <c r="C199" t="inlineStr">
        <is>
          <t>Wrzesień</t>
        </is>
      </c>
      <c r="D199" t="inlineStr">
        <is>
          <t>W4</t>
        </is>
      </c>
      <c r="E199" t="n">
        <v>7</v>
      </c>
      <c r="F199" t="inlineStr">
        <is>
          <t>Pełny (7 dni)</t>
        </is>
      </c>
      <c r="G199" t="inlineStr">
        <is>
          <t>19.09</t>
        </is>
      </c>
      <c r="H199" t="inlineStr">
        <is>
          <t>25.09</t>
        </is>
      </c>
      <c r="I199" t="n">
        <v>272</v>
      </c>
      <c r="J199" t="n">
        <v>0.23333</v>
      </c>
    </row>
    <row r="200">
      <c r="A200" t="inlineStr">
        <is>
          <t>2023_Wrzesień_W5</t>
        </is>
      </c>
      <c r="B200" t="n">
        <v>2023</v>
      </c>
      <c r="C200" t="inlineStr">
        <is>
          <t>Wrzesień</t>
        </is>
      </c>
      <c r="D200" t="inlineStr">
        <is>
          <t>W5</t>
        </is>
      </c>
      <c r="E200" t="n">
        <v>5</v>
      </c>
      <c r="F200" t="inlineStr">
        <is>
          <t>Niepełny (5 dni)</t>
        </is>
      </c>
      <c r="G200" t="inlineStr">
        <is>
          <t>26.09</t>
        </is>
      </c>
      <c r="H200" t="inlineStr">
        <is>
          <t>30.09</t>
        </is>
      </c>
      <c r="I200" t="n">
        <v>200</v>
      </c>
      <c r="J200" t="n">
        <v>0.16667</v>
      </c>
    </row>
    <row r="201">
      <c r="A201" t="inlineStr">
        <is>
          <t>2023_Wrzesień_W6</t>
        </is>
      </c>
      <c r="B201" t="n">
        <v>2023</v>
      </c>
      <c r="C201" t="inlineStr">
        <is>
          <t>Wrzesień</t>
        </is>
      </c>
      <c r="D201" t="inlineStr">
        <is>
          <t>W6</t>
        </is>
      </c>
      <c r="E201" t="n">
        <v>0</v>
      </c>
      <c r="F201" t="inlineStr">
        <is>
          <t>Brak w miesiącu</t>
        </is>
      </c>
      <c r="G201" t="inlineStr">
        <is>
          <t>-</t>
        </is>
      </c>
      <c r="H201" t="inlineStr">
        <is>
          <t>-</t>
        </is>
      </c>
      <c r="I201" t="n">
        <v>0</v>
      </c>
      <c r="J201" t="n">
        <v>0</v>
      </c>
    </row>
    <row r="202">
      <c r="A202" t="inlineStr">
        <is>
          <t>2023_Październik_W1</t>
        </is>
      </c>
      <c r="B202" t="n">
        <v>2023</v>
      </c>
      <c r="C202" t="inlineStr">
        <is>
          <t>Październik</t>
        </is>
      </c>
      <c r="D202" t="inlineStr">
        <is>
          <t>W1</t>
        </is>
      </c>
      <c r="E202" t="n">
        <v>2</v>
      </c>
      <c r="F202" t="inlineStr">
        <is>
          <t>Niepełny (2 dni)</t>
        </is>
      </c>
      <c r="G202" t="inlineStr">
        <is>
          <t>01.10</t>
        </is>
      </c>
      <c r="H202" t="inlineStr">
        <is>
          <t>02.10</t>
        </is>
      </c>
      <c r="I202" t="n">
        <v>72</v>
      </c>
      <c r="J202" t="n">
        <v>0.06451999999999999</v>
      </c>
    </row>
    <row r="203">
      <c r="A203" t="inlineStr">
        <is>
          <t>2023_Październik_W2</t>
        </is>
      </c>
      <c r="B203" t="n">
        <v>2023</v>
      </c>
      <c r="C203" t="inlineStr">
        <is>
          <t>Październik</t>
        </is>
      </c>
      <c r="D203" t="inlineStr">
        <is>
          <t>W2</t>
        </is>
      </c>
      <c r="E203" t="n">
        <v>7</v>
      </c>
      <c r="F203" t="inlineStr">
        <is>
          <t>Pełny (7 dni)</t>
        </is>
      </c>
      <c r="G203" t="inlineStr">
        <is>
          <t>03.10</t>
        </is>
      </c>
      <c r="H203" t="inlineStr">
        <is>
          <t>09.10</t>
        </is>
      </c>
      <c r="I203" t="n">
        <v>272</v>
      </c>
      <c r="J203" t="n">
        <v>0.22581</v>
      </c>
    </row>
    <row r="204">
      <c r="A204" t="inlineStr">
        <is>
          <t>2023_Październik_W3</t>
        </is>
      </c>
      <c r="B204" t="n">
        <v>2023</v>
      </c>
      <c r="C204" t="inlineStr">
        <is>
          <t>Październik</t>
        </is>
      </c>
      <c r="D204" t="inlineStr">
        <is>
          <t>W3</t>
        </is>
      </c>
      <c r="E204" t="n">
        <v>7</v>
      </c>
      <c r="F204" t="inlineStr">
        <is>
          <t>Pełny (7 dni)</t>
        </is>
      </c>
      <c r="G204" t="inlineStr">
        <is>
          <t>10.10</t>
        </is>
      </c>
      <c r="H204" t="inlineStr">
        <is>
          <t>16.10</t>
        </is>
      </c>
      <c r="I204" t="n">
        <v>272</v>
      </c>
      <c r="J204" t="n">
        <v>0.22581</v>
      </c>
    </row>
    <row r="205">
      <c r="A205" t="inlineStr">
        <is>
          <t>2023_Październik_W4</t>
        </is>
      </c>
      <c r="B205" t="n">
        <v>2023</v>
      </c>
      <c r="C205" t="inlineStr">
        <is>
          <t>Październik</t>
        </is>
      </c>
      <c r="D205" t="inlineStr">
        <is>
          <t>W4</t>
        </is>
      </c>
      <c r="E205" t="n">
        <v>7</v>
      </c>
      <c r="F205" t="inlineStr">
        <is>
          <t>Pełny (7 dni)</t>
        </is>
      </c>
      <c r="G205" t="inlineStr">
        <is>
          <t>17.10</t>
        </is>
      </c>
      <c r="H205" t="inlineStr">
        <is>
          <t>23.10</t>
        </is>
      </c>
      <c r="I205" t="n">
        <v>272</v>
      </c>
      <c r="J205" t="n">
        <v>0.22581</v>
      </c>
    </row>
    <row r="206">
      <c r="A206" t="inlineStr">
        <is>
          <t>2023_Październik_W5</t>
        </is>
      </c>
      <c r="B206" t="n">
        <v>2023</v>
      </c>
      <c r="C206" t="inlineStr">
        <is>
          <t>Październik</t>
        </is>
      </c>
      <c r="D206" t="inlineStr">
        <is>
          <t>W5</t>
        </is>
      </c>
      <c r="E206" t="n">
        <v>7</v>
      </c>
      <c r="F206" t="inlineStr">
        <is>
          <t>Pełny (7 dni)</t>
        </is>
      </c>
      <c r="G206" t="inlineStr">
        <is>
          <t>24.10</t>
        </is>
      </c>
      <c r="H206" t="inlineStr">
        <is>
          <t>30.10</t>
        </is>
      </c>
      <c r="I206" t="n">
        <v>272</v>
      </c>
      <c r="J206" t="n">
        <v>0.22581</v>
      </c>
    </row>
    <row r="207">
      <c r="A207" t="inlineStr">
        <is>
          <t>2023_Październik_W6</t>
        </is>
      </c>
      <c r="B207" t="n">
        <v>2023</v>
      </c>
      <c r="C207" t="inlineStr">
        <is>
          <t>Październik</t>
        </is>
      </c>
      <c r="D207" t="inlineStr">
        <is>
          <t>W6</t>
        </is>
      </c>
      <c r="E207" t="n">
        <v>1</v>
      </c>
      <c r="F207" t="inlineStr">
        <is>
          <t>Niepełny (1 dni)</t>
        </is>
      </c>
      <c r="G207" t="inlineStr">
        <is>
          <t>31.10</t>
        </is>
      </c>
      <c r="H207" t="inlineStr">
        <is>
          <t>31.10</t>
        </is>
      </c>
      <c r="I207" t="n">
        <v>40</v>
      </c>
      <c r="J207" t="n">
        <v>0.03226</v>
      </c>
    </row>
    <row r="208">
      <c r="A208" t="inlineStr">
        <is>
          <t>2023_Listopad_W1</t>
        </is>
      </c>
      <c r="B208" t="n">
        <v>2023</v>
      </c>
      <c r="C208" t="inlineStr">
        <is>
          <t>Listopad</t>
        </is>
      </c>
      <c r="D208" t="inlineStr">
        <is>
          <t>W1</t>
        </is>
      </c>
      <c r="E208" t="n">
        <v>6</v>
      </c>
      <c r="F208" t="inlineStr">
        <is>
          <t>Niepełny (6 dni)</t>
        </is>
      </c>
      <c r="G208" t="inlineStr">
        <is>
          <t>01.11</t>
        </is>
      </c>
      <c r="H208" t="inlineStr">
        <is>
          <t>06.11</t>
        </is>
      </c>
      <c r="I208" t="n">
        <v>232</v>
      </c>
      <c r="J208" t="n">
        <v>0.2</v>
      </c>
    </row>
    <row r="209">
      <c r="A209" t="inlineStr">
        <is>
          <t>2023_Listopad_W2</t>
        </is>
      </c>
      <c r="B209" t="n">
        <v>2023</v>
      </c>
      <c r="C209" t="inlineStr">
        <is>
          <t>Listopad</t>
        </is>
      </c>
      <c r="D209" t="inlineStr">
        <is>
          <t>W2</t>
        </is>
      </c>
      <c r="E209" t="n">
        <v>7</v>
      </c>
      <c r="F209" t="inlineStr">
        <is>
          <t>Pełny (7 dni)</t>
        </is>
      </c>
      <c r="G209" t="inlineStr">
        <is>
          <t>07.11</t>
        </is>
      </c>
      <c r="H209" t="inlineStr">
        <is>
          <t>13.11</t>
        </is>
      </c>
      <c r="I209" t="n">
        <v>272</v>
      </c>
      <c r="J209" t="n">
        <v>0.23333</v>
      </c>
    </row>
    <row r="210">
      <c r="A210" t="inlineStr">
        <is>
          <t>2023_Listopad_W3</t>
        </is>
      </c>
      <c r="B210" t="n">
        <v>2023</v>
      </c>
      <c r="C210" t="inlineStr">
        <is>
          <t>Listopad</t>
        </is>
      </c>
      <c r="D210" t="inlineStr">
        <is>
          <t>W3</t>
        </is>
      </c>
      <c r="E210" t="n">
        <v>7</v>
      </c>
      <c r="F210" t="inlineStr">
        <is>
          <t>Pełny (7 dni)</t>
        </is>
      </c>
      <c r="G210" t="inlineStr">
        <is>
          <t>14.11</t>
        </is>
      </c>
      <c r="H210" t="inlineStr">
        <is>
          <t>20.11</t>
        </is>
      </c>
      <c r="I210" t="n">
        <v>272</v>
      </c>
      <c r="J210" t="n">
        <v>0.23333</v>
      </c>
    </row>
    <row r="211">
      <c r="A211" t="inlineStr">
        <is>
          <t>2023_Listopad_W4</t>
        </is>
      </c>
      <c r="B211" t="n">
        <v>2023</v>
      </c>
      <c r="C211" t="inlineStr">
        <is>
          <t>Listopad</t>
        </is>
      </c>
      <c r="D211" t="inlineStr">
        <is>
          <t>W4</t>
        </is>
      </c>
      <c r="E211" t="n">
        <v>7</v>
      </c>
      <c r="F211" t="inlineStr">
        <is>
          <t>Pełny (7 dni)</t>
        </is>
      </c>
      <c r="G211" t="inlineStr">
        <is>
          <t>21.11</t>
        </is>
      </c>
      <c r="H211" t="inlineStr">
        <is>
          <t>27.11</t>
        </is>
      </c>
      <c r="I211" t="n">
        <v>272</v>
      </c>
      <c r="J211" t="n">
        <v>0.23333</v>
      </c>
    </row>
    <row r="212">
      <c r="A212" t="inlineStr">
        <is>
          <t>2023_Listopad_W5</t>
        </is>
      </c>
      <c r="B212" t="n">
        <v>2023</v>
      </c>
      <c r="C212" t="inlineStr">
        <is>
          <t>Listopad</t>
        </is>
      </c>
      <c r="D212" t="inlineStr">
        <is>
          <t>W5</t>
        </is>
      </c>
      <c r="E212" t="n">
        <v>3</v>
      </c>
      <c r="F212" t="inlineStr">
        <is>
          <t>Niepełny (3 dni)</t>
        </is>
      </c>
      <c r="G212" t="inlineStr">
        <is>
          <t>28.11</t>
        </is>
      </c>
      <c r="H212" t="inlineStr">
        <is>
          <t>30.11</t>
        </is>
      </c>
      <c r="I212" t="n">
        <v>120</v>
      </c>
      <c r="J212" t="n">
        <v>0.1</v>
      </c>
    </row>
    <row r="213">
      <c r="A213" t="inlineStr">
        <is>
          <t>2023_Listopad_W6</t>
        </is>
      </c>
      <c r="B213" t="n">
        <v>2023</v>
      </c>
      <c r="C213" t="inlineStr">
        <is>
          <t>Listopad</t>
        </is>
      </c>
      <c r="D213" t="inlineStr">
        <is>
          <t>W6</t>
        </is>
      </c>
      <c r="E213" t="n">
        <v>0</v>
      </c>
      <c r="F213" t="inlineStr">
        <is>
          <t>Brak w miesiącu</t>
        </is>
      </c>
      <c r="G213" t="inlineStr">
        <is>
          <t>-</t>
        </is>
      </c>
      <c r="H213" t="inlineStr">
        <is>
          <t>-</t>
        </is>
      </c>
      <c r="I213" t="n">
        <v>0</v>
      </c>
      <c r="J213" t="n">
        <v>0</v>
      </c>
    </row>
    <row r="214">
      <c r="A214" t="inlineStr">
        <is>
          <t>2023_Grudzień_W1</t>
        </is>
      </c>
      <c r="B214" t="n">
        <v>2023</v>
      </c>
      <c r="C214" t="inlineStr">
        <is>
          <t>Grudzień</t>
        </is>
      </c>
      <c r="D214" t="inlineStr">
        <is>
          <t>W1</t>
        </is>
      </c>
      <c r="E214" t="n">
        <v>4</v>
      </c>
      <c r="F214" t="inlineStr">
        <is>
          <t>Niepełny (4 dni)</t>
        </is>
      </c>
      <c r="G214" t="inlineStr">
        <is>
          <t>01.12</t>
        </is>
      </c>
      <c r="H214" t="inlineStr">
        <is>
          <t>04.12</t>
        </is>
      </c>
      <c r="I214" t="n">
        <v>152</v>
      </c>
      <c r="J214" t="n">
        <v>0.12903</v>
      </c>
    </row>
    <row r="215">
      <c r="A215" t="inlineStr">
        <is>
          <t>2023_Grudzień_W2</t>
        </is>
      </c>
      <c r="B215" t="n">
        <v>2023</v>
      </c>
      <c r="C215" t="inlineStr">
        <is>
          <t>Grudzień</t>
        </is>
      </c>
      <c r="D215" t="inlineStr">
        <is>
          <t>W2</t>
        </is>
      </c>
      <c r="E215" t="n">
        <v>7</v>
      </c>
      <c r="F215" t="inlineStr">
        <is>
          <t>Pełny (7 dni)</t>
        </is>
      </c>
      <c r="G215" t="inlineStr">
        <is>
          <t>05.12</t>
        </is>
      </c>
      <c r="H215" t="inlineStr">
        <is>
          <t>11.12</t>
        </is>
      </c>
      <c r="I215" t="n">
        <v>272</v>
      </c>
      <c r="J215" t="n">
        <v>0.22581</v>
      </c>
    </row>
    <row r="216">
      <c r="A216" t="inlineStr">
        <is>
          <t>2023_Grudzień_W3</t>
        </is>
      </c>
      <c r="B216" t="n">
        <v>2023</v>
      </c>
      <c r="C216" t="inlineStr">
        <is>
          <t>Grudzień</t>
        </is>
      </c>
      <c r="D216" t="inlineStr">
        <is>
          <t>W3</t>
        </is>
      </c>
      <c r="E216" t="n">
        <v>7</v>
      </c>
      <c r="F216" t="inlineStr">
        <is>
          <t>Pełny (7 dni)</t>
        </is>
      </c>
      <c r="G216" t="inlineStr">
        <is>
          <t>12.12</t>
        </is>
      </c>
      <c r="H216" t="inlineStr">
        <is>
          <t>18.12</t>
        </is>
      </c>
      <c r="I216" t="n">
        <v>272</v>
      </c>
      <c r="J216" t="n">
        <v>0.22581</v>
      </c>
    </row>
    <row r="217">
      <c r="A217" t="inlineStr">
        <is>
          <t>2023_Grudzień_W4</t>
        </is>
      </c>
      <c r="B217" t="n">
        <v>2023</v>
      </c>
      <c r="C217" t="inlineStr">
        <is>
          <t>Grudzień</t>
        </is>
      </c>
      <c r="D217" t="inlineStr">
        <is>
          <t>W4</t>
        </is>
      </c>
      <c r="E217" t="n">
        <v>7</v>
      </c>
      <c r="F217" t="inlineStr">
        <is>
          <t>Pełny (7 dni)</t>
        </is>
      </c>
      <c r="G217" t="inlineStr">
        <is>
          <t>19.12</t>
        </is>
      </c>
      <c r="H217" t="inlineStr">
        <is>
          <t>25.12</t>
        </is>
      </c>
      <c r="I217" t="n">
        <v>272</v>
      </c>
      <c r="J217" t="n">
        <v>0.22581</v>
      </c>
    </row>
    <row r="218">
      <c r="A218" t="inlineStr">
        <is>
          <t>2023_Grudzień_W5</t>
        </is>
      </c>
      <c r="B218" t="n">
        <v>2023</v>
      </c>
      <c r="C218" t="inlineStr">
        <is>
          <t>Grudzień</t>
        </is>
      </c>
      <c r="D218" t="inlineStr">
        <is>
          <t>W5</t>
        </is>
      </c>
      <c r="E218" t="n">
        <v>6</v>
      </c>
      <c r="F218" t="inlineStr">
        <is>
          <t>Niepełny (6 dni)</t>
        </is>
      </c>
      <c r="G218" t="inlineStr">
        <is>
          <t>26.12</t>
        </is>
      </c>
      <c r="H218" t="inlineStr">
        <is>
          <t>31.12</t>
        </is>
      </c>
      <c r="I218" t="n">
        <v>232</v>
      </c>
      <c r="J218" t="n">
        <v>0.19355</v>
      </c>
    </row>
    <row r="219">
      <c r="A219" t="inlineStr">
        <is>
          <t>2023_Grudzień_W6</t>
        </is>
      </c>
      <c r="B219" t="n">
        <v>2023</v>
      </c>
      <c r="C219" t="inlineStr">
        <is>
          <t>Grudzień</t>
        </is>
      </c>
      <c r="D219" t="inlineStr">
        <is>
          <t>W6</t>
        </is>
      </c>
      <c r="E219" t="n">
        <v>0</v>
      </c>
      <c r="F219" t="inlineStr">
        <is>
          <t>Brak w miesiącu</t>
        </is>
      </c>
      <c r="G219" t="inlineStr">
        <is>
          <t>-</t>
        </is>
      </c>
      <c r="H219" t="inlineStr">
        <is>
          <t>-</t>
        </is>
      </c>
      <c r="I219" t="n">
        <v>0</v>
      </c>
      <c r="J219" t="n">
        <v>0</v>
      </c>
    </row>
    <row r="220">
      <c r="A220" t="inlineStr">
        <is>
          <t>2024_Styczeń_W1</t>
        </is>
      </c>
      <c r="B220" t="n">
        <v>2024</v>
      </c>
      <c r="C220" t="inlineStr">
        <is>
          <t>Styczeń</t>
        </is>
      </c>
      <c r="D220" t="inlineStr">
        <is>
          <t>W1</t>
        </is>
      </c>
      <c r="E220" t="n">
        <v>1</v>
      </c>
      <c r="F220" t="inlineStr">
        <is>
          <t>Niepełny (1 dni)</t>
        </is>
      </c>
      <c r="G220" t="inlineStr">
        <is>
          <t>01.01</t>
        </is>
      </c>
      <c r="H220" t="inlineStr">
        <is>
          <t>01.01</t>
        </is>
      </c>
      <c r="I220" t="n">
        <v>40</v>
      </c>
      <c r="J220" t="n">
        <v>0.03226</v>
      </c>
    </row>
    <row r="221">
      <c r="A221" t="inlineStr">
        <is>
          <t>2024_Styczeń_W2</t>
        </is>
      </c>
      <c r="B221" t="n">
        <v>2024</v>
      </c>
      <c r="C221" t="inlineStr">
        <is>
          <t>Styczeń</t>
        </is>
      </c>
      <c r="D221" t="inlineStr">
        <is>
          <t>W2</t>
        </is>
      </c>
      <c r="E221" t="n">
        <v>7</v>
      </c>
      <c r="F221" t="inlineStr">
        <is>
          <t>Pełny (7 dni)</t>
        </is>
      </c>
      <c r="G221" t="inlineStr">
        <is>
          <t>02.01</t>
        </is>
      </c>
      <c r="H221" t="inlineStr">
        <is>
          <t>08.01</t>
        </is>
      </c>
      <c r="I221" t="n">
        <v>272</v>
      </c>
      <c r="J221" t="n">
        <v>0.22581</v>
      </c>
    </row>
    <row r="222">
      <c r="A222" t="inlineStr">
        <is>
          <t>2024_Styczeń_W3</t>
        </is>
      </c>
      <c r="B222" t="n">
        <v>2024</v>
      </c>
      <c r="C222" t="inlineStr">
        <is>
          <t>Styczeń</t>
        </is>
      </c>
      <c r="D222" t="inlineStr">
        <is>
          <t>W3</t>
        </is>
      </c>
      <c r="E222" t="n">
        <v>7</v>
      </c>
      <c r="F222" t="inlineStr">
        <is>
          <t>Pełny (7 dni)</t>
        </is>
      </c>
      <c r="G222" t="inlineStr">
        <is>
          <t>09.01</t>
        </is>
      </c>
      <c r="H222" t="inlineStr">
        <is>
          <t>15.01</t>
        </is>
      </c>
      <c r="I222" t="n">
        <v>272</v>
      </c>
      <c r="J222" t="n">
        <v>0.22581</v>
      </c>
    </row>
    <row r="223">
      <c r="A223" t="inlineStr">
        <is>
          <t>2024_Styczeń_W4</t>
        </is>
      </c>
      <c r="B223" t="n">
        <v>2024</v>
      </c>
      <c r="C223" t="inlineStr">
        <is>
          <t>Styczeń</t>
        </is>
      </c>
      <c r="D223" t="inlineStr">
        <is>
          <t>W4</t>
        </is>
      </c>
      <c r="E223" t="n">
        <v>7</v>
      </c>
      <c r="F223" t="inlineStr">
        <is>
          <t>Pełny (7 dni)</t>
        </is>
      </c>
      <c r="G223" t="inlineStr">
        <is>
          <t>16.01</t>
        </is>
      </c>
      <c r="H223" t="inlineStr">
        <is>
          <t>22.01</t>
        </is>
      </c>
      <c r="I223" t="n">
        <v>272</v>
      </c>
      <c r="J223" t="n">
        <v>0.22581</v>
      </c>
    </row>
    <row r="224">
      <c r="A224" t="inlineStr">
        <is>
          <t>2024_Styczeń_W5</t>
        </is>
      </c>
      <c r="B224" t="n">
        <v>2024</v>
      </c>
      <c r="C224" t="inlineStr">
        <is>
          <t>Styczeń</t>
        </is>
      </c>
      <c r="D224" t="inlineStr">
        <is>
          <t>W5</t>
        </is>
      </c>
      <c r="E224" t="n">
        <v>7</v>
      </c>
      <c r="F224" t="inlineStr">
        <is>
          <t>Pełny (7 dni)</t>
        </is>
      </c>
      <c r="G224" t="inlineStr">
        <is>
          <t>23.01</t>
        </is>
      </c>
      <c r="H224" t="inlineStr">
        <is>
          <t>29.01</t>
        </is>
      </c>
      <c r="I224" t="n">
        <v>272</v>
      </c>
      <c r="J224" t="n">
        <v>0.22581</v>
      </c>
    </row>
    <row r="225">
      <c r="A225" t="inlineStr">
        <is>
          <t>2024_Styczeń_W6</t>
        </is>
      </c>
      <c r="B225" t="n">
        <v>2024</v>
      </c>
      <c r="C225" t="inlineStr">
        <is>
          <t>Styczeń</t>
        </is>
      </c>
      <c r="D225" t="inlineStr">
        <is>
          <t>W6</t>
        </is>
      </c>
      <c r="E225" t="n">
        <v>2</v>
      </c>
      <c r="F225" t="inlineStr">
        <is>
          <t>Niepełny (2 dni)</t>
        </is>
      </c>
      <c r="G225" t="inlineStr">
        <is>
          <t>30.01</t>
        </is>
      </c>
      <c r="H225" t="inlineStr">
        <is>
          <t>31.01</t>
        </is>
      </c>
      <c r="I225" t="n">
        <v>80</v>
      </c>
      <c r="J225" t="n">
        <v>0.06451999999999999</v>
      </c>
    </row>
    <row r="226">
      <c r="A226" t="inlineStr">
        <is>
          <t>2024_Luty_W1</t>
        </is>
      </c>
      <c r="B226" t="n">
        <v>2024</v>
      </c>
      <c r="C226" t="inlineStr">
        <is>
          <t>Luty</t>
        </is>
      </c>
      <c r="D226" t="inlineStr">
        <is>
          <t>W1</t>
        </is>
      </c>
      <c r="E226" t="n">
        <v>5</v>
      </c>
      <c r="F226" t="inlineStr">
        <is>
          <t>Niepełny (5 dni)</t>
        </is>
      </c>
      <c r="G226" t="inlineStr">
        <is>
          <t>01.02</t>
        </is>
      </c>
      <c r="H226" t="inlineStr">
        <is>
          <t>05.02</t>
        </is>
      </c>
      <c r="I226" t="n">
        <v>192</v>
      </c>
      <c r="J226" t="n">
        <v>0.17241</v>
      </c>
    </row>
    <row r="227">
      <c r="A227" t="inlineStr">
        <is>
          <t>2024_Luty_W2</t>
        </is>
      </c>
      <c r="B227" t="n">
        <v>2024</v>
      </c>
      <c r="C227" t="inlineStr">
        <is>
          <t>Luty</t>
        </is>
      </c>
      <c r="D227" t="inlineStr">
        <is>
          <t>W2</t>
        </is>
      </c>
      <c r="E227" t="n">
        <v>7</v>
      </c>
      <c r="F227" t="inlineStr">
        <is>
          <t>Pełny (7 dni)</t>
        </is>
      </c>
      <c r="G227" t="inlineStr">
        <is>
          <t>06.02</t>
        </is>
      </c>
      <c r="H227" t="inlineStr">
        <is>
          <t>12.02</t>
        </is>
      </c>
      <c r="I227" t="n">
        <v>272</v>
      </c>
      <c r="J227" t="n">
        <v>0.24138</v>
      </c>
    </row>
    <row r="228">
      <c r="A228" t="inlineStr">
        <is>
          <t>2024_Luty_W3</t>
        </is>
      </c>
      <c r="B228" t="n">
        <v>2024</v>
      </c>
      <c r="C228" t="inlineStr">
        <is>
          <t>Luty</t>
        </is>
      </c>
      <c r="D228" t="inlineStr">
        <is>
          <t>W3</t>
        </is>
      </c>
      <c r="E228" t="n">
        <v>7</v>
      </c>
      <c r="F228" t="inlineStr">
        <is>
          <t>Pełny (7 dni)</t>
        </is>
      </c>
      <c r="G228" t="inlineStr">
        <is>
          <t>13.02</t>
        </is>
      </c>
      <c r="H228" t="inlineStr">
        <is>
          <t>19.02</t>
        </is>
      </c>
      <c r="I228" t="n">
        <v>272</v>
      </c>
      <c r="J228" t="n">
        <v>0.24138</v>
      </c>
    </row>
    <row r="229">
      <c r="A229" t="inlineStr">
        <is>
          <t>2024_Luty_W4</t>
        </is>
      </c>
      <c r="B229" t="n">
        <v>2024</v>
      </c>
      <c r="C229" t="inlineStr">
        <is>
          <t>Luty</t>
        </is>
      </c>
      <c r="D229" t="inlineStr">
        <is>
          <t>W4</t>
        </is>
      </c>
      <c r="E229" t="n">
        <v>7</v>
      </c>
      <c r="F229" t="inlineStr">
        <is>
          <t>Pełny (7 dni)</t>
        </is>
      </c>
      <c r="G229" t="inlineStr">
        <is>
          <t>20.02</t>
        </is>
      </c>
      <c r="H229" t="inlineStr">
        <is>
          <t>26.02</t>
        </is>
      </c>
      <c r="I229" t="n">
        <v>272</v>
      </c>
      <c r="J229" t="n">
        <v>0.24138</v>
      </c>
    </row>
    <row r="230">
      <c r="A230" t="inlineStr">
        <is>
          <t>2024_Luty_W5</t>
        </is>
      </c>
      <c r="B230" t="n">
        <v>2024</v>
      </c>
      <c r="C230" t="inlineStr">
        <is>
          <t>Luty</t>
        </is>
      </c>
      <c r="D230" t="inlineStr">
        <is>
          <t>W5</t>
        </is>
      </c>
      <c r="E230" t="n">
        <v>3</v>
      </c>
      <c r="F230" t="inlineStr">
        <is>
          <t>Niepełny (3 dni)</t>
        </is>
      </c>
      <c r="G230" t="inlineStr">
        <is>
          <t>27.02</t>
        </is>
      </c>
      <c r="H230" t="inlineStr">
        <is>
          <t>29.02</t>
        </is>
      </c>
      <c r="I230" t="n">
        <v>120</v>
      </c>
      <c r="J230" t="n">
        <v>0.10345</v>
      </c>
    </row>
    <row r="231">
      <c r="A231" t="inlineStr">
        <is>
          <t>2024_Luty_W6</t>
        </is>
      </c>
      <c r="B231" t="n">
        <v>2024</v>
      </c>
      <c r="C231" t="inlineStr">
        <is>
          <t>Luty</t>
        </is>
      </c>
      <c r="D231" t="inlineStr">
        <is>
          <t>W6</t>
        </is>
      </c>
      <c r="E231" t="n">
        <v>0</v>
      </c>
      <c r="F231" t="inlineStr">
        <is>
          <t>Brak w miesiącu</t>
        </is>
      </c>
      <c r="G231" t="inlineStr">
        <is>
          <t>-</t>
        </is>
      </c>
      <c r="H231" t="inlineStr">
        <is>
          <t>-</t>
        </is>
      </c>
      <c r="I231" t="n">
        <v>0</v>
      </c>
      <c r="J231" t="n">
        <v>0</v>
      </c>
    </row>
    <row r="232">
      <c r="A232" t="inlineStr">
        <is>
          <t>2024_Marzec_W1</t>
        </is>
      </c>
      <c r="B232" t="n">
        <v>2024</v>
      </c>
      <c r="C232" t="inlineStr">
        <is>
          <t>Marzec</t>
        </is>
      </c>
      <c r="D232" t="inlineStr">
        <is>
          <t>W1</t>
        </is>
      </c>
      <c r="E232" t="n">
        <v>4</v>
      </c>
      <c r="F232" t="inlineStr">
        <is>
          <t>Niepełny (4 dni)</t>
        </is>
      </c>
      <c r="G232" t="inlineStr">
        <is>
          <t>01.03</t>
        </is>
      </c>
      <c r="H232" t="inlineStr">
        <is>
          <t>04.03</t>
        </is>
      </c>
      <c r="I232" t="n">
        <v>152</v>
      </c>
      <c r="J232" t="n">
        <v>0.12903</v>
      </c>
    </row>
    <row r="233">
      <c r="A233" t="inlineStr">
        <is>
          <t>2024_Marzec_W2</t>
        </is>
      </c>
      <c r="B233" t="n">
        <v>2024</v>
      </c>
      <c r="C233" t="inlineStr">
        <is>
          <t>Marzec</t>
        </is>
      </c>
      <c r="D233" t="inlineStr">
        <is>
          <t>W2</t>
        </is>
      </c>
      <c r="E233" t="n">
        <v>7</v>
      </c>
      <c r="F233" t="inlineStr">
        <is>
          <t>Pełny (7 dni)</t>
        </is>
      </c>
      <c r="G233" t="inlineStr">
        <is>
          <t>05.03</t>
        </is>
      </c>
      <c r="H233" t="inlineStr">
        <is>
          <t>11.03</t>
        </is>
      </c>
      <c r="I233" t="n">
        <v>272</v>
      </c>
      <c r="J233" t="n">
        <v>0.22581</v>
      </c>
    </row>
    <row r="234">
      <c r="A234" t="inlineStr">
        <is>
          <t>2024_Marzec_W3</t>
        </is>
      </c>
      <c r="B234" t="n">
        <v>2024</v>
      </c>
      <c r="C234" t="inlineStr">
        <is>
          <t>Marzec</t>
        </is>
      </c>
      <c r="D234" t="inlineStr">
        <is>
          <t>W3</t>
        </is>
      </c>
      <c r="E234" t="n">
        <v>7</v>
      </c>
      <c r="F234" t="inlineStr">
        <is>
          <t>Pełny (7 dni)</t>
        </is>
      </c>
      <c r="G234" t="inlineStr">
        <is>
          <t>12.03</t>
        </is>
      </c>
      <c r="H234" t="inlineStr">
        <is>
          <t>18.03</t>
        </is>
      </c>
      <c r="I234" t="n">
        <v>272</v>
      </c>
      <c r="J234" t="n">
        <v>0.22581</v>
      </c>
    </row>
    <row r="235">
      <c r="A235" t="inlineStr">
        <is>
          <t>2024_Marzec_W4</t>
        </is>
      </c>
      <c r="B235" t="n">
        <v>2024</v>
      </c>
      <c r="C235" t="inlineStr">
        <is>
          <t>Marzec</t>
        </is>
      </c>
      <c r="D235" t="inlineStr">
        <is>
          <t>W4</t>
        </is>
      </c>
      <c r="E235" t="n">
        <v>7</v>
      </c>
      <c r="F235" t="inlineStr">
        <is>
          <t>Pełny (7 dni)</t>
        </is>
      </c>
      <c r="G235" t="inlineStr">
        <is>
          <t>19.03</t>
        </is>
      </c>
      <c r="H235" t="inlineStr">
        <is>
          <t>25.03</t>
        </is>
      </c>
      <c r="I235" t="n">
        <v>272</v>
      </c>
      <c r="J235" t="n">
        <v>0.22581</v>
      </c>
    </row>
    <row r="236">
      <c r="A236" t="inlineStr">
        <is>
          <t>2024_Marzec_W5</t>
        </is>
      </c>
      <c r="B236" t="n">
        <v>2024</v>
      </c>
      <c r="C236" t="inlineStr">
        <is>
          <t>Marzec</t>
        </is>
      </c>
      <c r="D236" t="inlineStr">
        <is>
          <t>W5</t>
        </is>
      </c>
      <c r="E236" t="n">
        <v>6</v>
      </c>
      <c r="F236" t="inlineStr">
        <is>
          <t>Niepełny (6 dni)</t>
        </is>
      </c>
      <c r="G236" t="inlineStr">
        <is>
          <t>26.03</t>
        </is>
      </c>
      <c r="H236" t="inlineStr">
        <is>
          <t>31.03</t>
        </is>
      </c>
      <c r="I236" t="n">
        <v>232</v>
      </c>
      <c r="J236" t="n">
        <v>0.19355</v>
      </c>
    </row>
    <row r="237">
      <c r="A237" t="inlineStr">
        <is>
          <t>2024_Marzec_W6</t>
        </is>
      </c>
      <c r="B237" t="n">
        <v>2024</v>
      </c>
      <c r="C237" t="inlineStr">
        <is>
          <t>Marzec</t>
        </is>
      </c>
      <c r="D237" t="inlineStr">
        <is>
          <t>W6</t>
        </is>
      </c>
      <c r="E237" t="n">
        <v>0</v>
      </c>
      <c r="F237" t="inlineStr">
        <is>
          <t>Brak w miesiącu</t>
        </is>
      </c>
      <c r="G237" t="inlineStr">
        <is>
          <t>-</t>
        </is>
      </c>
      <c r="H237" t="inlineStr">
        <is>
          <t>-</t>
        </is>
      </c>
      <c r="I237" t="n">
        <v>0</v>
      </c>
      <c r="J237" t="n">
        <v>0</v>
      </c>
    </row>
    <row r="238">
      <c r="A238" t="inlineStr">
        <is>
          <t>2024_Kwiecień_W1</t>
        </is>
      </c>
      <c r="B238" t="n">
        <v>2024</v>
      </c>
      <c r="C238" t="inlineStr">
        <is>
          <t>Kwiecień</t>
        </is>
      </c>
      <c r="D238" t="inlineStr">
        <is>
          <t>W1</t>
        </is>
      </c>
      <c r="E238" t="n">
        <v>1</v>
      </c>
      <c r="F238" t="inlineStr">
        <is>
          <t>Niepełny (1 dni)</t>
        </is>
      </c>
      <c r="G238" t="inlineStr">
        <is>
          <t>01.04</t>
        </is>
      </c>
      <c r="H238" t="inlineStr">
        <is>
          <t>01.04</t>
        </is>
      </c>
      <c r="I238" t="n">
        <v>40</v>
      </c>
      <c r="J238" t="n">
        <v>0.03333</v>
      </c>
    </row>
    <row r="239">
      <c r="A239" t="inlineStr">
        <is>
          <t>2024_Kwiecień_W2</t>
        </is>
      </c>
      <c r="B239" t="n">
        <v>2024</v>
      </c>
      <c r="C239" t="inlineStr">
        <is>
          <t>Kwiecień</t>
        </is>
      </c>
      <c r="D239" t="inlineStr">
        <is>
          <t>W2</t>
        </is>
      </c>
      <c r="E239" t="n">
        <v>7</v>
      </c>
      <c r="F239" t="inlineStr">
        <is>
          <t>Pełny (7 dni)</t>
        </is>
      </c>
      <c r="G239" t="inlineStr">
        <is>
          <t>02.04</t>
        </is>
      </c>
      <c r="H239" t="inlineStr">
        <is>
          <t>08.04</t>
        </is>
      </c>
      <c r="I239" t="n">
        <v>272</v>
      </c>
      <c r="J239" t="n">
        <v>0.23333</v>
      </c>
    </row>
    <row r="240">
      <c r="A240" t="inlineStr">
        <is>
          <t>2024_Kwiecień_W3</t>
        </is>
      </c>
      <c r="B240" t="n">
        <v>2024</v>
      </c>
      <c r="C240" t="inlineStr">
        <is>
          <t>Kwiecień</t>
        </is>
      </c>
      <c r="D240" t="inlineStr">
        <is>
          <t>W3</t>
        </is>
      </c>
      <c r="E240" t="n">
        <v>7</v>
      </c>
      <c r="F240" t="inlineStr">
        <is>
          <t>Pełny (7 dni)</t>
        </is>
      </c>
      <c r="G240" t="inlineStr">
        <is>
          <t>09.04</t>
        </is>
      </c>
      <c r="H240" t="inlineStr">
        <is>
          <t>15.04</t>
        </is>
      </c>
      <c r="I240" t="n">
        <v>272</v>
      </c>
      <c r="J240" t="n">
        <v>0.23333</v>
      </c>
    </row>
    <row r="241">
      <c r="A241" t="inlineStr">
        <is>
          <t>2024_Kwiecień_W4</t>
        </is>
      </c>
      <c r="B241" t="n">
        <v>2024</v>
      </c>
      <c r="C241" t="inlineStr">
        <is>
          <t>Kwiecień</t>
        </is>
      </c>
      <c r="D241" t="inlineStr">
        <is>
          <t>W4</t>
        </is>
      </c>
      <c r="E241" t="n">
        <v>7</v>
      </c>
      <c r="F241" t="inlineStr">
        <is>
          <t>Pełny (7 dni)</t>
        </is>
      </c>
      <c r="G241" t="inlineStr">
        <is>
          <t>16.04</t>
        </is>
      </c>
      <c r="H241" t="inlineStr">
        <is>
          <t>22.04</t>
        </is>
      </c>
      <c r="I241" t="n">
        <v>272</v>
      </c>
      <c r="J241" t="n">
        <v>0.23333</v>
      </c>
    </row>
    <row r="242">
      <c r="A242" t="inlineStr">
        <is>
          <t>2024_Kwiecień_W5</t>
        </is>
      </c>
      <c r="B242" t="n">
        <v>2024</v>
      </c>
      <c r="C242" t="inlineStr">
        <is>
          <t>Kwiecień</t>
        </is>
      </c>
      <c r="D242" t="inlineStr">
        <is>
          <t>W5</t>
        </is>
      </c>
      <c r="E242" t="n">
        <v>7</v>
      </c>
      <c r="F242" t="inlineStr">
        <is>
          <t>Pełny (7 dni)</t>
        </is>
      </c>
      <c r="G242" t="inlineStr">
        <is>
          <t>23.04</t>
        </is>
      </c>
      <c r="H242" t="inlineStr">
        <is>
          <t>29.04</t>
        </is>
      </c>
      <c r="I242" t="n">
        <v>272</v>
      </c>
      <c r="J242" t="n">
        <v>0.23333</v>
      </c>
    </row>
    <row r="243">
      <c r="A243" t="inlineStr">
        <is>
          <t>2024_Kwiecień_W6</t>
        </is>
      </c>
      <c r="B243" t="n">
        <v>2024</v>
      </c>
      <c r="C243" t="inlineStr">
        <is>
          <t>Kwiecień</t>
        </is>
      </c>
      <c r="D243" t="inlineStr">
        <is>
          <t>W6</t>
        </is>
      </c>
      <c r="E243" t="n">
        <v>1</v>
      </c>
      <c r="F243" t="inlineStr">
        <is>
          <t>Niepełny (1 dni)</t>
        </is>
      </c>
      <c r="G243" t="inlineStr">
        <is>
          <t>30.04</t>
        </is>
      </c>
      <c r="H243" t="inlineStr">
        <is>
          <t>30.04</t>
        </is>
      </c>
      <c r="I243" t="n">
        <v>40</v>
      </c>
      <c r="J243" t="n">
        <v>0.03333</v>
      </c>
    </row>
    <row r="244">
      <c r="A244" t="inlineStr">
        <is>
          <t>2024_Maj_W1</t>
        </is>
      </c>
      <c r="B244" t="n">
        <v>2024</v>
      </c>
      <c r="C244" t="inlineStr">
        <is>
          <t>Maj</t>
        </is>
      </c>
      <c r="D244" t="inlineStr">
        <is>
          <t>W1</t>
        </is>
      </c>
      <c r="E244" t="n">
        <v>6</v>
      </c>
      <c r="F244" t="inlineStr">
        <is>
          <t>Niepełny (6 dni)</t>
        </is>
      </c>
      <c r="G244" t="inlineStr">
        <is>
          <t>01.05</t>
        </is>
      </c>
      <c r="H244" t="inlineStr">
        <is>
          <t>06.05</t>
        </is>
      </c>
      <c r="I244" t="n">
        <v>232</v>
      </c>
      <c r="J244" t="n">
        <v>0.19355</v>
      </c>
    </row>
    <row r="245">
      <c r="A245" t="inlineStr">
        <is>
          <t>2024_Maj_W2</t>
        </is>
      </c>
      <c r="B245" t="n">
        <v>2024</v>
      </c>
      <c r="C245" t="inlineStr">
        <is>
          <t>Maj</t>
        </is>
      </c>
      <c r="D245" t="inlineStr">
        <is>
          <t>W2</t>
        </is>
      </c>
      <c r="E245" t="n">
        <v>7</v>
      </c>
      <c r="F245" t="inlineStr">
        <is>
          <t>Pełny (7 dni)</t>
        </is>
      </c>
      <c r="G245" t="inlineStr">
        <is>
          <t>07.05</t>
        </is>
      </c>
      <c r="H245" t="inlineStr">
        <is>
          <t>13.05</t>
        </is>
      </c>
      <c r="I245" t="n">
        <v>272</v>
      </c>
      <c r="J245" t="n">
        <v>0.22581</v>
      </c>
    </row>
    <row r="246">
      <c r="A246" t="inlineStr">
        <is>
          <t>2024_Maj_W3</t>
        </is>
      </c>
      <c r="B246" t="n">
        <v>2024</v>
      </c>
      <c r="C246" t="inlineStr">
        <is>
          <t>Maj</t>
        </is>
      </c>
      <c r="D246" t="inlineStr">
        <is>
          <t>W3</t>
        </is>
      </c>
      <c r="E246" t="n">
        <v>7</v>
      </c>
      <c r="F246" t="inlineStr">
        <is>
          <t>Pełny (7 dni)</t>
        </is>
      </c>
      <c r="G246" t="inlineStr">
        <is>
          <t>14.05</t>
        </is>
      </c>
      <c r="H246" t="inlineStr">
        <is>
          <t>20.05</t>
        </is>
      </c>
      <c r="I246" t="n">
        <v>272</v>
      </c>
      <c r="J246" t="n">
        <v>0.22581</v>
      </c>
    </row>
    <row r="247">
      <c r="A247" t="inlineStr">
        <is>
          <t>2024_Maj_W4</t>
        </is>
      </c>
      <c r="B247" t="n">
        <v>2024</v>
      </c>
      <c r="C247" t="inlineStr">
        <is>
          <t>Maj</t>
        </is>
      </c>
      <c r="D247" t="inlineStr">
        <is>
          <t>W4</t>
        </is>
      </c>
      <c r="E247" t="n">
        <v>7</v>
      </c>
      <c r="F247" t="inlineStr">
        <is>
          <t>Pełny (7 dni)</t>
        </is>
      </c>
      <c r="G247" t="inlineStr">
        <is>
          <t>21.05</t>
        </is>
      </c>
      <c r="H247" t="inlineStr">
        <is>
          <t>27.05</t>
        </is>
      </c>
      <c r="I247" t="n">
        <v>272</v>
      </c>
      <c r="J247" t="n">
        <v>0.22581</v>
      </c>
    </row>
    <row r="248">
      <c r="A248" t="inlineStr">
        <is>
          <t>2024_Maj_W5</t>
        </is>
      </c>
      <c r="B248" t="n">
        <v>2024</v>
      </c>
      <c r="C248" t="inlineStr">
        <is>
          <t>Maj</t>
        </is>
      </c>
      <c r="D248" t="inlineStr">
        <is>
          <t>W5</t>
        </is>
      </c>
      <c r="E248" t="n">
        <v>4</v>
      </c>
      <c r="F248" t="inlineStr">
        <is>
          <t>Niepełny (4 dni)</t>
        </is>
      </c>
      <c r="G248" t="inlineStr">
        <is>
          <t>28.05</t>
        </is>
      </c>
      <c r="H248" t="inlineStr">
        <is>
          <t>31.05</t>
        </is>
      </c>
      <c r="I248" t="n">
        <v>160</v>
      </c>
      <c r="J248" t="n">
        <v>0.12903</v>
      </c>
    </row>
    <row r="249">
      <c r="A249" t="inlineStr">
        <is>
          <t>2024_Maj_W6</t>
        </is>
      </c>
      <c r="B249" t="n">
        <v>2024</v>
      </c>
      <c r="C249" t="inlineStr">
        <is>
          <t>Maj</t>
        </is>
      </c>
      <c r="D249" t="inlineStr">
        <is>
          <t>W6</t>
        </is>
      </c>
      <c r="E249" t="n">
        <v>0</v>
      </c>
      <c r="F249" t="inlineStr">
        <is>
          <t>Brak w miesiącu</t>
        </is>
      </c>
      <c r="G249" t="inlineStr">
        <is>
          <t>-</t>
        </is>
      </c>
      <c r="H249" t="inlineStr">
        <is>
          <t>-</t>
        </is>
      </c>
      <c r="I249" t="n">
        <v>0</v>
      </c>
      <c r="J249" t="n">
        <v>0</v>
      </c>
    </row>
    <row r="250">
      <c r="A250" t="inlineStr">
        <is>
          <t>2024_Czerwiec_W1</t>
        </is>
      </c>
      <c r="B250" t="n">
        <v>2024</v>
      </c>
      <c r="C250" t="inlineStr">
        <is>
          <t>Czerwiec</t>
        </is>
      </c>
      <c r="D250" t="inlineStr">
        <is>
          <t>W1</t>
        </is>
      </c>
      <c r="E250" t="n">
        <v>3</v>
      </c>
      <c r="F250" t="inlineStr">
        <is>
          <t>Niepełny (3 dni)</t>
        </is>
      </c>
      <c r="G250" t="inlineStr">
        <is>
          <t>01.06</t>
        </is>
      </c>
      <c r="H250" t="inlineStr">
        <is>
          <t>03.06</t>
        </is>
      </c>
      <c r="I250" t="n">
        <v>112</v>
      </c>
      <c r="J250" t="n">
        <v>0.1</v>
      </c>
    </row>
    <row r="251">
      <c r="A251" t="inlineStr">
        <is>
          <t>2024_Czerwiec_W2</t>
        </is>
      </c>
      <c r="B251" t="n">
        <v>2024</v>
      </c>
      <c r="C251" t="inlineStr">
        <is>
          <t>Czerwiec</t>
        </is>
      </c>
      <c r="D251" t="inlineStr">
        <is>
          <t>W2</t>
        </is>
      </c>
      <c r="E251" t="n">
        <v>7</v>
      </c>
      <c r="F251" t="inlineStr">
        <is>
          <t>Pełny (7 dni)</t>
        </is>
      </c>
      <c r="G251" t="inlineStr">
        <is>
          <t>04.06</t>
        </is>
      </c>
      <c r="H251" t="inlineStr">
        <is>
          <t>10.06</t>
        </is>
      </c>
      <c r="I251" t="n">
        <v>272</v>
      </c>
      <c r="J251" t="n">
        <v>0.23333</v>
      </c>
    </row>
    <row r="252">
      <c r="A252" t="inlineStr">
        <is>
          <t>2024_Czerwiec_W3</t>
        </is>
      </c>
      <c r="B252" t="n">
        <v>2024</v>
      </c>
      <c r="C252" t="inlineStr">
        <is>
          <t>Czerwiec</t>
        </is>
      </c>
      <c r="D252" t="inlineStr">
        <is>
          <t>W3</t>
        </is>
      </c>
      <c r="E252" t="n">
        <v>7</v>
      </c>
      <c r="F252" t="inlineStr">
        <is>
          <t>Pełny (7 dni)</t>
        </is>
      </c>
      <c r="G252" t="inlineStr">
        <is>
          <t>11.06</t>
        </is>
      </c>
      <c r="H252" t="inlineStr">
        <is>
          <t>17.06</t>
        </is>
      </c>
      <c r="I252" t="n">
        <v>272</v>
      </c>
      <c r="J252" t="n">
        <v>0.23333</v>
      </c>
    </row>
    <row r="253">
      <c r="A253" t="inlineStr">
        <is>
          <t>2024_Czerwiec_W4</t>
        </is>
      </c>
      <c r="B253" t="n">
        <v>2024</v>
      </c>
      <c r="C253" t="inlineStr">
        <is>
          <t>Czerwiec</t>
        </is>
      </c>
      <c r="D253" t="inlineStr">
        <is>
          <t>W4</t>
        </is>
      </c>
      <c r="E253" t="n">
        <v>7</v>
      </c>
      <c r="F253" t="inlineStr">
        <is>
          <t>Pełny (7 dni)</t>
        </is>
      </c>
      <c r="G253" t="inlineStr">
        <is>
          <t>18.06</t>
        </is>
      </c>
      <c r="H253" t="inlineStr">
        <is>
          <t>24.06</t>
        </is>
      </c>
      <c r="I253" t="n">
        <v>272</v>
      </c>
      <c r="J253" t="n">
        <v>0.23333</v>
      </c>
    </row>
    <row r="254">
      <c r="A254" t="inlineStr">
        <is>
          <t>2024_Czerwiec_W5</t>
        </is>
      </c>
      <c r="B254" t="n">
        <v>2024</v>
      </c>
      <c r="C254" t="inlineStr">
        <is>
          <t>Czerwiec</t>
        </is>
      </c>
      <c r="D254" t="inlineStr">
        <is>
          <t>W5</t>
        </is>
      </c>
      <c r="E254" t="n">
        <v>6</v>
      </c>
      <c r="F254" t="inlineStr">
        <is>
          <t>Niepełny (6 dni)</t>
        </is>
      </c>
      <c r="G254" t="inlineStr">
        <is>
          <t>25.06</t>
        </is>
      </c>
      <c r="H254" t="inlineStr">
        <is>
          <t>30.06</t>
        </is>
      </c>
      <c r="I254" t="n">
        <v>232</v>
      </c>
      <c r="J254" t="n">
        <v>0.2</v>
      </c>
    </row>
    <row r="255">
      <c r="A255" t="inlineStr">
        <is>
          <t>2024_Czerwiec_W6</t>
        </is>
      </c>
      <c r="B255" t="n">
        <v>2024</v>
      </c>
      <c r="C255" t="inlineStr">
        <is>
          <t>Czerwiec</t>
        </is>
      </c>
      <c r="D255" t="inlineStr">
        <is>
          <t>W6</t>
        </is>
      </c>
      <c r="E255" t="n">
        <v>0</v>
      </c>
      <c r="F255" t="inlineStr">
        <is>
          <t>Brak w miesiącu</t>
        </is>
      </c>
      <c r="G255" t="inlineStr">
        <is>
          <t>-</t>
        </is>
      </c>
      <c r="H255" t="inlineStr">
        <is>
          <t>-</t>
        </is>
      </c>
      <c r="I255" t="n">
        <v>0</v>
      </c>
      <c r="J255" t="n">
        <v>0</v>
      </c>
    </row>
    <row r="256">
      <c r="A256" t="inlineStr">
        <is>
          <t>2024_Lipiec_W1</t>
        </is>
      </c>
      <c r="B256" t="n">
        <v>2024</v>
      </c>
      <c r="C256" t="inlineStr">
        <is>
          <t>Lipiec</t>
        </is>
      </c>
      <c r="D256" t="inlineStr">
        <is>
          <t>W1</t>
        </is>
      </c>
      <c r="E256" t="n">
        <v>1</v>
      </c>
      <c r="F256" t="inlineStr">
        <is>
          <t>Niepełny (1 dni)</t>
        </is>
      </c>
      <c r="G256" t="inlineStr">
        <is>
          <t>01.07</t>
        </is>
      </c>
      <c r="H256" t="inlineStr">
        <is>
          <t>01.07</t>
        </is>
      </c>
      <c r="I256" t="n">
        <v>40</v>
      </c>
      <c r="J256" t="n">
        <v>0.03226</v>
      </c>
    </row>
    <row r="257">
      <c r="A257" t="inlineStr">
        <is>
          <t>2024_Lipiec_W2</t>
        </is>
      </c>
      <c r="B257" t="n">
        <v>2024</v>
      </c>
      <c r="C257" t="inlineStr">
        <is>
          <t>Lipiec</t>
        </is>
      </c>
      <c r="D257" t="inlineStr">
        <is>
          <t>W2</t>
        </is>
      </c>
      <c r="E257" t="n">
        <v>7</v>
      </c>
      <c r="F257" t="inlineStr">
        <is>
          <t>Pełny (7 dni)</t>
        </is>
      </c>
      <c r="G257" t="inlineStr">
        <is>
          <t>02.07</t>
        </is>
      </c>
      <c r="H257" t="inlineStr">
        <is>
          <t>08.07</t>
        </is>
      </c>
      <c r="I257" t="n">
        <v>272</v>
      </c>
      <c r="J257" t="n">
        <v>0.22581</v>
      </c>
    </row>
    <row r="258">
      <c r="A258" t="inlineStr">
        <is>
          <t>2024_Lipiec_W3</t>
        </is>
      </c>
      <c r="B258" t="n">
        <v>2024</v>
      </c>
      <c r="C258" t="inlineStr">
        <is>
          <t>Lipiec</t>
        </is>
      </c>
      <c r="D258" t="inlineStr">
        <is>
          <t>W3</t>
        </is>
      </c>
      <c r="E258" t="n">
        <v>7</v>
      </c>
      <c r="F258" t="inlineStr">
        <is>
          <t>Pełny (7 dni)</t>
        </is>
      </c>
      <c r="G258" t="inlineStr">
        <is>
          <t>09.07</t>
        </is>
      </c>
      <c r="H258" t="inlineStr">
        <is>
          <t>15.07</t>
        </is>
      </c>
      <c r="I258" t="n">
        <v>272</v>
      </c>
      <c r="J258" t="n">
        <v>0.22581</v>
      </c>
    </row>
    <row r="259">
      <c r="A259" t="inlineStr">
        <is>
          <t>2024_Lipiec_W4</t>
        </is>
      </c>
      <c r="B259" t="n">
        <v>2024</v>
      </c>
      <c r="C259" t="inlineStr">
        <is>
          <t>Lipiec</t>
        </is>
      </c>
      <c r="D259" t="inlineStr">
        <is>
          <t>W4</t>
        </is>
      </c>
      <c r="E259" t="n">
        <v>7</v>
      </c>
      <c r="F259" t="inlineStr">
        <is>
          <t>Pełny (7 dni)</t>
        </is>
      </c>
      <c r="G259" t="inlineStr">
        <is>
          <t>16.07</t>
        </is>
      </c>
      <c r="H259" t="inlineStr">
        <is>
          <t>22.07</t>
        </is>
      </c>
      <c r="I259" t="n">
        <v>272</v>
      </c>
      <c r="J259" t="n">
        <v>0.22581</v>
      </c>
    </row>
    <row r="260">
      <c r="A260" t="inlineStr">
        <is>
          <t>2024_Lipiec_W5</t>
        </is>
      </c>
      <c r="B260" t="n">
        <v>2024</v>
      </c>
      <c r="C260" t="inlineStr">
        <is>
          <t>Lipiec</t>
        </is>
      </c>
      <c r="D260" t="inlineStr">
        <is>
          <t>W5</t>
        </is>
      </c>
      <c r="E260" t="n">
        <v>7</v>
      </c>
      <c r="F260" t="inlineStr">
        <is>
          <t>Pełny (7 dni)</t>
        </is>
      </c>
      <c r="G260" t="inlineStr">
        <is>
          <t>23.07</t>
        </is>
      </c>
      <c r="H260" t="inlineStr">
        <is>
          <t>29.07</t>
        </is>
      </c>
      <c r="I260" t="n">
        <v>272</v>
      </c>
      <c r="J260" t="n">
        <v>0.22581</v>
      </c>
    </row>
    <row r="261">
      <c r="A261" t="inlineStr">
        <is>
          <t>2024_Lipiec_W6</t>
        </is>
      </c>
      <c r="B261" t="n">
        <v>2024</v>
      </c>
      <c r="C261" t="inlineStr">
        <is>
          <t>Lipiec</t>
        </is>
      </c>
      <c r="D261" t="inlineStr">
        <is>
          <t>W6</t>
        </is>
      </c>
      <c r="E261" t="n">
        <v>2</v>
      </c>
      <c r="F261" t="inlineStr">
        <is>
          <t>Niepełny (2 dni)</t>
        </is>
      </c>
      <c r="G261" t="inlineStr">
        <is>
          <t>30.07</t>
        </is>
      </c>
      <c r="H261" t="inlineStr">
        <is>
          <t>31.07</t>
        </is>
      </c>
      <c r="I261" t="n">
        <v>80</v>
      </c>
      <c r="J261" t="n">
        <v>0.06451999999999999</v>
      </c>
    </row>
    <row r="262">
      <c r="A262" t="inlineStr">
        <is>
          <t>2024_Sierpień_W1</t>
        </is>
      </c>
      <c r="B262" t="n">
        <v>2024</v>
      </c>
      <c r="C262" t="inlineStr">
        <is>
          <t>Sierpień</t>
        </is>
      </c>
      <c r="D262" t="inlineStr">
        <is>
          <t>W1</t>
        </is>
      </c>
      <c r="E262" t="n">
        <v>5</v>
      </c>
      <c r="F262" t="inlineStr">
        <is>
          <t>Niepełny (5 dni)</t>
        </is>
      </c>
      <c r="G262" t="inlineStr">
        <is>
          <t>01.08</t>
        </is>
      </c>
      <c r="H262" t="inlineStr">
        <is>
          <t>05.08</t>
        </is>
      </c>
      <c r="I262" t="n">
        <v>192</v>
      </c>
      <c r="J262" t="n">
        <v>0.16129</v>
      </c>
    </row>
    <row r="263">
      <c r="A263" t="inlineStr">
        <is>
          <t>2024_Sierpień_W2</t>
        </is>
      </c>
      <c r="B263" t="n">
        <v>2024</v>
      </c>
      <c r="C263" t="inlineStr">
        <is>
          <t>Sierpień</t>
        </is>
      </c>
      <c r="D263" t="inlineStr">
        <is>
          <t>W2</t>
        </is>
      </c>
      <c r="E263" t="n">
        <v>7</v>
      </c>
      <c r="F263" t="inlineStr">
        <is>
          <t>Pełny (7 dni)</t>
        </is>
      </c>
      <c r="G263" t="inlineStr">
        <is>
          <t>06.08</t>
        </is>
      </c>
      <c r="H263" t="inlineStr">
        <is>
          <t>12.08</t>
        </is>
      </c>
      <c r="I263" t="n">
        <v>272</v>
      </c>
      <c r="J263" t="n">
        <v>0.22581</v>
      </c>
    </row>
    <row r="264">
      <c r="A264" t="inlineStr">
        <is>
          <t>2024_Sierpień_W3</t>
        </is>
      </c>
      <c r="B264" t="n">
        <v>2024</v>
      </c>
      <c r="C264" t="inlineStr">
        <is>
          <t>Sierpień</t>
        </is>
      </c>
      <c r="D264" t="inlineStr">
        <is>
          <t>W3</t>
        </is>
      </c>
      <c r="E264" t="n">
        <v>7</v>
      </c>
      <c r="F264" t="inlineStr">
        <is>
          <t>Pełny (7 dni)</t>
        </is>
      </c>
      <c r="G264" t="inlineStr">
        <is>
          <t>13.08</t>
        </is>
      </c>
      <c r="H264" t="inlineStr">
        <is>
          <t>19.08</t>
        </is>
      </c>
      <c r="I264" t="n">
        <v>272</v>
      </c>
      <c r="J264" t="n">
        <v>0.22581</v>
      </c>
    </row>
    <row r="265">
      <c r="A265" t="inlineStr">
        <is>
          <t>2024_Sierpień_W4</t>
        </is>
      </c>
      <c r="B265" t="n">
        <v>2024</v>
      </c>
      <c r="C265" t="inlineStr">
        <is>
          <t>Sierpień</t>
        </is>
      </c>
      <c r="D265" t="inlineStr">
        <is>
          <t>W4</t>
        </is>
      </c>
      <c r="E265" t="n">
        <v>7</v>
      </c>
      <c r="F265" t="inlineStr">
        <is>
          <t>Pełny (7 dni)</t>
        </is>
      </c>
      <c r="G265" t="inlineStr">
        <is>
          <t>20.08</t>
        </is>
      </c>
      <c r="H265" t="inlineStr">
        <is>
          <t>26.08</t>
        </is>
      </c>
      <c r="I265" t="n">
        <v>272</v>
      </c>
      <c r="J265" t="n">
        <v>0.22581</v>
      </c>
    </row>
    <row r="266">
      <c r="A266" t="inlineStr">
        <is>
          <t>2024_Sierpień_W5</t>
        </is>
      </c>
      <c r="B266" t="n">
        <v>2024</v>
      </c>
      <c r="C266" t="inlineStr">
        <is>
          <t>Sierpień</t>
        </is>
      </c>
      <c r="D266" t="inlineStr">
        <is>
          <t>W5</t>
        </is>
      </c>
      <c r="E266" t="n">
        <v>5</v>
      </c>
      <c r="F266" t="inlineStr">
        <is>
          <t>Niepełny (5 dni)</t>
        </is>
      </c>
      <c r="G266" t="inlineStr">
        <is>
          <t>27.08</t>
        </is>
      </c>
      <c r="H266" t="inlineStr">
        <is>
          <t>31.08</t>
        </is>
      </c>
      <c r="I266" t="n">
        <v>200</v>
      </c>
      <c r="J266" t="n">
        <v>0.16129</v>
      </c>
    </row>
    <row r="267">
      <c r="A267" t="inlineStr">
        <is>
          <t>2024_Sierpień_W6</t>
        </is>
      </c>
      <c r="B267" t="n">
        <v>2024</v>
      </c>
      <c r="C267" t="inlineStr">
        <is>
          <t>Sierpień</t>
        </is>
      </c>
      <c r="D267" t="inlineStr">
        <is>
          <t>W6</t>
        </is>
      </c>
      <c r="E267" t="n">
        <v>0</v>
      </c>
      <c r="F267" t="inlineStr">
        <is>
          <t>Brak w miesiącu</t>
        </is>
      </c>
      <c r="G267" t="inlineStr">
        <is>
          <t>-</t>
        </is>
      </c>
      <c r="H267" t="inlineStr">
        <is>
          <t>-</t>
        </is>
      </c>
      <c r="I267" t="n">
        <v>0</v>
      </c>
      <c r="J267" t="n">
        <v>0</v>
      </c>
    </row>
    <row r="268">
      <c r="A268" t="inlineStr">
        <is>
          <t>2024_Wrzesień_W1</t>
        </is>
      </c>
      <c r="B268" t="n">
        <v>2024</v>
      </c>
      <c r="C268" t="inlineStr">
        <is>
          <t>Wrzesień</t>
        </is>
      </c>
      <c r="D268" t="inlineStr">
        <is>
          <t>W1</t>
        </is>
      </c>
      <c r="E268" t="n">
        <v>2</v>
      </c>
      <c r="F268" t="inlineStr">
        <is>
          <t>Niepełny (2 dni)</t>
        </is>
      </c>
      <c r="G268" t="inlineStr">
        <is>
          <t>01.09</t>
        </is>
      </c>
      <c r="H268" t="inlineStr">
        <is>
          <t>02.09</t>
        </is>
      </c>
      <c r="I268" t="n">
        <v>72</v>
      </c>
      <c r="J268" t="n">
        <v>0.06666999999999999</v>
      </c>
    </row>
    <row r="269">
      <c r="A269" t="inlineStr">
        <is>
          <t>2024_Wrzesień_W2</t>
        </is>
      </c>
      <c r="B269" t="n">
        <v>2024</v>
      </c>
      <c r="C269" t="inlineStr">
        <is>
          <t>Wrzesień</t>
        </is>
      </c>
      <c r="D269" t="inlineStr">
        <is>
          <t>W2</t>
        </is>
      </c>
      <c r="E269" t="n">
        <v>7</v>
      </c>
      <c r="F269" t="inlineStr">
        <is>
          <t>Pełny (7 dni)</t>
        </is>
      </c>
      <c r="G269" t="inlineStr">
        <is>
          <t>03.09</t>
        </is>
      </c>
      <c r="H269" t="inlineStr">
        <is>
          <t>09.09</t>
        </is>
      </c>
      <c r="I269" t="n">
        <v>272</v>
      </c>
      <c r="J269" t="n">
        <v>0.23333</v>
      </c>
    </row>
    <row r="270">
      <c r="A270" t="inlineStr">
        <is>
          <t>2024_Wrzesień_W3</t>
        </is>
      </c>
      <c r="B270" t="n">
        <v>2024</v>
      </c>
      <c r="C270" t="inlineStr">
        <is>
          <t>Wrzesień</t>
        </is>
      </c>
      <c r="D270" t="inlineStr">
        <is>
          <t>W3</t>
        </is>
      </c>
      <c r="E270" t="n">
        <v>7</v>
      </c>
      <c r="F270" t="inlineStr">
        <is>
          <t>Pełny (7 dni)</t>
        </is>
      </c>
      <c r="G270" t="inlineStr">
        <is>
          <t>10.09</t>
        </is>
      </c>
      <c r="H270" t="inlineStr">
        <is>
          <t>16.09</t>
        </is>
      </c>
      <c r="I270" t="n">
        <v>272</v>
      </c>
      <c r="J270" t="n">
        <v>0.23333</v>
      </c>
    </row>
    <row r="271">
      <c r="A271" t="inlineStr">
        <is>
          <t>2024_Wrzesień_W4</t>
        </is>
      </c>
      <c r="B271" t="n">
        <v>2024</v>
      </c>
      <c r="C271" t="inlineStr">
        <is>
          <t>Wrzesień</t>
        </is>
      </c>
      <c r="D271" t="inlineStr">
        <is>
          <t>W4</t>
        </is>
      </c>
      <c r="E271" t="n">
        <v>7</v>
      </c>
      <c r="F271" t="inlineStr">
        <is>
          <t>Pełny (7 dni)</t>
        </is>
      </c>
      <c r="G271" t="inlineStr">
        <is>
          <t>17.09</t>
        </is>
      </c>
      <c r="H271" t="inlineStr">
        <is>
          <t>23.09</t>
        </is>
      </c>
      <c r="I271" t="n">
        <v>272</v>
      </c>
      <c r="J271" t="n">
        <v>0.23333</v>
      </c>
    </row>
    <row r="272">
      <c r="A272" t="inlineStr">
        <is>
          <t>2024_Wrzesień_W5</t>
        </is>
      </c>
      <c r="B272" t="n">
        <v>2024</v>
      </c>
      <c r="C272" t="inlineStr">
        <is>
          <t>Wrzesień</t>
        </is>
      </c>
      <c r="D272" t="inlineStr">
        <is>
          <t>W5</t>
        </is>
      </c>
      <c r="E272" t="n">
        <v>7</v>
      </c>
      <c r="F272" t="inlineStr">
        <is>
          <t>Pełny (7 dni)</t>
        </is>
      </c>
      <c r="G272" t="inlineStr">
        <is>
          <t>24.09</t>
        </is>
      </c>
      <c r="H272" t="inlineStr">
        <is>
          <t>30.09</t>
        </is>
      </c>
      <c r="I272" t="n">
        <v>272</v>
      </c>
      <c r="J272" t="n">
        <v>0.23333</v>
      </c>
    </row>
    <row r="273">
      <c r="A273" t="inlineStr">
        <is>
          <t>2024_Wrzesień_W6</t>
        </is>
      </c>
      <c r="B273" t="n">
        <v>2024</v>
      </c>
      <c r="C273" t="inlineStr">
        <is>
          <t>Wrzesień</t>
        </is>
      </c>
      <c r="D273" t="inlineStr">
        <is>
          <t>W6</t>
        </is>
      </c>
      <c r="E273" t="n">
        <v>0</v>
      </c>
      <c r="F273" t="inlineStr">
        <is>
          <t>Brak w miesiącu</t>
        </is>
      </c>
      <c r="G273" t="inlineStr">
        <is>
          <t>-</t>
        </is>
      </c>
      <c r="H273" t="inlineStr">
        <is>
          <t>-</t>
        </is>
      </c>
      <c r="I273" t="n">
        <v>0</v>
      </c>
      <c r="J273" t="n">
        <v>0</v>
      </c>
    </row>
    <row r="274">
      <c r="A274" t="inlineStr">
        <is>
          <t>2024_Październik_W1</t>
        </is>
      </c>
      <c r="B274" t="n">
        <v>2024</v>
      </c>
      <c r="C274" t="inlineStr">
        <is>
          <t>Październik</t>
        </is>
      </c>
      <c r="D274" t="inlineStr">
        <is>
          <t>W1</t>
        </is>
      </c>
      <c r="E274" t="n">
        <v>7</v>
      </c>
      <c r="F274" t="inlineStr">
        <is>
          <t>Pełny (7 dni)</t>
        </is>
      </c>
      <c r="G274" t="inlineStr">
        <is>
          <t>01.10</t>
        </is>
      </c>
      <c r="H274" t="inlineStr">
        <is>
          <t>07.10</t>
        </is>
      </c>
      <c r="I274" t="n">
        <v>272</v>
      </c>
      <c r="J274" t="n">
        <v>0.22581</v>
      </c>
    </row>
    <row r="275">
      <c r="A275" t="inlineStr">
        <is>
          <t>2024_Październik_W2</t>
        </is>
      </c>
      <c r="B275" t="n">
        <v>2024</v>
      </c>
      <c r="C275" t="inlineStr">
        <is>
          <t>Październik</t>
        </is>
      </c>
      <c r="D275" t="inlineStr">
        <is>
          <t>W2</t>
        </is>
      </c>
      <c r="E275" t="n">
        <v>7</v>
      </c>
      <c r="F275" t="inlineStr">
        <is>
          <t>Pełny (7 dni)</t>
        </is>
      </c>
      <c r="G275" t="inlineStr">
        <is>
          <t>08.10</t>
        </is>
      </c>
      <c r="H275" t="inlineStr">
        <is>
          <t>14.10</t>
        </is>
      </c>
      <c r="I275" t="n">
        <v>272</v>
      </c>
      <c r="J275" t="n">
        <v>0.22581</v>
      </c>
    </row>
    <row r="276">
      <c r="A276" t="inlineStr">
        <is>
          <t>2024_Październik_W3</t>
        </is>
      </c>
      <c r="B276" t="n">
        <v>2024</v>
      </c>
      <c r="C276" t="inlineStr">
        <is>
          <t>Październik</t>
        </is>
      </c>
      <c r="D276" t="inlineStr">
        <is>
          <t>W3</t>
        </is>
      </c>
      <c r="E276" t="n">
        <v>7</v>
      </c>
      <c r="F276" t="inlineStr">
        <is>
          <t>Pełny (7 dni)</t>
        </is>
      </c>
      <c r="G276" t="inlineStr">
        <is>
          <t>15.10</t>
        </is>
      </c>
      <c r="H276" t="inlineStr">
        <is>
          <t>21.10</t>
        </is>
      </c>
      <c r="I276" t="n">
        <v>272</v>
      </c>
      <c r="J276" t="n">
        <v>0.22581</v>
      </c>
    </row>
    <row r="277">
      <c r="A277" t="inlineStr">
        <is>
          <t>2024_Październik_W4</t>
        </is>
      </c>
      <c r="B277" t="n">
        <v>2024</v>
      </c>
      <c r="C277" t="inlineStr">
        <is>
          <t>Październik</t>
        </is>
      </c>
      <c r="D277" t="inlineStr">
        <is>
          <t>W4</t>
        </is>
      </c>
      <c r="E277" t="n">
        <v>7</v>
      </c>
      <c r="F277" t="inlineStr">
        <is>
          <t>Pełny (7 dni)</t>
        </is>
      </c>
      <c r="G277" t="inlineStr">
        <is>
          <t>22.10</t>
        </is>
      </c>
      <c r="H277" t="inlineStr">
        <is>
          <t>28.10</t>
        </is>
      </c>
      <c r="I277" t="n">
        <v>272</v>
      </c>
      <c r="J277" t="n">
        <v>0.22581</v>
      </c>
    </row>
    <row r="278">
      <c r="A278" t="inlineStr">
        <is>
          <t>2024_Październik_W5</t>
        </is>
      </c>
      <c r="B278" t="n">
        <v>2024</v>
      </c>
      <c r="C278" t="inlineStr">
        <is>
          <t>Październik</t>
        </is>
      </c>
      <c r="D278" t="inlineStr">
        <is>
          <t>W5</t>
        </is>
      </c>
      <c r="E278" t="n">
        <v>3</v>
      </c>
      <c r="F278" t="inlineStr">
        <is>
          <t>Niepełny (3 dni)</t>
        </is>
      </c>
      <c r="G278" t="inlineStr">
        <is>
          <t>29.10</t>
        </is>
      </c>
      <c r="H278" t="inlineStr">
        <is>
          <t>31.10</t>
        </is>
      </c>
      <c r="I278" t="n">
        <v>120</v>
      </c>
      <c r="J278" t="n">
        <v>0.09676999999999999</v>
      </c>
    </row>
    <row r="279">
      <c r="A279" t="inlineStr">
        <is>
          <t>2024_Październik_W6</t>
        </is>
      </c>
      <c r="B279" t="n">
        <v>2024</v>
      </c>
      <c r="C279" t="inlineStr">
        <is>
          <t>Październik</t>
        </is>
      </c>
      <c r="D279" t="inlineStr">
        <is>
          <t>W6</t>
        </is>
      </c>
      <c r="E279" t="n">
        <v>0</v>
      </c>
      <c r="F279" t="inlineStr">
        <is>
          <t>Brak w miesiącu</t>
        </is>
      </c>
      <c r="G279" t="inlineStr">
        <is>
          <t>-</t>
        </is>
      </c>
      <c r="H279" t="inlineStr">
        <is>
          <t>-</t>
        </is>
      </c>
      <c r="I279" t="n">
        <v>0</v>
      </c>
      <c r="J279" t="n">
        <v>0</v>
      </c>
    </row>
    <row r="280">
      <c r="A280" t="inlineStr">
        <is>
          <t>2024_Listopad_W1</t>
        </is>
      </c>
      <c r="B280" t="n">
        <v>2024</v>
      </c>
      <c r="C280" t="inlineStr">
        <is>
          <t>Listopad</t>
        </is>
      </c>
      <c r="D280" t="inlineStr">
        <is>
          <t>W1</t>
        </is>
      </c>
      <c r="E280" t="n">
        <v>4</v>
      </c>
      <c r="F280" t="inlineStr">
        <is>
          <t>Niepełny (4 dni)</t>
        </is>
      </c>
      <c r="G280" t="inlineStr">
        <is>
          <t>01.11</t>
        </is>
      </c>
      <c r="H280" t="inlineStr">
        <is>
          <t>04.11</t>
        </is>
      </c>
      <c r="I280" t="n">
        <v>152</v>
      </c>
      <c r="J280" t="n">
        <v>0.13333</v>
      </c>
    </row>
    <row r="281">
      <c r="A281" t="inlineStr">
        <is>
          <t>2024_Listopad_W2</t>
        </is>
      </c>
      <c r="B281" t="n">
        <v>2024</v>
      </c>
      <c r="C281" t="inlineStr">
        <is>
          <t>Listopad</t>
        </is>
      </c>
      <c r="D281" t="inlineStr">
        <is>
          <t>W2</t>
        </is>
      </c>
      <c r="E281" t="n">
        <v>7</v>
      </c>
      <c r="F281" t="inlineStr">
        <is>
          <t>Pełny (7 dni)</t>
        </is>
      </c>
      <c r="G281" t="inlineStr">
        <is>
          <t>05.11</t>
        </is>
      </c>
      <c r="H281" t="inlineStr">
        <is>
          <t>11.11</t>
        </is>
      </c>
      <c r="I281" t="n">
        <v>272</v>
      </c>
      <c r="J281" t="n">
        <v>0.23333</v>
      </c>
    </row>
    <row r="282">
      <c r="A282" t="inlineStr">
        <is>
          <t>2024_Listopad_W3</t>
        </is>
      </c>
      <c r="B282" t="n">
        <v>2024</v>
      </c>
      <c r="C282" t="inlineStr">
        <is>
          <t>Listopad</t>
        </is>
      </c>
      <c r="D282" t="inlineStr">
        <is>
          <t>W3</t>
        </is>
      </c>
      <c r="E282" t="n">
        <v>7</v>
      </c>
      <c r="F282" t="inlineStr">
        <is>
          <t>Pełny (7 dni)</t>
        </is>
      </c>
      <c r="G282" t="inlineStr">
        <is>
          <t>12.11</t>
        </is>
      </c>
      <c r="H282" t="inlineStr">
        <is>
          <t>18.11</t>
        </is>
      </c>
      <c r="I282" t="n">
        <v>272</v>
      </c>
      <c r="J282" t="n">
        <v>0.23333</v>
      </c>
    </row>
    <row r="283">
      <c r="A283" t="inlineStr">
        <is>
          <t>2024_Listopad_W4</t>
        </is>
      </c>
      <c r="B283" t="n">
        <v>2024</v>
      </c>
      <c r="C283" t="inlineStr">
        <is>
          <t>Listopad</t>
        </is>
      </c>
      <c r="D283" t="inlineStr">
        <is>
          <t>W4</t>
        </is>
      </c>
      <c r="E283" t="n">
        <v>7</v>
      </c>
      <c r="F283" t="inlineStr">
        <is>
          <t>Pełny (7 dni)</t>
        </is>
      </c>
      <c r="G283" t="inlineStr">
        <is>
          <t>19.11</t>
        </is>
      </c>
      <c r="H283" t="inlineStr">
        <is>
          <t>25.11</t>
        </is>
      </c>
      <c r="I283" t="n">
        <v>272</v>
      </c>
      <c r="J283" t="n">
        <v>0.23333</v>
      </c>
    </row>
    <row r="284">
      <c r="A284" t="inlineStr">
        <is>
          <t>2024_Listopad_W5</t>
        </is>
      </c>
      <c r="B284" t="n">
        <v>2024</v>
      </c>
      <c r="C284" t="inlineStr">
        <is>
          <t>Listopad</t>
        </is>
      </c>
      <c r="D284" t="inlineStr">
        <is>
          <t>W5</t>
        </is>
      </c>
      <c r="E284" t="n">
        <v>5</v>
      </c>
      <c r="F284" t="inlineStr">
        <is>
          <t>Niepełny (5 dni)</t>
        </is>
      </c>
      <c r="G284" t="inlineStr">
        <is>
          <t>26.11</t>
        </is>
      </c>
      <c r="H284" t="inlineStr">
        <is>
          <t>30.11</t>
        </is>
      </c>
      <c r="I284" t="n">
        <v>200</v>
      </c>
      <c r="J284" t="n">
        <v>0.16667</v>
      </c>
    </row>
    <row r="285">
      <c r="A285" t="inlineStr">
        <is>
          <t>2024_Listopad_W6</t>
        </is>
      </c>
      <c r="B285" t="n">
        <v>2024</v>
      </c>
      <c r="C285" t="inlineStr">
        <is>
          <t>Listopad</t>
        </is>
      </c>
      <c r="D285" t="inlineStr">
        <is>
          <t>W6</t>
        </is>
      </c>
      <c r="E285" t="n">
        <v>0</v>
      </c>
      <c r="F285" t="inlineStr">
        <is>
          <t>Brak w miesiącu</t>
        </is>
      </c>
      <c r="G285" t="inlineStr">
        <is>
          <t>-</t>
        </is>
      </c>
      <c r="H285" t="inlineStr">
        <is>
          <t>-</t>
        </is>
      </c>
      <c r="I285" t="n">
        <v>0</v>
      </c>
      <c r="J285" t="n">
        <v>0</v>
      </c>
    </row>
    <row r="286">
      <c r="A286" t="inlineStr">
        <is>
          <t>2024_Grudzień_W1</t>
        </is>
      </c>
      <c r="B286" t="n">
        <v>2024</v>
      </c>
      <c r="C286" t="inlineStr">
        <is>
          <t>Grudzień</t>
        </is>
      </c>
      <c r="D286" t="inlineStr">
        <is>
          <t>W1</t>
        </is>
      </c>
      <c r="E286" t="n">
        <v>2</v>
      </c>
      <c r="F286" t="inlineStr">
        <is>
          <t>Niepełny (2 dni)</t>
        </is>
      </c>
      <c r="G286" t="inlineStr">
        <is>
          <t>01.12</t>
        </is>
      </c>
      <c r="H286" t="inlineStr">
        <is>
          <t>02.12</t>
        </is>
      </c>
      <c r="I286" t="n">
        <v>72</v>
      </c>
      <c r="J286" t="n">
        <v>0.06451999999999999</v>
      </c>
    </row>
    <row r="287">
      <c r="A287" t="inlineStr">
        <is>
          <t>2024_Grudzień_W2</t>
        </is>
      </c>
      <c r="B287" t="n">
        <v>2024</v>
      </c>
      <c r="C287" t="inlineStr">
        <is>
          <t>Grudzień</t>
        </is>
      </c>
      <c r="D287" t="inlineStr">
        <is>
          <t>W2</t>
        </is>
      </c>
      <c r="E287" t="n">
        <v>7</v>
      </c>
      <c r="F287" t="inlineStr">
        <is>
          <t>Pełny (7 dni)</t>
        </is>
      </c>
      <c r="G287" t="inlineStr">
        <is>
          <t>03.12</t>
        </is>
      </c>
      <c r="H287" t="inlineStr">
        <is>
          <t>09.12</t>
        </is>
      </c>
      <c r="I287" t="n">
        <v>272</v>
      </c>
      <c r="J287" t="n">
        <v>0.22581</v>
      </c>
    </row>
    <row r="288">
      <c r="A288" t="inlineStr">
        <is>
          <t>2024_Grudzień_W3</t>
        </is>
      </c>
      <c r="B288" t="n">
        <v>2024</v>
      </c>
      <c r="C288" t="inlineStr">
        <is>
          <t>Grudzień</t>
        </is>
      </c>
      <c r="D288" t="inlineStr">
        <is>
          <t>W3</t>
        </is>
      </c>
      <c r="E288" t="n">
        <v>7</v>
      </c>
      <c r="F288" t="inlineStr">
        <is>
          <t>Pełny (7 dni)</t>
        </is>
      </c>
      <c r="G288" t="inlineStr">
        <is>
          <t>10.12</t>
        </is>
      </c>
      <c r="H288" t="inlineStr">
        <is>
          <t>16.12</t>
        </is>
      </c>
      <c r="I288" t="n">
        <v>272</v>
      </c>
      <c r="J288" t="n">
        <v>0.22581</v>
      </c>
    </row>
    <row r="289">
      <c r="A289" t="inlineStr">
        <is>
          <t>2024_Grudzień_W4</t>
        </is>
      </c>
      <c r="B289" t="n">
        <v>2024</v>
      </c>
      <c r="C289" t="inlineStr">
        <is>
          <t>Grudzień</t>
        </is>
      </c>
      <c r="D289" t="inlineStr">
        <is>
          <t>W4</t>
        </is>
      </c>
      <c r="E289" t="n">
        <v>7</v>
      </c>
      <c r="F289" t="inlineStr">
        <is>
          <t>Pełny (7 dni)</t>
        </is>
      </c>
      <c r="G289" t="inlineStr">
        <is>
          <t>17.12</t>
        </is>
      </c>
      <c r="H289" t="inlineStr">
        <is>
          <t>23.12</t>
        </is>
      </c>
      <c r="I289" t="n">
        <v>272</v>
      </c>
      <c r="J289" t="n">
        <v>0.22581</v>
      </c>
    </row>
    <row r="290">
      <c r="A290" t="inlineStr">
        <is>
          <t>2024_Grudzień_W5</t>
        </is>
      </c>
      <c r="B290" t="n">
        <v>2024</v>
      </c>
      <c r="C290" t="inlineStr">
        <is>
          <t>Grudzień</t>
        </is>
      </c>
      <c r="D290" t="inlineStr">
        <is>
          <t>W5</t>
        </is>
      </c>
      <c r="E290" t="n">
        <v>7</v>
      </c>
      <c r="F290" t="inlineStr">
        <is>
          <t>Pełny (7 dni)</t>
        </is>
      </c>
      <c r="G290" t="inlineStr">
        <is>
          <t>24.12</t>
        </is>
      </c>
      <c r="H290" t="inlineStr">
        <is>
          <t>30.12</t>
        </is>
      </c>
      <c r="I290" t="n">
        <v>272</v>
      </c>
      <c r="J290" t="n">
        <v>0.22581</v>
      </c>
    </row>
    <row r="291">
      <c r="A291" t="inlineStr">
        <is>
          <t>2024_Grudzień_W6</t>
        </is>
      </c>
      <c r="B291" t="n">
        <v>2024</v>
      </c>
      <c r="C291" t="inlineStr">
        <is>
          <t>Grudzień</t>
        </is>
      </c>
      <c r="D291" t="inlineStr">
        <is>
          <t>W6</t>
        </is>
      </c>
      <c r="E291" t="n">
        <v>1</v>
      </c>
      <c r="F291" t="inlineStr">
        <is>
          <t>Niepełny (1 dni)</t>
        </is>
      </c>
      <c r="G291" t="inlineStr">
        <is>
          <t>31.12</t>
        </is>
      </c>
      <c r="H291" t="inlineStr">
        <is>
          <t>31.12</t>
        </is>
      </c>
      <c r="I291" t="n">
        <v>40</v>
      </c>
      <c r="J291" t="n">
        <v>0.03226</v>
      </c>
    </row>
    <row r="292">
      <c r="A292" t="inlineStr">
        <is>
          <t>2025_Styczeń_W1</t>
        </is>
      </c>
      <c r="B292" t="n">
        <v>2025</v>
      </c>
      <c r="C292" t="inlineStr">
        <is>
          <t>Styczeń</t>
        </is>
      </c>
      <c r="D292" t="inlineStr">
        <is>
          <t>W1</t>
        </is>
      </c>
      <c r="E292" t="n">
        <v>6</v>
      </c>
      <c r="F292" t="inlineStr">
        <is>
          <t>Niepełny (6 dni)</t>
        </is>
      </c>
      <c r="G292" t="inlineStr">
        <is>
          <t>01.01</t>
        </is>
      </c>
      <c r="H292" t="inlineStr">
        <is>
          <t>06.01</t>
        </is>
      </c>
      <c r="I292" t="n">
        <v>232</v>
      </c>
      <c r="J292" t="n">
        <v>0.19355</v>
      </c>
    </row>
    <row r="293">
      <c r="A293" t="inlineStr">
        <is>
          <t>2025_Styczeń_W2</t>
        </is>
      </c>
      <c r="B293" t="n">
        <v>2025</v>
      </c>
      <c r="C293" t="inlineStr">
        <is>
          <t>Styczeń</t>
        </is>
      </c>
      <c r="D293" t="inlineStr">
        <is>
          <t>W2</t>
        </is>
      </c>
      <c r="E293" t="n">
        <v>7</v>
      </c>
      <c r="F293" t="inlineStr">
        <is>
          <t>Pełny (7 dni)</t>
        </is>
      </c>
      <c r="G293" t="inlineStr">
        <is>
          <t>07.01</t>
        </is>
      </c>
      <c r="H293" t="inlineStr">
        <is>
          <t>13.01</t>
        </is>
      </c>
      <c r="I293" t="n">
        <v>272</v>
      </c>
      <c r="J293" t="n">
        <v>0.22581</v>
      </c>
    </row>
    <row r="294">
      <c r="A294" t="inlineStr">
        <is>
          <t>2025_Styczeń_W3</t>
        </is>
      </c>
      <c r="B294" t="n">
        <v>2025</v>
      </c>
      <c r="C294" t="inlineStr">
        <is>
          <t>Styczeń</t>
        </is>
      </c>
      <c r="D294" t="inlineStr">
        <is>
          <t>W3</t>
        </is>
      </c>
      <c r="E294" t="n">
        <v>7</v>
      </c>
      <c r="F294" t="inlineStr">
        <is>
          <t>Pełny (7 dni)</t>
        </is>
      </c>
      <c r="G294" t="inlineStr">
        <is>
          <t>14.01</t>
        </is>
      </c>
      <c r="H294" t="inlineStr">
        <is>
          <t>20.01</t>
        </is>
      </c>
      <c r="I294" t="n">
        <v>272</v>
      </c>
      <c r="J294" t="n">
        <v>0.22581</v>
      </c>
    </row>
    <row r="295">
      <c r="A295" t="inlineStr">
        <is>
          <t>2025_Styczeń_W4</t>
        </is>
      </c>
      <c r="B295" t="n">
        <v>2025</v>
      </c>
      <c r="C295" t="inlineStr">
        <is>
          <t>Styczeń</t>
        </is>
      </c>
      <c r="D295" t="inlineStr">
        <is>
          <t>W4</t>
        </is>
      </c>
      <c r="E295" t="n">
        <v>7</v>
      </c>
      <c r="F295" t="inlineStr">
        <is>
          <t>Pełny (7 dni)</t>
        </is>
      </c>
      <c r="G295" t="inlineStr">
        <is>
          <t>21.01</t>
        </is>
      </c>
      <c r="H295" t="inlineStr">
        <is>
          <t>27.01</t>
        </is>
      </c>
      <c r="I295" t="n">
        <v>272</v>
      </c>
      <c r="J295" t="n">
        <v>0.22581</v>
      </c>
    </row>
    <row r="296">
      <c r="A296" t="inlineStr">
        <is>
          <t>2025_Styczeń_W5</t>
        </is>
      </c>
      <c r="B296" t="n">
        <v>2025</v>
      </c>
      <c r="C296" t="inlineStr">
        <is>
          <t>Styczeń</t>
        </is>
      </c>
      <c r="D296" t="inlineStr">
        <is>
          <t>W5</t>
        </is>
      </c>
      <c r="E296" t="n">
        <v>4</v>
      </c>
      <c r="F296" t="inlineStr">
        <is>
          <t>Niepełny (4 dni)</t>
        </is>
      </c>
      <c r="G296" t="inlineStr">
        <is>
          <t>28.01</t>
        </is>
      </c>
      <c r="H296" t="inlineStr">
        <is>
          <t>31.01</t>
        </is>
      </c>
      <c r="I296" t="n">
        <v>160</v>
      </c>
      <c r="J296" t="n">
        <v>0.12903</v>
      </c>
    </row>
    <row r="297">
      <c r="A297" t="inlineStr">
        <is>
          <t>2025_Styczeń_W6</t>
        </is>
      </c>
      <c r="B297" t="n">
        <v>2025</v>
      </c>
      <c r="C297" t="inlineStr">
        <is>
          <t>Styczeń</t>
        </is>
      </c>
      <c r="D297" t="inlineStr">
        <is>
          <t>W6</t>
        </is>
      </c>
      <c r="E297" t="n">
        <v>0</v>
      </c>
      <c r="F297" t="inlineStr">
        <is>
          <t>Brak w miesiącu</t>
        </is>
      </c>
      <c r="G297" t="inlineStr">
        <is>
          <t>-</t>
        </is>
      </c>
      <c r="H297" t="inlineStr">
        <is>
          <t>-</t>
        </is>
      </c>
      <c r="I297" t="n">
        <v>0</v>
      </c>
      <c r="J297" t="n">
        <v>0</v>
      </c>
    </row>
    <row r="298">
      <c r="A298" t="inlineStr">
        <is>
          <t>2025_Luty_W1</t>
        </is>
      </c>
      <c r="B298" t="n">
        <v>2025</v>
      </c>
      <c r="C298" t="inlineStr">
        <is>
          <t>Luty</t>
        </is>
      </c>
      <c r="D298" t="inlineStr">
        <is>
          <t>W1</t>
        </is>
      </c>
      <c r="E298" t="n">
        <v>3</v>
      </c>
      <c r="F298" t="inlineStr">
        <is>
          <t>Niepełny (3 dni)</t>
        </is>
      </c>
      <c r="G298" t="inlineStr">
        <is>
          <t>01.02</t>
        </is>
      </c>
      <c r="H298" t="inlineStr">
        <is>
          <t>03.02</t>
        </is>
      </c>
      <c r="I298" t="n">
        <v>112</v>
      </c>
      <c r="J298" t="n">
        <v>0.10714</v>
      </c>
    </row>
    <row r="299">
      <c r="A299" t="inlineStr">
        <is>
          <t>2025_Luty_W2</t>
        </is>
      </c>
      <c r="B299" t="n">
        <v>2025</v>
      </c>
      <c r="C299" t="inlineStr">
        <is>
          <t>Luty</t>
        </is>
      </c>
      <c r="D299" t="inlineStr">
        <is>
          <t>W2</t>
        </is>
      </c>
      <c r="E299" t="n">
        <v>7</v>
      </c>
      <c r="F299" t="inlineStr">
        <is>
          <t>Pełny (7 dni)</t>
        </is>
      </c>
      <c r="G299" t="inlineStr">
        <is>
          <t>04.02</t>
        </is>
      </c>
      <c r="H299" t="inlineStr">
        <is>
          <t>10.02</t>
        </is>
      </c>
      <c r="I299" t="n">
        <v>272</v>
      </c>
      <c r="J299" t="n">
        <v>0.25</v>
      </c>
    </row>
    <row r="300">
      <c r="A300" t="inlineStr">
        <is>
          <t>2025_Luty_W3</t>
        </is>
      </c>
      <c r="B300" t="n">
        <v>2025</v>
      </c>
      <c r="C300" t="inlineStr">
        <is>
          <t>Luty</t>
        </is>
      </c>
      <c r="D300" t="inlineStr">
        <is>
          <t>W3</t>
        </is>
      </c>
      <c r="E300" t="n">
        <v>7</v>
      </c>
      <c r="F300" t="inlineStr">
        <is>
          <t>Pełny (7 dni)</t>
        </is>
      </c>
      <c r="G300" t="inlineStr">
        <is>
          <t>11.02</t>
        </is>
      </c>
      <c r="H300" t="inlineStr">
        <is>
          <t>17.02</t>
        </is>
      </c>
      <c r="I300" t="n">
        <v>272</v>
      </c>
      <c r="J300" t="n">
        <v>0.25</v>
      </c>
    </row>
    <row r="301">
      <c r="A301" t="inlineStr">
        <is>
          <t>2025_Luty_W4</t>
        </is>
      </c>
      <c r="B301" t="n">
        <v>2025</v>
      </c>
      <c r="C301" t="inlineStr">
        <is>
          <t>Luty</t>
        </is>
      </c>
      <c r="D301" t="inlineStr">
        <is>
          <t>W4</t>
        </is>
      </c>
      <c r="E301" t="n">
        <v>7</v>
      </c>
      <c r="F301" t="inlineStr">
        <is>
          <t>Pełny (7 dni)</t>
        </is>
      </c>
      <c r="G301" t="inlineStr">
        <is>
          <t>18.02</t>
        </is>
      </c>
      <c r="H301" t="inlineStr">
        <is>
          <t>24.02</t>
        </is>
      </c>
      <c r="I301" t="n">
        <v>272</v>
      </c>
      <c r="J301" t="n">
        <v>0.25</v>
      </c>
    </row>
    <row r="302">
      <c r="A302" t="inlineStr">
        <is>
          <t>2025_Luty_W5</t>
        </is>
      </c>
      <c r="B302" t="n">
        <v>2025</v>
      </c>
      <c r="C302" t="inlineStr">
        <is>
          <t>Luty</t>
        </is>
      </c>
      <c r="D302" t="inlineStr">
        <is>
          <t>W5</t>
        </is>
      </c>
      <c r="E302" t="n">
        <v>4</v>
      </c>
      <c r="F302" t="inlineStr">
        <is>
          <t>Niepełny (4 dni)</t>
        </is>
      </c>
      <c r="G302" t="inlineStr">
        <is>
          <t>25.02</t>
        </is>
      </c>
      <c r="H302" t="inlineStr">
        <is>
          <t>28.02</t>
        </is>
      </c>
      <c r="I302" t="n">
        <v>160</v>
      </c>
      <c r="J302" t="n">
        <v>0.14286</v>
      </c>
    </row>
    <row r="303">
      <c r="A303" t="inlineStr">
        <is>
          <t>2025_Luty_W6</t>
        </is>
      </c>
      <c r="B303" t="n">
        <v>2025</v>
      </c>
      <c r="C303" t="inlineStr">
        <is>
          <t>Luty</t>
        </is>
      </c>
      <c r="D303" t="inlineStr">
        <is>
          <t>W6</t>
        </is>
      </c>
      <c r="E303" t="n">
        <v>0</v>
      </c>
      <c r="F303" t="inlineStr">
        <is>
          <t>Brak w miesiącu</t>
        </is>
      </c>
      <c r="G303" t="inlineStr">
        <is>
          <t>-</t>
        </is>
      </c>
      <c r="H303" t="inlineStr">
        <is>
          <t>-</t>
        </is>
      </c>
      <c r="I303" t="n">
        <v>0</v>
      </c>
      <c r="J303" t="n">
        <v>0</v>
      </c>
    </row>
    <row r="304">
      <c r="A304" t="inlineStr">
        <is>
          <t>2025_Marzec_W1</t>
        </is>
      </c>
      <c r="B304" t="n">
        <v>2025</v>
      </c>
      <c r="C304" t="inlineStr">
        <is>
          <t>Marzec</t>
        </is>
      </c>
      <c r="D304" t="inlineStr">
        <is>
          <t>W1</t>
        </is>
      </c>
      <c r="E304" t="n">
        <v>3</v>
      </c>
      <c r="F304" t="inlineStr">
        <is>
          <t>Niepełny (3 dni)</t>
        </is>
      </c>
      <c r="G304" t="inlineStr">
        <is>
          <t>01.03</t>
        </is>
      </c>
      <c r="H304" t="inlineStr">
        <is>
          <t>03.03</t>
        </is>
      </c>
      <c r="I304" t="n">
        <v>112</v>
      </c>
      <c r="J304" t="n">
        <v>0.09676999999999999</v>
      </c>
    </row>
    <row r="305">
      <c r="A305" t="inlineStr">
        <is>
          <t>2025_Marzec_W2</t>
        </is>
      </c>
      <c r="B305" t="n">
        <v>2025</v>
      </c>
      <c r="C305" t="inlineStr">
        <is>
          <t>Marzec</t>
        </is>
      </c>
      <c r="D305" t="inlineStr">
        <is>
          <t>W2</t>
        </is>
      </c>
      <c r="E305" t="n">
        <v>7</v>
      </c>
      <c r="F305" t="inlineStr">
        <is>
          <t>Pełny (7 dni)</t>
        </is>
      </c>
      <c r="G305" t="inlineStr">
        <is>
          <t>04.03</t>
        </is>
      </c>
      <c r="H305" t="inlineStr">
        <is>
          <t>10.03</t>
        </is>
      </c>
      <c r="I305" t="n">
        <v>272</v>
      </c>
      <c r="J305" t="n">
        <v>0.22581</v>
      </c>
    </row>
    <row r="306">
      <c r="A306" t="inlineStr">
        <is>
          <t>2025_Marzec_W3</t>
        </is>
      </c>
      <c r="B306" t="n">
        <v>2025</v>
      </c>
      <c r="C306" t="inlineStr">
        <is>
          <t>Marzec</t>
        </is>
      </c>
      <c r="D306" t="inlineStr">
        <is>
          <t>W3</t>
        </is>
      </c>
      <c r="E306" t="n">
        <v>7</v>
      </c>
      <c r="F306" t="inlineStr">
        <is>
          <t>Pełny (7 dni)</t>
        </is>
      </c>
      <c r="G306" t="inlineStr">
        <is>
          <t>11.03</t>
        </is>
      </c>
      <c r="H306" t="inlineStr">
        <is>
          <t>17.03</t>
        </is>
      </c>
      <c r="I306" t="n">
        <v>272</v>
      </c>
      <c r="J306" t="n">
        <v>0.22581</v>
      </c>
    </row>
    <row r="307">
      <c r="A307" t="inlineStr">
        <is>
          <t>2025_Marzec_W4</t>
        </is>
      </c>
      <c r="B307" t="n">
        <v>2025</v>
      </c>
      <c r="C307" t="inlineStr">
        <is>
          <t>Marzec</t>
        </is>
      </c>
      <c r="D307" t="inlineStr">
        <is>
          <t>W4</t>
        </is>
      </c>
      <c r="E307" t="n">
        <v>7</v>
      </c>
      <c r="F307" t="inlineStr">
        <is>
          <t>Pełny (7 dni)</t>
        </is>
      </c>
      <c r="G307" t="inlineStr">
        <is>
          <t>18.03</t>
        </is>
      </c>
      <c r="H307" t="inlineStr">
        <is>
          <t>24.03</t>
        </is>
      </c>
      <c r="I307" t="n">
        <v>272</v>
      </c>
      <c r="J307" t="n">
        <v>0.22581</v>
      </c>
    </row>
    <row r="308">
      <c r="A308" t="inlineStr">
        <is>
          <t>2025_Marzec_W5</t>
        </is>
      </c>
      <c r="B308" t="n">
        <v>2025</v>
      </c>
      <c r="C308" t="inlineStr">
        <is>
          <t>Marzec</t>
        </is>
      </c>
      <c r="D308" t="inlineStr">
        <is>
          <t>W5</t>
        </is>
      </c>
      <c r="E308" t="n">
        <v>7</v>
      </c>
      <c r="F308" t="inlineStr">
        <is>
          <t>Pełny (7 dni)</t>
        </is>
      </c>
      <c r="G308" t="inlineStr">
        <is>
          <t>25.03</t>
        </is>
      </c>
      <c r="H308" t="inlineStr">
        <is>
          <t>31.03</t>
        </is>
      </c>
      <c r="I308" t="n">
        <v>272</v>
      </c>
      <c r="J308" t="n">
        <v>0.22581</v>
      </c>
    </row>
    <row r="309">
      <c r="A309" t="inlineStr">
        <is>
          <t>2025_Marzec_W6</t>
        </is>
      </c>
      <c r="B309" t="n">
        <v>2025</v>
      </c>
      <c r="C309" t="inlineStr">
        <is>
          <t>Marzec</t>
        </is>
      </c>
      <c r="D309" t="inlineStr">
        <is>
          <t>W6</t>
        </is>
      </c>
      <c r="E309" t="n">
        <v>0</v>
      </c>
      <c r="F309" t="inlineStr">
        <is>
          <t>Brak w miesiącu</t>
        </is>
      </c>
      <c r="G309" t="inlineStr">
        <is>
          <t>-</t>
        </is>
      </c>
      <c r="H309" t="inlineStr">
        <is>
          <t>-</t>
        </is>
      </c>
      <c r="I309" t="n">
        <v>0</v>
      </c>
      <c r="J309" t="n">
        <v>0</v>
      </c>
    </row>
    <row r="310">
      <c r="A310" t="inlineStr">
        <is>
          <t>2025_Kwiecień_W1</t>
        </is>
      </c>
      <c r="B310" t="n">
        <v>2025</v>
      </c>
      <c r="C310" t="inlineStr">
        <is>
          <t>Kwiecień</t>
        </is>
      </c>
      <c r="D310" t="inlineStr">
        <is>
          <t>W1</t>
        </is>
      </c>
      <c r="E310" t="n">
        <v>7</v>
      </c>
      <c r="F310" t="inlineStr">
        <is>
          <t>Pełny (7 dni)</t>
        </is>
      </c>
      <c r="G310" t="inlineStr">
        <is>
          <t>01.04</t>
        </is>
      </c>
      <c r="H310" t="inlineStr">
        <is>
          <t>07.04</t>
        </is>
      </c>
      <c r="I310" t="n">
        <v>272</v>
      </c>
      <c r="J310" t="n">
        <v>0.23333</v>
      </c>
    </row>
    <row r="311">
      <c r="A311" t="inlineStr">
        <is>
          <t>2025_Kwiecień_W2</t>
        </is>
      </c>
      <c r="B311" t="n">
        <v>2025</v>
      </c>
      <c r="C311" t="inlineStr">
        <is>
          <t>Kwiecień</t>
        </is>
      </c>
      <c r="D311" t="inlineStr">
        <is>
          <t>W2</t>
        </is>
      </c>
      <c r="E311" t="n">
        <v>7</v>
      </c>
      <c r="F311" t="inlineStr">
        <is>
          <t>Pełny (7 dni)</t>
        </is>
      </c>
      <c r="G311" t="inlineStr">
        <is>
          <t>08.04</t>
        </is>
      </c>
      <c r="H311" t="inlineStr">
        <is>
          <t>14.04</t>
        </is>
      </c>
      <c r="I311" t="n">
        <v>272</v>
      </c>
      <c r="J311" t="n">
        <v>0.23333</v>
      </c>
    </row>
    <row r="312">
      <c r="A312" t="inlineStr">
        <is>
          <t>2025_Kwiecień_W3</t>
        </is>
      </c>
      <c r="B312" t="n">
        <v>2025</v>
      </c>
      <c r="C312" t="inlineStr">
        <is>
          <t>Kwiecień</t>
        </is>
      </c>
      <c r="D312" t="inlineStr">
        <is>
          <t>W3</t>
        </is>
      </c>
      <c r="E312" t="n">
        <v>7</v>
      </c>
      <c r="F312" t="inlineStr">
        <is>
          <t>Pełny (7 dni)</t>
        </is>
      </c>
      <c r="G312" t="inlineStr">
        <is>
          <t>15.04</t>
        </is>
      </c>
      <c r="H312" t="inlineStr">
        <is>
          <t>21.04</t>
        </is>
      </c>
      <c r="I312" t="n">
        <v>272</v>
      </c>
      <c r="J312" t="n">
        <v>0.23333</v>
      </c>
    </row>
    <row r="313">
      <c r="A313" t="inlineStr">
        <is>
          <t>2025_Kwiecień_W4</t>
        </is>
      </c>
      <c r="B313" t="n">
        <v>2025</v>
      </c>
      <c r="C313" t="inlineStr">
        <is>
          <t>Kwiecień</t>
        </is>
      </c>
      <c r="D313" t="inlineStr">
        <is>
          <t>W4</t>
        </is>
      </c>
      <c r="E313" t="n">
        <v>7</v>
      </c>
      <c r="F313" t="inlineStr">
        <is>
          <t>Pełny (7 dni)</t>
        </is>
      </c>
      <c r="G313" t="inlineStr">
        <is>
          <t>22.04</t>
        </is>
      </c>
      <c r="H313" t="inlineStr">
        <is>
          <t>28.04</t>
        </is>
      </c>
      <c r="I313" t="n">
        <v>272</v>
      </c>
      <c r="J313" t="n">
        <v>0.23333</v>
      </c>
    </row>
    <row r="314">
      <c r="A314" t="inlineStr">
        <is>
          <t>2025_Kwiecień_W5</t>
        </is>
      </c>
      <c r="B314" t="n">
        <v>2025</v>
      </c>
      <c r="C314" t="inlineStr">
        <is>
          <t>Kwiecień</t>
        </is>
      </c>
      <c r="D314" t="inlineStr">
        <is>
          <t>W5</t>
        </is>
      </c>
      <c r="E314" t="n">
        <v>2</v>
      </c>
      <c r="F314" t="inlineStr">
        <is>
          <t>Niepełny (2 dni)</t>
        </is>
      </c>
      <c r="G314" t="inlineStr">
        <is>
          <t>29.04</t>
        </is>
      </c>
      <c r="H314" t="inlineStr">
        <is>
          <t>30.04</t>
        </is>
      </c>
      <c r="I314" t="n">
        <v>80</v>
      </c>
      <c r="J314" t="n">
        <v>0.06666999999999999</v>
      </c>
    </row>
    <row r="315">
      <c r="A315" t="inlineStr">
        <is>
          <t>2025_Kwiecień_W6</t>
        </is>
      </c>
      <c r="B315" t="n">
        <v>2025</v>
      </c>
      <c r="C315" t="inlineStr">
        <is>
          <t>Kwiecień</t>
        </is>
      </c>
      <c r="D315" t="inlineStr">
        <is>
          <t>W6</t>
        </is>
      </c>
      <c r="E315" t="n">
        <v>0</v>
      </c>
      <c r="F315" t="inlineStr">
        <is>
          <t>Brak w miesiącu</t>
        </is>
      </c>
      <c r="G315" t="inlineStr">
        <is>
          <t>-</t>
        </is>
      </c>
      <c r="H315" t="inlineStr">
        <is>
          <t>-</t>
        </is>
      </c>
      <c r="I315" t="n">
        <v>0</v>
      </c>
      <c r="J315" t="n">
        <v>0</v>
      </c>
    </row>
    <row r="316">
      <c r="A316" t="inlineStr">
        <is>
          <t>2025_Maj_W1</t>
        </is>
      </c>
      <c r="B316" t="n">
        <v>2025</v>
      </c>
      <c r="C316" t="inlineStr">
        <is>
          <t>Maj</t>
        </is>
      </c>
      <c r="D316" t="inlineStr">
        <is>
          <t>W1</t>
        </is>
      </c>
      <c r="E316" t="n">
        <v>5</v>
      </c>
      <c r="F316" t="inlineStr">
        <is>
          <t>Niepełny (5 dni)</t>
        </is>
      </c>
      <c r="G316" t="inlineStr">
        <is>
          <t>01.05</t>
        </is>
      </c>
      <c r="H316" t="inlineStr">
        <is>
          <t>05.05</t>
        </is>
      </c>
      <c r="I316" t="n">
        <v>192</v>
      </c>
      <c r="J316" t="n">
        <v>0.16129</v>
      </c>
    </row>
    <row r="317">
      <c r="A317" t="inlineStr">
        <is>
          <t>2025_Maj_W2</t>
        </is>
      </c>
      <c r="B317" t="n">
        <v>2025</v>
      </c>
      <c r="C317" t="inlineStr">
        <is>
          <t>Maj</t>
        </is>
      </c>
      <c r="D317" t="inlineStr">
        <is>
          <t>W2</t>
        </is>
      </c>
      <c r="E317" t="n">
        <v>7</v>
      </c>
      <c r="F317" t="inlineStr">
        <is>
          <t>Pełny (7 dni)</t>
        </is>
      </c>
      <c r="G317" t="inlineStr">
        <is>
          <t>06.05</t>
        </is>
      </c>
      <c r="H317" t="inlineStr">
        <is>
          <t>12.05</t>
        </is>
      </c>
      <c r="I317" t="n">
        <v>272</v>
      </c>
      <c r="J317" t="n">
        <v>0.22581</v>
      </c>
    </row>
    <row r="318">
      <c r="A318" t="inlineStr">
        <is>
          <t>2025_Maj_W3</t>
        </is>
      </c>
      <c r="B318" t="n">
        <v>2025</v>
      </c>
      <c r="C318" t="inlineStr">
        <is>
          <t>Maj</t>
        </is>
      </c>
      <c r="D318" t="inlineStr">
        <is>
          <t>W3</t>
        </is>
      </c>
      <c r="E318" t="n">
        <v>7</v>
      </c>
      <c r="F318" t="inlineStr">
        <is>
          <t>Pełny (7 dni)</t>
        </is>
      </c>
      <c r="G318" t="inlineStr">
        <is>
          <t>13.05</t>
        </is>
      </c>
      <c r="H318" t="inlineStr">
        <is>
          <t>19.05</t>
        </is>
      </c>
      <c r="I318" t="n">
        <v>272</v>
      </c>
      <c r="J318" t="n">
        <v>0.22581</v>
      </c>
    </row>
    <row r="319">
      <c r="A319" t="inlineStr">
        <is>
          <t>2025_Maj_W4</t>
        </is>
      </c>
      <c r="B319" t="n">
        <v>2025</v>
      </c>
      <c r="C319" t="inlineStr">
        <is>
          <t>Maj</t>
        </is>
      </c>
      <c r="D319" t="inlineStr">
        <is>
          <t>W4</t>
        </is>
      </c>
      <c r="E319" t="n">
        <v>7</v>
      </c>
      <c r="F319" t="inlineStr">
        <is>
          <t>Pełny (7 dni)</t>
        </is>
      </c>
      <c r="G319" t="inlineStr">
        <is>
          <t>20.05</t>
        </is>
      </c>
      <c r="H319" t="inlineStr">
        <is>
          <t>26.05</t>
        </is>
      </c>
      <c r="I319" t="n">
        <v>272</v>
      </c>
      <c r="J319" t="n">
        <v>0.22581</v>
      </c>
    </row>
    <row r="320">
      <c r="A320" t="inlineStr">
        <is>
          <t>2025_Maj_W5</t>
        </is>
      </c>
      <c r="B320" t="n">
        <v>2025</v>
      </c>
      <c r="C320" t="inlineStr">
        <is>
          <t>Maj</t>
        </is>
      </c>
      <c r="D320" t="inlineStr">
        <is>
          <t>W5</t>
        </is>
      </c>
      <c r="E320" t="n">
        <v>5</v>
      </c>
      <c r="F320" t="inlineStr">
        <is>
          <t>Niepełny (5 dni)</t>
        </is>
      </c>
      <c r="G320" t="inlineStr">
        <is>
          <t>27.05</t>
        </is>
      </c>
      <c r="H320" t="inlineStr">
        <is>
          <t>31.05</t>
        </is>
      </c>
      <c r="I320" t="n">
        <v>200</v>
      </c>
      <c r="J320" t="n">
        <v>0.16129</v>
      </c>
    </row>
    <row r="321">
      <c r="A321" t="inlineStr">
        <is>
          <t>2025_Maj_W6</t>
        </is>
      </c>
      <c r="B321" t="n">
        <v>2025</v>
      </c>
      <c r="C321" t="inlineStr">
        <is>
          <t>Maj</t>
        </is>
      </c>
      <c r="D321" t="inlineStr">
        <is>
          <t>W6</t>
        </is>
      </c>
      <c r="E321" t="n">
        <v>0</v>
      </c>
      <c r="F321" t="inlineStr">
        <is>
          <t>Brak w miesiącu</t>
        </is>
      </c>
      <c r="G321" t="inlineStr">
        <is>
          <t>-</t>
        </is>
      </c>
      <c r="H321" t="inlineStr">
        <is>
          <t>-</t>
        </is>
      </c>
      <c r="I321" t="n">
        <v>0</v>
      </c>
      <c r="J321" t="n">
        <v>0</v>
      </c>
    </row>
    <row r="322">
      <c r="A322" t="inlineStr">
        <is>
          <t>2025_Czerwiec_W1</t>
        </is>
      </c>
      <c r="B322" t="n">
        <v>2025</v>
      </c>
      <c r="C322" t="inlineStr">
        <is>
          <t>Czerwiec</t>
        </is>
      </c>
      <c r="D322" t="inlineStr">
        <is>
          <t>W1</t>
        </is>
      </c>
      <c r="E322" t="n">
        <v>2</v>
      </c>
      <c r="F322" t="inlineStr">
        <is>
          <t>Niepełny (2 dni)</t>
        </is>
      </c>
      <c r="G322" t="inlineStr">
        <is>
          <t>01.06</t>
        </is>
      </c>
      <c r="H322" t="inlineStr">
        <is>
          <t>02.06</t>
        </is>
      </c>
      <c r="I322" t="n">
        <v>72</v>
      </c>
      <c r="J322" t="n">
        <v>0.06666999999999999</v>
      </c>
    </row>
    <row r="323">
      <c r="A323" t="inlineStr">
        <is>
          <t>2025_Czerwiec_W2</t>
        </is>
      </c>
      <c r="B323" t="n">
        <v>2025</v>
      </c>
      <c r="C323" t="inlineStr">
        <is>
          <t>Czerwiec</t>
        </is>
      </c>
      <c r="D323" t="inlineStr">
        <is>
          <t>W2</t>
        </is>
      </c>
      <c r="E323" t="n">
        <v>7</v>
      </c>
      <c r="F323" t="inlineStr">
        <is>
          <t>Pełny (7 dni)</t>
        </is>
      </c>
      <c r="G323" t="inlineStr">
        <is>
          <t>03.06</t>
        </is>
      </c>
      <c r="H323" t="inlineStr">
        <is>
          <t>09.06</t>
        </is>
      </c>
      <c r="I323" t="n">
        <v>272</v>
      </c>
      <c r="J323" t="n">
        <v>0.23333</v>
      </c>
    </row>
    <row r="324">
      <c r="A324" t="inlineStr">
        <is>
          <t>2025_Czerwiec_W3</t>
        </is>
      </c>
      <c r="B324" t="n">
        <v>2025</v>
      </c>
      <c r="C324" t="inlineStr">
        <is>
          <t>Czerwiec</t>
        </is>
      </c>
      <c r="D324" t="inlineStr">
        <is>
          <t>W3</t>
        </is>
      </c>
      <c r="E324" t="n">
        <v>7</v>
      </c>
      <c r="F324" t="inlineStr">
        <is>
          <t>Pełny (7 dni)</t>
        </is>
      </c>
      <c r="G324" t="inlineStr">
        <is>
          <t>10.06</t>
        </is>
      </c>
      <c r="H324" t="inlineStr">
        <is>
          <t>16.06</t>
        </is>
      </c>
      <c r="I324" t="n">
        <v>272</v>
      </c>
      <c r="J324" t="n">
        <v>0.23333</v>
      </c>
    </row>
    <row r="325">
      <c r="A325" t="inlineStr">
        <is>
          <t>2025_Czerwiec_W4</t>
        </is>
      </c>
      <c r="B325" t="n">
        <v>2025</v>
      </c>
      <c r="C325" t="inlineStr">
        <is>
          <t>Czerwiec</t>
        </is>
      </c>
      <c r="D325" t="inlineStr">
        <is>
          <t>W4</t>
        </is>
      </c>
      <c r="E325" t="n">
        <v>7</v>
      </c>
      <c r="F325" t="inlineStr">
        <is>
          <t>Pełny (7 dni)</t>
        </is>
      </c>
      <c r="G325" t="inlineStr">
        <is>
          <t>17.06</t>
        </is>
      </c>
      <c r="H325" t="inlineStr">
        <is>
          <t>23.06</t>
        </is>
      </c>
      <c r="I325" t="n">
        <v>272</v>
      </c>
      <c r="J325" t="n">
        <v>0.23333</v>
      </c>
    </row>
    <row r="326">
      <c r="A326" t="inlineStr">
        <is>
          <t>2025_Czerwiec_W5</t>
        </is>
      </c>
      <c r="B326" t="n">
        <v>2025</v>
      </c>
      <c r="C326" t="inlineStr">
        <is>
          <t>Czerwiec</t>
        </is>
      </c>
      <c r="D326" t="inlineStr">
        <is>
          <t>W5</t>
        </is>
      </c>
      <c r="E326" t="n">
        <v>7</v>
      </c>
      <c r="F326" t="inlineStr">
        <is>
          <t>Pełny (7 dni)</t>
        </is>
      </c>
      <c r="G326" t="inlineStr">
        <is>
          <t>24.06</t>
        </is>
      </c>
      <c r="H326" t="inlineStr">
        <is>
          <t>30.06</t>
        </is>
      </c>
      <c r="I326" t="n">
        <v>272</v>
      </c>
      <c r="J326" t="n">
        <v>0.23333</v>
      </c>
    </row>
    <row r="327">
      <c r="A327" t="inlineStr">
        <is>
          <t>2025_Czerwiec_W6</t>
        </is>
      </c>
      <c r="B327" t="n">
        <v>2025</v>
      </c>
      <c r="C327" t="inlineStr">
        <is>
          <t>Czerwiec</t>
        </is>
      </c>
      <c r="D327" t="inlineStr">
        <is>
          <t>W6</t>
        </is>
      </c>
      <c r="E327" t="n">
        <v>0</v>
      </c>
      <c r="F327" t="inlineStr">
        <is>
          <t>Brak w miesiącu</t>
        </is>
      </c>
      <c r="G327" t="inlineStr">
        <is>
          <t>-</t>
        </is>
      </c>
      <c r="H327" t="inlineStr">
        <is>
          <t>-</t>
        </is>
      </c>
      <c r="I327" t="n">
        <v>0</v>
      </c>
      <c r="J327" t="n">
        <v>0</v>
      </c>
    </row>
    <row r="328">
      <c r="A328" t="inlineStr">
        <is>
          <t>2025_Lipiec_W1</t>
        </is>
      </c>
      <c r="B328" t="n">
        <v>2025</v>
      </c>
      <c r="C328" t="inlineStr">
        <is>
          <t>Lipiec</t>
        </is>
      </c>
      <c r="D328" t="inlineStr">
        <is>
          <t>W1</t>
        </is>
      </c>
      <c r="E328" t="n">
        <v>7</v>
      </c>
      <c r="F328" t="inlineStr">
        <is>
          <t>Pełny (7 dni)</t>
        </is>
      </c>
      <c r="G328" t="inlineStr">
        <is>
          <t>01.07</t>
        </is>
      </c>
      <c r="H328" t="inlineStr">
        <is>
          <t>07.07</t>
        </is>
      </c>
      <c r="I328" t="n">
        <v>272</v>
      </c>
      <c r="J328" t="n">
        <v>0.22581</v>
      </c>
    </row>
    <row r="329">
      <c r="A329" t="inlineStr">
        <is>
          <t>2025_Lipiec_W2</t>
        </is>
      </c>
      <c r="B329" t="n">
        <v>2025</v>
      </c>
      <c r="C329" t="inlineStr">
        <is>
          <t>Lipiec</t>
        </is>
      </c>
      <c r="D329" t="inlineStr">
        <is>
          <t>W2</t>
        </is>
      </c>
      <c r="E329" t="n">
        <v>7</v>
      </c>
      <c r="F329" t="inlineStr">
        <is>
          <t>Pełny (7 dni)</t>
        </is>
      </c>
      <c r="G329" t="inlineStr">
        <is>
          <t>08.07</t>
        </is>
      </c>
      <c r="H329" t="inlineStr">
        <is>
          <t>14.07</t>
        </is>
      </c>
      <c r="I329" t="n">
        <v>272</v>
      </c>
      <c r="J329" t="n">
        <v>0.22581</v>
      </c>
    </row>
    <row r="330">
      <c r="A330" t="inlineStr">
        <is>
          <t>2025_Lipiec_W3</t>
        </is>
      </c>
      <c r="B330" t="n">
        <v>2025</v>
      </c>
      <c r="C330" t="inlineStr">
        <is>
          <t>Lipiec</t>
        </is>
      </c>
      <c r="D330" t="inlineStr">
        <is>
          <t>W3</t>
        </is>
      </c>
      <c r="E330" t="n">
        <v>7</v>
      </c>
      <c r="F330" t="inlineStr">
        <is>
          <t>Pełny (7 dni)</t>
        </is>
      </c>
      <c r="G330" t="inlineStr">
        <is>
          <t>15.07</t>
        </is>
      </c>
      <c r="H330" t="inlineStr">
        <is>
          <t>21.07</t>
        </is>
      </c>
      <c r="I330" t="n">
        <v>272</v>
      </c>
      <c r="J330" t="n">
        <v>0.22581</v>
      </c>
    </row>
    <row r="331">
      <c r="A331" t="inlineStr">
        <is>
          <t>2025_Lipiec_W4</t>
        </is>
      </c>
      <c r="B331" t="n">
        <v>2025</v>
      </c>
      <c r="C331" t="inlineStr">
        <is>
          <t>Lipiec</t>
        </is>
      </c>
      <c r="D331" t="inlineStr">
        <is>
          <t>W4</t>
        </is>
      </c>
      <c r="E331" t="n">
        <v>7</v>
      </c>
      <c r="F331" t="inlineStr">
        <is>
          <t>Pełny (7 dni)</t>
        </is>
      </c>
      <c r="G331" t="inlineStr">
        <is>
          <t>22.07</t>
        </is>
      </c>
      <c r="H331" t="inlineStr">
        <is>
          <t>28.07</t>
        </is>
      </c>
      <c r="I331" t="n">
        <v>272</v>
      </c>
      <c r="J331" t="n">
        <v>0.22581</v>
      </c>
    </row>
    <row r="332">
      <c r="A332" t="inlineStr">
        <is>
          <t>2025_Lipiec_W5</t>
        </is>
      </c>
      <c r="B332" t="n">
        <v>2025</v>
      </c>
      <c r="C332" t="inlineStr">
        <is>
          <t>Lipiec</t>
        </is>
      </c>
      <c r="D332" t="inlineStr">
        <is>
          <t>W5</t>
        </is>
      </c>
      <c r="E332" t="n">
        <v>3</v>
      </c>
      <c r="F332" t="inlineStr">
        <is>
          <t>Niepełny (3 dni)</t>
        </is>
      </c>
      <c r="G332" t="inlineStr">
        <is>
          <t>29.07</t>
        </is>
      </c>
      <c r="H332" t="inlineStr">
        <is>
          <t>31.07</t>
        </is>
      </c>
      <c r="I332" t="n">
        <v>120</v>
      </c>
      <c r="J332" t="n">
        <v>0.09676999999999999</v>
      </c>
    </row>
    <row r="333">
      <c r="A333" t="inlineStr">
        <is>
          <t>2025_Lipiec_W6</t>
        </is>
      </c>
      <c r="B333" t="n">
        <v>2025</v>
      </c>
      <c r="C333" t="inlineStr">
        <is>
          <t>Lipiec</t>
        </is>
      </c>
      <c r="D333" t="inlineStr">
        <is>
          <t>W6</t>
        </is>
      </c>
      <c r="E333" t="n">
        <v>0</v>
      </c>
      <c r="F333" t="inlineStr">
        <is>
          <t>Brak w miesiącu</t>
        </is>
      </c>
      <c r="G333" t="inlineStr">
        <is>
          <t>-</t>
        </is>
      </c>
      <c r="H333" t="inlineStr">
        <is>
          <t>-</t>
        </is>
      </c>
      <c r="I333" t="n">
        <v>0</v>
      </c>
      <c r="J333" t="n">
        <v>0</v>
      </c>
    </row>
    <row r="334">
      <c r="A334" t="inlineStr">
        <is>
          <t>2025_Sierpień_W1</t>
        </is>
      </c>
      <c r="B334" t="n">
        <v>2025</v>
      </c>
      <c r="C334" t="inlineStr">
        <is>
          <t>Sierpień</t>
        </is>
      </c>
      <c r="D334" t="inlineStr">
        <is>
          <t>W1</t>
        </is>
      </c>
      <c r="E334" t="n">
        <v>4</v>
      </c>
      <c r="F334" t="inlineStr">
        <is>
          <t>Niepełny (4 dni)</t>
        </is>
      </c>
      <c r="G334" t="inlineStr">
        <is>
          <t>01.08</t>
        </is>
      </c>
      <c r="H334" t="inlineStr">
        <is>
          <t>04.08</t>
        </is>
      </c>
      <c r="I334" t="n">
        <v>152</v>
      </c>
      <c r="J334" t="n">
        <v>0.12903</v>
      </c>
    </row>
    <row r="335">
      <c r="A335" t="inlineStr">
        <is>
          <t>2025_Sierpień_W2</t>
        </is>
      </c>
      <c r="B335" t="n">
        <v>2025</v>
      </c>
      <c r="C335" t="inlineStr">
        <is>
          <t>Sierpień</t>
        </is>
      </c>
      <c r="D335" t="inlineStr">
        <is>
          <t>W2</t>
        </is>
      </c>
      <c r="E335" t="n">
        <v>7</v>
      </c>
      <c r="F335" t="inlineStr">
        <is>
          <t>Pełny (7 dni)</t>
        </is>
      </c>
      <c r="G335" t="inlineStr">
        <is>
          <t>05.08</t>
        </is>
      </c>
      <c r="H335" t="inlineStr">
        <is>
          <t>11.08</t>
        </is>
      </c>
      <c r="I335" t="n">
        <v>272</v>
      </c>
      <c r="J335" t="n">
        <v>0.22581</v>
      </c>
    </row>
    <row r="336">
      <c r="A336" t="inlineStr">
        <is>
          <t>2025_Sierpień_W3</t>
        </is>
      </c>
      <c r="B336" t="n">
        <v>2025</v>
      </c>
      <c r="C336" t="inlineStr">
        <is>
          <t>Sierpień</t>
        </is>
      </c>
      <c r="D336" t="inlineStr">
        <is>
          <t>W3</t>
        </is>
      </c>
      <c r="E336" t="n">
        <v>7</v>
      </c>
      <c r="F336" t="inlineStr">
        <is>
          <t>Pełny (7 dni)</t>
        </is>
      </c>
      <c r="G336" t="inlineStr">
        <is>
          <t>12.08</t>
        </is>
      </c>
      <c r="H336" t="inlineStr">
        <is>
          <t>18.08</t>
        </is>
      </c>
      <c r="I336" t="n">
        <v>272</v>
      </c>
      <c r="J336" t="n">
        <v>0.22581</v>
      </c>
    </row>
    <row r="337">
      <c r="A337" t="inlineStr">
        <is>
          <t>2025_Sierpień_W4</t>
        </is>
      </c>
      <c r="B337" t="n">
        <v>2025</v>
      </c>
      <c r="C337" t="inlineStr">
        <is>
          <t>Sierpień</t>
        </is>
      </c>
      <c r="D337" t="inlineStr">
        <is>
          <t>W4</t>
        </is>
      </c>
      <c r="E337" t="n">
        <v>7</v>
      </c>
      <c r="F337" t="inlineStr">
        <is>
          <t>Pełny (7 dni)</t>
        </is>
      </c>
      <c r="G337" t="inlineStr">
        <is>
          <t>19.08</t>
        </is>
      </c>
      <c r="H337" t="inlineStr">
        <is>
          <t>25.08</t>
        </is>
      </c>
      <c r="I337" t="n">
        <v>272</v>
      </c>
      <c r="J337" t="n">
        <v>0.22581</v>
      </c>
    </row>
    <row r="338">
      <c r="A338" t="inlineStr">
        <is>
          <t>2025_Sierpień_W5</t>
        </is>
      </c>
      <c r="B338" t="n">
        <v>2025</v>
      </c>
      <c r="C338" t="inlineStr">
        <is>
          <t>Sierpień</t>
        </is>
      </c>
      <c r="D338" t="inlineStr">
        <is>
          <t>W5</t>
        </is>
      </c>
      <c r="E338" t="n">
        <v>6</v>
      </c>
      <c r="F338" t="inlineStr">
        <is>
          <t>Niepełny (6 dni)</t>
        </is>
      </c>
      <c r="G338" t="inlineStr">
        <is>
          <t>26.08</t>
        </is>
      </c>
      <c r="H338" t="inlineStr">
        <is>
          <t>31.08</t>
        </is>
      </c>
      <c r="I338" t="n">
        <v>232</v>
      </c>
      <c r="J338" t="n">
        <v>0.19355</v>
      </c>
    </row>
    <row r="339">
      <c r="A339" t="inlineStr">
        <is>
          <t>2025_Sierpień_W6</t>
        </is>
      </c>
      <c r="B339" t="n">
        <v>2025</v>
      </c>
      <c r="C339" t="inlineStr">
        <is>
          <t>Sierpień</t>
        </is>
      </c>
      <c r="D339" t="inlineStr">
        <is>
          <t>W6</t>
        </is>
      </c>
      <c r="E339" t="n">
        <v>0</v>
      </c>
      <c r="F339" t="inlineStr">
        <is>
          <t>Brak w miesiącu</t>
        </is>
      </c>
      <c r="G339" t="inlineStr">
        <is>
          <t>-</t>
        </is>
      </c>
      <c r="H339" t="inlineStr">
        <is>
          <t>-</t>
        </is>
      </c>
      <c r="I339" t="n">
        <v>0</v>
      </c>
      <c r="J339" t="n">
        <v>0</v>
      </c>
    </row>
    <row r="340">
      <c r="A340" t="inlineStr">
        <is>
          <t>2025_Wrzesień_W1</t>
        </is>
      </c>
      <c r="B340" t="n">
        <v>2025</v>
      </c>
      <c r="C340" t="inlineStr">
        <is>
          <t>Wrzesień</t>
        </is>
      </c>
      <c r="D340" t="inlineStr">
        <is>
          <t>W1</t>
        </is>
      </c>
      <c r="E340" t="n">
        <v>1</v>
      </c>
      <c r="F340" t="inlineStr">
        <is>
          <t>Niepełny (1 dni)</t>
        </is>
      </c>
      <c r="G340" t="inlineStr">
        <is>
          <t>01.09</t>
        </is>
      </c>
      <c r="H340" t="inlineStr">
        <is>
          <t>01.09</t>
        </is>
      </c>
      <c r="I340" t="n">
        <v>40</v>
      </c>
      <c r="J340" t="n">
        <v>0.03333</v>
      </c>
    </row>
    <row r="341">
      <c r="A341" t="inlineStr">
        <is>
          <t>2025_Wrzesień_W2</t>
        </is>
      </c>
      <c r="B341" t="n">
        <v>2025</v>
      </c>
      <c r="C341" t="inlineStr">
        <is>
          <t>Wrzesień</t>
        </is>
      </c>
      <c r="D341" t="inlineStr">
        <is>
          <t>W2</t>
        </is>
      </c>
      <c r="E341" t="n">
        <v>7</v>
      </c>
      <c r="F341" t="inlineStr">
        <is>
          <t>Pełny (7 dni)</t>
        </is>
      </c>
      <c r="G341" t="inlineStr">
        <is>
          <t>02.09</t>
        </is>
      </c>
      <c r="H341" t="inlineStr">
        <is>
          <t>08.09</t>
        </is>
      </c>
      <c r="I341" t="n">
        <v>272</v>
      </c>
      <c r="J341" t="n">
        <v>0.23333</v>
      </c>
    </row>
    <row r="342">
      <c r="A342" t="inlineStr">
        <is>
          <t>2025_Wrzesień_W3</t>
        </is>
      </c>
      <c r="B342" t="n">
        <v>2025</v>
      </c>
      <c r="C342" t="inlineStr">
        <is>
          <t>Wrzesień</t>
        </is>
      </c>
      <c r="D342" t="inlineStr">
        <is>
          <t>W3</t>
        </is>
      </c>
      <c r="E342" t="n">
        <v>7</v>
      </c>
      <c r="F342" t="inlineStr">
        <is>
          <t>Pełny (7 dni)</t>
        </is>
      </c>
      <c r="G342" t="inlineStr">
        <is>
          <t>09.09</t>
        </is>
      </c>
      <c r="H342" t="inlineStr">
        <is>
          <t>15.09</t>
        </is>
      </c>
      <c r="I342" t="n">
        <v>272</v>
      </c>
      <c r="J342" t="n">
        <v>0.23333</v>
      </c>
    </row>
    <row r="343">
      <c r="A343" t="inlineStr">
        <is>
          <t>2025_Wrzesień_W4</t>
        </is>
      </c>
      <c r="B343" t="n">
        <v>2025</v>
      </c>
      <c r="C343" t="inlineStr">
        <is>
          <t>Wrzesień</t>
        </is>
      </c>
      <c r="D343" t="inlineStr">
        <is>
          <t>W4</t>
        </is>
      </c>
      <c r="E343" t="n">
        <v>7</v>
      </c>
      <c r="F343" t="inlineStr">
        <is>
          <t>Pełny (7 dni)</t>
        </is>
      </c>
      <c r="G343" t="inlineStr">
        <is>
          <t>16.09</t>
        </is>
      </c>
      <c r="H343" t="inlineStr">
        <is>
          <t>22.09</t>
        </is>
      </c>
      <c r="I343" t="n">
        <v>272</v>
      </c>
      <c r="J343" t="n">
        <v>0.23333</v>
      </c>
    </row>
    <row r="344">
      <c r="A344" t="inlineStr">
        <is>
          <t>2025_Wrzesień_W5</t>
        </is>
      </c>
      <c r="B344" t="n">
        <v>2025</v>
      </c>
      <c r="C344" t="inlineStr">
        <is>
          <t>Wrzesień</t>
        </is>
      </c>
      <c r="D344" t="inlineStr">
        <is>
          <t>W5</t>
        </is>
      </c>
      <c r="E344" t="n">
        <v>7</v>
      </c>
      <c r="F344" t="inlineStr">
        <is>
          <t>Pełny (7 dni)</t>
        </is>
      </c>
      <c r="G344" t="inlineStr">
        <is>
          <t>23.09</t>
        </is>
      </c>
      <c r="H344" t="inlineStr">
        <is>
          <t>29.09</t>
        </is>
      </c>
      <c r="I344" t="n">
        <v>272</v>
      </c>
      <c r="J344" t="n">
        <v>0.23333</v>
      </c>
    </row>
    <row r="345">
      <c r="A345" t="inlineStr">
        <is>
          <t>2025_Wrzesień_W6</t>
        </is>
      </c>
      <c r="B345" t="n">
        <v>2025</v>
      </c>
      <c r="C345" t="inlineStr">
        <is>
          <t>Wrzesień</t>
        </is>
      </c>
      <c r="D345" t="inlineStr">
        <is>
          <t>W6</t>
        </is>
      </c>
      <c r="E345" t="n">
        <v>1</v>
      </c>
      <c r="F345" t="inlineStr">
        <is>
          <t>Niepełny (1 dni)</t>
        </is>
      </c>
      <c r="G345" t="inlineStr">
        <is>
          <t>30.09</t>
        </is>
      </c>
      <c r="H345" t="inlineStr">
        <is>
          <t>30.09</t>
        </is>
      </c>
      <c r="I345" t="n">
        <v>40</v>
      </c>
      <c r="J345" t="n">
        <v>0.03333</v>
      </c>
    </row>
    <row r="346">
      <c r="A346" t="inlineStr">
        <is>
          <t>2025_Październik_W1</t>
        </is>
      </c>
      <c r="B346" t="n">
        <v>2025</v>
      </c>
      <c r="C346" t="inlineStr">
        <is>
          <t>Październik</t>
        </is>
      </c>
      <c r="D346" t="inlineStr">
        <is>
          <t>W1</t>
        </is>
      </c>
      <c r="E346" t="n">
        <v>6</v>
      </c>
      <c r="F346" t="inlineStr">
        <is>
          <t>Niepełny (6 dni)</t>
        </is>
      </c>
      <c r="G346" t="inlineStr">
        <is>
          <t>01.10</t>
        </is>
      </c>
      <c r="H346" t="inlineStr">
        <is>
          <t>06.10</t>
        </is>
      </c>
      <c r="I346" t="n">
        <v>232</v>
      </c>
      <c r="J346" t="n">
        <v>0.19355</v>
      </c>
    </row>
    <row r="347">
      <c r="A347" t="inlineStr">
        <is>
          <t>2025_Październik_W2</t>
        </is>
      </c>
      <c r="B347" t="n">
        <v>2025</v>
      </c>
      <c r="C347" t="inlineStr">
        <is>
          <t>Październik</t>
        </is>
      </c>
      <c r="D347" t="inlineStr">
        <is>
          <t>W2</t>
        </is>
      </c>
      <c r="E347" t="n">
        <v>7</v>
      </c>
      <c r="F347" t="inlineStr">
        <is>
          <t>Pełny (7 dni)</t>
        </is>
      </c>
      <c r="G347" t="inlineStr">
        <is>
          <t>07.10</t>
        </is>
      </c>
      <c r="H347" t="inlineStr">
        <is>
          <t>13.10</t>
        </is>
      </c>
      <c r="I347" t="n">
        <v>272</v>
      </c>
      <c r="J347" t="n">
        <v>0.22581</v>
      </c>
    </row>
    <row r="348">
      <c r="A348" t="inlineStr">
        <is>
          <t>2025_Październik_W3</t>
        </is>
      </c>
      <c r="B348" t="n">
        <v>2025</v>
      </c>
      <c r="C348" t="inlineStr">
        <is>
          <t>Październik</t>
        </is>
      </c>
      <c r="D348" t="inlineStr">
        <is>
          <t>W3</t>
        </is>
      </c>
      <c r="E348" t="n">
        <v>7</v>
      </c>
      <c r="F348" t="inlineStr">
        <is>
          <t>Pełny (7 dni)</t>
        </is>
      </c>
      <c r="G348" t="inlineStr">
        <is>
          <t>14.10</t>
        </is>
      </c>
      <c r="H348" t="inlineStr">
        <is>
          <t>20.10</t>
        </is>
      </c>
      <c r="I348" t="n">
        <v>272</v>
      </c>
      <c r="J348" t="n">
        <v>0.22581</v>
      </c>
    </row>
    <row r="349">
      <c r="A349" t="inlineStr">
        <is>
          <t>2025_Październik_W4</t>
        </is>
      </c>
      <c r="B349" t="n">
        <v>2025</v>
      </c>
      <c r="C349" t="inlineStr">
        <is>
          <t>Październik</t>
        </is>
      </c>
      <c r="D349" t="inlineStr">
        <is>
          <t>W4</t>
        </is>
      </c>
      <c r="E349" t="n">
        <v>7</v>
      </c>
      <c r="F349" t="inlineStr">
        <is>
          <t>Pełny (7 dni)</t>
        </is>
      </c>
      <c r="G349" t="inlineStr">
        <is>
          <t>21.10</t>
        </is>
      </c>
      <c r="H349" t="inlineStr">
        <is>
          <t>27.10</t>
        </is>
      </c>
      <c r="I349" t="n">
        <v>272</v>
      </c>
      <c r="J349" t="n">
        <v>0.22581</v>
      </c>
    </row>
    <row r="350">
      <c r="A350" t="inlineStr">
        <is>
          <t>2025_Październik_W5</t>
        </is>
      </c>
      <c r="B350" t="n">
        <v>2025</v>
      </c>
      <c r="C350" t="inlineStr">
        <is>
          <t>Październik</t>
        </is>
      </c>
      <c r="D350" t="inlineStr">
        <is>
          <t>W5</t>
        </is>
      </c>
      <c r="E350" t="n">
        <v>4</v>
      </c>
      <c r="F350" t="inlineStr">
        <is>
          <t>Niepełny (4 dni)</t>
        </is>
      </c>
      <c r="G350" t="inlineStr">
        <is>
          <t>28.10</t>
        </is>
      </c>
      <c r="H350" t="inlineStr">
        <is>
          <t>31.10</t>
        </is>
      </c>
      <c r="I350" t="n">
        <v>160</v>
      </c>
      <c r="J350" t="n">
        <v>0.12903</v>
      </c>
    </row>
    <row r="351">
      <c r="A351" t="inlineStr">
        <is>
          <t>2025_Październik_W6</t>
        </is>
      </c>
      <c r="B351" t="n">
        <v>2025</v>
      </c>
      <c r="C351" t="inlineStr">
        <is>
          <t>Październik</t>
        </is>
      </c>
      <c r="D351" t="inlineStr">
        <is>
          <t>W6</t>
        </is>
      </c>
      <c r="E351" t="n">
        <v>0</v>
      </c>
      <c r="F351" t="inlineStr">
        <is>
          <t>Brak w miesiącu</t>
        </is>
      </c>
      <c r="G351" t="inlineStr">
        <is>
          <t>-</t>
        </is>
      </c>
      <c r="H351" t="inlineStr">
        <is>
          <t>-</t>
        </is>
      </c>
      <c r="I351" t="n">
        <v>0</v>
      </c>
      <c r="J351" t="n">
        <v>0</v>
      </c>
    </row>
    <row r="352">
      <c r="A352" t="inlineStr">
        <is>
          <t>2025_Listopad_W1</t>
        </is>
      </c>
      <c r="B352" t="n">
        <v>2025</v>
      </c>
      <c r="C352" t="inlineStr">
        <is>
          <t>Listopad</t>
        </is>
      </c>
      <c r="D352" t="inlineStr">
        <is>
          <t>W1</t>
        </is>
      </c>
      <c r="E352" t="n">
        <v>3</v>
      </c>
      <c r="F352" t="inlineStr">
        <is>
          <t>Niepełny (3 dni)</t>
        </is>
      </c>
      <c r="G352" t="inlineStr">
        <is>
          <t>01.11</t>
        </is>
      </c>
      <c r="H352" t="inlineStr">
        <is>
          <t>03.11</t>
        </is>
      </c>
      <c r="I352" t="n">
        <v>112</v>
      </c>
      <c r="J352" t="n">
        <v>0.1</v>
      </c>
    </row>
    <row r="353">
      <c r="A353" t="inlineStr">
        <is>
          <t>2025_Listopad_W2</t>
        </is>
      </c>
      <c r="B353" t="n">
        <v>2025</v>
      </c>
      <c r="C353" t="inlineStr">
        <is>
          <t>Listopad</t>
        </is>
      </c>
      <c r="D353" t="inlineStr">
        <is>
          <t>W2</t>
        </is>
      </c>
      <c r="E353" t="n">
        <v>7</v>
      </c>
      <c r="F353" t="inlineStr">
        <is>
          <t>Pełny (7 dni)</t>
        </is>
      </c>
      <c r="G353" t="inlineStr">
        <is>
          <t>04.11</t>
        </is>
      </c>
      <c r="H353" t="inlineStr">
        <is>
          <t>10.11</t>
        </is>
      </c>
      <c r="I353" t="n">
        <v>272</v>
      </c>
      <c r="J353" t="n">
        <v>0.23333</v>
      </c>
    </row>
    <row r="354">
      <c r="A354" t="inlineStr">
        <is>
          <t>2025_Listopad_W3</t>
        </is>
      </c>
      <c r="B354" t="n">
        <v>2025</v>
      </c>
      <c r="C354" t="inlineStr">
        <is>
          <t>Listopad</t>
        </is>
      </c>
      <c r="D354" t="inlineStr">
        <is>
          <t>W3</t>
        </is>
      </c>
      <c r="E354" t="n">
        <v>7</v>
      </c>
      <c r="F354" t="inlineStr">
        <is>
          <t>Pełny (7 dni)</t>
        </is>
      </c>
      <c r="G354" t="inlineStr">
        <is>
          <t>11.11</t>
        </is>
      </c>
      <c r="H354" t="inlineStr">
        <is>
          <t>17.11</t>
        </is>
      </c>
      <c r="I354" t="n">
        <v>272</v>
      </c>
      <c r="J354" t="n">
        <v>0.23333</v>
      </c>
    </row>
    <row r="355">
      <c r="A355" t="inlineStr">
        <is>
          <t>2025_Listopad_W4</t>
        </is>
      </c>
      <c r="B355" t="n">
        <v>2025</v>
      </c>
      <c r="C355" t="inlineStr">
        <is>
          <t>Listopad</t>
        </is>
      </c>
      <c r="D355" t="inlineStr">
        <is>
          <t>W4</t>
        </is>
      </c>
      <c r="E355" t="n">
        <v>7</v>
      </c>
      <c r="F355" t="inlineStr">
        <is>
          <t>Pełny (7 dni)</t>
        </is>
      </c>
      <c r="G355" t="inlineStr">
        <is>
          <t>18.11</t>
        </is>
      </c>
      <c r="H355" t="inlineStr">
        <is>
          <t>24.11</t>
        </is>
      </c>
      <c r="I355" t="n">
        <v>272</v>
      </c>
      <c r="J355" t="n">
        <v>0.23333</v>
      </c>
    </row>
    <row r="356">
      <c r="A356" t="inlineStr">
        <is>
          <t>2025_Listopad_W5</t>
        </is>
      </c>
      <c r="B356" t="n">
        <v>2025</v>
      </c>
      <c r="C356" t="inlineStr">
        <is>
          <t>Listopad</t>
        </is>
      </c>
      <c r="D356" t="inlineStr">
        <is>
          <t>W5</t>
        </is>
      </c>
      <c r="E356" t="n">
        <v>6</v>
      </c>
      <c r="F356" t="inlineStr">
        <is>
          <t>Niepełny (6 dni)</t>
        </is>
      </c>
      <c r="G356" t="inlineStr">
        <is>
          <t>25.11</t>
        </is>
      </c>
      <c r="H356" t="inlineStr">
        <is>
          <t>30.11</t>
        </is>
      </c>
      <c r="I356" t="n">
        <v>232</v>
      </c>
      <c r="J356" t="n">
        <v>0.2</v>
      </c>
    </row>
    <row r="357">
      <c r="A357" t="inlineStr">
        <is>
          <t>2025_Listopad_W6</t>
        </is>
      </c>
      <c r="B357" t="n">
        <v>2025</v>
      </c>
      <c r="C357" t="inlineStr">
        <is>
          <t>Listopad</t>
        </is>
      </c>
      <c r="D357" t="inlineStr">
        <is>
          <t>W6</t>
        </is>
      </c>
      <c r="E357" t="n">
        <v>0</v>
      </c>
      <c r="F357" t="inlineStr">
        <is>
          <t>Brak w miesiącu</t>
        </is>
      </c>
      <c r="G357" t="inlineStr">
        <is>
          <t>-</t>
        </is>
      </c>
      <c r="H357" t="inlineStr">
        <is>
          <t>-</t>
        </is>
      </c>
      <c r="I357" t="n">
        <v>0</v>
      </c>
      <c r="J357" t="n">
        <v>0</v>
      </c>
    </row>
    <row r="358">
      <c r="A358" t="inlineStr">
        <is>
          <t>2025_Grudzień_W1</t>
        </is>
      </c>
      <c r="B358" t="n">
        <v>2025</v>
      </c>
      <c r="C358" t="inlineStr">
        <is>
          <t>Grudzień</t>
        </is>
      </c>
      <c r="D358" t="inlineStr">
        <is>
          <t>W1</t>
        </is>
      </c>
      <c r="E358" t="n">
        <v>1</v>
      </c>
      <c r="F358" t="inlineStr">
        <is>
          <t>Niepełny (1 dni)</t>
        </is>
      </c>
      <c r="G358" t="inlineStr">
        <is>
          <t>01.12</t>
        </is>
      </c>
      <c r="H358" t="inlineStr">
        <is>
          <t>01.12</t>
        </is>
      </c>
      <c r="I358" t="n">
        <v>40</v>
      </c>
      <c r="J358" t="n">
        <v>0.03226</v>
      </c>
    </row>
    <row r="359">
      <c r="A359" t="inlineStr">
        <is>
          <t>2025_Grudzień_W2</t>
        </is>
      </c>
      <c r="B359" t="n">
        <v>2025</v>
      </c>
      <c r="C359" t="inlineStr">
        <is>
          <t>Grudzień</t>
        </is>
      </c>
      <c r="D359" t="inlineStr">
        <is>
          <t>W2</t>
        </is>
      </c>
      <c r="E359" t="n">
        <v>7</v>
      </c>
      <c r="F359" t="inlineStr">
        <is>
          <t>Pełny (7 dni)</t>
        </is>
      </c>
      <c r="G359" t="inlineStr">
        <is>
          <t>02.12</t>
        </is>
      </c>
      <c r="H359" t="inlineStr">
        <is>
          <t>08.12</t>
        </is>
      </c>
      <c r="I359" t="n">
        <v>272</v>
      </c>
      <c r="J359" t="n">
        <v>0.22581</v>
      </c>
    </row>
    <row r="360">
      <c r="A360" t="inlineStr">
        <is>
          <t>2025_Grudzień_W3</t>
        </is>
      </c>
      <c r="B360" t="n">
        <v>2025</v>
      </c>
      <c r="C360" t="inlineStr">
        <is>
          <t>Grudzień</t>
        </is>
      </c>
      <c r="D360" t="inlineStr">
        <is>
          <t>W3</t>
        </is>
      </c>
      <c r="E360" t="n">
        <v>7</v>
      </c>
      <c r="F360" t="inlineStr">
        <is>
          <t>Pełny (7 dni)</t>
        </is>
      </c>
      <c r="G360" t="inlineStr">
        <is>
          <t>09.12</t>
        </is>
      </c>
      <c r="H360" t="inlineStr">
        <is>
          <t>15.12</t>
        </is>
      </c>
      <c r="I360" t="n">
        <v>272</v>
      </c>
      <c r="J360" t="n">
        <v>0.22581</v>
      </c>
    </row>
    <row r="361">
      <c r="A361" t="inlineStr">
        <is>
          <t>2025_Grudzień_W4</t>
        </is>
      </c>
      <c r="B361" t="n">
        <v>2025</v>
      </c>
      <c r="C361" t="inlineStr">
        <is>
          <t>Grudzień</t>
        </is>
      </c>
      <c r="D361" t="inlineStr">
        <is>
          <t>W4</t>
        </is>
      </c>
      <c r="E361" t="n">
        <v>7</v>
      </c>
      <c r="F361" t="inlineStr">
        <is>
          <t>Pełny (7 dni)</t>
        </is>
      </c>
      <c r="G361" t="inlineStr">
        <is>
          <t>16.12</t>
        </is>
      </c>
      <c r="H361" t="inlineStr">
        <is>
          <t>22.12</t>
        </is>
      </c>
      <c r="I361" t="n">
        <v>272</v>
      </c>
      <c r="J361" t="n">
        <v>0.22581</v>
      </c>
    </row>
    <row r="362">
      <c r="A362" t="inlineStr">
        <is>
          <t>2025_Grudzień_W5</t>
        </is>
      </c>
      <c r="B362" t="n">
        <v>2025</v>
      </c>
      <c r="C362" t="inlineStr">
        <is>
          <t>Grudzień</t>
        </is>
      </c>
      <c r="D362" t="inlineStr">
        <is>
          <t>W5</t>
        </is>
      </c>
      <c r="E362" t="n">
        <v>7</v>
      </c>
      <c r="F362" t="inlineStr">
        <is>
          <t>Pełny (7 dni)</t>
        </is>
      </c>
      <c r="G362" t="inlineStr">
        <is>
          <t>23.12</t>
        </is>
      </c>
      <c r="H362" t="inlineStr">
        <is>
          <t>29.12</t>
        </is>
      </c>
      <c r="I362" t="n">
        <v>272</v>
      </c>
      <c r="J362" t="n">
        <v>0.22581</v>
      </c>
    </row>
    <row r="363">
      <c r="A363" t="inlineStr">
        <is>
          <t>2025_Grudzień_W6</t>
        </is>
      </c>
      <c r="B363" t="n">
        <v>2025</v>
      </c>
      <c r="C363" t="inlineStr">
        <is>
          <t>Grudzień</t>
        </is>
      </c>
      <c r="D363" t="inlineStr">
        <is>
          <t>W6</t>
        </is>
      </c>
      <c r="E363" t="n">
        <v>2</v>
      </c>
      <c r="F363" t="inlineStr">
        <is>
          <t>Niepełny (2 dni)</t>
        </is>
      </c>
      <c r="G363" t="inlineStr">
        <is>
          <t>30.12</t>
        </is>
      </c>
      <c r="H363" t="inlineStr">
        <is>
          <t>31.12</t>
        </is>
      </c>
      <c r="I363" t="n">
        <v>80</v>
      </c>
      <c r="J363" t="n">
        <v>0.06451999999999999</v>
      </c>
    </row>
    <row r="364">
      <c r="A364" t="inlineStr">
        <is>
          <t>2026_Styczeń_W1</t>
        </is>
      </c>
      <c r="B364" t="n">
        <v>2026</v>
      </c>
      <c r="C364" t="inlineStr">
        <is>
          <t>Styczeń</t>
        </is>
      </c>
      <c r="D364" t="inlineStr">
        <is>
          <t>W1</t>
        </is>
      </c>
      <c r="E364" t="n">
        <v>5</v>
      </c>
      <c r="F364" t="inlineStr">
        <is>
          <t>Niepełny (5 dni)</t>
        </is>
      </c>
      <c r="G364" t="inlineStr">
        <is>
          <t>01.01</t>
        </is>
      </c>
      <c r="H364" t="inlineStr">
        <is>
          <t>05.01</t>
        </is>
      </c>
      <c r="I364" t="n">
        <v>192</v>
      </c>
      <c r="J364" t="n">
        <v>0.16129</v>
      </c>
    </row>
    <row r="365">
      <c r="A365" t="inlineStr">
        <is>
          <t>2026_Styczeń_W2</t>
        </is>
      </c>
      <c r="B365" t="n">
        <v>2026</v>
      </c>
      <c r="C365" t="inlineStr">
        <is>
          <t>Styczeń</t>
        </is>
      </c>
      <c r="D365" t="inlineStr">
        <is>
          <t>W2</t>
        </is>
      </c>
      <c r="E365" t="n">
        <v>7</v>
      </c>
      <c r="F365" t="inlineStr">
        <is>
          <t>Pełny (7 dni)</t>
        </is>
      </c>
      <c r="G365" t="inlineStr">
        <is>
          <t>06.01</t>
        </is>
      </c>
      <c r="H365" t="inlineStr">
        <is>
          <t>12.01</t>
        </is>
      </c>
      <c r="I365" t="n">
        <v>272</v>
      </c>
      <c r="J365" t="n">
        <v>0.22581</v>
      </c>
    </row>
    <row r="366">
      <c r="A366" t="inlineStr">
        <is>
          <t>2026_Styczeń_W3</t>
        </is>
      </c>
      <c r="B366" t="n">
        <v>2026</v>
      </c>
      <c r="C366" t="inlineStr">
        <is>
          <t>Styczeń</t>
        </is>
      </c>
      <c r="D366" t="inlineStr">
        <is>
          <t>W3</t>
        </is>
      </c>
      <c r="E366" t="n">
        <v>7</v>
      </c>
      <c r="F366" t="inlineStr">
        <is>
          <t>Pełny (7 dni)</t>
        </is>
      </c>
      <c r="G366" t="inlineStr">
        <is>
          <t>13.01</t>
        </is>
      </c>
      <c r="H366" t="inlineStr">
        <is>
          <t>19.01</t>
        </is>
      </c>
      <c r="I366" t="n">
        <v>272</v>
      </c>
      <c r="J366" t="n">
        <v>0.22581</v>
      </c>
    </row>
    <row r="367">
      <c r="A367" t="inlineStr">
        <is>
          <t>2026_Styczeń_W4</t>
        </is>
      </c>
      <c r="B367" t="n">
        <v>2026</v>
      </c>
      <c r="C367" t="inlineStr">
        <is>
          <t>Styczeń</t>
        </is>
      </c>
      <c r="D367" t="inlineStr">
        <is>
          <t>W4</t>
        </is>
      </c>
      <c r="E367" t="n">
        <v>7</v>
      </c>
      <c r="F367" t="inlineStr">
        <is>
          <t>Pełny (7 dni)</t>
        </is>
      </c>
      <c r="G367" t="inlineStr">
        <is>
          <t>20.01</t>
        </is>
      </c>
      <c r="H367" t="inlineStr">
        <is>
          <t>26.01</t>
        </is>
      </c>
      <c r="I367" t="n">
        <v>272</v>
      </c>
      <c r="J367" t="n">
        <v>0.22581</v>
      </c>
    </row>
    <row r="368">
      <c r="A368" t="inlineStr">
        <is>
          <t>2026_Styczeń_W5</t>
        </is>
      </c>
      <c r="B368" t="n">
        <v>2026</v>
      </c>
      <c r="C368" t="inlineStr">
        <is>
          <t>Styczeń</t>
        </is>
      </c>
      <c r="D368" t="inlineStr">
        <is>
          <t>W5</t>
        </is>
      </c>
      <c r="E368" t="n">
        <v>5</v>
      </c>
      <c r="F368" t="inlineStr">
        <is>
          <t>Niepełny (5 dni)</t>
        </is>
      </c>
      <c r="G368" t="inlineStr">
        <is>
          <t>27.01</t>
        </is>
      </c>
      <c r="H368" t="inlineStr">
        <is>
          <t>31.01</t>
        </is>
      </c>
      <c r="I368" t="n">
        <v>200</v>
      </c>
      <c r="J368" t="n">
        <v>0.16129</v>
      </c>
    </row>
    <row r="369">
      <c r="A369" t="inlineStr">
        <is>
          <t>2026_Styczeń_W6</t>
        </is>
      </c>
      <c r="B369" t="n">
        <v>2026</v>
      </c>
      <c r="C369" t="inlineStr">
        <is>
          <t>Styczeń</t>
        </is>
      </c>
      <c r="D369" t="inlineStr">
        <is>
          <t>W6</t>
        </is>
      </c>
      <c r="E369" t="n">
        <v>0</v>
      </c>
      <c r="F369" t="inlineStr">
        <is>
          <t>Brak w miesiącu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0</v>
      </c>
    </row>
    <row r="370">
      <c r="A370" t="inlineStr">
        <is>
          <t>2026_Luty_W1</t>
        </is>
      </c>
      <c r="B370" t="n">
        <v>2026</v>
      </c>
      <c r="C370" t="inlineStr">
        <is>
          <t>Luty</t>
        </is>
      </c>
      <c r="D370" t="inlineStr">
        <is>
          <t>W1</t>
        </is>
      </c>
      <c r="E370" t="n">
        <v>2</v>
      </c>
      <c r="F370" t="inlineStr">
        <is>
          <t>Niepełny (2 dni)</t>
        </is>
      </c>
      <c r="G370" t="inlineStr">
        <is>
          <t>01.02</t>
        </is>
      </c>
      <c r="H370" t="inlineStr">
        <is>
          <t>02.02</t>
        </is>
      </c>
      <c r="I370" t="n">
        <v>72</v>
      </c>
      <c r="J370" t="n">
        <v>0.07142999999999999</v>
      </c>
    </row>
    <row r="371">
      <c r="A371" t="inlineStr">
        <is>
          <t>2026_Luty_W2</t>
        </is>
      </c>
      <c r="B371" t="n">
        <v>2026</v>
      </c>
      <c r="C371" t="inlineStr">
        <is>
          <t>Luty</t>
        </is>
      </c>
      <c r="D371" t="inlineStr">
        <is>
          <t>W2</t>
        </is>
      </c>
      <c r="E371" t="n">
        <v>7</v>
      </c>
      <c r="F371" t="inlineStr">
        <is>
          <t>Pełny (7 dni)</t>
        </is>
      </c>
      <c r="G371" t="inlineStr">
        <is>
          <t>03.02</t>
        </is>
      </c>
      <c r="H371" t="inlineStr">
        <is>
          <t>09.02</t>
        </is>
      </c>
      <c r="I371" t="n">
        <v>272</v>
      </c>
      <c r="J371" t="n">
        <v>0.25</v>
      </c>
    </row>
    <row r="372">
      <c r="A372" t="inlineStr">
        <is>
          <t>2026_Luty_W3</t>
        </is>
      </c>
      <c r="B372" t="n">
        <v>2026</v>
      </c>
      <c r="C372" t="inlineStr">
        <is>
          <t>Luty</t>
        </is>
      </c>
      <c r="D372" t="inlineStr">
        <is>
          <t>W3</t>
        </is>
      </c>
      <c r="E372" t="n">
        <v>7</v>
      </c>
      <c r="F372" t="inlineStr">
        <is>
          <t>Pełny (7 dni)</t>
        </is>
      </c>
      <c r="G372" t="inlineStr">
        <is>
          <t>10.02</t>
        </is>
      </c>
      <c r="H372" t="inlineStr">
        <is>
          <t>16.02</t>
        </is>
      </c>
      <c r="I372" t="n">
        <v>272</v>
      </c>
      <c r="J372" t="n">
        <v>0.25</v>
      </c>
    </row>
    <row r="373">
      <c r="A373" t="inlineStr">
        <is>
          <t>2026_Luty_W4</t>
        </is>
      </c>
      <c r="B373" t="n">
        <v>2026</v>
      </c>
      <c r="C373" t="inlineStr">
        <is>
          <t>Luty</t>
        </is>
      </c>
      <c r="D373" t="inlineStr">
        <is>
          <t>W4</t>
        </is>
      </c>
      <c r="E373" t="n">
        <v>7</v>
      </c>
      <c r="F373" t="inlineStr">
        <is>
          <t>Pełny (7 dni)</t>
        </is>
      </c>
      <c r="G373" t="inlineStr">
        <is>
          <t>17.02</t>
        </is>
      </c>
      <c r="H373" t="inlineStr">
        <is>
          <t>23.02</t>
        </is>
      </c>
      <c r="I373" t="n">
        <v>272</v>
      </c>
      <c r="J373" t="n">
        <v>0.25</v>
      </c>
    </row>
    <row r="374">
      <c r="A374" t="inlineStr">
        <is>
          <t>2026_Luty_W5</t>
        </is>
      </c>
      <c r="B374" t="n">
        <v>2026</v>
      </c>
      <c r="C374" t="inlineStr">
        <is>
          <t>Luty</t>
        </is>
      </c>
      <c r="D374" t="inlineStr">
        <is>
          <t>W5</t>
        </is>
      </c>
      <c r="E374" t="n">
        <v>5</v>
      </c>
      <c r="F374" t="inlineStr">
        <is>
          <t>Niepełny (5 dni)</t>
        </is>
      </c>
      <c r="G374" t="inlineStr">
        <is>
          <t>24.02</t>
        </is>
      </c>
      <c r="H374" t="inlineStr">
        <is>
          <t>28.02</t>
        </is>
      </c>
      <c r="I374" t="n">
        <v>200</v>
      </c>
      <c r="J374" t="n">
        <v>0.17857</v>
      </c>
    </row>
    <row r="375">
      <c r="A375" t="inlineStr">
        <is>
          <t>2026_Luty_W6</t>
        </is>
      </c>
      <c r="B375" t="n">
        <v>2026</v>
      </c>
      <c r="C375" t="inlineStr">
        <is>
          <t>Luty</t>
        </is>
      </c>
      <c r="D375" t="inlineStr">
        <is>
          <t>W6</t>
        </is>
      </c>
      <c r="E375" t="n">
        <v>0</v>
      </c>
      <c r="F375" t="inlineStr">
        <is>
          <t>Brak w miesiącu</t>
        </is>
      </c>
      <c r="G375" t="inlineStr">
        <is>
          <t>-</t>
        </is>
      </c>
      <c r="H375" t="inlineStr">
        <is>
          <t>-</t>
        </is>
      </c>
      <c r="I375" t="n">
        <v>0</v>
      </c>
      <c r="J375" t="n">
        <v>0</v>
      </c>
    </row>
    <row r="376">
      <c r="A376" t="inlineStr">
        <is>
          <t>2026_Marzec_W1</t>
        </is>
      </c>
      <c r="B376" t="n">
        <v>2026</v>
      </c>
      <c r="C376" t="inlineStr">
        <is>
          <t>Marzec</t>
        </is>
      </c>
      <c r="D376" t="inlineStr">
        <is>
          <t>W1</t>
        </is>
      </c>
      <c r="E376" t="n">
        <v>2</v>
      </c>
      <c r="F376" t="inlineStr">
        <is>
          <t>Niepełny (2 dni)</t>
        </is>
      </c>
      <c r="G376" t="inlineStr">
        <is>
          <t>01.03</t>
        </is>
      </c>
      <c r="H376" t="inlineStr">
        <is>
          <t>02.03</t>
        </is>
      </c>
      <c r="I376" t="n">
        <v>72</v>
      </c>
      <c r="J376" t="n">
        <v>0.06451999999999999</v>
      </c>
    </row>
    <row r="377">
      <c r="A377" t="inlineStr">
        <is>
          <t>2026_Marzec_W2</t>
        </is>
      </c>
      <c r="B377" t="n">
        <v>2026</v>
      </c>
      <c r="C377" t="inlineStr">
        <is>
          <t>Marzec</t>
        </is>
      </c>
      <c r="D377" t="inlineStr">
        <is>
          <t>W2</t>
        </is>
      </c>
      <c r="E377" t="n">
        <v>7</v>
      </c>
      <c r="F377" t="inlineStr">
        <is>
          <t>Pełny (7 dni)</t>
        </is>
      </c>
      <c r="G377" t="inlineStr">
        <is>
          <t>03.03</t>
        </is>
      </c>
      <c r="H377" t="inlineStr">
        <is>
          <t>09.03</t>
        </is>
      </c>
      <c r="I377" t="n">
        <v>272</v>
      </c>
      <c r="J377" t="n">
        <v>0.22581</v>
      </c>
    </row>
    <row r="378">
      <c r="A378" t="inlineStr">
        <is>
          <t>2026_Marzec_W3</t>
        </is>
      </c>
      <c r="B378" t="n">
        <v>2026</v>
      </c>
      <c r="C378" t="inlineStr">
        <is>
          <t>Marzec</t>
        </is>
      </c>
      <c r="D378" t="inlineStr">
        <is>
          <t>W3</t>
        </is>
      </c>
      <c r="E378" t="n">
        <v>7</v>
      </c>
      <c r="F378" t="inlineStr">
        <is>
          <t>Pełny (7 dni)</t>
        </is>
      </c>
      <c r="G378" t="inlineStr">
        <is>
          <t>10.03</t>
        </is>
      </c>
      <c r="H378" t="inlineStr">
        <is>
          <t>16.03</t>
        </is>
      </c>
      <c r="I378" t="n">
        <v>272</v>
      </c>
      <c r="J378" t="n">
        <v>0.22581</v>
      </c>
    </row>
    <row r="379">
      <c r="A379" t="inlineStr">
        <is>
          <t>2026_Marzec_W4</t>
        </is>
      </c>
      <c r="B379" t="n">
        <v>2026</v>
      </c>
      <c r="C379" t="inlineStr">
        <is>
          <t>Marzec</t>
        </is>
      </c>
      <c r="D379" t="inlineStr">
        <is>
          <t>W4</t>
        </is>
      </c>
      <c r="E379" t="n">
        <v>7</v>
      </c>
      <c r="F379" t="inlineStr">
        <is>
          <t>Pełny (7 dni)</t>
        </is>
      </c>
      <c r="G379" t="inlineStr">
        <is>
          <t>17.03</t>
        </is>
      </c>
      <c r="H379" t="inlineStr">
        <is>
          <t>23.03</t>
        </is>
      </c>
      <c r="I379" t="n">
        <v>272</v>
      </c>
      <c r="J379" t="n">
        <v>0.22581</v>
      </c>
    </row>
    <row r="380">
      <c r="A380" t="inlineStr">
        <is>
          <t>2026_Marzec_W5</t>
        </is>
      </c>
      <c r="B380" t="n">
        <v>2026</v>
      </c>
      <c r="C380" t="inlineStr">
        <is>
          <t>Marzec</t>
        </is>
      </c>
      <c r="D380" t="inlineStr">
        <is>
          <t>W5</t>
        </is>
      </c>
      <c r="E380" t="n">
        <v>7</v>
      </c>
      <c r="F380" t="inlineStr">
        <is>
          <t>Pełny (7 dni)</t>
        </is>
      </c>
      <c r="G380" t="inlineStr">
        <is>
          <t>24.03</t>
        </is>
      </c>
      <c r="H380" t="inlineStr">
        <is>
          <t>30.03</t>
        </is>
      </c>
      <c r="I380" t="n">
        <v>272</v>
      </c>
      <c r="J380" t="n">
        <v>0.22581</v>
      </c>
    </row>
    <row r="381">
      <c r="A381" t="inlineStr">
        <is>
          <t>2026_Marzec_W6</t>
        </is>
      </c>
      <c r="B381" t="n">
        <v>2026</v>
      </c>
      <c r="C381" t="inlineStr">
        <is>
          <t>Marzec</t>
        </is>
      </c>
      <c r="D381" t="inlineStr">
        <is>
          <t>W6</t>
        </is>
      </c>
      <c r="E381" t="n">
        <v>1</v>
      </c>
      <c r="F381" t="inlineStr">
        <is>
          <t>Niepełny (1 dni)</t>
        </is>
      </c>
      <c r="G381" t="inlineStr">
        <is>
          <t>31.03</t>
        </is>
      </c>
      <c r="H381" t="inlineStr">
        <is>
          <t>31.03</t>
        </is>
      </c>
      <c r="I381" t="n">
        <v>40</v>
      </c>
      <c r="J381" t="n">
        <v>0.03226</v>
      </c>
    </row>
    <row r="382">
      <c r="A382" t="inlineStr">
        <is>
          <t>2026_Kwiecień_W1</t>
        </is>
      </c>
      <c r="B382" t="n">
        <v>2026</v>
      </c>
      <c r="C382" t="inlineStr">
        <is>
          <t>Kwiecień</t>
        </is>
      </c>
      <c r="D382" t="inlineStr">
        <is>
          <t>W1</t>
        </is>
      </c>
      <c r="E382" t="n">
        <v>6</v>
      </c>
      <c r="F382" t="inlineStr">
        <is>
          <t>Niepełny (6 dni)</t>
        </is>
      </c>
      <c r="G382" t="inlineStr">
        <is>
          <t>01.04</t>
        </is>
      </c>
      <c r="H382" t="inlineStr">
        <is>
          <t>06.04</t>
        </is>
      </c>
      <c r="I382" t="n">
        <v>232</v>
      </c>
      <c r="J382" t="n">
        <v>0.2</v>
      </c>
    </row>
    <row r="383">
      <c r="A383" t="inlineStr">
        <is>
          <t>2026_Kwiecień_W2</t>
        </is>
      </c>
      <c r="B383" t="n">
        <v>2026</v>
      </c>
      <c r="C383" t="inlineStr">
        <is>
          <t>Kwiecień</t>
        </is>
      </c>
      <c r="D383" t="inlineStr">
        <is>
          <t>W2</t>
        </is>
      </c>
      <c r="E383" t="n">
        <v>7</v>
      </c>
      <c r="F383" t="inlineStr">
        <is>
          <t>Pełny (7 dni)</t>
        </is>
      </c>
      <c r="G383" t="inlineStr">
        <is>
          <t>07.04</t>
        </is>
      </c>
      <c r="H383" t="inlineStr">
        <is>
          <t>13.04</t>
        </is>
      </c>
      <c r="I383" t="n">
        <v>272</v>
      </c>
      <c r="J383" t="n">
        <v>0.23333</v>
      </c>
    </row>
    <row r="384">
      <c r="A384" t="inlineStr">
        <is>
          <t>2026_Kwiecień_W3</t>
        </is>
      </c>
      <c r="B384" t="n">
        <v>2026</v>
      </c>
      <c r="C384" t="inlineStr">
        <is>
          <t>Kwiecień</t>
        </is>
      </c>
      <c r="D384" t="inlineStr">
        <is>
          <t>W3</t>
        </is>
      </c>
      <c r="E384" t="n">
        <v>7</v>
      </c>
      <c r="F384" t="inlineStr">
        <is>
          <t>Pełny (7 dni)</t>
        </is>
      </c>
      <c r="G384" t="inlineStr">
        <is>
          <t>14.04</t>
        </is>
      </c>
      <c r="H384" t="inlineStr">
        <is>
          <t>20.04</t>
        </is>
      </c>
      <c r="I384" t="n">
        <v>272</v>
      </c>
      <c r="J384" t="n">
        <v>0.23333</v>
      </c>
    </row>
    <row r="385">
      <c r="A385" t="inlineStr">
        <is>
          <t>2026_Kwiecień_W4</t>
        </is>
      </c>
      <c r="B385" t="n">
        <v>2026</v>
      </c>
      <c r="C385" t="inlineStr">
        <is>
          <t>Kwiecień</t>
        </is>
      </c>
      <c r="D385" t="inlineStr">
        <is>
          <t>W4</t>
        </is>
      </c>
      <c r="E385" t="n">
        <v>7</v>
      </c>
      <c r="F385" t="inlineStr">
        <is>
          <t>Pełny (7 dni)</t>
        </is>
      </c>
      <c r="G385" t="inlineStr">
        <is>
          <t>21.04</t>
        </is>
      </c>
      <c r="H385" t="inlineStr">
        <is>
          <t>27.04</t>
        </is>
      </c>
      <c r="I385" t="n">
        <v>272</v>
      </c>
      <c r="J385" t="n">
        <v>0.23333</v>
      </c>
    </row>
    <row r="386">
      <c r="A386" t="inlineStr">
        <is>
          <t>2026_Kwiecień_W5</t>
        </is>
      </c>
      <c r="B386" t="n">
        <v>2026</v>
      </c>
      <c r="C386" t="inlineStr">
        <is>
          <t>Kwiecień</t>
        </is>
      </c>
      <c r="D386" t="inlineStr">
        <is>
          <t>W5</t>
        </is>
      </c>
      <c r="E386" t="n">
        <v>3</v>
      </c>
      <c r="F386" t="inlineStr">
        <is>
          <t>Niepełny (3 dni)</t>
        </is>
      </c>
      <c r="G386" t="inlineStr">
        <is>
          <t>28.04</t>
        </is>
      </c>
      <c r="H386" t="inlineStr">
        <is>
          <t>30.04</t>
        </is>
      </c>
      <c r="I386" t="n">
        <v>120</v>
      </c>
      <c r="J386" t="n">
        <v>0.1</v>
      </c>
    </row>
    <row r="387">
      <c r="A387" t="inlineStr">
        <is>
          <t>2026_Kwiecień_W6</t>
        </is>
      </c>
      <c r="B387" t="n">
        <v>2026</v>
      </c>
      <c r="C387" t="inlineStr">
        <is>
          <t>Kwiecień</t>
        </is>
      </c>
      <c r="D387" t="inlineStr">
        <is>
          <t>W6</t>
        </is>
      </c>
      <c r="E387" t="n">
        <v>0</v>
      </c>
      <c r="F387" t="inlineStr">
        <is>
          <t>Brak w miesiącu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0</v>
      </c>
    </row>
    <row r="388">
      <c r="A388" t="inlineStr">
        <is>
          <t>2026_Maj_W1</t>
        </is>
      </c>
      <c r="B388" t="n">
        <v>2026</v>
      </c>
      <c r="C388" t="inlineStr">
        <is>
          <t>Maj</t>
        </is>
      </c>
      <c r="D388" t="inlineStr">
        <is>
          <t>W1</t>
        </is>
      </c>
      <c r="E388" t="n">
        <v>4</v>
      </c>
      <c r="F388" t="inlineStr">
        <is>
          <t>Niepełny (4 dni)</t>
        </is>
      </c>
      <c r="G388" t="inlineStr">
        <is>
          <t>01.05</t>
        </is>
      </c>
      <c r="H388" t="inlineStr">
        <is>
          <t>04.05</t>
        </is>
      </c>
      <c r="I388" t="n">
        <v>152</v>
      </c>
      <c r="J388" t="n">
        <v>0.12903</v>
      </c>
    </row>
    <row r="389">
      <c r="A389" t="inlineStr">
        <is>
          <t>2026_Maj_W2</t>
        </is>
      </c>
      <c r="B389" t="n">
        <v>2026</v>
      </c>
      <c r="C389" t="inlineStr">
        <is>
          <t>Maj</t>
        </is>
      </c>
      <c r="D389" t="inlineStr">
        <is>
          <t>W2</t>
        </is>
      </c>
      <c r="E389" t="n">
        <v>7</v>
      </c>
      <c r="F389" t="inlineStr">
        <is>
          <t>Pełny (7 dni)</t>
        </is>
      </c>
      <c r="G389" t="inlineStr">
        <is>
          <t>05.05</t>
        </is>
      </c>
      <c r="H389" t="inlineStr">
        <is>
          <t>11.05</t>
        </is>
      </c>
      <c r="I389" t="n">
        <v>272</v>
      </c>
      <c r="J389" t="n">
        <v>0.22581</v>
      </c>
    </row>
    <row r="390">
      <c r="A390" t="inlineStr">
        <is>
          <t>2026_Maj_W3</t>
        </is>
      </c>
      <c r="B390" t="n">
        <v>2026</v>
      </c>
      <c r="C390" t="inlineStr">
        <is>
          <t>Maj</t>
        </is>
      </c>
      <c r="D390" t="inlineStr">
        <is>
          <t>W3</t>
        </is>
      </c>
      <c r="E390" t="n">
        <v>7</v>
      </c>
      <c r="F390" t="inlineStr">
        <is>
          <t>Pełny (7 dni)</t>
        </is>
      </c>
      <c r="G390" t="inlineStr">
        <is>
          <t>12.05</t>
        </is>
      </c>
      <c r="H390" t="inlineStr">
        <is>
          <t>18.05</t>
        </is>
      </c>
      <c r="I390" t="n">
        <v>272</v>
      </c>
      <c r="J390" t="n">
        <v>0.22581</v>
      </c>
    </row>
    <row r="391">
      <c r="A391" t="inlineStr">
        <is>
          <t>2026_Maj_W4</t>
        </is>
      </c>
      <c r="B391" t="n">
        <v>2026</v>
      </c>
      <c r="C391" t="inlineStr">
        <is>
          <t>Maj</t>
        </is>
      </c>
      <c r="D391" t="inlineStr">
        <is>
          <t>W4</t>
        </is>
      </c>
      <c r="E391" t="n">
        <v>7</v>
      </c>
      <c r="F391" t="inlineStr">
        <is>
          <t>Pełny (7 dni)</t>
        </is>
      </c>
      <c r="G391" t="inlineStr">
        <is>
          <t>19.05</t>
        </is>
      </c>
      <c r="H391" t="inlineStr">
        <is>
          <t>25.05</t>
        </is>
      </c>
      <c r="I391" t="n">
        <v>272</v>
      </c>
      <c r="J391" t="n">
        <v>0.22581</v>
      </c>
    </row>
    <row r="392">
      <c r="A392" t="inlineStr">
        <is>
          <t>2026_Maj_W5</t>
        </is>
      </c>
      <c r="B392" t="n">
        <v>2026</v>
      </c>
      <c r="C392" t="inlineStr">
        <is>
          <t>Maj</t>
        </is>
      </c>
      <c r="D392" t="inlineStr">
        <is>
          <t>W5</t>
        </is>
      </c>
      <c r="E392" t="n">
        <v>6</v>
      </c>
      <c r="F392" t="inlineStr">
        <is>
          <t>Niepełny (6 dni)</t>
        </is>
      </c>
      <c r="G392" t="inlineStr">
        <is>
          <t>26.05</t>
        </is>
      </c>
      <c r="H392" t="inlineStr">
        <is>
          <t>31.05</t>
        </is>
      </c>
      <c r="I392" t="n">
        <v>232</v>
      </c>
      <c r="J392" t="n">
        <v>0.19355</v>
      </c>
    </row>
    <row r="393">
      <c r="A393" t="inlineStr">
        <is>
          <t>2026_Maj_W6</t>
        </is>
      </c>
      <c r="B393" t="n">
        <v>2026</v>
      </c>
      <c r="C393" t="inlineStr">
        <is>
          <t>Maj</t>
        </is>
      </c>
      <c r="D393" t="inlineStr">
        <is>
          <t>W6</t>
        </is>
      </c>
      <c r="E393" t="n">
        <v>0</v>
      </c>
      <c r="F393" t="inlineStr">
        <is>
          <t>Brak w miesiącu</t>
        </is>
      </c>
      <c r="G393" t="inlineStr">
        <is>
          <t>-</t>
        </is>
      </c>
      <c r="H393" t="inlineStr">
        <is>
          <t>-</t>
        </is>
      </c>
      <c r="I393" t="n">
        <v>0</v>
      </c>
      <c r="J393" t="n">
        <v>0</v>
      </c>
    </row>
    <row r="394">
      <c r="A394" t="inlineStr">
        <is>
          <t>2026_Czerwiec_W1</t>
        </is>
      </c>
      <c r="B394" t="n">
        <v>2026</v>
      </c>
      <c r="C394" t="inlineStr">
        <is>
          <t>Czerwiec</t>
        </is>
      </c>
      <c r="D394" t="inlineStr">
        <is>
          <t>W1</t>
        </is>
      </c>
      <c r="E394" t="n">
        <v>1</v>
      </c>
      <c r="F394" t="inlineStr">
        <is>
          <t>Niepełny (1 dni)</t>
        </is>
      </c>
      <c r="G394" t="inlineStr">
        <is>
          <t>01.06</t>
        </is>
      </c>
      <c r="H394" t="inlineStr">
        <is>
          <t>01.06</t>
        </is>
      </c>
      <c r="I394" t="n">
        <v>40</v>
      </c>
      <c r="J394" t="n">
        <v>0.03333</v>
      </c>
    </row>
    <row r="395">
      <c r="A395" t="inlineStr">
        <is>
          <t>2026_Czerwiec_W2</t>
        </is>
      </c>
      <c r="B395" t="n">
        <v>2026</v>
      </c>
      <c r="C395" t="inlineStr">
        <is>
          <t>Czerwiec</t>
        </is>
      </c>
      <c r="D395" t="inlineStr">
        <is>
          <t>W2</t>
        </is>
      </c>
      <c r="E395" t="n">
        <v>7</v>
      </c>
      <c r="F395" t="inlineStr">
        <is>
          <t>Pełny (7 dni)</t>
        </is>
      </c>
      <c r="G395" t="inlineStr">
        <is>
          <t>02.06</t>
        </is>
      </c>
      <c r="H395" t="inlineStr">
        <is>
          <t>08.06</t>
        </is>
      </c>
      <c r="I395" t="n">
        <v>272</v>
      </c>
      <c r="J395" t="n">
        <v>0.23333</v>
      </c>
    </row>
    <row r="396">
      <c r="A396" t="inlineStr">
        <is>
          <t>2026_Czerwiec_W3</t>
        </is>
      </c>
      <c r="B396" t="n">
        <v>2026</v>
      </c>
      <c r="C396" t="inlineStr">
        <is>
          <t>Czerwiec</t>
        </is>
      </c>
      <c r="D396" t="inlineStr">
        <is>
          <t>W3</t>
        </is>
      </c>
      <c r="E396" t="n">
        <v>7</v>
      </c>
      <c r="F396" t="inlineStr">
        <is>
          <t>Pełny (7 dni)</t>
        </is>
      </c>
      <c r="G396" t="inlineStr">
        <is>
          <t>09.06</t>
        </is>
      </c>
      <c r="H396" t="inlineStr">
        <is>
          <t>15.06</t>
        </is>
      </c>
      <c r="I396" t="n">
        <v>272</v>
      </c>
      <c r="J396" t="n">
        <v>0.23333</v>
      </c>
    </row>
    <row r="397">
      <c r="A397" t="inlineStr">
        <is>
          <t>2026_Czerwiec_W4</t>
        </is>
      </c>
      <c r="B397" t="n">
        <v>2026</v>
      </c>
      <c r="C397" t="inlineStr">
        <is>
          <t>Czerwiec</t>
        </is>
      </c>
      <c r="D397" t="inlineStr">
        <is>
          <t>W4</t>
        </is>
      </c>
      <c r="E397" t="n">
        <v>7</v>
      </c>
      <c r="F397" t="inlineStr">
        <is>
          <t>Pełny (7 dni)</t>
        </is>
      </c>
      <c r="G397" t="inlineStr">
        <is>
          <t>16.06</t>
        </is>
      </c>
      <c r="H397" t="inlineStr">
        <is>
          <t>22.06</t>
        </is>
      </c>
      <c r="I397" t="n">
        <v>272</v>
      </c>
      <c r="J397" t="n">
        <v>0.23333</v>
      </c>
    </row>
    <row r="398">
      <c r="A398" t="inlineStr">
        <is>
          <t>2026_Czerwiec_W5</t>
        </is>
      </c>
      <c r="B398" t="n">
        <v>2026</v>
      </c>
      <c r="C398" t="inlineStr">
        <is>
          <t>Czerwiec</t>
        </is>
      </c>
      <c r="D398" t="inlineStr">
        <is>
          <t>W5</t>
        </is>
      </c>
      <c r="E398" t="n">
        <v>7</v>
      </c>
      <c r="F398" t="inlineStr">
        <is>
          <t>Pełny (7 dni)</t>
        </is>
      </c>
      <c r="G398" t="inlineStr">
        <is>
          <t>23.06</t>
        </is>
      </c>
      <c r="H398" t="inlineStr">
        <is>
          <t>29.06</t>
        </is>
      </c>
      <c r="I398" t="n">
        <v>272</v>
      </c>
      <c r="J398" t="n">
        <v>0.23333</v>
      </c>
    </row>
    <row r="399">
      <c r="A399" t="inlineStr">
        <is>
          <t>2026_Czerwiec_W6</t>
        </is>
      </c>
      <c r="B399" t="n">
        <v>2026</v>
      </c>
      <c r="C399" t="inlineStr">
        <is>
          <t>Czerwiec</t>
        </is>
      </c>
      <c r="D399" t="inlineStr">
        <is>
          <t>W6</t>
        </is>
      </c>
      <c r="E399" t="n">
        <v>1</v>
      </c>
      <c r="F399" t="inlineStr">
        <is>
          <t>Niepełny (1 dni)</t>
        </is>
      </c>
      <c r="G399" t="inlineStr">
        <is>
          <t>30.06</t>
        </is>
      </c>
      <c r="H399" t="inlineStr">
        <is>
          <t>30.06</t>
        </is>
      </c>
      <c r="I399" t="n">
        <v>40</v>
      </c>
      <c r="J399" t="n">
        <v>0.03333</v>
      </c>
    </row>
    <row r="400">
      <c r="A400" t="inlineStr">
        <is>
          <t>2026_Lipiec_W1</t>
        </is>
      </c>
      <c r="B400" t="n">
        <v>2026</v>
      </c>
      <c r="C400" t="inlineStr">
        <is>
          <t>Lipiec</t>
        </is>
      </c>
      <c r="D400" t="inlineStr">
        <is>
          <t>W1</t>
        </is>
      </c>
      <c r="E400" t="n">
        <v>6</v>
      </c>
      <c r="F400" t="inlineStr">
        <is>
          <t>Niepełny (6 dni)</t>
        </is>
      </c>
      <c r="G400" t="inlineStr">
        <is>
          <t>01.07</t>
        </is>
      </c>
      <c r="H400" t="inlineStr">
        <is>
          <t>06.07</t>
        </is>
      </c>
      <c r="I400" t="n">
        <v>232</v>
      </c>
      <c r="J400" t="n">
        <v>0.19355</v>
      </c>
    </row>
    <row r="401">
      <c r="A401" t="inlineStr">
        <is>
          <t>2026_Lipiec_W2</t>
        </is>
      </c>
      <c r="B401" t="n">
        <v>2026</v>
      </c>
      <c r="C401" t="inlineStr">
        <is>
          <t>Lipiec</t>
        </is>
      </c>
      <c r="D401" t="inlineStr">
        <is>
          <t>W2</t>
        </is>
      </c>
      <c r="E401" t="n">
        <v>7</v>
      </c>
      <c r="F401" t="inlineStr">
        <is>
          <t>Pełny (7 dni)</t>
        </is>
      </c>
      <c r="G401" t="inlineStr">
        <is>
          <t>07.07</t>
        </is>
      </c>
      <c r="H401" t="inlineStr">
        <is>
          <t>13.07</t>
        </is>
      </c>
      <c r="I401" t="n">
        <v>272</v>
      </c>
      <c r="J401" t="n">
        <v>0.22581</v>
      </c>
    </row>
    <row r="402">
      <c r="A402" t="inlineStr">
        <is>
          <t>2026_Lipiec_W3</t>
        </is>
      </c>
      <c r="B402" t="n">
        <v>2026</v>
      </c>
      <c r="C402" t="inlineStr">
        <is>
          <t>Lipiec</t>
        </is>
      </c>
      <c r="D402" t="inlineStr">
        <is>
          <t>W3</t>
        </is>
      </c>
      <c r="E402" t="n">
        <v>7</v>
      </c>
      <c r="F402" t="inlineStr">
        <is>
          <t>Pełny (7 dni)</t>
        </is>
      </c>
      <c r="G402" t="inlineStr">
        <is>
          <t>14.07</t>
        </is>
      </c>
      <c r="H402" t="inlineStr">
        <is>
          <t>20.07</t>
        </is>
      </c>
      <c r="I402" t="n">
        <v>272</v>
      </c>
      <c r="J402" t="n">
        <v>0.22581</v>
      </c>
    </row>
    <row r="403">
      <c r="A403" t="inlineStr">
        <is>
          <t>2026_Lipiec_W4</t>
        </is>
      </c>
      <c r="B403" t="n">
        <v>2026</v>
      </c>
      <c r="C403" t="inlineStr">
        <is>
          <t>Lipiec</t>
        </is>
      </c>
      <c r="D403" t="inlineStr">
        <is>
          <t>W4</t>
        </is>
      </c>
      <c r="E403" t="n">
        <v>7</v>
      </c>
      <c r="F403" t="inlineStr">
        <is>
          <t>Pełny (7 dni)</t>
        </is>
      </c>
      <c r="G403" t="inlineStr">
        <is>
          <t>21.07</t>
        </is>
      </c>
      <c r="H403" t="inlineStr">
        <is>
          <t>27.07</t>
        </is>
      </c>
      <c r="I403" t="n">
        <v>272</v>
      </c>
      <c r="J403" t="n">
        <v>0.22581</v>
      </c>
    </row>
    <row r="404">
      <c r="A404" t="inlineStr">
        <is>
          <t>2026_Lipiec_W5</t>
        </is>
      </c>
      <c r="B404" t="n">
        <v>2026</v>
      </c>
      <c r="C404" t="inlineStr">
        <is>
          <t>Lipiec</t>
        </is>
      </c>
      <c r="D404" t="inlineStr">
        <is>
          <t>W5</t>
        </is>
      </c>
      <c r="E404" t="n">
        <v>4</v>
      </c>
      <c r="F404" t="inlineStr">
        <is>
          <t>Niepełny (4 dni)</t>
        </is>
      </c>
      <c r="G404" t="inlineStr">
        <is>
          <t>28.07</t>
        </is>
      </c>
      <c r="H404" t="inlineStr">
        <is>
          <t>31.07</t>
        </is>
      </c>
      <c r="I404" t="n">
        <v>160</v>
      </c>
      <c r="J404" t="n">
        <v>0.12903</v>
      </c>
    </row>
    <row r="405">
      <c r="A405" t="inlineStr">
        <is>
          <t>2026_Lipiec_W6</t>
        </is>
      </c>
      <c r="B405" t="n">
        <v>2026</v>
      </c>
      <c r="C405" t="inlineStr">
        <is>
          <t>Lipiec</t>
        </is>
      </c>
      <c r="D405" t="inlineStr">
        <is>
          <t>W6</t>
        </is>
      </c>
      <c r="E405" t="n">
        <v>0</v>
      </c>
      <c r="F405" t="inlineStr">
        <is>
          <t>Brak w miesiącu</t>
        </is>
      </c>
      <c r="G405" t="inlineStr">
        <is>
          <t>-</t>
        </is>
      </c>
      <c r="H405" t="inlineStr">
        <is>
          <t>-</t>
        </is>
      </c>
      <c r="I405" t="n">
        <v>0</v>
      </c>
      <c r="J405" t="n">
        <v>0</v>
      </c>
    </row>
    <row r="406">
      <c r="A406" t="inlineStr">
        <is>
          <t>2026_Sierpień_W1</t>
        </is>
      </c>
      <c r="B406" t="n">
        <v>2026</v>
      </c>
      <c r="C406" t="inlineStr">
        <is>
          <t>Sierpień</t>
        </is>
      </c>
      <c r="D406" t="inlineStr">
        <is>
          <t>W1</t>
        </is>
      </c>
      <c r="E406" t="n">
        <v>3</v>
      </c>
      <c r="F406" t="inlineStr">
        <is>
          <t>Niepełny (3 dni)</t>
        </is>
      </c>
      <c r="G406" t="inlineStr">
        <is>
          <t>01.08</t>
        </is>
      </c>
      <c r="H406" t="inlineStr">
        <is>
          <t>03.08</t>
        </is>
      </c>
      <c r="I406" t="n">
        <v>112</v>
      </c>
      <c r="J406" t="n">
        <v>0.09676999999999999</v>
      </c>
    </row>
    <row r="407">
      <c r="A407" t="inlineStr">
        <is>
          <t>2026_Sierpień_W2</t>
        </is>
      </c>
      <c r="B407" t="n">
        <v>2026</v>
      </c>
      <c r="C407" t="inlineStr">
        <is>
          <t>Sierpień</t>
        </is>
      </c>
      <c r="D407" t="inlineStr">
        <is>
          <t>W2</t>
        </is>
      </c>
      <c r="E407" t="n">
        <v>7</v>
      </c>
      <c r="F407" t="inlineStr">
        <is>
          <t>Pełny (7 dni)</t>
        </is>
      </c>
      <c r="G407" t="inlineStr">
        <is>
          <t>04.08</t>
        </is>
      </c>
      <c r="H407" t="inlineStr">
        <is>
          <t>10.08</t>
        </is>
      </c>
      <c r="I407" t="n">
        <v>272</v>
      </c>
      <c r="J407" t="n">
        <v>0.22581</v>
      </c>
    </row>
    <row r="408">
      <c r="A408" t="inlineStr">
        <is>
          <t>2026_Sierpień_W3</t>
        </is>
      </c>
      <c r="B408" t="n">
        <v>2026</v>
      </c>
      <c r="C408" t="inlineStr">
        <is>
          <t>Sierpień</t>
        </is>
      </c>
      <c r="D408" t="inlineStr">
        <is>
          <t>W3</t>
        </is>
      </c>
      <c r="E408" t="n">
        <v>7</v>
      </c>
      <c r="F408" t="inlineStr">
        <is>
          <t>Pełny (7 dni)</t>
        </is>
      </c>
      <c r="G408" t="inlineStr">
        <is>
          <t>11.08</t>
        </is>
      </c>
      <c r="H408" t="inlineStr">
        <is>
          <t>17.08</t>
        </is>
      </c>
      <c r="I408" t="n">
        <v>272</v>
      </c>
      <c r="J408" t="n">
        <v>0.22581</v>
      </c>
    </row>
    <row r="409">
      <c r="A409" t="inlineStr">
        <is>
          <t>2026_Sierpień_W4</t>
        </is>
      </c>
      <c r="B409" t="n">
        <v>2026</v>
      </c>
      <c r="C409" t="inlineStr">
        <is>
          <t>Sierpień</t>
        </is>
      </c>
      <c r="D409" t="inlineStr">
        <is>
          <t>W4</t>
        </is>
      </c>
      <c r="E409" t="n">
        <v>7</v>
      </c>
      <c r="F409" t="inlineStr">
        <is>
          <t>Pełny (7 dni)</t>
        </is>
      </c>
      <c r="G409" t="inlineStr">
        <is>
          <t>18.08</t>
        </is>
      </c>
      <c r="H409" t="inlineStr">
        <is>
          <t>24.08</t>
        </is>
      </c>
      <c r="I409" t="n">
        <v>272</v>
      </c>
      <c r="J409" t="n">
        <v>0.22581</v>
      </c>
    </row>
    <row r="410">
      <c r="A410" t="inlineStr">
        <is>
          <t>2026_Sierpień_W5</t>
        </is>
      </c>
      <c r="B410" t="n">
        <v>2026</v>
      </c>
      <c r="C410" t="inlineStr">
        <is>
          <t>Sierpień</t>
        </is>
      </c>
      <c r="D410" t="inlineStr">
        <is>
          <t>W5</t>
        </is>
      </c>
      <c r="E410" t="n">
        <v>7</v>
      </c>
      <c r="F410" t="inlineStr">
        <is>
          <t>Pełny (7 dni)</t>
        </is>
      </c>
      <c r="G410" t="inlineStr">
        <is>
          <t>25.08</t>
        </is>
      </c>
      <c r="H410" t="inlineStr">
        <is>
          <t>31.08</t>
        </is>
      </c>
      <c r="I410" t="n">
        <v>272</v>
      </c>
      <c r="J410" t="n">
        <v>0.22581</v>
      </c>
    </row>
    <row r="411">
      <c r="A411" t="inlineStr">
        <is>
          <t>2026_Sierpień_W6</t>
        </is>
      </c>
      <c r="B411" t="n">
        <v>2026</v>
      </c>
      <c r="C411" t="inlineStr">
        <is>
          <t>Sierpień</t>
        </is>
      </c>
      <c r="D411" t="inlineStr">
        <is>
          <t>W6</t>
        </is>
      </c>
      <c r="E411" t="n">
        <v>0</v>
      </c>
      <c r="F411" t="inlineStr">
        <is>
          <t>Brak w miesiącu</t>
        </is>
      </c>
      <c r="G411" t="inlineStr">
        <is>
          <t>-</t>
        </is>
      </c>
      <c r="H411" t="inlineStr">
        <is>
          <t>-</t>
        </is>
      </c>
      <c r="I411" t="n">
        <v>0</v>
      </c>
      <c r="J411" t="n">
        <v>0</v>
      </c>
    </row>
    <row r="412">
      <c r="A412" t="inlineStr">
        <is>
          <t>2026_Wrzesień_W1</t>
        </is>
      </c>
      <c r="B412" t="n">
        <v>2026</v>
      </c>
      <c r="C412" t="inlineStr">
        <is>
          <t>Wrzesień</t>
        </is>
      </c>
      <c r="D412" t="inlineStr">
        <is>
          <t>W1</t>
        </is>
      </c>
      <c r="E412" t="n">
        <v>7</v>
      </c>
      <c r="F412" t="inlineStr">
        <is>
          <t>Pełny (7 dni)</t>
        </is>
      </c>
      <c r="G412" t="inlineStr">
        <is>
          <t>01.09</t>
        </is>
      </c>
      <c r="H412" t="inlineStr">
        <is>
          <t>07.09</t>
        </is>
      </c>
      <c r="I412" t="n">
        <v>272</v>
      </c>
      <c r="J412" t="n">
        <v>0.23333</v>
      </c>
    </row>
    <row r="413">
      <c r="A413" t="inlineStr">
        <is>
          <t>2026_Wrzesień_W2</t>
        </is>
      </c>
      <c r="B413" t="n">
        <v>2026</v>
      </c>
      <c r="C413" t="inlineStr">
        <is>
          <t>Wrzesień</t>
        </is>
      </c>
      <c r="D413" t="inlineStr">
        <is>
          <t>W2</t>
        </is>
      </c>
      <c r="E413" t="n">
        <v>7</v>
      </c>
      <c r="F413" t="inlineStr">
        <is>
          <t>Pełny (7 dni)</t>
        </is>
      </c>
      <c r="G413" t="inlineStr">
        <is>
          <t>08.09</t>
        </is>
      </c>
      <c r="H413" t="inlineStr">
        <is>
          <t>14.09</t>
        </is>
      </c>
      <c r="I413" t="n">
        <v>272</v>
      </c>
      <c r="J413" t="n">
        <v>0.23333</v>
      </c>
    </row>
    <row r="414">
      <c r="A414" t="inlineStr">
        <is>
          <t>2026_Wrzesień_W3</t>
        </is>
      </c>
      <c r="B414" t="n">
        <v>2026</v>
      </c>
      <c r="C414" t="inlineStr">
        <is>
          <t>Wrzesień</t>
        </is>
      </c>
      <c r="D414" t="inlineStr">
        <is>
          <t>W3</t>
        </is>
      </c>
      <c r="E414" t="n">
        <v>7</v>
      </c>
      <c r="F414" t="inlineStr">
        <is>
          <t>Pełny (7 dni)</t>
        </is>
      </c>
      <c r="G414" t="inlineStr">
        <is>
          <t>15.09</t>
        </is>
      </c>
      <c r="H414" t="inlineStr">
        <is>
          <t>21.09</t>
        </is>
      </c>
      <c r="I414" t="n">
        <v>272</v>
      </c>
      <c r="J414" t="n">
        <v>0.23333</v>
      </c>
    </row>
    <row r="415">
      <c r="A415" t="inlineStr">
        <is>
          <t>2026_Wrzesień_W4</t>
        </is>
      </c>
      <c r="B415" t="n">
        <v>2026</v>
      </c>
      <c r="C415" t="inlineStr">
        <is>
          <t>Wrzesień</t>
        </is>
      </c>
      <c r="D415" t="inlineStr">
        <is>
          <t>W4</t>
        </is>
      </c>
      <c r="E415" t="n">
        <v>7</v>
      </c>
      <c r="F415" t="inlineStr">
        <is>
          <t>Pełny (7 dni)</t>
        </is>
      </c>
      <c r="G415" t="inlineStr">
        <is>
          <t>22.09</t>
        </is>
      </c>
      <c r="H415" t="inlineStr">
        <is>
          <t>28.09</t>
        </is>
      </c>
      <c r="I415" t="n">
        <v>272</v>
      </c>
      <c r="J415" t="n">
        <v>0.23333</v>
      </c>
    </row>
    <row r="416">
      <c r="A416" t="inlineStr">
        <is>
          <t>2026_Wrzesień_W5</t>
        </is>
      </c>
      <c r="B416" t="n">
        <v>2026</v>
      </c>
      <c r="C416" t="inlineStr">
        <is>
          <t>Wrzesień</t>
        </is>
      </c>
      <c r="D416" t="inlineStr">
        <is>
          <t>W5</t>
        </is>
      </c>
      <c r="E416" t="n">
        <v>2</v>
      </c>
      <c r="F416" t="inlineStr">
        <is>
          <t>Niepełny (2 dni)</t>
        </is>
      </c>
      <c r="G416" t="inlineStr">
        <is>
          <t>29.09</t>
        </is>
      </c>
      <c r="H416" t="inlineStr">
        <is>
          <t>30.09</t>
        </is>
      </c>
      <c r="I416" t="n">
        <v>80</v>
      </c>
      <c r="J416" t="n">
        <v>0.06666999999999999</v>
      </c>
    </row>
    <row r="417">
      <c r="A417" t="inlineStr">
        <is>
          <t>2026_Wrzesień_W6</t>
        </is>
      </c>
      <c r="B417" t="n">
        <v>2026</v>
      </c>
      <c r="C417" t="inlineStr">
        <is>
          <t>Wrzesień</t>
        </is>
      </c>
      <c r="D417" t="inlineStr">
        <is>
          <t>W6</t>
        </is>
      </c>
      <c r="E417" t="n">
        <v>0</v>
      </c>
      <c r="F417" t="inlineStr">
        <is>
          <t>Brak w miesiącu</t>
        </is>
      </c>
      <c r="G417" t="inlineStr">
        <is>
          <t>-</t>
        </is>
      </c>
      <c r="H417" t="inlineStr">
        <is>
          <t>-</t>
        </is>
      </c>
      <c r="I417" t="n">
        <v>0</v>
      </c>
      <c r="J417" t="n">
        <v>0</v>
      </c>
    </row>
    <row r="418">
      <c r="A418" t="inlineStr">
        <is>
          <t>2026_Październik_W1</t>
        </is>
      </c>
      <c r="B418" t="n">
        <v>2026</v>
      </c>
      <c r="C418" t="inlineStr">
        <is>
          <t>Październik</t>
        </is>
      </c>
      <c r="D418" t="inlineStr">
        <is>
          <t>W1</t>
        </is>
      </c>
      <c r="E418" t="n">
        <v>5</v>
      </c>
      <c r="F418" t="inlineStr">
        <is>
          <t>Niepełny (5 dni)</t>
        </is>
      </c>
      <c r="G418" t="inlineStr">
        <is>
          <t>01.10</t>
        </is>
      </c>
      <c r="H418" t="inlineStr">
        <is>
          <t>05.10</t>
        </is>
      </c>
      <c r="I418" t="n">
        <v>192</v>
      </c>
      <c r="J418" t="n">
        <v>0.16129</v>
      </c>
    </row>
    <row r="419">
      <c r="A419" t="inlineStr">
        <is>
          <t>2026_Październik_W2</t>
        </is>
      </c>
      <c r="B419" t="n">
        <v>2026</v>
      </c>
      <c r="C419" t="inlineStr">
        <is>
          <t>Październik</t>
        </is>
      </c>
      <c r="D419" t="inlineStr">
        <is>
          <t>W2</t>
        </is>
      </c>
      <c r="E419" t="n">
        <v>7</v>
      </c>
      <c r="F419" t="inlineStr">
        <is>
          <t>Pełny (7 dni)</t>
        </is>
      </c>
      <c r="G419" t="inlineStr">
        <is>
          <t>06.10</t>
        </is>
      </c>
      <c r="H419" t="inlineStr">
        <is>
          <t>12.10</t>
        </is>
      </c>
      <c r="I419" t="n">
        <v>272</v>
      </c>
      <c r="J419" t="n">
        <v>0.22581</v>
      </c>
    </row>
    <row r="420">
      <c r="A420" t="inlineStr">
        <is>
          <t>2026_Październik_W3</t>
        </is>
      </c>
      <c r="B420" t="n">
        <v>2026</v>
      </c>
      <c r="C420" t="inlineStr">
        <is>
          <t>Październik</t>
        </is>
      </c>
      <c r="D420" t="inlineStr">
        <is>
          <t>W3</t>
        </is>
      </c>
      <c r="E420" t="n">
        <v>7</v>
      </c>
      <c r="F420" t="inlineStr">
        <is>
          <t>Pełny (7 dni)</t>
        </is>
      </c>
      <c r="G420" t="inlineStr">
        <is>
          <t>13.10</t>
        </is>
      </c>
      <c r="H420" t="inlineStr">
        <is>
          <t>19.10</t>
        </is>
      </c>
      <c r="I420" t="n">
        <v>272</v>
      </c>
      <c r="J420" t="n">
        <v>0.22581</v>
      </c>
    </row>
    <row r="421">
      <c r="A421" t="inlineStr">
        <is>
          <t>2026_Październik_W4</t>
        </is>
      </c>
      <c r="B421" t="n">
        <v>2026</v>
      </c>
      <c r="C421" t="inlineStr">
        <is>
          <t>Październik</t>
        </is>
      </c>
      <c r="D421" t="inlineStr">
        <is>
          <t>W4</t>
        </is>
      </c>
      <c r="E421" t="n">
        <v>7</v>
      </c>
      <c r="F421" t="inlineStr">
        <is>
          <t>Pełny (7 dni)</t>
        </is>
      </c>
      <c r="G421" t="inlineStr">
        <is>
          <t>20.10</t>
        </is>
      </c>
      <c r="H421" t="inlineStr">
        <is>
          <t>26.10</t>
        </is>
      </c>
      <c r="I421" t="n">
        <v>272</v>
      </c>
      <c r="J421" t="n">
        <v>0.22581</v>
      </c>
    </row>
    <row r="422">
      <c r="A422" t="inlineStr">
        <is>
          <t>2026_Październik_W5</t>
        </is>
      </c>
      <c r="B422" t="n">
        <v>2026</v>
      </c>
      <c r="C422" t="inlineStr">
        <is>
          <t>Październik</t>
        </is>
      </c>
      <c r="D422" t="inlineStr">
        <is>
          <t>W5</t>
        </is>
      </c>
      <c r="E422" t="n">
        <v>5</v>
      </c>
      <c r="F422" t="inlineStr">
        <is>
          <t>Niepełny (5 dni)</t>
        </is>
      </c>
      <c r="G422" t="inlineStr">
        <is>
          <t>27.10</t>
        </is>
      </c>
      <c r="H422" t="inlineStr">
        <is>
          <t>31.10</t>
        </is>
      </c>
      <c r="I422" t="n">
        <v>200</v>
      </c>
      <c r="J422" t="n">
        <v>0.16129</v>
      </c>
    </row>
    <row r="423">
      <c r="A423" t="inlineStr">
        <is>
          <t>2026_Październik_W6</t>
        </is>
      </c>
      <c r="B423" t="n">
        <v>2026</v>
      </c>
      <c r="C423" t="inlineStr">
        <is>
          <t>Październik</t>
        </is>
      </c>
      <c r="D423" t="inlineStr">
        <is>
          <t>W6</t>
        </is>
      </c>
      <c r="E423" t="n">
        <v>0</v>
      </c>
      <c r="F423" t="inlineStr">
        <is>
          <t>Brak w miesiącu</t>
        </is>
      </c>
      <c r="G423" t="inlineStr">
        <is>
          <t>-</t>
        </is>
      </c>
      <c r="H423" t="inlineStr">
        <is>
          <t>-</t>
        </is>
      </c>
      <c r="I423" t="n">
        <v>0</v>
      </c>
      <c r="J423" t="n">
        <v>0</v>
      </c>
    </row>
    <row r="424">
      <c r="A424" t="inlineStr">
        <is>
          <t>2026_Listopad_W1</t>
        </is>
      </c>
      <c r="B424" t="n">
        <v>2026</v>
      </c>
      <c r="C424" t="inlineStr">
        <is>
          <t>Listopad</t>
        </is>
      </c>
      <c r="D424" t="inlineStr">
        <is>
          <t>W1</t>
        </is>
      </c>
      <c r="E424" t="n">
        <v>2</v>
      </c>
      <c r="F424" t="inlineStr">
        <is>
          <t>Niepełny (2 dni)</t>
        </is>
      </c>
      <c r="G424" t="inlineStr">
        <is>
          <t>01.11</t>
        </is>
      </c>
      <c r="H424" t="inlineStr">
        <is>
          <t>02.11</t>
        </is>
      </c>
      <c r="I424" t="n">
        <v>72</v>
      </c>
      <c r="J424" t="n">
        <v>0.06666999999999999</v>
      </c>
    </row>
    <row r="425">
      <c r="A425" t="inlineStr">
        <is>
          <t>2026_Listopad_W2</t>
        </is>
      </c>
      <c r="B425" t="n">
        <v>2026</v>
      </c>
      <c r="C425" t="inlineStr">
        <is>
          <t>Listopad</t>
        </is>
      </c>
      <c r="D425" t="inlineStr">
        <is>
          <t>W2</t>
        </is>
      </c>
      <c r="E425" t="n">
        <v>7</v>
      </c>
      <c r="F425" t="inlineStr">
        <is>
          <t>Pełny (7 dni)</t>
        </is>
      </c>
      <c r="G425" t="inlineStr">
        <is>
          <t>03.11</t>
        </is>
      </c>
      <c r="H425" t="inlineStr">
        <is>
          <t>09.11</t>
        </is>
      </c>
      <c r="I425" t="n">
        <v>272</v>
      </c>
      <c r="J425" t="n">
        <v>0.23333</v>
      </c>
    </row>
    <row r="426">
      <c r="A426" t="inlineStr">
        <is>
          <t>2026_Listopad_W3</t>
        </is>
      </c>
      <c r="B426" t="n">
        <v>2026</v>
      </c>
      <c r="C426" t="inlineStr">
        <is>
          <t>Listopad</t>
        </is>
      </c>
      <c r="D426" t="inlineStr">
        <is>
          <t>W3</t>
        </is>
      </c>
      <c r="E426" t="n">
        <v>7</v>
      </c>
      <c r="F426" t="inlineStr">
        <is>
          <t>Pełny (7 dni)</t>
        </is>
      </c>
      <c r="G426" t="inlineStr">
        <is>
          <t>10.11</t>
        </is>
      </c>
      <c r="H426" t="inlineStr">
        <is>
          <t>16.11</t>
        </is>
      </c>
      <c r="I426" t="n">
        <v>272</v>
      </c>
      <c r="J426" t="n">
        <v>0.23333</v>
      </c>
    </row>
    <row r="427">
      <c r="A427" t="inlineStr">
        <is>
          <t>2026_Listopad_W4</t>
        </is>
      </c>
      <c r="B427" t="n">
        <v>2026</v>
      </c>
      <c r="C427" t="inlineStr">
        <is>
          <t>Listopad</t>
        </is>
      </c>
      <c r="D427" t="inlineStr">
        <is>
          <t>W4</t>
        </is>
      </c>
      <c r="E427" t="n">
        <v>7</v>
      </c>
      <c r="F427" t="inlineStr">
        <is>
          <t>Pełny (7 dni)</t>
        </is>
      </c>
      <c r="G427" t="inlineStr">
        <is>
          <t>17.11</t>
        </is>
      </c>
      <c r="H427" t="inlineStr">
        <is>
          <t>23.11</t>
        </is>
      </c>
      <c r="I427" t="n">
        <v>272</v>
      </c>
      <c r="J427" t="n">
        <v>0.23333</v>
      </c>
    </row>
    <row r="428">
      <c r="A428" t="inlineStr">
        <is>
          <t>2026_Listopad_W5</t>
        </is>
      </c>
      <c r="B428" t="n">
        <v>2026</v>
      </c>
      <c r="C428" t="inlineStr">
        <is>
          <t>Listopad</t>
        </is>
      </c>
      <c r="D428" t="inlineStr">
        <is>
          <t>W5</t>
        </is>
      </c>
      <c r="E428" t="n">
        <v>7</v>
      </c>
      <c r="F428" t="inlineStr">
        <is>
          <t>Pełny (7 dni)</t>
        </is>
      </c>
      <c r="G428" t="inlineStr">
        <is>
          <t>24.11</t>
        </is>
      </c>
      <c r="H428" t="inlineStr">
        <is>
          <t>30.11</t>
        </is>
      </c>
      <c r="I428" t="n">
        <v>272</v>
      </c>
      <c r="J428" t="n">
        <v>0.23333</v>
      </c>
    </row>
    <row r="429">
      <c r="A429" t="inlineStr">
        <is>
          <t>2026_Listopad_W6</t>
        </is>
      </c>
      <c r="B429" t="n">
        <v>2026</v>
      </c>
      <c r="C429" t="inlineStr">
        <is>
          <t>Listopad</t>
        </is>
      </c>
      <c r="D429" t="inlineStr">
        <is>
          <t>W6</t>
        </is>
      </c>
      <c r="E429" t="n">
        <v>0</v>
      </c>
      <c r="F429" t="inlineStr">
        <is>
          <t>Brak w miesiącu</t>
        </is>
      </c>
      <c r="G429" t="inlineStr">
        <is>
          <t>-</t>
        </is>
      </c>
      <c r="H429" t="inlineStr">
        <is>
          <t>-</t>
        </is>
      </c>
      <c r="I429" t="n">
        <v>0</v>
      </c>
      <c r="J429" t="n">
        <v>0</v>
      </c>
    </row>
    <row r="430">
      <c r="A430" t="inlineStr">
        <is>
          <t>2026_Grudzień_W1</t>
        </is>
      </c>
      <c r="B430" t="n">
        <v>2026</v>
      </c>
      <c r="C430" t="inlineStr">
        <is>
          <t>Grudzień</t>
        </is>
      </c>
      <c r="D430" t="inlineStr">
        <is>
          <t>W1</t>
        </is>
      </c>
      <c r="E430" t="n">
        <v>7</v>
      </c>
      <c r="F430" t="inlineStr">
        <is>
          <t>Pełny (7 dni)</t>
        </is>
      </c>
      <c r="G430" t="inlineStr">
        <is>
          <t>01.12</t>
        </is>
      </c>
      <c r="H430" t="inlineStr">
        <is>
          <t>07.12</t>
        </is>
      </c>
      <c r="I430" t="n">
        <v>272</v>
      </c>
      <c r="J430" t="n">
        <v>0.22581</v>
      </c>
    </row>
    <row r="431">
      <c r="A431" t="inlineStr">
        <is>
          <t>2026_Grudzień_W2</t>
        </is>
      </c>
      <c r="B431" t="n">
        <v>2026</v>
      </c>
      <c r="C431" t="inlineStr">
        <is>
          <t>Grudzień</t>
        </is>
      </c>
      <c r="D431" t="inlineStr">
        <is>
          <t>W2</t>
        </is>
      </c>
      <c r="E431" t="n">
        <v>7</v>
      </c>
      <c r="F431" t="inlineStr">
        <is>
          <t>Pełny (7 dni)</t>
        </is>
      </c>
      <c r="G431" t="inlineStr">
        <is>
          <t>08.12</t>
        </is>
      </c>
      <c r="H431" t="inlineStr">
        <is>
          <t>14.12</t>
        </is>
      </c>
      <c r="I431" t="n">
        <v>272</v>
      </c>
      <c r="J431" t="n">
        <v>0.22581</v>
      </c>
    </row>
    <row r="432">
      <c r="A432" t="inlineStr">
        <is>
          <t>2026_Grudzień_W3</t>
        </is>
      </c>
      <c r="B432" t="n">
        <v>2026</v>
      </c>
      <c r="C432" t="inlineStr">
        <is>
          <t>Grudzień</t>
        </is>
      </c>
      <c r="D432" t="inlineStr">
        <is>
          <t>W3</t>
        </is>
      </c>
      <c r="E432" t="n">
        <v>7</v>
      </c>
      <c r="F432" t="inlineStr">
        <is>
          <t>Pełny (7 dni)</t>
        </is>
      </c>
      <c r="G432" t="inlineStr">
        <is>
          <t>15.12</t>
        </is>
      </c>
      <c r="H432" t="inlineStr">
        <is>
          <t>21.12</t>
        </is>
      </c>
      <c r="I432" t="n">
        <v>272</v>
      </c>
      <c r="J432" t="n">
        <v>0.22581</v>
      </c>
    </row>
    <row r="433">
      <c r="A433" t="inlineStr">
        <is>
          <t>2026_Grudzień_W4</t>
        </is>
      </c>
      <c r="B433" t="n">
        <v>2026</v>
      </c>
      <c r="C433" t="inlineStr">
        <is>
          <t>Grudzień</t>
        </is>
      </c>
      <c r="D433" t="inlineStr">
        <is>
          <t>W4</t>
        </is>
      </c>
      <c r="E433" t="n">
        <v>7</v>
      </c>
      <c r="F433" t="inlineStr">
        <is>
          <t>Pełny (7 dni)</t>
        </is>
      </c>
      <c r="G433" t="inlineStr">
        <is>
          <t>22.12</t>
        </is>
      </c>
      <c r="H433" t="inlineStr">
        <is>
          <t>28.12</t>
        </is>
      </c>
      <c r="I433" t="n">
        <v>272</v>
      </c>
      <c r="J433" t="n">
        <v>0.22581</v>
      </c>
    </row>
    <row r="434">
      <c r="A434" t="inlineStr">
        <is>
          <t>2026_Grudzień_W5</t>
        </is>
      </c>
      <c r="B434" t="n">
        <v>2026</v>
      </c>
      <c r="C434" t="inlineStr">
        <is>
          <t>Grudzień</t>
        </is>
      </c>
      <c r="D434" t="inlineStr">
        <is>
          <t>W5</t>
        </is>
      </c>
      <c r="E434" t="n">
        <v>3</v>
      </c>
      <c r="F434" t="inlineStr">
        <is>
          <t>Niepełny (3 dni)</t>
        </is>
      </c>
      <c r="G434" t="inlineStr">
        <is>
          <t>29.12</t>
        </is>
      </c>
      <c r="H434" t="inlineStr">
        <is>
          <t>31.12</t>
        </is>
      </c>
      <c r="I434" t="n">
        <v>120</v>
      </c>
      <c r="J434" t="n">
        <v>0.09676999999999999</v>
      </c>
    </row>
    <row r="435">
      <c r="A435" t="inlineStr">
        <is>
          <t>2026_Grudzień_W6</t>
        </is>
      </c>
      <c r="B435" t="n">
        <v>2026</v>
      </c>
      <c r="C435" t="inlineStr">
        <is>
          <t>Grudzień</t>
        </is>
      </c>
      <c r="D435" t="inlineStr">
        <is>
          <t>W6</t>
        </is>
      </c>
      <c r="E435" t="n">
        <v>0</v>
      </c>
      <c r="F435" t="inlineStr">
        <is>
          <t>Brak w miesiącu</t>
        </is>
      </c>
      <c r="G435" t="inlineStr">
        <is>
          <t>-</t>
        </is>
      </c>
      <c r="H435" t="inlineStr">
        <is>
          <t>-</t>
        </is>
      </c>
      <c r="I435" t="n">
        <v>0</v>
      </c>
      <c r="J435" t="n">
        <v>0</v>
      </c>
    </row>
    <row r="436">
      <c r="A436" t="inlineStr">
        <is>
          <t>2027_Styczeń_W1</t>
        </is>
      </c>
      <c r="B436" t="n">
        <v>2027</v>
      </c>
      <c r="C436" t="inlineStr">
        <is>
          <t>Styczeń</t>
        </is>
      </c>
      <c r="D436" t="inlineStr">
        <is>
          <t>W1</t>
        </is>
      </c>
      <c r="E436" t="n">
        <v>4</v>
      </c>
      <c r="F436" t="inlineStr">
        <is>
          <t>Niepełny (4 dni)</t>
        </is>
      </c>
      <c r="G436" t="inlineStr">
        <is>
          <t>01.01</t>
        </is>
      </c>
      <c r="H436" t="inlineStr">
        <is>
          <t>04.01</t>
        </is>
      </c>
      <c r="I436" t="n">
        <v>152</v>
      </c>
      <c r="J436" t="n">
        <v>0.12903</v>
      </c>
    </row>
    <row r="437">
      <c r="A437" t="inlineStr">
        <is>
          <t>2027_Styczeń_W2</t>
        </is>
      </c>
      <c r="B437" t="n">
        <v>2027</v>
      </c>
      <c r="C437" t="inlineStr">
        <is>
          <t>Styczeń</t>
        </is>
      </c>
      <c r="D437" t="inlineStr">
        <is>
          <t>W2</t>
        </is>
      </c>
      <c r="E437" t="n">
        <v>7</v>
      </c>
      <c r="F437" t="inlineStr">
        <is>
          <t>Pełny (7 dni)</t>
        </is>
      </c>
      <c r="G437" t="inlineStr">
        <is>
          <t>05.01</t>
        </is>
      </c>
      <c r="H437" t="inlineStr">
        <is>
          <t>11.01</t>
        </is>
      </c>
      <c r="I437" t="n">
        <v>272</v>
      </c>
      <c r="J437" t="n">
        <v>0.22581</v>
      </c>
    </row>
    <row r="438">
      <c r="A438" t="inlineStr">
        <is>
          <t>2027_Styczeń_W3</t>
        </is>
      </c>
      <c r="B438" t="n">
        <v>2027</v>
      </c>
      <c r="C438" t="inlineStr">
        <is>
          <t>Styczeń</t>
        </is>
      </c>
      <c r="D438" t="inlineStr">
        <is>
          <t>W3</t>
        </is>
      </c>
      <c r="E438" t="n">
        <v>7</v>
      </c>
      <c r="F438" t="inlineStr">
        <is>
          <t>Pełny (7 dni)</t>
        </is>
      </c>
      <c r="G438" t="inlineStr">
        <is>
          <t>12.01</t>
        </is>
      </c>
      <c r="H438" t="inlineStr">
        <is>
          <t>18.01</t>
        </is>
      </c>
      <c r="I438" t="n">
        <v>272</v>
      </c>
      <c r="J438" t="n">
        <v>0.22581</v>
      </c>
    </row>
    <row r="439">
      <c r="A439" t="inlineStr">
        <is>
          <t>2027_Styczeń_W4</t>
        </is>
      </c>
      <c r="B439" t="n">
        <v>2027</v>
      </c>
      <c r="C439" t="inlineStr">
        <is>
          <t>Styczeń</t>
        </is>
      </c>
      <c r="D439" t="inlineStr">
        <is>
          <t>W4</t>
        </is>
      </c>
      <c r="E439" t="n">
        <v>7</v>
      </c>
      <c r="F439" t="inlineStr">
        <is>
          <t>Pełny (7 dni)</t>
        </is>
      </c>
      <c r="G439" t="inlineStr">
        <is>
          <t>19.01</t>
        </is>
      </c>
      <c r="H439" t="inlineStr">
        <is>
          <t>25.01</t>
        </is>
      </c>
      <c r="I439" t="n">
        <v>272</v>
      </c>
      <c r="J439" t="n">
        <v>0.22581</v>
      </c>
    </row>
    <row r="440">
      <c r="A440" t="inlineStr">
        <is>
          <t>2027_Styczeń_W5</t>
        </is>
      </c>
      <c r="B440" t="n">
        <v>2027</v>
      </c>
      <c r="C440" t="inlineStr">
        <is>
          <t>Styczeń</t>
        </is>
      </c>
      <c r="D440" t="inlineStr">
        <is>
          <t>W5</t>
        </is>
      </c>
      <c r="E440" t="n">
        <v>6</v>
      </c>
      <c r="F440" t="inlineStr">
        <is>
          <t>Niepełny (6 dni)</t>
        </is>
      </c>
      <c r="G440" t="inlineStr">
        <is>
          <t>26.01</t>
        </is>
      </c>
      <c r="H440" t="inlineStr">
        <is>
          <t>31.01</t>
        </is>
      </c>
      <c r="I440" t="n">
        <v>232</v>
      </c>
      <c r="J440" t="n">
        <v>0.19355</v>
      </c>
    </row>
    <row r="441">
      <c r="A441" t="inlineStr">
        <is>
          <t>2027_Styczeń_W6</t>
        </is>
      </c>
      <c r="B441" t="n">
        <v>2027</v>
      </c>
      <c r="C441" t="inlineStr">
        <is>
          <t>Styczeń</t>
        </is>
      </c>
      <c r="D441" t="inlineStr">
        <is>
          <t>W6</t>
        </is>
      </c>
      <c r="E441" t="n">
        <v>0</v>
      </c>
      <c r="F441" t="inlineStr">
        <is>
          <t>Brak w miesiącu</t>
        </is>
      </c>
      <c r="G441" t="inlineStr">
        <is>
          <t>-</t>
        </is>
      </c>
      <c r="H441" t="inlineStr">
        <is>
          <t>-</t>
        </is>
      </c>
      <c r="I441" t="n">
        <v>0</v>
      </c>
      <c r="J441" t="n">
        <v>0</v>
      </c>
    </row>
    <row r="442">
      <c r="A442" t="inlineStr">
        <is>
          <t>2027_Luty_W1</t>
        </is>
      </c>
      <c r="B442" t="n">
        <v>2027</v>
      </c>
      <c r="C442" t="inlineStr">
        <is>
          <t>Luty</t>
        </is>
      </c>
      <c r="D442" t="inlineStr">
        <is>
          <t>W1</t>
        </is>
      </c>
      <c r="E442" t="n">
        <v>1</v>
      </c>
      <c r="F442" t="inlineStr">
        <is>
          <t>Niepełny (1 dni)</t>
        </is>
      </c>
      <c r="G442" t="inlineStr">
        <is>
          <t>01.02</t>
        </is>
      </c>
      <c r="H442" t="inlineStr">
        <is>
          <t>01.02</t>
        </is>
      </c>
      <c r="I442" t="n">
        <v>40</v>
      </c>
      <c r="J442" t="n">
        <v>0.03571</v>
      </c>
    </row>
    <row r="443">
      <c r="A443" t="inlineStr">
        <is>
          <t>2027_Luty_W2</t>
        </is>
      </c>
      <c r="B443" t="n">
        <v>2027</v>
      </c>
      <c r="C443" t="inlineStr">
        <is>
          <t>Luty</t>
        </is>
      </c>
      <c r="D443" t="inlineStr">
        <is>
          <t>W2</t>
        </is>
      </c>
      <c r="E443" t="n">
        <v>7</v>
      </c>
      <c r="F443" t="inlineStr">
        <is>
          <t>Pełny (7 dni)</t>
        </is>
      </c>
      <c r="G443" t="inlineStr">
        <is>
          <t>02.02</t>
        </is>
      </c>
      <c r="H443" t="inlineStr">
        <is>
          <t>08.02</t>
        </is>
      </c>
      <c r="I443" t="n">
        <v>272</v>
      </c>
      <c r="J443" t="n">
        <v>0.25</v>
      </c>
    </row>
    <row r="444">
      <c r="A444" t="inlineStr">
        <is>
          <t>2027_Luty_W3</t>
        </is>
      </c>
      <c r="B444" t="n">
        <v>2027</v>
      </c>
      <c r="C444" t="inlineStr">
        <is>
          <t>Luty</t>
        </is>
      </c>
      <c r="D444" t="inlineStr">
        <is>
          <t>W3</t>
        </is>
      </c>
      <c r="E444" t="n">
        <v>7</v>
      </c>
      <c r="F444" t="inlineStr">
        <is>
          <t>Pełny (7 dni)</t>
        </is>
      </c>
      <c r="G444" t="inlineStr">
        <is>
          <t>09.02</t>
        </is>
      </c>
      <c r="H444" t="inlineStr">
        <is>
          <t>15.02</t>
        </is>
      </c>
      <c r="I444" t="n">
        <v>272</v>
      </c>
      <c r="J444" t="n">
        <v>0.25</v>
      </c>
    </row>
    <row r="445">
      <c r="A445" t="inlineStr">
        <is>
          <t>2027_Luty_W4</t>
        </is>
      </c>
      <c r="B445" t="n">
        <v>2027</v>
      </c>
      <c r="C445" t="inlineStr">
        <is>
          <t>Luty</t>
        </is>
      </c>
      <c r="D445" t="inlineStr">
        <is>
          <t>W4</t>
        </is>
      </c>
      <c r="E445" t="n">
        <v>7</v>
      </c>
      <c r="F445" t="inlineStr">
        <is>
          <t>Pełny (7 dni)</t>
        </is>
      </c>
      <c r="G445" t="inlineStr">
        <is>
          <t>16.02</t>
        </is>
      </c>
      <c r="H445" t="inlineStr">
        <is>
          <t>22.02</t>
        </is>
      </c>
      <c r="I445" t="n">
        <v>272</v>
      </c>
      <c r="J445" t="n">
        <v>0.25</v>
      </c>
    </row>
    <row r="446">
      <c r="A446" t="inlineStr">
        <is>
          <t>2027_Luty_W5</t>
        </is>
      </c>
      <c r="B446" t="n">
        <v>2027</v>
      </c>
      <c r="C446" t="inlineStr">
        <is>
          <t>Luty</t>
        </is>
      </c>
      <c r="D446" t="inlineStr">
        <is>
          <t>W5</t>
        </is>
      </c>
      <c r="E446" t="n">
        <v>6</v>
      </c>
      <c r="F446" t="inlineStr">
        <is>
          <t>Niepełny (6 dni)</t>
        </is>
      </c>
      <c r="G446" t="inlineStr">
        <is>
          <t>23.02</t>
        </is>
      </c>
      <c r="H446" t="inlineStr">
        <is>
          <t>28.02</t>
        </is>
      </c>
      <c r="I446" t="n">
        <v>232</v>
      </c>
      <c r="J446" t="n">
        <v>0.21429</v>
      </c>
    </row>
    <row r="447">
      <c r="A447" t="inlineStr">
        <is>
          <t>2027_Luty_W6</t>
        </is>
      </c>
      <c r="B447" t="n">
        <v>2027</v>
      </c>
      <c r="C447" t="inlineStr">
        <is>
          <t>Luty</t>
        </is>
      </c>
      <c r="D447" t="inlineStr">
        <is>
          <t>W6</t>
        </is>
      </c>
      <c r="E447" t="n">
        <v>0</v>
      </c>
      <c r="F447" t="inlineStr">
        <is>
          <t>Brak w miesiącu</t>
        </is>
      </c>
      <c r="G447" t="inlineStr">
        <is>
          <t>-</t>
        </is>
      </c>
      <c r="H447" t="inlineStr">
        <is>
          <t>-</t>
        </is>
      </c>
      <c r="I447" t="n">
        <v>0</v>
      </c>
      <c r="J447" t="n">
        <v>0</v>
      </c>
    </row>
    <row r="448">
      <c r="A448" t="inlineStr">
        <is>
          <t>2027_Marzec_W1</t>
        </is>
      </c>
      <c r="B448" t="n">
        <v>2027</v>
      </c>
      <c r="C448" t="inlineStr">
        <is>
          <t>Marzec</t>
        </is>
      </c>
      <c r="D448" t="inlineStr">
        <is>
          <t>W1</t>
        </is>
      </c>
      <c r="E448" t="n">
        <v>1</v>
      </c>
      <c r="F448" t="inlineStr">
        <is>
          <t>Niepełny (1 dni)</t>
        </is>
      </c>
      <c r="G448" t="inlineStr">
        <is>
          <t>01.03</t>
        </is>
      </c>
      <c r="H448" t="inlineStr">
        <is>
          <t>01.03</t>
        </is>
      </c>
      <c r="I448" t="n">
        <v>40</v>
      </c>
      <c r="J448" t="n">
        <v>0.03226</v>
      </c>
    </row>
    <row r="449">
      <c r="A449" t="inlineStr">
        <is>
          <t>2027_Marzec_W2</t>
        </is>
      </c>
      <c r="B449" t="n">
        <v>2027</v>
      </c>
      <c r="C449" t="inlineStr">
        <is>
          <t>Marzec</t>
        </is>
      </c>
      <c r="D449" t="inlineStr">
        <is>
          <t>W2</t>
        </is>
      </c>
      <c r="E449" t="n">
        <v>7</v>
      </c>
      <c r="F449" t="inlineStr">
        <is>
          <t>Pełny (7 dni)</t>
        </is>
      </c>
      <c r="G449" t="inlineStr">
        <is>
          <t>02.03</t>
        </is>
      </c>
      <c r="H449" t="inlineStr">
        <is>
          <t>08.03</t>
        </is>
      </c>
      <c r="I449" t="n">
        <v>272</v>
      </c>
      <c r="J449" t="n">
        <v>0.22581</v>
      </c>
    </row>
    <row r="450">
      <c r="A450" t="inlineStr">
        <is>
          <t>2027_Marzec_W3</t>
        </is>
      </c>
      <c r="B450" t="n">
        <v>2027</v>
      </c>
      <c r="C450" t="inlineStr">
        <is>
          <t>Marzec</t>
        </is>
      </c>
      <c r="D450" t="inlineStr">
        <is>
          <t>W3</t>
        </is>
      </c>
      <c r="E450" t="n">
        <v>7</v>
      </c>
      <c r="F450" t="inlineStr">
        <is>
          <t>Pełny (7 dni)</t>
        </is>
      </c>
      <c r="G450" t="inlineStr">
        <is>
          <t>09.03</t>
        </is>
      </c>
      <c r="H450" t="inlineStr">
        <is>
          <t>15.03</t>
        </is>
      </c>
      <c r="I450" t="n">
        <v>272</v>
      </c>
      <c r="J450" t="n">
        <v>0.22581</v>
      </c>
    </row>
    <row r="451">
      <c r="A451" t="inlineStr">
        <is>
          <t>2027_Marzec_W4</t>
        </is>
      </c>
      <c r="B451" t="n">
        <v>2027</v>
      </c>
      <c r="C451" t="inlineStr">
        <is>
          <t>Marzec</t>
        </is>
      </c>
      <c r="D451" t="inlineStr">
        <is>
          <t>W4</t>
        </is>
      </c>
      <c r="E451" t="n">
        <v>7</v>
      </c>
      <c r="F451" t="inlineStr">
        <is>
          <t>Pełny (7 dni)</t>
        </is>
      </c>
      <c r="G451" t="inlineStr">
        <is>
          <t>16.03</t>
        </is>
      </c>
      <c r="H451" t="inlineStr">
        <is>
          <t>22.03</t>
        </is>
      </c>
      <c r="I451" t="n">
        <v>272</v>
      </c>
      <c r="J451" t="n">
        <v>0.22581</v>
      </c>
    </row>
    <row r="452">
      <c r="A452" t="inlineStr">
        <is>
          <t>2027_Marzec_W5</t>
        </is>
      </c>
      <c r="B452" t="n">
        <v>2027</v>
      </c>
      <c r="C452" t="inlineStr">
        <is>
          <t>Marzec</t>
        </is>
      </c>
      <c r="D452" t="inlineStr">
        <is>
          <t>W5</t>
        </is>
      </c>
      <c r="E452" t="n">
        <v>7</v>
      </c>
      <c r="F452" t="inlineStr">
        <is>
          <t>Pełny (7 dni)</t>
        </is>
      </c>
      <c r="G452" t="inlineStr">
        <is>
          <t>23.03</t>
        </is>
      </c>
      <c r="H452" t="inlineStr">
        <is>
          <t>29.03</t>
        </is>
      </c>
      <c r="I452" t="n">
        <v>272</v>
      </c>
      <c r="J452" t="n">
        <v>0.22581</v>
      </c>
    </row>
    <row r="453">
      <c r="A453" t="inlineStr">
        <is>
          <t>2027_Marzec_W6</t>
        </is>
      </c>
      <c r="B453" t="n">
        <v>2027</v>
      </c>
      <c r="C453" t="inlineStr">
        <is>
          <t>Marzec</t>
        </is>
      </c>
      <c r="D453" t="inlineStr">
        <is>
          <t>W6</t>
        </is>
      </c>
      <c r="E453" t="n">
        <v>2</v>
      </c>
      <c r="F453" t="inlineStr">
        <is>
          <t>Niepełny (2 dni)</t>
        </is>
      </c>
      <c r="G453" t="inlineStr">
        <is>
          <t>30.03</t>
        </is>
      </c>
      <c r="H453" t="inlineStr">
        <is>
          <t>31.03</t>
        </is>
      </c>
      <c r="I453" t="n">
        <v>80</v>
      </c>
      <c r="J453" t="n">
        <v>0.06451999999999999</v>
      </c>
    </row>
    <row r="454">
      <c r="A454" t="inlineStr">
        <is>
          <t>2027_Kwiecień_W1</t>
        </is>
      </c>
      <c r="B454" t="n">
        <v>2027</v>
      </c>
      <c r="C454" t="inlineStr">
        <is>
          <t>Kwiecień</t>
        </is>
      </c>
      <c r="D454" t="inlineStr">
        <is>
          <t>W1</t>
        </is>
      </c>
      <c r="E454" t="n">
        <v>5</v>
      </c>
      <c r="F454" t="inlineStr">
        <is>
          <t>Niepełny (5 dni)</t>
        </is>
      </c>
      <c r="G454" t="inlineStr">
        <is>
          <t>01.04</t>
        </is>
      </c>
      <c r="H454" t="inlineStr">
        <is>
          <t>05.04</t>
        </is>
      </c>
      <c r="I454" t="n">
        <v>192</v>
      </c>
      <c r="J454" t="n">
        <v>0.16667</v>
      </c>
    </row>
    <row r="455">
      <c r="A455" t="inlineStr">
        <is>
          <t>2027_Kwiecień_W2</t>
        </is>
      </c>
      <c r="B455" t="n">
        <v>2027</v>
      </c>
      <c r="C455" t="inlineStr">
        <is>
          <t>Kwiecień</t>
        </is>
      </c>
      <c r="D455" t="inlineStr">
        <is>
          <t>W2</t>
        </is>
      </c>
      <c r="E455" t="n">
        <v>7</v>
      </c>
      <c r="F455" t="inlineStr">
        <is>
          <t>Pełny (7 dni)</t>
        </is>
      </c>
      <c r="G455" t="inlineStr">
        <is>
          <t>06.04</t>
        </is>
      </c>
      <c r="H455" t="inlineStr">
        <is>
          <t>12.04</t>
        </is>
      </c>
      <c r="I455" t="n">
        <v>272</v>
      </c>
      <c r="J455" t="n">
        <v>0.23333</v>
      </c>
    </row>
    <row r="456">
      <c r="A456" t="inlineStr">
        <is>
          <t>2027_Kwiecień_W3</t>
        </is>
      </c>
      <c r="B456" t="n">
        <v>2027</v>
      </c>
      <c r="C456" t="inlineStr">
        <is>
          <t>Kwiecień</t>
        </is>
      </c>
      <c r="D456" t="inlineStr">
        <is>
          <t>W3</t>
        </is>
      </c>
      <c r="E456" t="n">
        <v>7</v>
      </c>
      <c r="F456" t="inlineStr">
        <is>
          <t>Pełny (7 dni)</t>
        </is>
      </c>
      <c r="G456" t="inlineStr">
        <is>
          <t>13.04</t>
        </is>
      </c>
      <c r="H456" t="inlineStr">
        <is>
          <t>19.04</t>
        </is>
      </c>
      <c r="I456" t="n">
        <v>272</v>
      </c>
      <c r="J456" t="n">
        <v>0.23333</v>
      </c>
    </row>
    <row r="457">
      <c r="A457" t="inlineStr">
        <is>
          <t>2027_Kwiecień_W4</t>
        </is>
      </c>
      <c r="B457" t="n">
        <v>2027</v>
      </c>
      <c r="C457" t="inlineStr">
        <is>
          <t>Kwiecień</t>
        </is>
      </c>
      <c r="D457" t="inlineStr">
        <is>
          <t>W4</t>
        </is>
      </c>
      <c r="E457" t="n">
        <v>7</v>
      </c>
      <c r="F457" t="inlineStr">
        <is>
          <t>Pełny (7 dni)</t>
        </is>
      </c>
      <c r="G457" t="inlineStr">
        <is>
          <t>20.04</t>
        </is>
      </c>
      <c r="H457" t="inlineStr">
        <is>
          <t>26.04</t>
        </is>
      </c>
      <c r="I457" t="n">
        <v>272</v>
      </c>
      <c r="J457" t="n">
        <v>0.23333</v>
      </c>
    </row>
    <row r="458">
      <c r="A458" t="inlineStr">
        <is>
          <t>2027_Kwiecień_W5</t>
        </is>
      </c>
      <c r="B458" t="n">
        <v>2027</v>
      </c>
      <c r="C458" t="inlineStr">
        <is>
          <t>Kwiecień</t>
        </is>
      </c>
      <c r="D458" t="inlineStr">
        <is>
          <t>W5</t>
        </is>
      </c>
      <c r="E458" t="n">
        <v>4</v>
      </c>
      <c r="F458" t="inlineStr">
        <is>
          <t>Niepełny (4 dni)</t>
        </is>
      </c>
      <c r="G458" t="inlineStr">
        <is>
          <t>27.04</t>
        </is>
      </c>
      <c r="H458" t="inlineStr">
        <is>
          <t>30.04</t>
        </is>
      </c>
      <c r="I458" t="n">
        <v>160</v>
      </c>
      <c r="J458" t="n">
        <v>0.13333</v>
      </c>
    </row>
    <row r="459">
      <c r="A459" t="inlineStr">
        <is>
          <t>2027_Kwiecień_W6</t>
        </is>
      </c>
      <c r="B459" t="n">
        <v>2027</v>
      </c>
      <c r="C459" t="inlineStr">
        <is>
          <t>Kwiecień</t>
        </is>
      </c>
      <c r="D459" t="inlineStr">
        <is>
          <t>W6</t>
        </is>
      </c>
      <c r="E459" t="n">
        <v>0</v>
      </c>
      <c r="F459" t="inlineStr">
        <is>
          <t>Brak w miesiącu</t>
        </is>
      </c>
      <c r="G459" t="inlineStr">
        <is>
          <t>-</t>
        </is>
      </c>
      <c r="H459" t="inlineStr">
        <is>
          <t>-</t>
        </is>
      </c>
      <c r="I459" t="n">
        <v>0</v>
      </c>
      <c r="J459" t="n">
        <v>0</v>
      </c>
    </row>
    <row r="460">
      <c r="A460" t="inlineStr">
        <is>
          <t>2027_Maj_W1</t>
        </is>
      </c>
      <c r="B460" t="n">
        <v>2027</v>
      </c>
      <c r="C460" t="inlineStr">
        <is>
          <t>Maj</t>
        </is>
      </c>
      <c r="D460" t="inlineStr">
        <is>
          <t>W1</t>
        </is>
      </c>
      <c r="E460" t="n">
        <v>3</v>
      </c>
      <c r="F460" t="inlineStr">
        <is>
          <t>Niepełny (3 dni)</t>
        </is>
      </c>
      <c r="G460" t="inlineStr">
        <is>
          <t>01.05</t>
        </is>
      </c>
      <c r="H460" t="inlineStr">
        <is>
          <t>03.05</t>
        </is>
      </c>
      <c r="I460" t="n">
        <v>112</v>
      </c>
      <c r="J460" t="n">
        <v>0.09676999999999999</v>
      </c>
    </row>
    <row r="461">
      <c r="A461" t="inlineStr">
        <is>
          <t>2027_Maj_W2</t>
        </is>
      </c>
      <c r="B461" t="n">
        <v>2027</v>
      </c>
      <c r="C461" t="inlineStr">
        <is>
          <t>Maj</t>
        </is>
      </c>
      <c r="D461" t="inlineStr">
        <is>
          <t>W2</t>
        </is>
      </c>
      <c r="E461" t="n">
        <v>7</v>
      </c>
      <c r="F461" t="inlineStr">
        <is>
          <t>Pełny (7 dni)</t>
        </is>
      </c>
      <c r="G461" t="inlineStr">
        <is>
          <t>04.05</t>
        </is>
      </c>
      <c r="H461" t="inlineStr">
        <is>
          <t>10.05</t>
        </is>
      </c>
      <c r="I461" t="n">
        <v>272</v>
      </c>
      <c r="J461" t="n">
        <v>0.22581</v>
      </c>
    </row>
    <row r="462">
      <c r="A462" t="inlineStr">
        <is>
          <t>2027_Maj_W3</t>
        </is>
      </c>
      <c r="B462" t="n">
        <v>2027</v>
      </c>
      <c r="C462" t="inlineStr">
        <is>
          <t>Maj</t>
        </is>
      </c>
      <c r="D462" t="inlineStr">
        <is>
          <t>W3</t>
        </is>
      </c>
      <c r="E462" t="n">
        <v>7</v>
      </c>
      <c r="F462" t="inlineStr">
        <is>
          <t>Pełny (7 dni)</t>
        </is>
      </c>
      <c r="G462" t="inlineStr">
        <is>
          <t>11.05</t>
        </is>
      </c>
      <c r="H462" t="inlineStr">
        <is>
          <t>17.05</t>
        </is>
      </c>
      <c r="I462" t="n">
        <v>272</v>
      </c>
      <c r="J462" t="n">
        <v>0.22581</v>
      </c>
    </row>
    <row r="463">
      <c r="A463" t="inlineStr">
        <is>
          <t>2027_Maj_W4</t>
        </is>
      </c>
      <c r="B463" t="n">
        <v>2027</v>
      </c>
      <c r="C463" t="inlineStr">
        <is>
          <t>Maj</t>
        </is>
      </c>
      <c r="D463" t="inlineStr">
        <is>
          <t>W4</t>
        </is>
      </c>
      <c r="E463" t="n">
        <v>7</v>
      </c>
      <c r="F463" t="inlineStr">
        <is>
          <t>Pełny (7 dni)</t>
        </is>
      </c>
      <c r="G463" t="inlineStr">
        <is>
          <t>18.05</t>
        </is>
      </c>
      <c r="H463" t="inlineStr">
        <is>
          <t>24.05</t>
        </is>
      </c>
      <c r="I463" t="n">
        <v>272</v>
      </c>
      <c r="J463" t="n">
        <v>0.22581</v>
      </c>
    </row>
    <row r="464">
      <c r="A464" t="inlineStr">
        <is>
          <t>2027_Maj_W5</t>
        </is>
      </c>
      <c r="B464" t="n">
        <v>2027</v>
      </c>
      <c r="C464" t="inlineStr">
        <is>
          <t>Maj</t>
        </is>
      </c>
      <c r="D464" t="inlineStr">
        <is>
          <t>W5</t>
        </is>
      </c>
      <c r="E464" t="n">
        <v>7</v>
      </c>
      <c r="F464" t="inlineStr">
        <is>
          <t>Pełny (7 dni)</t>
        </is>
      </c>
      <c r="G464" t="inlineStr">
        <is>
          <t>25.05</t>
        </is>
      </c>
      <c r="H464" t="inlineStr">
        <is>
          <t>31.05</t>
        </is>
      </c>
      <c r="I464" t="n">
        <v>272</v>
      </c>
      <c r="J464" t="n">
        <v>0.22581</v>
      </c>
    </row>
    <row r="465">
      <c r="A465" t="inlineStr">
        <is>
          <t>2027_Maj_W6</t>
        </is>
      </c>
      <c r="B465" t="n">
        <v>2027</v>
      </c>
      <c r="C465" t="inlineStr">
        <is>
          <t>Maj</t>
        </is>
      </c>
      <c r="D465" t="inlineStr">
        <is>
          <t>W6</t>
        </is>
      </c>
      <c r="E465" t="n">
        <v>0</v>
      </c>
      <c r="F465" t="inlineStr">
        <is>
          <t>Brak w miesiącu</t>
        </is>
      </c>
      <c r="G465" t="inlineStr">
        <is>
          <t>-</t>
        </is>
      </c>
      <c r="H465" t="inlineStr">
        <is>
          <t>-</t>
        </is>
      </c>
      <c r="I465" t="n">
        <v>0</v>
      </c>
      <c r="J465" t="n">
        <v>0</v>
      </c>
    </row>
    <row r="466">
      <c r="A466" t="inlineStr">
        <is>
          <t>2027_Czerwiec_W1</t>
        </is>
      </c>
      <c r="B466" t="n">
        <v>2027</v>
      </c>
      <c r="C466" t="inlineStr">
        <is>
          <t>Czerwiec</t>
        </is>
      </c>
      <c r="D466" t="inlineStr">
        <is>
          <t>W1</t>
        </is>
      </c>
      <c r="E466" t="n">
        <v>7</v>
      </c>
      <c r="F466" t="inlineStr">
        <is>
          <t>Pełny (7 dni)</t>
        </is>
      </c>
      <c r="G466" t="inlineStr">
        <is>
          <t>01.06</t>
        </is>
      </c>
      <c r="H466" t="inlineStr">
        <is>
          <t>07.06</t>
        </is>
      </c>
      <c r="I466" t="n">
        <v>272</v>
      </c>
      <c r="J466" t="n">
        <v>0.23333</v>
      </c>
    </row>
    <row r="467">
      <c r="A467" t="inlineStr">
        <is>
          <t>2027_Czerwiec_W2</t>
        </is>
      </c>
      <c r="B467" t="n">
        <v>2027</v>
      </c>
      <c r="C467" t="inlineStr">
        <is>
          <t>Czerwiec</t>
        </is>
      </c>
      <c r="D467" t="inlineStr">
        <is>
          <t>W2</t>
        </is>
      </c>
      <c r="E467" t="n">
        <v>7</v>
      </c>
      <c r="F467" t="inlineStr">
        <is>
          <t>Pełny (7 dni)</t>
        </is>
      </c>
      <c r="G467" t="inlineStr">
        <is>
          <t>08.06</t>
        </is>
      </c>
      <c r="H467" t="inlineStr">
        <is>
          <t>14.06</t>
        </is>
      </c>
      <c r="I467" t="n">
        <v>272</v>
      </c>
      <c r="J467" t="n">
        <v>0.23333</v>
      </c>
    </row>
    <row r="468">
      <c r="A468" t="inlineStr">
        <is>
          <t>2027_Czerwiec_W3</t>
        </is>
      </c>
      <c r="B468" t="n">
        <v>2027</v>
      </c>
      <c r="C468" t="inlineStr">
        <is>
          <t>Czerwiec</t>
        </is>
      </c>
      <c r="D468" t="inlineStr">
        <is>
          <t>W3</t>
        </is>
      </c>
      <c r="E468" t="n">
        <v>7</v>
      </c>
      <c r="F468" t="inlineStr">
        <is>
          <t>Pełny (7 dni)</t>
        </is>
      </c>
      <c r="G468" t="inlineStr">
        <is>
          <t>15.06</t>
        </is>
      </c>
      <c r="H468" t="inlineStr">
        <is>
          <t>21.06</t>
        </is>
      </c>
      <c r="I468" t="n">
        <v>272</v>
      </c>
      <c r="J468" t="n">
        <v>0.23333</v>
      </c>
    </row>
    <row r="469">
      <c r="A469" t="inlineStr">
        <is>
          <t>2027_Czerwiec_W4</t>
        </is>
      </c>
      <c r="B469" t="n">
        <v>2027</v>
      </c>
      <c r="C469" t="inlineStr">
        <is>
          <t>Czerwiec</t>
        </is>
      </c>
      <c r="D469" t="inlineStr">
        <is>
          <t>W4</t>
        </is>
      </c>
      <c r="E469" t="n">
        <v>7</v>
      </c>
      <c r="F469" t="inlineStr">
        <is>
          <t>Pełny (7 dni)</t>
        </is>
      </c>
      <c r="G469" t="inlineStr">
        <is>
          <t>22.06</t>
        </is>
      </c>
      <c r="H469" t="inlineStr">
        <is>
          <t>28.06</t>
        </is>
      </c>
      <c r="I469" t="n">
        <v>272</v>
      </c>
      <c r="J469" t="n">
        <v>0.23333</v>
      </c>
    </row>
    <row r="470">
      <c r="A470" t="inlineStr">
        <is>
          <t>2027_Czerwiec_W5</t>
        </is>
      </c>
      <c r="B470" t="n">
        <v>2027</v>
      </c>
      <c r="C470" t="inlineStr">
        <is>
          <t>Czerwiec</t>
        </is>
      </c>
      <c r="D470" t="inlineStr">
        <is>
          <t>W5</t>
        </is>
      </c>
      <c r="E470" t="n">
        <v>2</v>
      </c>
      <c r="F470" t="inlineStr">
        <is>
          <t>Niepełny (2 dni)</t>
        </is>
      </c>
      <c r="G470" t="inlineStr">
        <is>
          <t>29.06</t>
        </is>
      </c>
      <c r="H470" t="inlineStr">
        <is>
          <t>30.06</t>
        </is>
      </c>
      <c r="I470" t="n">
        <v>80</v>
      </c>
      <c r="J470" t="n">
        <v>0.06666999999999999</v>
      </c>
    </row>
    <row r="471">
      <c r="A471" t="inlineStr">
        <is>
          <t>2027_Czerwiec_W6</t>
        </is>
      </c>
      <c r="B471" t="n">
        <v>2027</v>
      </c>
      <c r="C471" t="inlineStr">
        <is>
          <t>Czerwiec</t>
        </is>
      </c>
      <c r="D471" t="inlineStr">
        <is>
          <t>W6</t>
        </is>
      </c>
      <c r="E471" t="n">
        <v>0</v>
      </c>
      <c r="F471" t="inlineStr">
        <is>
          <t>Brak w miesiącu</t>
        </is>
      </c>
      <c r="G471" t="inlineStr">
        <is>
          <t>-</t>
        </is>
      </c>
      <c r="H471" t="inlineStr">
        <is>
          <t>-</t>
        </is>
      </c>
      <c r="I471" t="n">
        <v>0</v>
      </c>
      <c r="J471" t="n">
        <v>0</v>
      </c>
    </row>
    <row r="472">
      <c r="A472" t="inlineStr">
        <is>
          <t>2027_Lipiec_W1</t>
        </is>
      </c>
      <c r="B472" t="n">
        <v>2027</v>
      </c>
      <c r="C472" t="inlineStr">
        <is>
          <t>Lipiec</t>
        </is>
      </c>
      <c r="D472" t="inlineStr">
        <is>
          <t>W1</t>
        </is>
      </c>
      <c r="E472" t="n">
        <v>5</v>
      </c>
      <c r="F472" t="inlineStr">
        <is>
          <t>Niepełny (5 dni)</t>
        </is>
      </c>
      <c r="G472" t="inlineStr">
        <is>
          <t>01.07</t>
        </is>
      </c>
      <c r="H472" t="inlineStr">
        <is>
          <t>05.07</t>
        </is>
      </c>
      <c r="I472" t="n">
        <v>192</v>
      </c>
      <c r="J472" t="n">
        <v>0.16129</v>
      </c>
    </row>
    <row r="473">
      <c r="A473" t="inlineStr">
        <is>
          <t>2027_Lipiec_W2</t>
        </is>
      </c>
      <c r="B473" t="n">
        <v>2027</v>
      </c>
      <c r="C473" t="inlineStr">
        <is>
          <t>Lipiec</t>
        </is>
      </c>
      <c r="D473" t="inlineStr">
        <is>
          <t>W2</t>
        </is>
      </c>
      <c r="E473" t="n">
        <v>7</v>
      </c>
      <c r="F473" t="inlineStr">
        <is>
          <t>Pełny (7 dni)</t>
        </is>
      </c>
      <c r="G473" t="inlineStr">
        <is>
          <t>06.07</t>
        </is>
      </c>
      <c r="H473" t="inlineStr">
        <is>
          <t>12.07</t>
        </is>
      </c>
      <c r="I473" t="n">
        <v>272</v>
      </c>
      <c r="J473" t="n">
        <v>0.22581</v>
      </c>
    </row>
    <row r="474">
      <c r="A474" t="inlineStr">
        <is>
          <t>2027_Lipiec_W3</t>
        </is>
      </c>
      <c r="B474" t="n">
        <v>2027</v>
      </c>
      <c r="C474" t="inlineStr">
        <is>
          <t>Lipiec</t>
        </is>
      </c>
      <c r="D474" t="inlineStr">
        <is>
          <t>W3</t>
        </is>
      </c>
      <c r="E474" t="n">
        <v>7</v>
      </c>
      <c r="F474" t="inlineStr">
        <is>
          <t>Pełny (7 dni)</t>
        </is>
      </c>
      <c r="G474" t="inlineStr">
        <is>
          <t>13.07</t>
        </is>
      </c>
      <c r="H474" t="inlineStr">
        <is>
          <t>19.07</t>
        </is>
      </c>
      <c r="I474" t="n">
        <v>272</v>
      </c>
      <c r="J474" t="n">
        <v>0.22581</v>
      </c>
    </row>
    <row r="475">
      <c r="A475" t="inlineStr">
        <is>
          <t>2027_Lipiec_W4</t>
        </is>
      </c>
      <c r="B475" t="n">
        <v>2027</v>
      </c>
      <c r="C475" t="inlineStr">
        <is>
          <t>Lipiec</t>
        </is>
      </c>
      <c r="D475" t="inlineStr">
        <is>
          <t>W4</t>
        </is>
      </c>
      <c r="E475" t="n">
        <v>7</v>
      </c>
      <c r="F475" t="inlineStr">
        <is>
          <t>Pełny (7 dni)</t>
        </is>
      </c>
      <c r="G475" t="inlineStr">
        <is>
          <t>20.07</t>
        </is>
      </c>
      <c r="H475" t="inlineStr">
        <is>
          <t>26.07</t>
        </is>
      </c>
      <c r="I475" t="n">
        <v>272</v>
      </c>
      <c r="J475" t="n">
        <v>0.22581</v>
      </c>
    </row>
    <row r="476">
      <c r="A476" t="inlineStr">
        <is>
          <t>2027_Lipiec_W5</t>
        </is>
      </c>
      <c r="B476" t="n">
        <v>2027</v>
      </c>
      <c r="C476" t="inlineStr">
        <is>
          <t>Lipiec</t>
        </is>
      </c>
      <c r="D476" t="inlineStr">
        <is>
          <t>W5</t>
        </is>
      </c>
      <c r="E476" t="n">
        <v>5</v>
      </c>
      <c r="F476" t="inlineStr">
        <is>
          <t>Niepełny (5 dni)</t>
        </is>
      </c>
      <c r="G476" t="inlineStr">
        <is>
          <t>27.07</t>
        </is>
      </c>
      <c r="H476" t="inlineStr">
        <is>
          <t>31.07</t>
        </is>
      </c>
      <c r="I476" t="n">
        <v>200</v>
      </c>
      <c r="J476" t="n">
        <v>0.16129</v>
      </c>
    </row>
    <row r="477">
      <c r="A477" t="inlineStr">
        <is>
          <t>2027_Lipiec_W6</t>
        </is>
      </c>
      <c r="B477" t="n">
        <v>2027</v>
      </c>
      <c r="C477" t="inlineStr">
        <is>
          <t>Lipiec</t>
        </is>
      </c>
      <c r="D477" t="inlineStr">
        <is>
          <t>W6</t>
        </is>
      </c>
      <c r="E477" t="n">
        <v>0</v>
      </c>
      <c r="F477" t="inlineStr">
        <is>
          <t>Brak w miesiącu</t>
        </is>
      </c>
      <c r="G477" t="inlineStr">
        <is>
          <t>-</t>
        </is>
      </c>
      <c r="H477" t="inlineStr">
        <is>
          <t>-</t>
        </is>
      </c>
      <c r="I477" t="n">
        <v>0</v>
      </c>
      <c r="J477" t="n">
        <v>0</v>
      </c>
    </row>
    <row r="478">
      <c r="A478" t="inlineStr">
        <is>
          <t>2027_Sierpień_W1</t>
        </is>
      </c>
      <c r="B478" t="n">
        <v>2027</v>
      </c>
      <c r="C478" t="inlineStr">
        <is>
          <t>Sierpień</t>
        </is>
      </c>
      <c r="D478" t="inlineStr">
        <is>
          <t>W1</t>
        </is>
      </c>
      <c r="E478" t="n">
        <v>2</v>
      </c>
      <c r="F478" t="inlineStr">
        <is>
          <t>Niepełny (2 dni)</t>
        </is>
      </c>
      <c r="G478" t="inlineStr">
        <is>
          <t>01.08</t>
        </is>
      </c>
      <c r="H478" t="inlineStr">
        <is>
          <t>02.08</t>
        </is>
      </c>
      <c r="I478" t="n">
        <v>72</v>
      </c>
      <c r="J478" t="n">
        <v>0.06451999999999999</v>
      </c>
    </row>
    <row r="479">
      <c r="A479" t="inlineStr">
        <is>
          <t>2027_Sierpień_W2</t>
        </is>
      </c>
      <c r="B479" t="n">
        <v>2027</v>
      </c>
      <c r="C479" t="inlineStr">
        <is>
          <t>Sierpień</t>
        </is>
      </c>
      <c r="D479" t="inlineStr">
        <is>
          <t>W2</t>
        </is>
      </c>
      <c r="E479" t="n">
        <v>7</v>
      </c>
      <c r="F479" t="inlineStr">
        <is>
          <t>Pełny (7 dni)</t>
        </is>
      </c>
      <c r="G479" t="inlineStr">
        <is>
          <t>03.08</t>
        </is>
      </c>
      <c r="H479" t="inlineStr">
        <is>
          <t>09.08</t>
        </is>
      </c>
      <c r="I479" t="n">
        <v>272</v>
      </c>
      <c r="J479" t="n">
        <v>0.22581</v>
      </c>
    </row>
    <row r="480">
      <c r="A480" t="inlineStr">
        <is>
          <t>2027_Sierpień_W3</t>
        </is>
      </c>
      <c r="B480" t="n">
        <v>2027</v>
      </c>
      <c r="C480" t="inlineStr">
        <is>
          <t>Sierpień</t>
        </is>
      </c>
      <c r="D480" t="inlineStr">
        <is>
          <t>W3</t>
        </is>
      </c>
      <c r="E480" t="n">
        <v>7</v>
      </c>
      <c r="F480" t="inlineStr">
        <is>
          <t>Pełny (7 dni)</t>
        </is>
      </c>
      <c r="G480" t="inlineStr">
        <is>
          <t>10.08</t>
        </is>
      </c>
      <c r="H480" t="inlineStr">
        <is>
          <t>16.08</t>
        </is>
      </c>
      <c r="I480" t="n">
        <v>272</v>
      </c>
      <c r="J480" t="n">
        <v>0.22581</v>
      </c>
    </row>
    <row r="481">
      <c r="A481" t="inlineStr">
        <is>
          <t>2027_Sierpień_W4</t>
        </is>
      </c>
      <c r="B481" t="n">
        <v>2027</v>
      </c>
      <c r="C481" t="inlineStr">
        <is>
          <t>Sierpień</t>
        </is>
      </c>
      <c r="D481" t="inlineStr">
        <is>
          <t>W4</t>
        </is>
      </c>
      <c r="E481" t="n">
        <v>7</v>
      </c>
      <c r="F481" t="inlineStr">
        <is>
          <t>Pełny (7 dni)</t>
        </is>
      </c>
      <c r="G481" t="inlineStr">
        <is>
          <t>17.08</t>
        </is>
      </c>
      <c r="H481" t="inlineStr">
        <is>
          <t>23.08</t>
        </is>
      </c>
      <c r="I481" t="n">
        <v>272</v>
      </c>
      <c r="J481" t="n">
        <v>0.22581</v>
      </c>
    </row>
    <row r="482">
      <c r="A482" t="inlineStr">
        <is>
          <t>2027_Sierpień_W5</t>
        </is>
      </c>
      <c r="B482" t="n">
        <v>2027</v>
      </c>
      <c r="C482" t="inlineStr">
        <is>
          <t>Sierpień</t>
        </is>
      </c>
      <c r="D482" t="inlineStr">
        <is>
          <t>W5</t>
        </is>
      </c>
      <c r="E482" t="n">
        <v>7</v>
      </c>
      <c r="F482" t="inlineStr">
        <is>
          <t>Pełny (7 dni)</t>
        </is>
      </c>
      <c r="G482" t="inlineStr">
        <is>
          <t>24.08</t>
        </is>
      </c>
      <c r="H482" t="inlineStr">
        <is>
          <t>30.08</t>
        </is>
      </c>
      <c r="I482" t="n">
        <v>272</v>
      </c>
      <c r="J482" t="n">
        <v>0.22581</v>
      </c>
    </row>
    <row r="483">
      <c r="A483" t="inlineStr">
        <is>
          <t>2027_Sierpień_W6</t>
        </is>
      </c>
      <c r="B483" t="n">
        <v>2027</v>
      </c>
      <c r="C483" t="inlineStr">
        <is>
          <t>Sierpień</t>
        </is>
      </c>
      <c r="D483" t="inlineStr">
        <is>
          <t>W6</t>
        </is>
      </c>
      <c r="E483" t="n">
        <v>1</v>
      </c>
      <c r="F483" t="inlineStr">
        <is>
          <t>Niepełny (1 dni)</t>
        </is>
      </c>
      <c r="G483" t="inlineStr">
        <is>
          <t>31.08</t>
        </is>
      </c>
      <c r="H483" t="inlineStr">
        <is>
          <t>31.08</t>
        </is>
      </c>
      <c r="I483" t="n">
        <v>40</v>
      </c>
      <c r="J483" t="n">
        <v>0.03226</v>
      </c>
    </row>
    <row r="484">
      <c r="A484" t="inlineStr">
        <is>
          <t>2027_Wrzesień_W1</t>
        </is>
      </c>
      <c r="B484" t="n">
        <v>2027</v>
      </c>
      <c r="C484" t="inlineStr">
        <is>
          <t>Wrzesień</t>
        </is>
      </c>
      <c r="D484" t="inlineStr">
        <is>
          <t>W1</t>
        </is>
      </c>
      <c r="E484" t="n">
        <v>6</v>
      </c>
      <c r="F484" t="inlineStr">
        <is>
          <t>Niepełny (6 dni)</t>
        </is>
      </c>
      <c r="G484" t="inlineStr">
        <is>
          <t>01.09</t>
        </is>
      </c>
      <c r="H484" t="inlineStr">
        <is>
          <t>06.09</t>
        </is>
      </c>
      <c r="I484" t="n">
        <v>232</v>
      </c>
      <c r="J484" t="n">
        <v>0.2</v>
      </c>
    </row>
    <row r="485">
      <c r="A485" t="inlineStr">
        <is>
          <t>2027_Wrzesień_W2</t>
        </is>
      </c>
      <c r="B485" t="n">
        <v>2027</v>
      </c>
      <c r="C485" t="inlineStr">
        <is>
          <t>Wrzesień</t>
        </is>
      </c>
      <c r="D485" t="inlineStr">
        <is>
          <t>W2</t>
        </is>
      </c>
      <c r="E485" t="n">
        <v>7</v>
      </c>
      <c r="F485" t="inlineStr">
        <is>
          <t>Pełny (7 dni)</t>
        </is>
      </c>
      <c r="G485" t="inlineStr">
        <is>
          <t>07.09</t>
        </is>
      </c>
      <c r="H485" t="inlineStr">
        <is>
          <t>13.09</t>
        </is>
      </c>
      <c r="I485" t="n">
        <v>272</v>
      </c>
      <c r="J485" t="n">
        <v>0.23333</v>
      </c>
    </row>
    <row r="486">
      <c r="A486" t="inlineStr">
        <is>
          <t>2027_Wrzesień_W3</t>
        </is>
      </c>
      <c r="B486" t="n">
        <v>2027</v>
      </c>
      <c r="C486" t="inlineStr">
        <is>
          <t>Wrzesień</t>
        </is>
      </c>
      <c r="D486" t="inlineStr">
        <is>
          <t>W3</t>
        </is>
      </c>
      <c r="E486" t="n">
        <v>7</v>
      </c>
      <c r="F486" t="inlineStr">
        <is>
          <t>Pełny (7 dni)</t>
        </is>
      </c>
      <c r="G486" t="inlineStr">
        <is>
          <t>14.09</t>
        </is>
      </c>
      <c r="H486" t="inlineStr">
        <is>
          <t>20.09</t>
        </is>
      </c>
      <c r="I486" t="n">
        <v>272</v>
      </c>
      <c r="J486" t="n">
        <v>0.23333</v>
      </c>
    </row>
    <row r="487">
      <c r="A487" t="inlineStr">
        <is>
          <t>2027_Wrzesień_W4</t>
        </is>
      </c>
      <c r="B487" t="n">
        <v>2027</v>
      </c>
      <c r="C487" t="inlineStr">
        <is>
          <t>Wrzesień</t>
        </is>
      </c>
      <c r="D487" t="inlineStr">
        <is>
          <t>W4</t>
        </is>
      </c>
      <c r="E487" t="n">
        <v>7</v>
      </c>
      <c r="F487" t="inlineStr">
        <is>
          <t>Pełny (7 dni)</t>
        </is>
      </c>
      <c r="G487" t="inlineStr">
        <is>
          <t>21.09</t>
        </is>
      </c>
      <c r="H487" t="inlineStr">
        <is>
          <t>27.09</t>
        </is>
      </c>
      <c r="I487" t="n">
        <v>272</v>
      </c>
      <c r="J487" t="n">
        <v>0.23333</v>
      </c>
    </row>
    <row r="488">
      <c r="A488" t="inlineStr">
        <is>
          <t>2027_Wrzesień_W5</t>
        </is>
      </c>
      <c r="B488" t="n">
        <v>2027</v>
      </c>
      <c r="C488" t="inlineStr">
        <is>
          <t>Wrzesień</t>
        </is>
      </c>
      <c r="D488" t="inlineStr">
        <is>
          <t>W5</t>
        </is>
      </c>
      <c r="E488" t="n">
        <v>3</v>
      </c>
      <c r="F488" t="inlineStr">
        <is>
          <t>Niepełny (3 dni)</t>
        </is>
      </c>
      <c r="G488" t="inlineStr">
        <is>
          <t>28.09</t>
        </is>
      </c>
      <c r="H488" t="inlineStr">
        <is>
          <t>30.09</t>
        </is>
      </c>
      <c r="I488" t="n">
        <v>120</v>
      </c>
      <c r="J488" t="n">
        <v>0.1</v>
      </c>
    </row>
    <row r="489">
      <c r="A489" t="inlineStr">
        <is>
          <t>2027_Wrzesień_W6</t>
        </is>
      </c>
      <c r="B489" t="n">
        <v>2027</v>
      </c>
      <c r="C489" t="inlineStr">
        <is>
          <t>Wrzesień</t>
        </is>
      </c>
      <c r="D489" t="inlineStr">
        <is>
          <t>W6</t>
        </is>
      </c>
      <c r="E489" t="n">
        <v>0</v>
      </c>
      <c r="F489" t="inlineStr">
        <is>
          <t>Brak w miesiącu</t>
        </is>
      </c>
      <c r="G489" t="inlineStr">
        <is>
          <t>-</t>
        </is>
      </c>
      <c r="H489" t="inlineStr">
        <is>
          <t>-</t>
        </is>
      </c>
      <c r="I489" t="n">
        <v>0</v>
      </c>
      <c r="J489" t="n">
        <v>0</v>
      </c>
    </row>
    <row r="490">
      <c r="A490" t="inlineStr">
        <is>
          <t>2027_Październik_W1</t>
        </is>
      </c>
      <c r="B490" t="n">
        <v>2027</v>
      </c>
      <c r="C490" t="inlineStr">
        <is>
          <t>Październik</t>
        </is>
      </c>
      <c r="D490" t="inlineStr">
        <is>
          <t>W1</t>
        </is>
      </c>
      <c r="E490" t="n">
        <v>4</v>
      </c>
      <c r="F490" t="inlineStr">
        <is>
          <t>Niepełny (4 dni)</t>
        </is>
      </c>
      <c r="G490" t="inlineStr">
        <is>
          <t>01.10</t>
        </is>
      </c>
      <c r="H490" t="inlineStr">
        <is>
          <t>04.10</t>
        </is>
      </c>
      <c r="I490" t="n">
        <v>152</v>
      </c>
      <c r="J490" t="n">
        <v>0.12903</v>
      </c>
    </row>
    <row r="491">
      <c r="A491" t="inlineStr">
        <is>
          <t>2027_Październik_W2</t>
        </is>
      </c>
      <c r="B491" t="n">
        <v>2027</v>
      </c>
      <c r="C491" t="inlineStr">
        <is>
          <t>Październik</t>
        </is>
      </c>
      <c r="D491" t="inlineStr">
        <is>
          <t>W2</t>
        </is>
      </c>
      <c r="E491" t="n">
        <v>7</v>
      </c>
      <c r="F491" t="inlineStr">
        <is>
          <t>Pełny (7 dni)</t>
        </is>
      </c>
      <c r="G491" t="inlineStr">
        <is>
          <t>05.10</t>
        </is>
      </c>
      <c r="H491" t="inlineStr">
        <is>
          <t>11.10</t>
        </is>
      </c>
      <c r="I491" t="n">
        <v>272</v>
      </c>
      <c r="J491" t="n">
        <v>0.22581</v>
      </c>
    </row>
    <row r="492">
      <c r="A492" t="inlineStr">
        <is>
          <t>2027_Październik_W3</t>
        </is>
      </c>
      <c r="B492" t="n">
        <v>2027</v>
      </c>
      <c r="C492" t="inlineStr">
        <is>
          <t>Październik</t>
        </is>
      </c>
      <c r="D492" t="inlineStr">
        <is>
          <t>W3</t>
        </is>
      </c>
      <c r="E492" t="n">
        <v>7</v>
      </c>
      <c r="F492" t="inlineStr">
        <is>
          <t>Pełny (7 dni)</t>
        </is>
      </c>
      <c r="G492" t="inlineStr">
        <is>
          <t>12.10</t>
        </is>
      </c>
      <c r="H492" t="inlineStr">
        <is>
          <t>18.10</t>
        </is>
      </c>
      <c r="I492" t="n">
        <v>272</v>
      </c>
      <c r="J492" t="n">
        <v>0.22581</v>
      </c>
    </row>
    <row r="493">
      <c r="A493" t="inlineStr">
        <is>
          <t>2027_Październik_W4</t>
        </is>
      </c>
      <c r="B493" t="n">
        <v>2027</v>
      </c>
      <c r="C493" t="inlineStr">
        <is>
          <t>Październik</t>
        </is>
      </c>
      <c r="D493" t="inlineStr">
        <is>
          <t>W4</t>
        </is>
      </c>
      <c r="E493" t="n">
        <v>7</v>
      </c>
      <c r="F493" t="inlineStr">
        <is>
          <t>Pełny (7 dni)</t>
        </is>
      </c>
      <c r="G493" t="inlineStr">
        <is>
          <t>19.10</t>
        </is>
      </c>
      <c r="H493" t="inlineStr">
        <is>
          <t>25.10</t>
        </is>
      </c>
      <c r="I493" t="n">
        <v>272</v>
      </c>
      <c r="J493" t="n">
        <v>0.22581</v>
      </c>
    </row>
    <row r="494">
      <c r="A494" t="inlineStr">
        <is>
          <t>2027_Październik_W5</t>
        </is>
      </c>
      <c r="B494" t="n">
        <v>2027</v>
      </c>
      <c r="C494" t="inlineStr">
        <is>
          <t>Październik</t>
        </is>
      </c>
      <c r="D494" t="inlineStr">
        <is>
          <t>W5</t>
        </is>
      </c>
      <c r="E494" t="n">
        <v>6</v>
      </c>
      <c r="F494" t="inlineStr">
        <is>
          <t>Niepełny (6 dni)</t>
        </is>
      </c>
      <c r="G494" t="inlineStr">
        <is>
          <t>26.10</t>
        </is>
      </c>
      <c r="H494" t="inlineStr">
        <is>
          <t>31.10</t>
        </is>
      </c>
      <c r="I494" t="n">
        <v>232</v>
      </c>
      <c r="J494" t="n">
        <v>0.19355</v>
      </c>
    </row>
    <row r="495">
      <c r="A495" t="inlineStr">
        <is>
          <t>2027_Październik_W6</t>
        </is>
      </c>
      <c r="B495" t="n">
        <v>2027</v>
      </c>
      <c r="C495" t="inlineStr">
        <is>
          <t>Październik</t>
        </is>
      </c>
      <c r="D495" t="inlineStr">
        <is>
          <t>W6</t>
        </is>
      </c>
      <c r="E495" t="n">
        <v>0</v>
      </c>
      <c r="F495" t="inlineStr">
        <is>
          <t>Brak w miesiącu</t>
        </is>
      </c>
      <c r="G495" t="inlineStr">
        <is>
          <t>-</t>
        </is>
      </c>
      <c r="H495" t="inlineStr">
        <is>
          <t>-</t>
        </is>
      </c>
      <c r="I495" t="n">
        <v>0</v>
      </c>
      <c r="J495" t="n">
        <v>0</v>
      </c>
    </row>
    <row r="496">
      <c r="A496" t="inlineStr">
        <is>
          <t>2027_Listopad_W1</t>
        </is>
      </c>
      <c r="B496" t="n">
        <v>2027</v>
      </c>
      <c r="C496" t="inlineStr">
        <is>
          <t>Listopad</t>
        </is>
      </c>
      <c r="D496" t="inlineStr">
        <is>
          <t>W1</t>
        </is>
      </c>
      <c r="E496" t="n">
        <v>1</v>
      </c>
      <c r="F496" t="inlineStr">
        <is>
          <t>Niepełny (1 dni)</t>
        </is>
      </c>
      <c r="G496" t="inlineStr">
        <is>
          <t>01.11</t>
        </is>
      </c>
      <c r="H496" t="inlineStr">
        <is>
          <t>01.11</t>
        </is>
      </c>
      <c r="I496" t="n">
        <v>40</v>
      </c>
      <c r="J496" t="n">
        <v>0.03333</v>
      </c>
    </row>
    <row r="497">
      <c r="A497" t="inlineStr">
        <is>
          <t>2027_Listopad_W2</t>
        </is>
      </c>
      <c r="B497" t="n">
        <v>2027</v>
      </c>
      <c r="C497" t="inlineStr">
        <is>
          <t>Listopad</t>
        </is>
      </c>
      <c r="D497" t="inlineStr">
        <is>
          <t>W2</t>
        </is>
      </c>
      <c r="E497" t="n">
        <v>7</v>
      </c>
      <c r="F497" t="inlineStr">
        <is>
          <t>Pełny (7 dni)</t>
        </is>
      </c>
      <c r="G497" t="inlineStr">
        <is>
          <t>02.11</t>
        </is>
      </c>
      <c r="H497" t="inlineStr">
        <is>
          <t>08.11</t>
        </is>
      </c>
      <c r="I497" t="n">
        <v>272</v>
      </c>
      <c r="J497" t="n">
        <v>0.23333</v>
      </c>
    </row>
    <row r="498">
      <c r="A498" t="inlineStr">
        <is>
          <t>2027_Listopad_W3</t>
        </is>
      </c>
      <c r="B498" t="n">
        <v>2027</v>
      </c>
      <c r="C498" t="inlineStr">
        <is>
          <t>Listopad</t>
        </is>
      </c>
      <c r="D498" t="inlineStr">
        <is>
          <t>W3</t>
        </is>
      </c>
      <c r="E498" t="n">
        <v>7</v>
      </c>
      <c r="F498" t="inlineStr">
        <is>
          <t>Pełny (7 dni)</t>
        </is>
      </c>
      <c r="G498" t="inlineStr">
        <is>
          <t>09.11</t>
        </is>
      </c>
      <c r="H498" t="inlineStr">
        <is>
          <t>15.11</t>
        </is>
      </c>
      <c r="I498" t="n">
        <v>272</v>
      </c>
      <c r="J498" t="n">
        <v>0.23333</v>
      </c>
    </row>
    <row r="499">
      <c r="A499" t="inlineStr">
        <is>
          <t>2027_Listopad_W4</t>
        </is>
      </c>
      <c r="B499" t="n">
        <v>2027</v>
      </c>
      <c r="C499" t="inlineStr">
        <is>
          <t>Listopad</t>
        </is>
      </c>
      <c r="D499" t="inlineStr">
        <is>
          <t>W4</t>
        </is>
      </c>
      <c r="E499" t="n">
        <v>7</v>
      </c>
      <c r="F499" t="inlineStr">
        <is>
          <t>Pełny (7 dni)</t>
        </is>
      </c>
      <c r="G499" t="inlineStr">
        <is>
          <t>16.11</t>
        </is>
      </c>
      <c r="H499" t="inlineStr">
        <is>
          <t>22.11</t>
        </is>
      </c>
      <c r="I499" t="n">
        <v>272</v>
      </c>
      <c r="J499" t="n">
        <v>0.23333</v>
      </c>
    </row>
    <row r="500">
      <c r="A500" t="inlineStr">
        <is>
          <t>2027_Listopad_W5</t>
        </is>
      </c>
      <c r="B500" t="n">
        <v>2027</v>
      </c>
      <c r="C500" t="inlineStr">
        <is>
          <t>Listopad</t>
        </is>
      </c>
      <c r="D500" t="inlineStr">
        <is>
          <t>W5</t>
        </is>
      </c>
      <c r="E500" t="n">
        <v>7</v>
      </c>
      <c r="F500" t="inlineStr">
        <is>
          <t>Pełny (7 dni)</t>
        </is>
      </c>
      <c r="G500" t="inlineStr">
        <is>
          <t>23.11</t>
        </is>
      </c>
      <c r="H500" t="inlineStr">
        <is>
          <t>29.11</t>
        </is>
      </c>
      <c r="I500" t="n">
        <v>272</v>
      </c>
      <c r="J500" t="n">
        <v>0.23333</v>
      </c>
    </row>
    <row r="501">
      <c r="A501" t="inlineStr">
        <is>
          <t>2027_Listopad_W6</t>
        </is>
      </c>
      <c r="B501" t="n">
        <v>2027</v>
      </c>
      <c r="C501" t="inlineStr">
        <is>
          <t>Listopad</t>
        </is>
      </c>
      <c r="D501" t="inlineStr">
        <is>
          <t>W6</t>
        </is>
      </c>
      <c r="E501" t="n">
        <v>1</v>
      </c>
      <c r="F501" t="inlineStr">
        <is>
          <t>Niepełny (1 dni)</t>
        </is>
      </c>
      <c r="G501" t="inlineStr">
        <is>
          <t>30.11</t>
        </is>
      </c>
      <c r="H501" t="inlineStr">
        <is>
          <t>30.11</t>
        </is>
      </c>
      <c r="I501" t="n">
        <v>40</v>
      </c>
      <c r="J501" t="n">
        <v>0.03333</v>
      </c>
    </row>
    <row r="502">
      <c r="A502" t="inlineStr">
        <is>
          <t>2027_Grudzień_W1</t>
        </is>
      </c>
      <c r="B502" t="n">
        <v>2027</v>
      </c>
      <c r="C502" t="inlineStr">
        <is>
          <t>Grudzień</t>
        </is>
      </c>
      <c r="D502" t="inlineStr">
        <is>
          <t>W1</t>
        </is>
      </c>
      <c r="E502" t="n">
        <v>6</v>
      </c>
      <c r="F502" t="inlineStr">
        <is>
          <t>Niepełny (6 dni)</t>
        </is>
      </c>
      <c r="G502" t="inlineStr">
        <is>
          <t>01.12</t>
        </is>
      </c>
      <c r="H502" t="inlineStr">
        <is>
          <t>06.12</t>
        </is>
      </c>
      <c r="I502" t="n">
        <v>232</v>
      </c>
      <c r="J502" t="n">
        <v>0.19355</v>
      </c>
    </row>
    <row r="503">
      <c r="A503" t="inlineStr">
        <is>
          <t>2027_Grudzień_W2</t>
        </is>
      </c>
      <c r="B503" t="n">
        <v>2027</v>
      </c>
      <c r="C503" t="inlineStr">
        <is>
          <t>Grudzień</t>
        </is>
      </c>
      <c r="D503" t="inlineStr">
        <is>
          <t>W2</t>
        </is>
      </c>
      <c r="E503" t="n">
        <v>7</v>
      </c>
      <c r="F503" t="inlineStr">
        <is>
          <t>Pełny (7 dni)</t>
        </is>
      </c>
      <c r="G503" t="inlineStr">
        <is>
          <t>07.12</t>
        </is>
      </c>
      <c r="H503" t="inlineStr">
        <is>
          <t>13.12</t>
        </is>
      </c>
      <c r="I503" t="n">
        <v>272</v>
      </c>
      <c r="J503" t="n">
        <v>0.22581</v>
      </c>
    </row>
    <row r="504">
      <c r="A504" t="inlineStr">
        <is>
          <t>2027_Grudzień_W3</t>
        </is>
      </c>
      <c r="B504" t="n">
        <v>2027</v>
      </c>
      <c r="C504" t="inlineStr">
        <is>
          <t>Grudzień</t>
        </is>
      </c>
      <c r="D504" t="inlineStr">
        <is>
          <t>W3</t>
        </is>
      </c>
      <c r="E504" t="n">
        <v>7</v>
      </c>
      <c r="F504" t="inlineStr">
        <is>
          <t>Pełny (7 dni)</t>
        </is>
      </c>
      <c r="G504" t="inlineStr">
        <is>
          <t>14.12</t>
        </is>
      </c>
      <c r="H504" t="inlineStr">
        <is>
          <t>20.12</t>
        </is>
      </c>
      <c r="I504" t="n">
        <v>272</v>
      </c>
      <c r="J504" t="n">
        <v>0.22581</v>
      </c>
    </row>
    <row r="505">
      <c r="A505" t="inlineStr">
        <is>
          <t>2027_Grudzień_W4</t>
        </is>
      </c>
      <c r="B505" t="n">
        <v>2027</v>
      </c>
      <c r="C505" t="inlineStr">
        <is>
          <t>Grudzień</t>
        </is>
      </c>
      <c r="D505" t="inlineStr">
        <is>
          <t>W4</t>
        </is>
      </c>
      <c r="E505" t="n">
        <v>7</v>
      </c>
      <c r="F505" t="inlineStr">
        <is>
          <t>Pełny (7 dni)</t>
        </is>
      </c>
      <c r="G505" t="inlineStr">
        <is>
          <t>21.12</t>
        </is>
      </c>
      <c r="H505" t="inlineStr">
        <is>
          <t>27.12</t>
        </is>
      </c>
      <c r="I505" t="n">
        <v>272</v>
      </c>
      <c r="J505" t="n">
        <v>0.22581</v>
      </c>
    </row>
    <row r="506">
      <c r="A506" t="inlineStr">
        <is>
          <t>2027_Grudzień_W5</t>
        </is>
      </c>
      <c r="B506" t="n">
        <v>2027</v>
      </c>
      <c r="C506" t="inlineStr">
        <is>
          <t>Grudzień</t>
        </is>
      </c>
      <c r="D506" t="inlineStr">
        <is>
          <t>W5</t>
        </is>
      </c>
      <c r="E506" t="n">
        <v>4</v>
      </c>
      <c r="F506" t="inlineStr">
        <is>
          <t>Niepełny (4 dni)</t>
        </is>
      </c>
      <c r="G506" t="inlineStr">
        <is>
          <t>28.12</t>
        </is>
      </c>
      <c r="H506" t="inlineStr">
        <is>
          <t>31.12</t>
        </is>
      </c>
      <c r="I506" t="n">
        <v>160</v>
      </c>
      <c r="J506" t="n">
        <v>0.12903</v>
      </c>
    </row>
    <row r="507">
      <c r="A507" t="inlineStr">
        <is>
          <t>2027_Grudzień_W6</t>
        </is>
      </c>
      <c r="B507" t="n">
        <v>2027</v>
      </c>
      <c r="C507" t="inlineStr">
        <is>
          <t>Grudzień</t>
        </is>
      </c>
      <c r="D507" t="inlineStr">
        <is>
          <t>W6</t>
        </is>
      </c>
      <c r="E507" t="n">
        <v>0</v>
      </c>
      <c r="F507" t="inlineStr">
        <is>
          <t>Brak w miesiącu</t>
        </is>
      </c>
      <c r="G507" t="inlineStr">
        <is>
          <t>-</t>
        </is>
      </c>
      <c r="H507" t="inlineStr">
        <is>
          <t>-</t>
        </is>
      </c>
      <c r="I507" t="n">
        <v>0</v>
      </c>
      <c r="J507" t="n">
        <v>0</v>
      </c>
    </row>
    <row r="508">
      <c r="A508" t="inlineStr">
        <is>
          <t>2028_Styczeń_W1</t>
        </is>
      </c>
      <c r="B508" t="n">
        <v>2028</v>
      </c>
      <c r="C508" t="inlineStr">
        <is>
          <t>Styczeń</t>
        </is>
      </c>
      <c r="D508" t="inlineStr">
        <is>
          <t>W1</t>
        </is>
      </c>
      <c r="E508" t="n">
        <v>3</v>
      </c>
      <c r="F508" t="inlineStr">
        <is>
          <t>Niepełny (3 dni)</t>
        </is>
      </c>
      <c r="G508" t="inlineStr">
        <is>
          <t>01.01</t>
        </is>
      </c>
      <c r="H508" t="inlineStr">
        <is>
          <t>03.01</t>
        </is>
      </c>
      <c r="I508" t="n">
        <v>112</v>
      </c>
      <c r="J508" t="n">
        <v>0.09676999999999999</v>
      </c>
    </row>
    <row r="509">
      <c r="A509" t="inlineStr">
        <is>
          <t>2028_Styczeń_W2</t>
        </is>
      </c>
      <c r="B509" t="n">
        <v>2028</v>
      </c>
      <c r="C509" t="inlineStr">
        <is>
          <t>Styczeń</t>
        </is>
      </c>
      <c r="D509" t="inlineStr">
        <is>
          <t>W2</t>
        </is>
      </c>
      <c r="E509" t="n">
        <v>7</v>
      </c>
      <c r="F509" t="inlineStr">
        <is>
          <t>Pełny (7 dni)</t>
        </is>
      </c>
      <c r="G509" t="inlineStr">
        <is>
          <t>04.01</t>
        </is>
      </c>
      <c r="H509" t="inlineStr">
        <is>
          <t>10.01</t>
        </is>
      </c>
      <c r="I509" t="n">
        <v>272</v>
      </c>
      <c r="J509" t="n">
        <v>0.22581</v>
      </c>
    </row>
    <row r="510">
      <c r="A510" t="inlineStr">
        <is>
          <t>2028_Styczeń_W3</t>
        </is>
      </c>
      <c r="B510" t="n">
        <v>2028</v>
      </c>
      <c r="C510" t="inlineStr">
        <is>
          <t>Styczeń</t>
        </is>
      </c>
      <c r="D510" t="inlineStr">
        <is>
          <t>W3</t>
        </is>
      </c>
      <c r="E510" t="n">
        <v>7</v>
      </c>
      <c r="F510" t="inlineStr">
        <is>
          <t>Pełny (7 dni)</t>
        </is>
      </c>
      <c r="G510" t="inlineStr">
        <is>
          <t>11.01</t>
        </is>
      </c>
      <c r="H510" t="inlineStr">
        <is>
          <t>17.01</t>
        </is>
      </c>
      <c r="I510" t="n">
        <v>272</v>
      </c>
      <c r="J510" t="n">
        <v>0.22581</v>
      </c>
    </row>
    <row r="511">
      <c r="A511" t="inlineStr">
        <is>
          <t>2028_Styczeń_W4</t>
        </is>
      </c>
      <c r="B511" t="n">
        <v>2028</v>
      </c>
      <c r="C511" t="inlineStr">
        <is>
          <t>Styczeń</t>
        </is>
      </c>
      <c r="D511" t="inlineStr">
        <is>
          <t>W4</t>
        </is>
      </c>
      <c r="E511" t="n">
        <v>7</v>
      </c>
      <c r="F511" t="inlineStr">
        <is>
          <t>Pełny (7 dni)</t>
        </is>
      </c>
      <c r="G511" t="inlineStr">
        <is>
          <t>18.01</t>
        </is>
      </c>
      <c r="H511" t="inlineStr">
        <is>
          <t>24.01</t>
        </is>
      </c>
      <c r="I511" t="n">
        <v>272</v>
      </c>
      <c r="J511" t="n">
        <v>0.22581</v>
      </c>
    </row>
    <row r="512">
      <c r="A512" t="inlineStr">
        <is>
          <t>2028_Styczeń_W5</t>
        </is>
      </c>
      <c r="B512" t="n">
        <v>2028</v>
      </c>
      <c r="C512" t="inlineStr">
        <is>
          <t>Styczeń</t>
        </is>
      </c>
      <c r="D512" t="inlineStr">
        <is>
          <t>W5</t>
        </is>
      </c>
      <c r="E512" t="n">
        <v>7</v>
      </c>
      <c r="F512" t="inlineStr">
        <is>
          <t>Pełny (7 dni)</t>
        </is>
      </c>
      <c r="G512" t="inlineStr">
        <is>
          <t>25.01</t>
        </is>
      </c>
      <c r="H512" t="inlineStr">
        <is>
          <t>31.01</t>
        </is>
      </c>
      <c r="I512" t="n">
        <v>272</v>
      </c>
      <c r="J512" t="n">
        <v>0.22581</v>
      </c>
    </row>
    <row r="513">
      <c r="A513" t="inlineStr">
        <is>
          <t>2028_Styczeń_W6</t>
        </is>
      </c>
      <c r="B513" t="n">
        <v>2028</v>
      </c>
      <c r="C513" t="inlineStr">
        <is>
          <t>Styczeń</t>
        </is>
      </c>
      <c r="D513" t="inlineStr">
        <is>
          <t>W6</t>
        </is>
      </c>
      <c r="E513" t="n">
        <v>0</v>
      </c>
      <c r="F513" t="inlineStr">
        <is>
          <t>Brak w miesiącu</t>
        </is>
      </c>
      <c r="G513" t="inlineStr">
        <is>
          <t>-</t>
        </is>
      </c>
      <c r="H513" t="inlineStr">
        <is>
          <t>-</t>
        </is>
      </c>
      <c r="I513" t="n">
        <v>0</v>
      </c>
      <c r="J513" t="n">
        <v>0</v>
      </c>
    </row>
    <row r="514">
      <c r="A514" t="inlineStr">
        <is>
          <t>2028_Luty_W1</t>
        </is>
      </c>
      <c r="B514" t="n">
        <v>2028</v>
      </c>
      <c r="C514" t="inlineStr">
        <is>
          <t>Luty</t>
        </is>
      </c>
      <c r="D514" t="inlineStr">
        <is>
          <t>W1</t>
        </is>
      </c>
      <c r="E514" t="n">
        <v>7</v>
      </c>
      <c r="F514" t="inlineStr">
        <is>
          <t>Pełny (7 dni)</t>
        </is>
      </c>
      <c r="G514" t="inlineStr">
        <is>
          <t>01.02</t>
        </is>
      </c>
      <c r="H514" t="inlineStr">
        <is>
          <t>07.02</t>
        </is>
      </c>
      <c r="I514" t="n">
        <v>272</v>
      </c>
      <c r="J514" t="n">
        <v>0.24138</v>
      </c>
    </row>
    <row r="515">
      <c r="A515" t="inlineStr">
        <is>
          <t>2028_Luty_W2</t>
        </is>
      </c>
      <c r="B515" t="n">
        <v>2028</v>
      </c>
      <c r="C515" t="inlineStr">
        <is>
          <t>Luty</t>
        </is>
      </c>
      <c r="D515" t="inlineStr">
        <is>
          <t>W2</t>
        </is>
      </c>
      <c r="E515" t="n">
        <v>7</v>
      </c>
      <c r="F515" t="inlineStr">
        <is>
          <t>Pełny (7 dni)</t>
        </is>
      </c>
      <c r="G515" t="inlineStr">
        <is>
          <t>08.02</t>
        </is>
      </c>
      <c r="H515" t="inlineStr">
        <is>
          <t>14.02</t>
        </is>
      </c>
      <c r="I515" t="n">
        <v>272</v>
      </c>
      <c r="J515" t="n">
        <v>0.24138</v>
      </c>
    </row>
    <row r="516">
      <c r="A516" t="inlineStr">
        <is>
          <t>2028_Luty_W3</t>
        </is>
      </c>
      <c r="B516" t="n">
        <v>2028</v>
      </c>
      <c r="C516" t="inlineStr">
        <is>
          <t>Luty</t>
        </is>
      </c>
      <c r="D516" t="inlineStr">
        <is>
          <t>W3</t>
        </is>
      </c>
      <c r="E516" t="n">
        <v>7</v>
      </c>
      <c r="F516" t="inlineStr">
        <is>
          <t>Pełny (7 dni)</t>
        </is>
      </c>
      <c r="G516" t="inlineStr">
        <is>
          <t>15.02</t>
        </is>
      </c>
      <c r="H516" t="inlineStr">
        <is>
          <t>21.02</t>
        </is>
      </c>
      <c r="I516" t="n">
        <v>272</v>
      </c>
      <c r="J516" t="n">
        <v>0.24138</v>
      </c>
    </row>
    <row r="517">
      <c r="A517" t="inlineStr">
        <is>
          <t>2028_Luty_W4</t>
        </is>
      </c>
      <c r="B517" t="n">
        <v>2028</v>
      </c>
      <c r="C517" t="inlineStr">
        <is>
          <t>Luty</t>
        </is>
      </c>
      <c r="D517" t="inlineStr">
        <is>
          <t>W4</t>
        </is>
      </c>
      <c r="E517" t="n">
        <v>7</v>
      </c>
      <c r="F517" t="inlineStr">
        <is>
          <t>Pełny (7 dni)</t>
        </is>
      </c>
      <c r="G517" t="inlineStr">
        <is>
          <t>22.02</t>
        </is>
      </c>
      <c r="H517" t="inlineStr">
        <is>
          <t>28.02</t>
        </is>
      </c>
      <c r="I517" t="n">
        <v>272</v>
      </c>
      <c r="J517" t="n">
        <v>0.24138</v>
      </c>
    </row>
    <row r="518">
      <c r="A518" t="inlineStr">
        <is>
          <t>2028_Luty_W5</t>
        </is>
      </c>
      <c r="B518" t="n">
        <v>2028</v>
      </c>
      <c r="C518" t="inlineStr">
        <is>
          <t>Luty</t>
        </is>
      </c>
      <c r="D518" t="inlineStr">
        <is>
          <t>W5</t>
        </is>
      </c>
      <c r="E518" t="n">
        <v>1</v>
      </c>
      <c r="F518" t="inlineStr">
        <is>
          <t>Niepełny (1 dni)</t>
        </is>
      </c>
      <c r="G518" t="inlineStr">
        <is>
          <t>29.02</t>
        </is>
      </c>
      <c r="H518" t="inlineStr">
        <is>
          <t>29.02</t>
        </is>
      </c>
      <c r="I518" t="n">
        <v>40</v>
      </c>
      <c r="J518" t="n">
        <v>0.03448</v>
      </c>
    </row>
    <row r="519">
      <c r="A519" t="inlineStr">
        <is>
          <t>2028_Luty_W6</t>
        </is>
      </c>
      <c r="B519" t="n">
        <v>2028</v>
      </c>
      <c r="C519" t="inlineStr">
        <is>
          <t>Luty</t>
        </is>
      </c>
      <c r="D519" t="inlineStr">
        <is>
          <t>W6</t>
        </is>
      </c>
      <c r="E519" t="n">
        <v>0</v>
      </c>
      <c r="F519" t="inlineStr">
        <is>
          <t>Brak w miesiącu</t>
        </is>
      </c>
      <c r="G519" t="inlineStr">
        <is>
          <t>-</t>
        </is>
      </c>
      <c r="H519" t="inlineStr">
        <is>
          <t>-</t>
        </is>
      </c>
      <c r="I519" t="n">
        <v>0</v>
      </c>
      <c r="J519" t="n">
        <v>0</v>
      </c>
    </row>
    <row r="520">
      <c r="A520" t="inlineStr">
        <is>
          <t>2028_Marzec_W1</t>
        </is>
      </c>
      <c r="B520" t="n">
        <v>2028</v>
      </c>
      <c r="C520" t="inlineStr">
        <is>
          <t>Marzec</t>
        </is>
      </c>
      <c r="D520" t="inlineStr">
        <is>
          <t>W1</t>
        </is>
      </c>
      <c r="E520" t="n">
        <v>6</v>
      </c>
      <c r="F520" t="inlineStr">
        <is>
          <t>Niepełny (6 dni)</t>
        </is>
      </c>
      <c r="G520" t="inlineStr">
        <is>
          <t>01.03</t>
        </is>
      </c>
      <c r="H520" t="inlineStr">
        <is>
          <t>06.03</t>
        </is>
      </c>
      <c r="I520" t="n">
        <v>232</v>
      </c>
      <c r="J520" t="n">
        <v>0.19355</v>
      </c>
    </row>
    <row r="521">
      <c r="A521" t="inlineStr">
        <is>
          <t>2028_Marzec_W2</t>
        </is>
      </c>
      <c r="B521" t="n">
        <v>2028</v>
      </c>
      <c r="C521" t="inlineStr">
        <is>
          <t>Marzec</t>
        </is>
      </c>
      <c r="D521" t="inlineStr">
        <is>
          <t>W2</t>
        </is>
      </c>
      <c r="E521" t="n">
        <v>7</v>
      </c>
      <c r="F521" t="inlineStr">
        <is>
          <t>Pełny (7 dni)</t>
        </is>
      </c>
      <c r="G521" t="inlineStr">
        <is>
          <t>07.03</t>
        </is>
      </c>
      <c r="H521" t="inlineStr">
        <is>
          <t>13.03</t>
        </is>
      </c>
      <c r="I521" t="n">
        <v>272</v>
      </c>
      <c r="J521" t="n">
        <v>0.22581</v>
      </c>
    </row>
    <row r="522">
      <c r="A522" t="inlineStr">
        <is>
          <t>2028_Marzec_W3</t>
        </is>
      </c>
      <c r="B522" t="n">
        <v>2028</v>
      </c>
      <c r="C522" t="inlineStr">
        <is>
          <t>Marzec</t>
        </is>
      </c>
      <c r="D522" t="inlineStr">
        <is>
          <t>W3</t>
        </is>
      </c>
      <c r="E522" t="n">
        <v>7</v>
      </c>
      <c r="F522" t="inlineStr">
        <is>
          <t>Pełny (7 dni)</t>
        </is>
      </c>
      <c r="G522" t="inlineStr">
        <is>
          <t>14.03</t>
        </is>
      </c>
      <c r="H522" t="inlineStr">
        <is>
          <t>20.03</t>
        </is>
      </c>
      <c r="I522" t="n">
        <v>272</v>
      </c>
      <c r="J522" t="n">
        <v>0.22581</v>
      </c>
    </row>
    <row r="523">
      <c r="A523" t="inlineStr">
        <is>
          <t>2028_Marzec_W4</t>
        </is>
      </c>
      <c r="B523" t="n">
        <v>2028</v>
      </c>
      <c r="C523" t="inlineStr">
        <is>
          <t>Marzec</t>
        </is>
      </c>
      <c r="D523" t="inlineStr">
        <is>
          <t>W4</t>
        </is>
      </c>
      <c r="E523" t="n">
        <v>7</v>
      </c>
      <c r="F523" t="inlineStr">
        <is>
          <t>Pełny (7 dni)</t>
        </is>
      </c>
      <c r="G523" t="inlineStr">
        <is>
          <t>21.03</t>
        </is>
      </c>
      <c r="H523" t="inlineStr">
        <is>
          <t>27.03</t>
        </is>
      </c>
      <c r="I523" t="n">
        <v>272</v>
      </c>
      <c r="J523" t="n">
        <v>0.22581</v>
      </c>
    </row>
    <row r="524">
      <c r="A524" t="inlineStr">
        <is>
          <t>2028_Marzec_W5</t>
        </is>
      </c>
      <c r="B524" t="n">
        <v>2028</v>
      </c>
      <c r="C524" t="inlineStr">
        <is>
          <t>Marzec</t>
        </is>
      </c>
      <c r="D524" t="inlineStr">
        <is>
          <t>W5</t>
        </is>
      </c>
      <c r="E524" t="n">
        <v>4</v>
      </c>
      <c r="F524" t="inlineStr">
        <is>
          <t>Niepełny (4 dni)</t>
        </is>
      </c>
      <c r="G524" t="inlineStr">
        <is>
          <t>28.03</t>
        </is>
      </c>
      <c r="H524" t="inlineStr">
        <is>
          <t>31.03</t>
        </is>
      </c>
      <c r="I524" t="n">
        <v>160</v>
      </c>
      <c r="J524" t="n">
        <v>0.12903</v>
      </c>
    </row>
    <row r="525">
      <c r="A525" t="inlineStr">
        <is>
          <t>2028_Marzec_W6</t>
        </is>
      </c>
      <c r="B525" t="n">
        <v>2028</v>
      </c>
      <c r="C525" t="inlineStr">
        <is>
          <t>Marzec</t>
        </is>
      </c>
      <c r="D525" t="inlineStr">
        <is>
          <t>W6</t>
        </is>
      </c>
      <c r="E525" t="n">
        <v>0</v>
      </c>
      <c r="F525" t="inlineStr">
        <is>
          <t>Brak w miesiącu</t>
        </is>
      </c>
      <c r="G525" t="inlineStr">
        <is>
          <t>-</t>
        </is>
      </c>
      <c r="H525" t="inlineStr">
        <is>
          <t>-</t>
        </is>
      </c>
      <c r="I525" t="n">
        <v>0</v>
      </c>
      <c r="J525" t="n">
        <v>0</v>
      </c>
    </row>
    <row r="526">
      <c r="A526" t="inlineStr">
        <is>
          <t>2028_Kwiecień_W1</t>
        </is>
      </c>
      <c r="B526" t="n">
        <v>2028</v>
      </c>
      <c r="C526" t="inlineStr">
        <is>
          <t>Kwiecień</t>
        </is>
      </c>
      <c r="D526" t="inlineStr">
        <is>
          <t>W1</t>
        </is>
      </c>
      <c r="E526" t="n">
        <v>3</v>
      </c>
      <c r="F526" t="inlineStr">
        <is>
          <t>Niepełny (3 dni)</t>
        </is>
      </c>
      <c r="G526" t="inlineStr">
        <is>
          <t>01.04</t>
        </is>
      </c>
      <c r="H526" t="inlineStr">
        <is>
          <t>03.04</t>
        </is>
      </c>
      <c r="I526" t="n">
        <v>112</v>
      </c>
      <c r="J526" t="n">
        <v>0.1</v>
      </c>
    </row>
    <row r="527">
      <c r="A527" t="inlineStr">
        <is>
          <t>2028_Kwiecień_W2</t>
        </is>
      </c>
      <c r="B527" t="n">
        <v>2028</v>
      </c>
      <c r="C527" t="inlineStr">
        <is>
          <t>Kwiecień</t>
        </is>
      </c>
      <c r="D527" t="inlineStr">
        <is>
          <t>W2</t>
        </is>
      </c>
      <c r="E527" t="n">
        <v>7</v>
      </c>
      <c r="F527" t="inlineStr">
        <is>
          <t>Pełny (7 dni)</t>
        </is>
      </c>
      <c r="G527" t="inlineStr">
        <is>
          <t>04.04</t>
        </is>
      </c>
      <c r="H527" t="inlineStr">
        <is>
          <t>10.04</t>
        </is>
      </c>
      <c r="I527" t="n">
        <v>272</v>
      </c>
      <c r="J527" t="n">
        <v>0.23333</v>
      </c>
    </row>
    <row r="528">
      <c r="A528" t="inlineStr">
        <is>
          <t>2028_Kwiecień_W3</t>
        </is>
      </c>
      <c r="B528" t="n">
        <v>2028</v>
      </c>
      <c r="C528" t="inlineStr">
        <is>
          <t>Kwiecień</t>
        </is>
      </c>
      <c r="D528" t="inlineStr">
        <is>
          <t>W3</t>
        </is>
      </c>
      <c r="E528" t="n">
        <v>7</v>
      </c>
      <c r="F528" t="inlineStr">
        <is>
          <t>Pełny (7 dni)</t>
        </is>
      </c>
      <c r="G528" t="inlineStr">
        <is>
          <t>11.04</t>
        </is>
      </c>
      <c r="H528" t="inlineStr">
        <is>
          <t>17.04</t>
        </is>
      </c>
      <c r="I528" t="n">
        <v>272</v>
      </c>
      <c r="J528" t="n">
        <v>0.23333</v>
      </c>
    </row>
    <row r="529">
      <c r="A529" t="inlineStr">
        <is>
          <t>2028_Kwiecień_W4</t>
        </is>
      </c>
      <c r="B529" t="n">
        <v>2028</v>
      </c>
      <c r="C529" t="inlineStr">
        <is>
          <t>Kwiecień</t>
        </is>
      </c>
      <c r="D529" t="inlineStr">
        <is>
          <t>W4</t>
        </is>
      </c>
      <c r="E529" t="n">
        <v>7</v>
      </c>
      <c r="F529" t="inlineStr">
        <is>
          <t>Pełny (7 dni)</t>
        </is>
      </c>
      <c r="G529" t="inlineStr">
        <is>
          <t>18.04</t>
        </is>
      </c>
      <c r="H529" t="inlineStr">
        <is>
          <t>24.04</t>
        </is>
      </c>
      <c r="I529" t="n">
        <v>272</v>
      </c>
      <c r="J529" t="n">
        <v>0.23333</v>
      </c>
    </row>
    <row r="530">
      <c r="A530" t="inlineStr">
        <is>
          <t>2028_Kwiecień_W5</t>
        </is>
      </c>
      <c r="B530" t="n">
        <v>2028</v>
      </c>
      <c r="C530" t="inlineStr">
        <is>
          <t>Kwiecień</t>
        </is>
      </c>
      <c r="D530" t="inlineStr">
        <is>
          <t>W5</t>
        </is>
      </c>
      <c r="E530" t="n">
        <v>6</v>
      </c>
      <c r="F530" t="inlineStr">
        <is>
          <t>Niepełny (6 dni)</t>
        </is>
      </c>
      <c r="G530" t="inlineStr">
        <is>
          <t>25.04</t>
        </is>
      </c>
      <c r="H530" t="inlineStr">
        <is>
          <t>30.04</t>
        </is>
      </c>
      <c r="I530" t="n">
        <v>232</v>
      </c>
      <c r="J530" t="n">
        <v>0.2</v>
      </c>
    </row>
    <row r="531">
      <c r="A531" t="inlineStr">
        <is>
          <t>2028_Kwiecień_W6</t>
        </is>
      </c>
      <c r="B531" t="n">
        <v>2028</v>
      </c>
      <c r="C531" t="inlineStr">
        <is>
          <t>Kwiecień</t>
        </is>
      </c>
      <c r="D531" t="inlineStr">
        <is>
          <t>W6</t>
        </is>
      </c>
      <c r="E531" t="n">
        <v>0</v>
      </c>
      <c r="F531" t="inlineStr">
        <is>
          <t>Brak w miesiącu</t>
        </is>
      </c>
      <c r="G531" t="inlineStr">
        <is>
          <t>-</t>
        </is>
      </c>
      <c r="H531" t="inlineStr">
        <is>
          <t>-</t>
        </is>
      </c>
      <c r="I531" t="n">
        <v>0</v>
      </c>
      <c r="J531" t="n">
        <v>0</v>
      </c>
    </row>
    <row r="532">
      <c r="A532" t="inlineStr">
        <is>
          <t>2028_Maj_W1</t>
        </is>
      </c>
      <c r="B532" t="n">
        <v>2028</v>
      </c>
      <c r="C532" t="inlineStr">
        <is>
          <t>Maj</t>
        </is>
      </c>
      <c r="D532" t="inlineStr">
        <is>
          <t>W1</t>
        </is>
      </c>
      <c r="E532" t="n">
        <v>1</v>
      </c>
      <c r="F532" t="inlineStr">
        <is>
          <t>Niepełny (1 dni)</t>
        </is>
      </c>
      <c r="G532" t="inlineStr">
        <is>
          <t>01.05</t>
        </is>
      </c>
      <c r="H532" t="inlineStr">
        <is>
          <t>01.05</t>
        </is>
      </c>
      <c r="I532" t="n">
        <v>40</v>
      </c>
      <c r="J532" t="n">
        <v>0.03226</v>
      </c>
    </row>
    <row r="533">
      <c r="A533" t="inlineStr">
        <is>
          <t>2028_Maj_W2</t>
        </is>
      </c>
      <c r="B533" t="n">
        <v>2028</v>
      </c>
      <c r="C533" t="inlineStr">
        <is>
          <t>Maj</t>
        </is>
      </c>
      <c r="D533" t="inlineStr">
        <is>
          <t>W2</t>
        </is>
      </c>
      <c r="E533" t="n">
        <v>7</v>
      </c>
      <c r="F533" t="inlineStr">
        <is>
          <t>Pełny (7 dni)</t>
        </is>
      </c>
      <c r="G533" t="inlineStr">
        <is>
          <t>02.05</t>
        </is>
      </c>
      <c r="H533" t="inlineStr">
        <is>
          <t>08.05</t>
        </is>
      </c>
      <c r="I533" t="n">
        <v>272</v>
      </c>
      <c r="J533" t="n">
        <v>0.22581</v>
      </c>
    </row>
    <row r="534">
      <c r="A534" t="inlineStr">
        <is>
          <t>2028_Maj_W3</t>
        </is>
      </c>
      <c r="B534" t="n">
        <v>2028</v>
      </c>
      <c r="C534" t="inlineStr">
        <is>
          <t>Maj</t>
        </is>
      </c>
      <c r="D534" t="inlineStr">
        <is>
          <t>W3</t>
        </is>
      </c>
      <c r="E534" t="n">
        <v>7</v>
      </c>
      <c r="F534" t="inlineStr">
        <is>
          <t>Pełny (7 dni)</t>
        </is>
      </c>
      <c r="G534" t="inlineStr">
        <is>
          <t>09.05</t>
        </is>
      </c>
      <c r="H534" t="inlineStr">
        <is>
          <t>15.05</t>
        </is>
      </c>
      <c r="I534" t="n">
        <v>272</v>
      </c>
      <c r="J534" t="n">
        <v>0.22581</v>
      </c>
    </row>
    <row r="535">
      <c r="A535" t="inlineStr">
        <is>
          <t>2028_Maj_W4</t>
        </is>
      </c>
      <c r="B535" t="n">
        <v>2028</v>
      </c>
      <c r="C535" t="inlineStr">
        <is>
          <t>Maj</t>
        </is>
      </c>
      <c r="D535" t="inlineStr">
        <is>
          <t>W4</t>
        </is>
      </c>
      <c r="E535" t="n">
        <v>7</v>
      </c>
      <c r="F535" t="inlineStr">
        <is>
          <t>Pełny (7 dni)</t>
        </is>
      </c>
      <c r="G535" t="inlineStr">
        <is>
          <t>16.05</t>
        </is>
      </c>
      <c r="H535" t="inlineStr">
        <is>
          <t>22.05</t>
        </is>
      </c>
      <c r="I535" t="n">
        <v>272</v>
      </c>
      <c r="J535" t="n">
        <v>0.22581</v>
      </c>
    </row>
    <row r="536">
      <c r="A536" t="inlineStr">
        <is>
          <t>2028_Maj_W5</t>
        </is>
      </c>
      <c r="B536" t="n">
        <v>2028</v>
      </c>
      <c r="C536" t="inlineStr">
        <is>
          <t>Maj</t>
        </is>
      </c>
      <c r="D536" t="inlineStr">
        <is>
          <t>W5</t>
        </is>
      </c>
      <c r="E536" t="n">
        <v>7</v>
      </c>
      <c r="F536" t="inlineStr">
        <is>
          <t>Pełny (7 dni)</t>
        </is>
      </c>
      <c r="G536" t="inlineStr">
        <is>
          <t>23.05</t>
        </is>
      </c>
      <c r="H536" t="inlineStr">
        <is>
          <t>29.05</t>
        </is>
      </c>
      <c r="I536" t="n">
        <v>272</v>
      </c>
      <c r="J536" t="n">
        <v>0.22581</v>
      </c>
    </row>
    <row r="537">
      <c r="A537" t="inlineStr">
        <is>
          <t>2028_Maj_W6</t>
        </is>
      </c>
      <c r="B537" t="n">
        <v>2028</v>
      </c>
      <c r="C537" t="inlineStr">
        <is>
          <t>Maj</t>
        </is>
      </c>
      <c r="D537" t="inlineStr">
        <is>
          <t>W6</t>
        </is>
      </c>
      <c r="E537" t="n">
        <v>2</v>
      </c>
      <c r="F537" t="inlineStr">
        <is>
          <t>Niepełny (2 dni)</t>
        </is>
      </c>
      <c r="G537" t="inlineStr">
        <is>
          <t>30.05</t>
        </is>
      </c>
      <c r="H537" t="inlineStr">
        <is>
          <t>31.05</t>
        </is>
      </c>
      <c r="I537" t="n">
        <v>80</v>
      </c>
      <c r="J537" t="n">
        <v>0.06451999999999999</v>
      </c>
    </row>
    <row r="538">
      <c r="A538" t="inlineStr">
        <is>
          <t>2028_Czerwiec_W1</t>
        </is>
      </c>
      <c r="B538" t="n">
        <v>2028</v>
      </c>
      <c r="C538" t="inlineStr">
        <is>
          <t>Czerwiec</t>
        </is>
      </c>
      <c r="D538" t="inlineStr">
        <is>
          <t>W1</t>
        </is>
      </c>
      <c r="E538" t="n">
        <v>5</v>
      </c>
      <c r="F538" t="inlineStr">
        <is>
          <t>Niepełny (5 dni)</t>
        </is>
      </c>
      <c r="G538" t="inlineStr">
        <is>
          <t>01.06</t>
        </is>
      </c>
      <c r="H538" t="inlineStr">
        <is>
          <t>05.06</t>
        </is>
      </c>
      <c r="I538" t="n">
        <v>192</v>
      </c>
      <c r="J538" t="n">
        <v>0.16667</v>
      </c>
    </row>
    <row r="539">
      <c r="A539" t="inlineStr">
        <is>
          <t>2028_Czerwiec_W2</t>
        </is>
      </c>
      <c r="B539" t="n">
        <v>2028</v>
      </c>
      <c r="C539" t="inlineStr">
        <is>
          <t>Czerwiec</t>
        </is>
      </c>
      <c r="D539" t="inlineStr">
        <is>
          <t>W2</t>
        </is>
      </c>
      <c r="E539" t="n">
        <v>7</v>
      </c>
      <c r="F539" t="inlineStr">
        <is>
          <t>Pełny (7 dni)</t>
        </is>
      </c>
      <c r="G539" t="inlineStr">
        <is>
          <t>06.06</t>
        </is>
      </c>
      <c r="H539" t="inlineStr">
        <is>
          <t>12.06</t>
        </is>
      </c>
      <c r="I539" t="n">
        <v>272</v>
      </c>
      <c r="J539" t="n">
        <v>0.23333</v>
      </c>
    </row>
    <row r="540">
      <c r="A540" t="inlineStr">
        <is>
          <t>2028_Czerwiec_W3</t>
        </is>
      </c>
      <c r="B540" t="n">
        <v>2028</v>
      </c>
      <c r="C540" t="inlineStr">
        <is>
          <t>Czerwiec</t>
        </is>
      </c>
      <c r="D540" t="inlineStr">
        <is>
          <t>W3</t>
        </is>
      </c>
      <c r="E540" t="n">
        <v>7</v>
      </c>
      <c r="F540" t="inlineStr">
        <is>
          <t>Pełny (7 dni)</t>
        </is>
      </c>
      <c r="G540" t="inlineStr">
        <is>
          <t>13.06</t>
        </is>
      </c>
      <c r="H540" t="inlineStr">
        <is>
          <t>19.06</t>
        </is>
      </c>
      <c r="I540" t="n">
        <v>272</v>
      </c>
      <c r="J540" t="n">
        <v>0.23333</v>
      </c>
    </row>
    <row r="541">
      <c r="A541" t="inlineStr">
        <is>
          <t>2028_Czerwiec_W4</t>
        </is>
      </c>
      <c r="B541" t="n">
        <v>2028</v>
      </c>
      <c r="C541" t="inlineStr">
        <is>
          <t>Czerwiec</t>
        </is>
      </c>
      <c r="D541" t="inlineStr">
        <is>
          <t>W4</t>
        </is>
      </c>
      <c r="E541" t="n">
        <v>7</v>
      </c>
      <c r="F541" t="inlineStr">
        <is>
          <t>Pełny (7 dni)</t>
        </is>
      </c>
      <c r="G541" t="inlineStr">
        <is>
          <t>20.06</t>
        </is>
      </c>
      <c r="H541" t="inlineStr">
        <is>
          <t>26.06</t>
        </is>
      </c>
      <c r="I541" t="n">
        <v>272</v>
      </c>
      <c r="J541" t="n">
        <v>0.23333</v>
      </c>
    </row>
    <row r="542">
      <c r="A542" t="inlineStr">
        <is>
          <t>2028_Czerwiec_W5</t>
        </is>
      </c>
      <c r="B542" t="n">
        <v>2028</v>
      </c>
      <c r="C542" t="inlineStr">
        <is>
          <t>Czerwiec</t>
        </is>
      </c>
      <c r="D542" t="inlineStr">
        <is>
          <t>W5</t>
        </is>
      </c>
      <c r="E542" t="n">
        <v>4</v>
      </c>
      <c r="F542" t="inlineStr">
        <is>
          <t>Niepełny (4 dni)</t>
        </is>
      </c>
      <c r="G542" t="inlineStr">
        <is>
          <t>27.06</t>
        </is>
      </c>
      <c r="H542" t="inlineStr">
        <is>
          <t>30.06</t>
        </is>
      </c>
      <c r="I542" t="n">
        <v>160</v>
      </c>
      <c r="J542" t="n">
        <v>0.13333</v>
      </c>
    </row>
    <row r="543">
      <c r="A543" t="inlineStr">
        <is>
          <t>2028_Czerwiec_W6</t>
        </is>
      </c>
      <c r="B543" t="n">
        <v>2028</v>
      </c>
      <c r="C543" t="inlineStr">
        <is>
          <t>Czerwiec</t>
        </is>
      </c>
      <c r="D543" t="inlineStr">
        <is>
          <t>W6</t>
        </is>
      </c>
      <c r="E543" t="n">
        <v>0</v>
      </c>
      <c r="F543" t="inlineStr">
        <is>
          <t>Brak w miesiącu</t>
        </is>
      </c>
      <c r="G543" t="inlineStr">
        <is>
          <t>-</t>
        </is>
      </c>
      <c r="H543" t="inlineStr">
        <is>
          <t>-</t>
        </is>
      </c>
      <c r="I543" t="n">
        <v>0</v>
      </c>
      <c r="J543" t="n">
        <v>0</v>
      </c>
    </row>
    <row r="544">
      <c r="A544" t="inlineStr">
        <is>
          <t>2028_Lipiec_W1</t>
        </is>
      </c>
      <c r="B544" t="n">
        <v>2028</v>
      </c>
      <c r="C544" t="inlineStr">
        <is>
          <t>Lipiec</t>
        </is>
      </c>
      <c r="D544" t="inlineStr">
        <is>
          <t>W1</t>
        </is>
      </c>
      <c r="E544" t="n">
        <v>3</v>
      </c>
      <c r="F544" t="inlineStr">
        <is>
          <t>Niepełny (3 dni)</t>
        </is>
      </c>
      <c r="G544" t="inlineStr">
        <is>
          <t>01.07</t>
        </is>
      </c>
      <c r="H544" t="inlineStr">
        <is>
          <t>03.07</t>
        </is>
      </c>
      <c r="I544" t="n">
        <v>112</v>
      </c>
      <c r="J544" t="n">
        <v>0.09676999999999999</v>
      </c>
    </row>
    <row r="545">
      <c r="A545" t="inlineStr">
        <is>
          <t>2028_Lipiec_W2</t>
        </is>
      </c>
      <c r="B545" t="n">
        <v>2028</v>
      </c>
      <c r="C545" t="inlineStr">
        <is>
          <t>Lipiec</t>
        </is>
      </c>
      <c r="D545" t="inlineStr">
        <is>
          <t>W2</t>
        </is>
      </c>
      <c r="E545" t="n">
        <v>7</v>
      </c>
      <c r="F545" t="inlineStr">
        <is>
          <t>Pełny (7 dni)</t>
        </is>
      </c>
      <c r="G545" t="inlineStr">
        <is>
          <t>04.07</t>
        </is>
      </c>
      <c r="H545" t="inlineStr">
        <is>
          <t>10.07</t>
        </is>
      </c>
      <c r="I545" t="n">
        <v>272</v>
      </c>
      <c r="J545" t="n">
        <v>0.22581</v>
      </c>
    </row>
    <row r="546">
      <c r="A546" t="inlineStr">
        <is>
          <t>2028_Lipiec_W3</t>
        </is>
      </c>
      <c r="B546" t="n">
        <v>2028</v>
      </c>
      <c r="C546" t="inlineStr">
        <is>
          <t>Lipiec</t>
        </is>
      </c>
      <c r="D546" t="inlineStr">
        <is>
          <t>W3</t>
        </is>
      </c>
      <c r="E546" t="n">
        <v>7</v>
      </c>
      <c r="F546" t="inlineStr">
        <is>
          <t>Pełny (7 dni)</t>
        </is>
      </c>
      <c r="G546" t="inlineStr">
        <is>
          <t>11.07</t>
        </is>
      </c>
      <c r="H546" t="inlineStr">
        <is>
          <t>17.07</t>
        </is>
      </c>
      <c r="I546" t="n">
        <v>272</v>
      </c>
      <c r="J546" t="n">
        <v>0.22581</v>
      </c>
    </row>
    <row r="547">
      <c r="A547" t="inlineStr">
        <is>
          <t>2028_Lipiec_W4</t>
        </is>
      </c>
      <c r="B547" t="n">
        <v>2028</v>
      </c>
      <c r="C547" t="inlineStr">
        <is>
          <t>Lipiec</t>
        </is>
      </c>
      <c r="D547" t="inlineStr">
        <is>
          <t>W4</t>
        </is>
      </c>
      <c r="E547" t="n">
        <v>7</v>
      </c>
      <c r="F547" t="inlineStr">
        <is>
          <t>Pełny (7 dni)</t>
        </is>
      </c>
      <c r="G547" t="inlineStr">
        <is>
          <t>18.07</t>
        </is>
      </c>
      <c r="H547" t="inlineStr">
        <is>
          <t>24.07</t>
        </is>
      </c>
      <c r="I547" t="n">
        <v>272</v>
      </c>
      <c r="J547" t="n">
        <v>0.22581</v>
      </c>
    </row>
    <row r="548">
      <c r="A548" t="inlineStr">
        <is>
          <t>2028_Lipiec_W5</t>
        </is>
      </c>
      <c r="B548" t="n">
        <v>2028</v>
      </c>
      <c r="C548" t="inlineStr">
        <is>
          <t>Lipiec</t>
        </is>
      </c>
      <c r="D548" t="inlineStr">
        <is>
          <t>W5</t>
        </is>
      </c>
      <c r="E548" t="n">
        <v>7</v>
      </c>
      <c r="F548" t="inlineStr">
        <is>
          <t>Pełny (7 dni)</t>
        </is>
      </c>
      <c r="G548" t="inlineStr">
        <is>
          <t>25.07</t>
        </is>
      </c>
      <c r="H548" t="inlineStr">
        <is>
          <t>31.07</t>
        </is>
      </c>
      <c r="I548" t="n">
        <v>272</v>
      </c>
      <c r="J548" t="n">
        <v>0.22581</v>
      </c>
    </row>
    <row r="549">
      <c r="A549" t="inlineStr">
        <is>
          <t>2028_Lipiec_W6</t>
        </is>
      </c>
      <c r="B549" t="n">
        <v>2028</v>
      </c>
      <c r="C549" t="inlineStr">
        <is>
          <t>Lipiec</t>
        </is>
      </c>
      <c r="D549" t="inlineStr">
        <is>
          <t>W6</t>
        </is>
      </c>
      <c r="E549" t="n">
        <v>0</v>
      </c>
      <c r="F549" t="inlineStr">
        <is>
          <t>Brak w miesiącu</t>
        </is>
      </c>
      <c r="G549" t="inlineStr">
        <is>
          <t>-</t>
        </is>
      </c>
      <c r="H549" t="inlineStr">
        <is>
          <t>-</t>
        </is>
      </c>
      <c r="I549" t="n">
        <v>0</v>
      </c>
      <c r="J549" t="n">
        <v>0</v>
      </c>
    </row>
    <row r="550">
      <c r="A550" t="inlineStr">
        <is>
          <t>2028_Sierpień_W1</t>
        </is>
      </c>
      <c r="B550" t="n">
        <v>2028</v>
      </c>
      <c r="C550" t="inlineStr">
        <is>
          <t>Sierpień</t>
        </is>
      </c>
      <c r="D550" t="inlineStr">
        <is>
          <t>W1</t>
        </is>
      </c>
      <c r="E550" t="n">
        <v>7</v>
      </c>
      <c r="F550" t="inlineStr">
        <is>
          <t>Pełny (7 dni)</t>
        </is>
      </c>
      <c r="G550" t="inlineStr">
        <is>
          <t>01.08</t>
        </is>
      </c>
      <c r="H550" t="inlineStr">
        <is>
          <t>07.08</t>
        </is>
      </c>
      <c r="I550" t="n">
        <v>272</v>
      </c>
      <c r="J550" t="n">
        <v>0.22581</v>
      </c>
    </row>
    <row r="551">
      <c r="A551" t="inlineStr">
        <is>
          <t>2028_Sierpień_W2</t>
        </is>
      </c>
      <c r="B551" t="n">
        <v>2028</v>
      </c>
      <c r="C551" t="inlineStr">
        <is>
          <t>Sierpień</t>
        </is>
      </c>
      <c r="D551" t="inlineStr">
        <is>
          <t>W2</t>
        </is>
      </c>
      <c r="E551" t="n">
        <v>7</v>
      </c>
      <c r="F551" t="inlineStr">
        <is>
          <t>Pełny (7 dni)</t>
        </is>
      </c>
      <c r="G551" t="inlineStr">
        <is>
          <t>08.08</t>
        </is>
      </c>
      <c r="H551" t="inlineStr">
        <is>
          <t>14.08</t>
        </is>
      </c>
      <c r="I551" t="n">
        <v>272</v>
      </c>
      <c r="J551" t="n">
        <v>0.22581</v>
      </c>
    </row>
    <row r="552">
      <c r="A552" t="inlineStr">
        <is>
          <t>2028_Sierpień_W3</t>
        </is>
      </c>
      <c r="B552" t="n">
        <v>2028</v>
      </c>
      <c r="C552" t="inlineStr">
        <is>
          <t>Sierpień</t>
        </is>
      </c>
      <c r="D552" t="inlineStr">
        <is>
          <t>W3</t>
        </is>
      </c>
      <c r="E552" t="n">
        <v>7</v>
      </c>
      <c r="F552" t="inlineStr">
        <is>
          <t>Pełny (7 dni)</t>
        </is>
      </c>
      <c r="G552" t="inlineStr">
        <is>
          <t>15.08</t>
        </is>
      </c>
      <c r="H552" t="inlineStr">
        <is>
          <t>21.08</t>
        </is>
      </c>
      <c r="I552" t="n">
        <v>272</v>
      </c>
      <c r="J552" t="n">
        <v>0.22581</v>
      </c>
    </row>
    <row r="553">
      <c r="A553" t="inlineStr">
        <is>
          <t>2028_Sierpień_W4</t>
        </is>
      </c>
      <c r="B553" t="n">
        <v>2028</v>
      </c>
      <c r="C553" t="inlineStr">
        <is>
          <t>Sierpień</t>
        </is>
      </c>
      <c r="D553" t="inlineStr">
        <is>
          <t>W4</t>
        </is>
      </c>
      <c r="E553" t="n">
        <v>7</v>
      </c>
      <c r="F553" t="inlineStr">
        <is>
          <t>Pełny (7 dni)</t>
        </is>
      </c>
      <c r="G553" t="inlineStr">
        <is>
          <t>22.08</t>
        </is>
      </c>
      <c r="H553" t="inlineStr">
        <is>
          <t>28.08</t>
        </is>
      </c>
      <c r="I553" t="n">
        <v>272</v>
      </c>
      <c r="J553" t="n">
        <v>0.22581</v>
      </c>
    </row>
    <row r="554">
      <c r="A554" t="inlineStr">
        <is>
          <t>2028_Sierpień_W5</t>
        </is>
      </c>
      <c r="B554" t="n">
        <v>2028</v>
      </c>
      <c r="C554" t="inlineStr">
        <is>
          <t>Sierpień</t>
        </is>
      </c>
      <c r="D554" t="inlineStr">
        <is>
          <t>W5</t>
        </is>
      </c>
      <c r="E554" t="n">
        <v>3</v>
      </c>
      <c r="F554" t="inlineStr">
        <is>
          <t>Niepełny (3 dni)</t>
        </is>
      </c>
      <c r="G554" t="inlineStr">
        <is>
          <t>29.08</t>
        </is>
      </c>
      <c r="H554" t="inlineStr">
        <is>
          <t>31.08</t>
        </is>
      </c>
      <c r="I554" t="n">
        <v>120</v>
      </c>
      <c r="J554" t="n">
        <v>0.09676999999999999</v>
      </c>
    </row>
    <row r="555">
      <c r="A555" t="inlineStr">
        <is>
          <t>2028_Sierpień_W6</t>
        </is>
      </c>
      <c r="B555" t="n">
        <v>2028</v>
      </c>
      <c r="C555" t="inlineStr">
        <is>
          <t>Sierpień</t>
        </is>
      </c>
      <c r="D555" t="inlineStr">
        <is>
          <t>W6</t>
        </is>
      </c>
      <c r="E555" t="n">
        <v>0</v>
      </c>
      <c r="F555" t="inlineStr">
        <is>
          <t>Brak w miesiącu</t>
        </is>
      </c>
      <c r="G555" t="inlineStr">
        <is>
          <t>-</t>
        </is>
      </c>
      <c r="H555" t="inlineStr">
        <is>
          <t>-</t>
        </is>
      </c>
      <c r="I555" t="n">
        <v>0</v>
      </c>
      <c r="J555" t="n">
        <v>0</v>
      </c>
    </row>
    <row r="556">
      <c r="A556" t="inlineStr">
        <is>
          <t>2028_Wrzesień_W1</t>
        </is>
      </c>
      <c r="B556" t="n">
        <v>2028</v>
      </c>
      <c r="C556" t="inlineStr">
        <is>
          <t>Wrzesień</t>
        </is>
      </c>
      <c r="D556" t="inlineStr">
        <is>
          <t>W1</t>
        </is>
      </c>
      <c r="E556" t="n">
        <v>4</v>
      </c>
      <c r="F556" t="inlineStr">
        <is>
          <t>Niepełny (4 dni)</t>
        </is>
      </c>
      <c r="G556" t="inlineStr">
        <is>
          <t>01.09</t>
        </is>
      </c>
      <c r="H556" t="inlineStr">
        <is>
          <t>04.09</t>
        </is>
      </c>
      <c r="I556" t="n">
        <v>152</v>
      </c>
      <c r="J556" t="n">
        <v>0.13333</v>
      </c>
    </row>
    <row r="557">
      <c r="A557" t="inlineStr">
        <is>
          <t>2028_Wrzesień_W2</t>
        </is>
      </c>
      <c r="B557" t="n">
        <v>2028</v>
      </c>
      <c r="C557" t="inlineStr">
        <is>
          <t>Wrzesień</t>
        </is>
      </c>
      <c r="D557" t="inlineStr">
        <is>
          <t>W2</t>
        </is>
      </c>
      <c r="E557" t="n">
        <v>7</v>
      </c>
      <c r="F557" t="inlineStr">
        <is>
          <t>Pełny (7 dni)</t>
        </is>
      </c>
      <c r="G557" t="inlineStr">
        <is>
          <t>05.09</t>
        </is>
      </c>
      <c r="H557" t="inlineStr">
        <is>
          <t>11.09</t>
        </is>
      </c>
      <c r="I557" t="n">
        <v>272</v>
      </c>
      <c r="J557" t="n">
        <v>0.23333</v>
      </c>
    </row>
    <row r="558">
      <c r="A558" t="inlineStr">
        <is>
          <t>2028_Wrzesień_W3</t>
        </is>
      </c>
      <c r="B558" t="n">
        <v>2028</v>
      </c>
      <c r="C558" t="inlineStr">
        <is>
          <t>Wrzesień</t>
        </is>
      </c>
      <c r="D558" t="inlineStr">
        <is>
          <t>W3</t>
        </is>
      </c>
      <c r="E558" t="n">
        <v>7</v>
      </c>
      <c r="F558" t="inlineStr">
        <is>
          <t>Pełny (7 dni)</t>
        </is>
      </c>
      <c r="G558" t="inlineStr">
        <is>
          <t>12.09</t>
        </is>
      </c>
      <c r="H558" t="inlineStr">
        <is>
          <t>18.09</t>
        </is>
      </c>
      <c r="I558" t="n">
        <v>272</v>
      </c>
      <c r="J558" t="n">
        <v>0.23333</v>
      </c>
    </row>
    <row r="559">
      <c r="A559" t="inlineStr">
        <is>
          <t>2028_Wrzesień_W4</t>
        </is>
      </c>
      <c r="B559" t="n">
        <v>2028</v>
      </c>
      <c r="C559" t="inlineStr">
        <is>
          <t>Wrzesień</t>
        </is>
      </c>
      <c r="D559" t="inlineStr">
        <is>
          <t>W4</t>
        </is>
      </c>
      <c r="E559" t="n">
        <v>7</v>
      </c>
      <c r="F559" t="inlineStr">
        <is>
          <t>Pełny (7 dni)</t>
        </is>
      </c>
      <c r="G559" t="inlineStr">
        <is>
          <t>19.09</t>
        </is>
      </c>
      <c r="H559" t="inlineStr">
        <is>
          <t>25.09</t>
        </is>
      </c>
      <c r="I559" t="n">
        <v>272</v>
      </c>
      <c r="J559" t="n">
        <v>0.23333</v>
      </c>
    </row>
    <row r="560">
      <c r="A560" t="inlineStr">
        <is>
          <t>2028_Wrzesień_W5</t>
        </is>
      </c>
      <c r="B560" t="n">
        <v>2028</v>
      </c>
      <c r="C560" t="inlineStr">
        <is>
          <t>Wrzesień</t>
        </is>
      </c>
      <c r="D560" t="inlineStr">
        <is>
          <t>W5</t>
        </is>
      </c>
      <c r="E560" t="n">
        <v>5</v>
      </c>
      <c r="F560" t="inlineStr">
        <is>
          <t>Niepełny (5 dni)</t>
        </is>
      </c>
      <c r="G560" t="inlineStr">
        <is>
          <t>26.09</t>
        </is>
      </c>
      <c r="H560" t="inlineStr">
        <is>
          <t>30.09</t>
        </is>
      </c>
      <c r="I560" t="n">
        <v>200</v>
      </c>
      <c r="J560" t="n">
        <v>0.16667</v>
      </c>
    </row>
    <row r="561">
      <c r="A561" t="inlineStr">
        <is>
          <t>2028_Wrzesień_W6</t>
        </is>
      </c>
      <c r="B561" t="n">
        <v>2028</v>
      </c>
      <c r="C561" t="inlineStr">
        <is>
          <t>Wrzesień</t>
        </is>
      </c>
      <c r="D561" t="inlineStr">
        <is>
          <t>W6</t>
        </is>
      </c>
      <c r="E561" t="n">
        <v>0</v>
      </c>
      <c r="F561" t="inlineStr">
        <is>
          <t>Brak w miesiącu</t>
        </is>
      </c>
      <c r="G561" t="inlineStr">
        <is>
          <t>-</t>
        </is>
      </c>
      <c r="H561" t="inlineStr">
        <is>
          <t>-</t>
        </is>
      </c>
      <c r="I561" t="n">
        <v>0</v>
      </c>
      <c r="J561" t="n">
        <v>0</v>
      </c>
    </row>
    <row r="562">
      <c r="A562" t="inlineStr">
        <is>
          <t>2028_Październik_W1</t>
        </is>
      </c>
      <c r="B562" t="n">
        <v>2028</v>
      </c>
      <c r="C562" t="inlineStr">
        <is>
          <t>Październik</t>
        </is>
      </c>
      <c r="D562" t="inlineStr">
        <is>
          <t>W1</t>
        </is>
      </c>
      <c r="E562" t="n">
        <v>2</v>
      </c>
      <c r="F562" t="inlineStr">
        <is>
          <t>Niepełny (2 dni)</t>
        </is>
      </c>
      <c r="G562" t="inlineStr">
        <is>
          <t>01.10</t>
        </is>
      </c>
      <c r="H562" t="inlineStr">
        <is>
          <t>02.10</t>
        </is>
      </c>
      <c r="I562" t="n">
        <v>72</v>
      </c>
      <c r="J562" t="n">
        <v>0.06451999999999999</v>
      </c>
    </row>
    <row r="563">
      <c r="A563" t="inlineStr">
        <is>
          <t>2028_Październik_W2</t>
        </is>
      </c>
      <c r="B563" t="n">
        <v>2028</v>
      </c>
      <c r="C563" t="inlineStr">
        <is>
          <t>Październik</t>
        </is>
      </c>
      <c r="D563" t="inlineStr">
        <is>
          <t>W2</t>
        </is>
      </c>
      <c r="E563" t="n">
        <v>7</v>
      </c>
      <c r="F563" t="inlineStr">
        <is>
          <t>Pełny (7 dni)</t>
        </is>
      </c>
      <c r="G563" t="inlineStr">
        <is>
          <t>03.10</t>
        </is>
      </c>
      <c r="H563" t="inlineStr">
        <is>
          <t>09.10</t>
        </is>
      </c>
      <c r="I563" t="n">
        <v>272</v>
      </c>
      <c r="J563" t="n">
        <v>0.22581</v>
      </c>
    </row>
    <row r="564">
      <c r="A564" t="inlineStr">
        <is>
          <t>2028_Październik_W3</t>
        </is>
      </c>
      <c r="B564" t="n">
        <v>2028</v>
      </c>
      <c r="C564" t="inlineStr">
        <is>
          <t>Październik</t>
        </is>
      </c>
      <c r="D564" t="inlineStr">
        <is>
          <t>W3</t>
        </is>
      </c>
      <c r="E564" t="n">
        <v>7</v>
      </c>
      <c r="F564" t="inlineStr">
        <is>
          <t>Pełny (7 dni)</t>
        </is>
      </c>
      <c r="G564" t="inlineStr">
        <is>
          <t>10.10</t>
        </is>
      </c>
      <c r="H564" t="inlineStr">
        <is>
          <t>16.10</t>
        </is>
      </c>
      <c r="I564" t="n">
        <v>272</v>
      </c>
      <c r="J564" t="n">
        <v>0.22581</v>
      </c>
    </row>
    <row r="565">
      <c r="A565" t="inlineStr">
        <is>
          <t>2028_Październik_W4</t>
        </is>
      </c>
      <c r="B565" t="n">
        <v>2028</v>
      </c>
      <c r="C565" t="inlineStr">
        <is>
          <t>Październik</t>
        </is>
      </c>
      <c r="D565" t="inlineStr">
        <is>
          <t>W4</t>
        </is>
      </c>
      <c r="E565" t="n">
        <v>7</v>
      </c>
      <c r="F565" t="inlineStr">
        <is>
          <t>Pełny (7 dni)</t>
        </is>
      </c>
      <c r="G565" t="inlineStr">
        <is>
          <t>17.10</t>
        </is>
      </c>
      <c r="H565" t="inlineStr">
        <is>
          <t>23.10</t>
        </is>
      </c>
      <c r="I565" t="n">
        <v>272</v>
      </c>
      <c r="J565" t="n">
        <v>0.22581</v>
      </c>
    </row>
    <row r="566">
      <c r="A566" t="inlineStr">
        <is>
          <t>2028_Październik_W5</t>
        </is>
      </c>
      <c r="B566" t="n">
        <v>2028</v>
      </c>
      <c r="C566" t="inlineStr">
        <is>
          <t>Październik</t>
        </is>
      </c>
      <c r="D566" t="inlineStr">
        <is>
          <t>W5</t>
        </is>
      </c>
      <c r="E566" t="n">
        <v>7</v>
      </c>
      <c r="F566" t="inlineStr">
        <is>
          <t>Pełny (7 dni)</t>
        </is>
      </c>
      <c r="G566" t="inlineStr">
        <is>
          <t>24.10</t>
        </is>
      </c>
      <c r="H566" t="inlineStr">
        <is>
          <t>30.10</t>
        </is>
      </c>
      <c r="I566" t="n">
        <v>272</v>
      </c>
      <c r="J566" t="n">
        <v>0.22581</v>
      </c>
    </row>
    <row r="567">
      <c r="A567" t="inlineStr">
        <is>
          <t>2028_Październik_W6</t>
        </is>
      </c>
      <c r="B567" t="n">
        <v>2028</v>
      </c>
      <c r="C567" t="inlineStr">
        <is>
          <t>Październik</t>
        </is>
      </c>
      <c r="D567" t="inlineStr">
        <is>
          <t>W6</t>
        </is>
      </c>
      <c r="E567" t="n">
        <v>1</v>
      </c>
      <c r="F567" t="inlineStr">
        <is>
          <t>Niepełny (1 dni)</t>
        </is>
      </c>
      <c r="G567" t="inlineStr">
        <is>
          <t>31.10</t>
        </is>
      </c>
      <c r="H567" t="inlineStr">
        <is>
          <t>31.10</t>
        </is>
      </c>
      <c r="I567" t="n">
        <v>40</v>
      </c>
      <c r="J567" t="n">
        <v>0.03226</v>
      </c>
    </row>
    <row r="568">
      <c r="A568" t="inlineStr">
        <is>
          <t>2028_Listopad_W1</t>
        </is>
      </c>
      <c r="B568" t="n">
        <v>2028</v>
      </c>
      <c r="C568" t="inlineStr">
        <is>
          <t>Listopad</t>
        </is>
      </c>
      <c r="D568" t="inlineStr">
        <is>
          <t>W1</t>
        </is>
      </c>
      <c r="E568" t="n">
        <v>6</v>
      </c>
      <c r="F568" t="inlineStr">
        <is>
          <t>Niepełny (6 dni)</t>
        </is>
      </c>
      <c r="G568" t="inlineStr">
        <is>
          <t>01.11</t>
        </is>
      </c>
      <c r="H568" t="inlineStr">
        <is>
          <t>06.11</t>
        </is>
      </c>
      <c r="I568" t="n">
        <v>232</v>
      </c>
      <c r="J568" t="n">
        <v>0.2</v>
      </c>
    </row>
    <row r="569">
      <c r="A569" t="inlineStr">
        <is>
          <t>2028_Listopad_W2</t>
        </is>
      </c>
      <c r="B569" t="n">
        <v>2028</v>
      </c>
      <c r="C569" t="inlineStr">
        <is>
          <t>Listopad</t>
        </is>
      </c>
      <c r="D569" t="inlineStr">
        <is>
          <t>W2</t>
        </is>
      </c>
      <c r="E569" t="n">
        <v>7</v>
      </c>
      <c r="F569" t="inlineStr">
        <is>
          <t>Pełny (7 dni)</t>
        </is>
      </c>
      <c r="G569" t="inlineStr">
        <is>
          <t>07.11</t>
        </is>
      </c>
      <c r="H569" t="inlineStr">
        <is>
          <t>13.11</t>
        </is>
      </c>
      <c r="I569" t="n">
        <v>272</v>
      </c>
      <c r="J569" t="n">
        <v>0.23333</v>
      </c>
    </row>
    <row r="570">
      <c r="A570" t="inlineStr">
        <is>
          <t>2028_Listopad_W3</t>
        </is>
      </c>
      <c r="B570" t="n">
        <v>2028</v>
      </c>
      <c r="C570" t="inlineStr">
        <is>
          <t>Listopad</t>
        </is>
      </c>
      <c r="D570" t="inlineStr">
        <is>
          <t>W3</t>
        </is>
      </c>
      <c r="E570" t="n">
        <v>7</v>
      </c>
      <c r="F570" t="inlineStr">
        <is>
          <t>Pełny (7 dni)</t>
        </is>
      </c>
      <c r="G570" t="inlineStr">
        <is>
          <t>14.11</t>
        </is>
      </c>
      <c r="H570" t="inlineStr">
        <is>
          <t>20.11</t>
        </is>
      </c>
      <c r="I570" t="n">
        <v>272</v>
      </c>
      <c r="J570" t="n">
        <v>0.23333</v>
      </c>
    </row>
    <row r="571">
      <c r="A571" t="inlineStr">
        <is>
          <t>2028_Listopad_W4</t>
        </is>
      </c>
      <c r="B571" t="n">
        <v>2028</v>
      </c>
      <c r="C571" t="inlineStr">
        <is>
          <t>Listopad</t>
        </is>
      </c>
      <c r="D571" t="inlineStr">
        <is>
          <t>W4</t>
        </is>
      </c>
      <c r="E571" t="n">
        <v>7</v>
      </c>
      <c r="F571" t="inlineStr">
        <is>
          <t>Pełny (7 dni)</t>
        </is>
      </c>
      <c r="G571" t="inlineStr">
        <is>
          <t>21.11</t>
        </is>
      </c>
      <c r="H571" t="inlineStr">
        <is>
          <t>27.11</t>
        </is>
      </c>
      <c r="I571" t="n">
        <v>272</v>
      </c>
      <c r="J571" t="n">
        <v>0.23333</v>
      </c>
    </row>
    <row r="572">
      <c r="A572" t="inlineStr">
        <is>
          <t>2028_Listopad_W5</t>
        </is>
      </c>
      <c r="B572" t="n">
        <v>2028</v>
      </c>
      <c r="C572" t="inlineStr">
        <is>
          <t>Listopad</t>
        </is>
      </c>
      <c r="D572" t="inlineStr">
        <is>
          <t>W5</t>
        </is>
      </c>
      <c r="E572" t="n">
        <v>3</v>
      </c>
      <c r="F572" t="inlineStr">
        <is>
          <t>Niepełny (3 dni)</t>
        </is>
      </c>
      <c r="G572" t="inlineStr">
        <is>
          <t>28.11</t>
        </is>
      </c>
      <c r="H572" t="inlineStr">
        <is>
          <t>30.11</t>
        </is>
      </c>
      <c r="I572" t="n">
        <v>120</v>
      </c>
      <c r="J572" t="n">
        <v>0.1</v>
      </c>
    </row>
    <row r="573">
      <c r="A573" t="inlineStr">
        <is>
          <t>2028_Listopad_W6</t>
        </is>
      </c>
      <c r="B573" t="n">
        <v>2028</v>
      </c>
      <c r="C573" t="inlineStr">
        <is>
          <t>Listopad</t>
        </is>
      </c>
      <c r="D573" t="inlineStr">
        <is>
          <t>W6</t>
        </is>
      </c>
      <c r="E573" t="n">
        <v>0</v>
      </c>
      <c r="F573" t="inlineStr">
        <is>
          <t>Brak w miesiącu</t>
        </is>
      </c>
      <c r="G573" t="inlineStr">
        <is>
          <t>-</t>
        </is>
      </c>
      <c r="H573" t="inlineStr">
        <is>
          <t>-</t>
        </is>
      </c>
      <c r="I573" t="n">
        <v>0</v>
      </c>
      <c r="J573" t="n">
        <v>0</v>
      </c>
    </row>
    <row r="574">
      <c r="A574" t="inlineStr">
        <is>
          <t>2028_Grudzień_W1</t>
        </is>
      </c>
      <c r="B574" t="n">
        <v>2028</v>
      </c>
      <c r="C574" t="inlineStr">
        <is>
          <t>Grudzień</t>
        </is>
      </c>
      <c r="D574" t="inlineStr">
        <is>
          <t>W1</t>
        </is>
      </c>
      <c r="E574" t="n">
        <v>4</v>
      </c>
      <c r="F574" t="inlineStr">
        <is>
          <t>Niepełny (4 dni)</t>
        </is>
      </c>
      <c r="G574" t="inlineStr">
        <is>
          <t>01.12</t>
        </is>
      </c>
      <c r="H574" t="inlineStr">
        <is>
          <t>04.12</t>
        </is>
      </c>
      <c r="I574" t="n">
        <v>152</v>
      </c>
      <c r="J574" t="n">
        <v>0.12903</v>
      </c>
    </row>
    <row r="575">
      <c r="A575" t="inlineStr">
        <is>
          <t>2028_Grudzień_W2</t>
        </is>
      </c>
      <c r="B575" t="n">
        <v>2028</v>
      </c>
      <c r="C575" t="inlineStr">
        <is>
          <t>Grudzień</t>
        </is>
      </c>
      <c r="D575" t="inlineStr">
        <is>
          <t>W2</t>
        </is>
      </c>
      <c r="E575" t="n">
        <v>7</v>
      </c>
      <c r="F575" t="inlineStr">
        <is>
          <t>Pełny (7 dni)</t>
        </is>
      </c>
      <c r="G575" t="inlineStr">
        <is>
          <t>05.12</t>
        </is>
      </c>
      <c r="H575" t="inlineStr">
        <is>
          <t>11.12</t>
        </is>
      </c>
      <c r="I575" t="n">
        <v>272</v>
      </c>
      <c r="J575" t="n">
        <v>0.22581</v>
      </c>
    </row>
    <row r="576">
      <c r="A576" t="inlineStr">
        <is>
          <t>2028_Grudzień_W3</t>
        </is>
      </c>
      <c r="B576" t="n">
        <v>2028</v>
      </c>
      <c r="C576" t="inlineStr">
        <is>
          <t>Grudzień</t>
        </is>
      </c>
      <c r="D576" t="inlineStr">
        <is>
          <t>W3</t>
        </is>
      </c>
      <c r="E576" t="n">
        <v>7</v>
      </c>
      <c r="F576" t="inlineStr">
        <is>
          <t>Pełny (7 dni)</t>
        </is>
      </c>
      <c r="G576" t="inlineStr">
        <is>
          <t>12.12</t>
        </is>
      </c>
      <c r="H576" t="inlineStr">
        <is>
          <t>18.12</t>
        </is>
      </c>
      <c r="I576" t="n">
        <v>272</v>
      </c>
      <c r="J576" t="n">
        <v>0.22581</v>
      </c>
    </row>
    <row r="577">
      <c r="A577" t="inlineStr">
        <is>
          <t>2028_Grudzień_W4</t>
        </is>
      </c>
      <c r="B577" t="n">
        <v>2028</v>
      </c>
      <c r="C577" t="inlineStr">
        <is>
          <t>Grudzień</t>
        </is>
      </c>
      <c r="D577" t="inlineStr">
        <is>
          <t>W4</t>
        </is>
      </c>
      <c r="E577" t="n">
        <v>7</v>
      </c>
      <c r="F577" t="inlineStr">
        <is>
          <t>Pełny (7 dni)</t>
        </is>
      </c>
      <c r="G577" t="inlineStr">
        <is>
          <t>19.12</t>
        </is>
      </c>
      <c r="H577" t="inlineStr">
        <is>
          <t>25.12</t>
        </is>
      </c>
      <c r="I577" t="n">
        <v>272</v>
      </c>
      <c r="J577" t="n">
        <v>0.22581</v>
      </c>
    </row>
    <row r="578">
      <c r="A578" t="inlineStr">
        <is>
          <t>2028_Grudzień_W5</t>
        </is>
      </c>
      <c r="B578" t="n">
        <v>2028</v>
      </c>
      <c r="C578" t="inlineStr">
        <is>
          <t>Grudzień</t>
        </is>
      </c>
      <c r="D578" t="inlineStr">
        <is>
          <t>W5</t>
        </is>
      </c>
      <c r="E578" t="n">
        <v>6</v>
      </c>
      <c r="F578" t="inlineStr">
        <is>
          <t>Niepełny (6 dni)</t>
        </is>
      </c>
      <c r="G578" t="inlineStr">
        <is>
          <t>26.12</t>
        </is>
      </c>
      <c r="H578" t="inlineStr">
        <is>
          <t>31.12</t>
        </is>
      </c>
      <c r="I578" t="n">
        <v>232</v>
      </c>
      <c r="J578" t="n">
        <v>0.19355</v>
      </c>
    </row>
    <row r="579">
      <c r="A579" t="inlineStr">
        <is>
          <t>2028_Grudzień_W6</t>
        </is>
      </c>
      <c r="B579" t="n">
        <v>2028</v>
      </c>
      <c r="C579" t="inlineStr">
        <is>
          <t>Grudzień</t>
        </is>
      </c>
      <c r="D579" t="inlineStr">
        <is>
          <t>W6</t>
        </is>
      </c>
      <c r="E579" t="n">
        <v>0</v>
      </c>
      <c r="F579" t="inlineStr">
        <is>
          <t>Brak w miesiącu</t>
        </is>
      </c>
      <c r="G579" t="inlineStr">
        <is>
          <t>-</t>
        </is>
      </c>
      <c r="H579" t="inlineStr">
        <is>
          <t>-</t>
        </is>
      </c>
      <c r="I579" t="n">
        <v>0</v>
      </c>
      <c r="J579" t="n">
        <v>0</v>
      </c>
    </row>
    <row r="580">
      <c r="A580" t="inlineStr">
        <is>
          <t>2029_Styczeń_W1</t>
        </is>
      </c>
      <c r="B580" t="n">
        <v>2029</v>
      </c>
      <c r="C580" t="inlineStr">
        <is>
          <t>Styczeń</t>
        </is>
      </c>
      <c r="D580" t="inlineStr">
        <is>
          <t>W1</t>
        </is>
      </c>
      <c r="E580" t="n">
        <v>1</v>
      </c>
      <c r="F580" t="inlineStr">
        <is>
          <t>Niepełny (1 dni)</t>
        </is>
      </c>
      <c r="G580" t="inlineStr">
        <is>
          <t>01.01</t>
        </is>
      </c>
      <c r="H580" t="inlineStr">
        <is>
          <t>01.01</t>
        </is>
      </c>
      <c r="I580" t="n">
        <v>40</v>
      </c>
      <c r="J580" t="n">
        <v>0.03226</v>
      </c>
    </row>
    <row r="581">
      <c r="A581" t="inlineStr">
        <is>
          <t>2029_Styczeń_W2</t>
        </is>
      </c>
      <c r="B581" t="n">
        <v>2029</v>
      </c>
      <c r="C581" t="inlineStr">
        <is>
          <t>Styczeń</t>
        </is>
      </c>
      <c r="D581" t="inlineStr">
        <is>
          <t>W2</t>
        </is>
      </c>
      <c r="E581" t="n">
        <v>7</v>
      </c>
      <c r="F581" t="inlineStr">
        <is>
          <t>Pełny (7 dni)</t>
        </is>
      </c>
      <c r="G581" t="inlineStr">
        <is>
          <t>02.01</t>
        </is>
      </c>
      <c r="H581" t="inlineStr">
        <is>
          <t>08.01</t>
        </is>
      </c>
      <c r="I581" t="n">
        <v>272</v>
      </c>
      <c r="J581" t="n">
        <v>0.22581</v>
      </c>
    </row>
    <row r="582">
      <c r="A582" t="inlineStr">
        <is>
          <t>2029_Styczeń_W3</t>
        </is>
      </c>
      <c r="B582" t="n">
        <v>2029</v>
      </c>
      <c r="C582" t="inlineStr">
        <is>
          <t>Styczeń</t>
        </is>
      </c>
      <c r="D582" t="inlineStr">
        <is>
          <t>W3</t>
        </is>
      </c>
      <c r="E582" t="n">
        <v>7</v>
      </c>
      <c r="F582" t="inlineStr">
        <is>
          <t>Pełny (7 dni)</t>
        </is>
      </c>
      <c r="G582" t="inlineStr">
        <is>
          <t>09.01</t>
        </is>
      </c>
      <c r="H582" t="inlineStr">
        <is>
          <t>15.01</t>
        </is>
      </c>
      <c r="I582" t="n">
        <v>272</v>
      </c>
      <c r="J582" t="n">
        <v>0.22581</v>
      </c>
    </row>
    <row r="583">
      <c r="A583" t="inlineStr">
        <is>
          <t>2029_Styczeń_W4</t>
        </is>
      </c>
      <c r="B583" t="n">
        <v>2029</v>
      </c>
      <c r="C583" t="inlineStr">
        <is>
          <t>Styczeń</t>
        </is>
      </c>
      <c r="D583" t="inlineStr">
        <is>
          <t>W4</t>
        </is>
      </c>
      <c r="E583" t="n">
        <v>7</v>
      </c>
      <c r="F583" t="inlineStr">
        <is>
          <t>Pełny (7 dni)</t>
        </is>
      </c>
      <c r="G583" t="inlineStr">
        <is>
          <t>16.01</t>
        </is>
      </c>
      <c r="H583" t="inlineStr">
        <is>
          <t>22.01</t>
        </is>
      </c>
      <c r="I583" t="n">
        <v>272</v>
      </c>
      <c r="J583" t="n">
        <v>0.22581</v>
      </c>
    </row>
    <row r="584">
      <c r="A584" t="inlineStr">
        <is>
          <t>2029_Styczeń_W5</t>
        </is>
      </c>
      <c r="B584" t="n">
        <v>2029</v>
      </c>
      <c r="C584" t="inlineStr">
        <is>
          <t>Styczeń</t>
        </is>
      </c>
      <c r="D584" t="inlineStr">
        <is>
          <t>W5</t>
        </is>
      </c>
      <c r="E584" t="n">
        <v>7</v>
      </c>
      <c r="F584" t="inlineStr">
        <is>
          <t>Pełny (7 dni)</t>
        </is>
      </c>
      <c r="G584" t="inlineStr">
        <is>
          <t>23.01</t>
        </is>
      </c>
      <c r="H584" t="inlineStr">
        <is>
          <t>29.01</t>
        </is>
      </c>
      <c r="I584" t="n">
        <v>272</v>
      </c>
      <c r="J584" t="n">
        <v>0.22581</v>
      </c>
    </row>
    <row r="585">
      <c r="A585" t="inlineStr">
        <is>
          <t>2029_Styczeń_W6</t>
        </is>
      </c>
      <c r="B585" t="n">
        <v>2029</v>
      </c>
      <c r="C585" t="inlineStr">
        <is>
          <t>Styczeń</t>
        </is>
      </c>
      <c r="D585" t="inlineStr">
        <is>
          <t>W6</t>
        </is>
      </c>
      <c r="E585" t="n">
        <v>2</v>
      </c>
      <c r="F585" t="inlineStr">
        <is>
          <t>Niepełny (2 dni)</t>
        </is>
      </c>
      <c r="G585" t="inlineStr">
        <is>
          <t>30.01</t>
        </is>
      </c>
      <c r="H585" t="inlineStr">
        <is>
          <t>31.01</t>
        </is>
      </c>
      <c r="I585" t="n">
        <v>80</v>
      </c>
      <c r="J585" t="n">
        <v>0.06451999999999999</v>
      </c>
    </row>
    <row r="586">
      <c r="A586" t="inlineStr">
        <is>
          <t>2029_Luty_W1</t>
        </is>
      </c>
      <c r="B586" t="n">
        <v>2029</v>
      </c>
      <c r="C586" t="inlineStr">
        <is>
          <t>Luty</t>
        </is>
      </c>
      <c r="D586" t="inlineStr">
        <is>
          <t>W1</t>
        </is>
      </c>
      <c r="E586" t="n">
        <v>5</v>
      </c>
      <c r="F586" t="inlineStr">
        <is>
          <t>Niepełny (5 dni)</t>
        </is>
      </c>
      <c r="G586" t="inlineStr">
        <is>
          <t>01.02</t>
        </is>
      </c>
      <c r="H586" t="inlineStr">
        <is>
          <t>05.02</t>
        </is>
      </c>
      <c r="I586" t="n">
        <v>192</v>
      </c>
      <c r="J586" t="n">
        <v>0.17857</v>
      </c>
    </row>
    <row r="587">
      <c r="A587" t="inlineStr">
        <is>
          <t>2029_Luty_W2</t>
        </is>
      </c>
      <c r="B587" t="n">
        <v>2029</v>
      </c>
      <c r="C587" t="inlineStr">
        <is>
          <t>Luty</t>
        </is>
      </c>
      <c r="D587" t="inlineStr">
        <is>
          <t>W2</t>
        </is>
      </c>
      <c r="E587" t="n">
        <v>7</v>
      </c>
      <c r="F587" t="inlineStr">
        <is>
          <t>Pełny (7 dni)</t>
        </is>
      </c>
      <c r="G587" t="inlineStr">
        <is>
          <t>06.02</t>
        </is>
      </c>
      <c r="H587" t="inlineStr">
        <is>
          <t>12.02</t>
        </is>
      </c>
      <c r="I587" t="n">
        <v>272</v>
      </c>
      <c r="J587" t="n">
        <v>0.25</v>
      </c>
    </row>
    <row r="588">
      <c r="A588" t="inlineStr">
        <is>
          <t>2029_Luty_W3</t>
        </is>
      </c>
      <c r="B588" t="n">
        <v>2029</v>
      </c>
      <c r="C588" t="inlineStr">
        <is>
          <t>Luty</t>
        </is>
      </c>
      <c r="D588" t="inlineStr">
        <is>
          <t>W3</t>
        </is>
      </c>
      <c r="E588" t="n">
        <v>7</v>
      </c>
      <c r="F588" t="inlineStr">
        <is>
          <t>Pełny (7 dni)</t>
        </is>
      </c>
      <c r="G588" t="inlineStr">
        <is>
          <t>13.02</t>
        </is>
      </c>
      <c r="H588" t="inlineStr">
        <is>
          <t>19.02</t>
        </is>
      </c>
      <c r="I588" t="n">
        <v>272</v>
      </c>
      <c r="J588" t="n">
        <v>0.25</v>
      </c>
    </row>
    <row r="589">
      <c r="A589" t="inlineStr">
        <is>
          <t>2029_Luty_W4</t>
        </is>
      </c>
      <c r="B589" t="n">
        <v>2029</v>
      </c>
      <c r="C589" t="inlineStr">
        <is>
          <t>Luty</t>
        </is>
      </c>
      <c r="D589" t="inlineStr">
        <is>
          <t>W4</t>
        </is>
      </c>
      <c r="E589" t="n">
        <v>7</v>
      </c>
      <c r="F589" t="inlineStr">
        <is>
          <t>Pełny (7 dni)</t>
        </is>
      </c>
      <c r="G589" t="inlineStr">
        <is>
          <t>20.02</t>
        </is>
      </c>
      <c r="H589" t="inlineStr">
        <is>
          <t>26.02</t>
        </is>
      </c>
      <c r="I589" t="n">
        <v>272</v>
      </c>
      <c r="J589" t="n">
        <v>0.25</v>
      </c>
    </row>
    <row r="590">
      <c r="A590" t="inlineStr">
        <is>
          <t>2029_Luty_W5</t>
        </is>
      </c>
      <c r="B590" t="n">
        <v>2029</v>
      </c>
      <c r="C590" t="inlineStr">
        <is>
          <t>Luty</t>
        </is>
      </c>
      <c r="D590" t="inlineStr">
        <is>
          <t>W5</t>
        </is>
      </c>
      <c r="E590" t="n">
        <v>2</v>
      </c>
      <c r="F590" t="inlineStr">
        <is>
          <t>Niepełny (2 dni)</t>
        </is>
      </c>
      <c r="G590" t="inlineStr">
        <is>
          <t>27.02</t>
        </is>
      </c>
      <c r="H590" t="inlineStr">
        <is>
          <t>28.02</t>
        </is>
      </c>
      <c r="I590" t="n">
        <v>80</v>
      </c>
      <c r="J590" t="n">
        <v>0.07142999999999999</v>
      </c>
    </row>
    <row r="591">
      <c r="A591" t="inlineStr">
        <is>
          <t>2029_Luty_W6</t>
        </is>
      </c>
      <c r="B591" t="n">
        <v>2029</v>
      </c>
      <c r="C591" t="inlineStr">
        <is>
          <t>Luty</t>
        </is>
      </c>
      <c r="D591" t="inlineStr">
        <is>
          <t>W6</t>
        </is>
      </c>
      <c r="E591" t="n">
        <v>0</v>
      </c>
      <c r="F591" t="inlineStr">
        <is>
          <t>Brak w miesiącu</t>
        </is>
      </c>
      <c r="G591" t="inlineStr">
        <is>
          <t>-</t>
        </is>
      </c>
      <c r="H591" t="inlineStr">
        <is>
          <t>-</t>
        </is>
      </c>
      <c r="I591" t="n">
        <v>0</v>
      </c>
      <c r="J591" t="n">
        <v>0</v>
      </c>
    </row>
    <row r="592">
      <c r="A592" t="inlineStr">
        <is>
          <t>2029_Marzec_W1</t>
        </is>
      </c>
      <c r="B592" t="n">
        <v>2029</v>
      </c>
      <c r="C592" t="inlineStr">
        <is>
          <t>Marzec</t>
        </is>
      </c>
      <c r="D592" t="inlineStr">
        <is>
          <t>W1</t>
        </is>
      </c>
      <c r="E592" t="n">
        <v>5</v>
      </c>
      <c r="F592" t="inlineStr">
        <is>
          <t>Niepełny (5 dni)</t>
        </is>
      </c>
      <c r="G592" t="inlineStr">
        <is>
          <t>01.03</t>
        </is>
      </c>
      <c r="H592" t="inlineStr">
        <is>
          <t>05.03</t>
        </is>
      </c>
      <c r="I592" t="n">
        <v>192</v>
      </c>
      <c r="J592" t="n">
        <v>0.16129</v>
      </c>
    </row>
    <row r="593">
      <c r="A593" t="inlineStr">
        <is>
          <t>2029_Marzec_W2</t>
        </is>
      </c>
      <c r="B593" t="n">
        <v>2029</v>
      </c>
      <c r="C593" t="inlineStr">
        <is>
          <t>Marzec</t>
        </is>
      </c>
      <c r="D593" t="inlineStr">
        <is>
          <t>W2</t>
        </is>
      </c>
      <c r="E593" t="n">
        <v>7</v>
      </c>
      <c r="F593" t="inlineStr">
        <is>
          <t>Pełny (7 dni)</t>
        </is>
      </c>
      <c r="G593" t="inlineStr">
        <is>
          <t>06.03</t>
        </is>
      </c>
      <c r="H593" t="inlineStr">
        <is>
          <t>12.03</t>
        </is>
      </c>
      <c r="I593" t="n">
        <v>272</v>
      </c>
      <c r="J593" t="n">
        <v>0.22581</v>
      </c>
    </row>
    <row r="594">
      <c r="A594" t="inlineStr">
        <is>
          <t>2029_Marzec_W3</t>
        </is>
      </c>
      <c r="B594" t="n">
        <v>2029</v>
      </c>
      <c r="C594" t="inlineStr">
        <is>
          <t>Marzec</t>
        </is>
      </c>
      <c r="D594" t="inlineStr">
        <is>
          <t>W3</t>
        </is>
      </c>
      <c r="E594" t="n">
        <v>7</v>
      </c>
      <c r="F594" t="inlineStr">
        <is>
          <t>Pełny (7 dni)</t>
        </is>
      </c>
      <c r="G594" t="inlineStr">
        <is>
          <t>13.03</t>
        </is>
      </c>
      <c r="H594" t="inlineStr">
        <is>
          <t>19.03</t>
        </is>
      </c>
      <c r="I594" t="n">
        <v>272</v>
      </c>
      <c r="J594" t="n">
        <v>0.22581</v>
      </c>
    </row>
    <row r="595">
      <c r="A595" t="inlineStr">
        <is>
          <t>2029_Marzec_W4</t>
        </is>
      </c>
      <c r="B595" t="n">
        <v>2029</v>
      </c>
      <c r="C595" t="inlineStr">
        <is>
          <t>Marzec</t>
        </is>
      </c>
      <c r="D595" t="inlineStr">
        <is>
          <t>W4</t>
        </is>
      </c>
      <c r="E595" t="n">
        <v>7</v>
      </c>
      <c r="F595" t="inlineStr">
        <is>
          <t>Pełny (7 dni)</t>
        </is>
      </c>
      <c r="G595" t="inlineStr">
        <is>
          <t>20.03</t>
        </is>
      </c>
      <c r="H595" t="inlineStr">
        <is>
          <t>26.03</t>
        </is>
      </c>
      <c r="I595" t="n">
        <v>272</v>
      </c>
      <c r="J595" t="n">
        <v>0.22581</v>
      </c>
    </row>
    <row r="596">
      <c r="A596" t="inlineStr">
        <is>
          <t>2029_Marzec_W5</t>
        </is>
      </c>
      <c r="B596" t="n">
        <v>2029</v>
      </c>
      <c r="C596" t="inlineStr">
        <is>
          <t>Marzec</t>
        </is>
      </c>
      <c r="D596" t="inlineStr">
        <is>
          <t>W5</t>
        </is>
      </c>
      <c r="E596" t="n">
        <v>5</v>
      </c>
      <c r="F596" t="inlineStr">
        <is>
          <t>Niepełny (5 dni)</t>
        </is>
      </c>
      <c r="G596" t="inlineStr">
        <is>
          <t>27.03</t>
        </is>
      </c>
      <c r="H596" t="inlineStr">
        <is>
          <t>31.03</t>
        </is>
      </c>
      <c r="I596" t="n">
        <v>200</v>
      </c>
      <c r="J596" t="n">
        <v>0.16129</v>
      </c>
    </row>
    <row r="597">
      <c r="A597" t="inlineStr">
        <is>
          <t>2029_Marzec_W6</t>
        </is>
      </c>
      <c r="B597" t="n">
        <v>2029</v>
      </c>
      <c r="C597" t="inlineStr">
        <is>
          <t>Marzec</t>
        </is>
      </c>
      <c r="D597" t="inlineStr">
        <is>
          <t>W6</t>
        </is>
      </c>
      <c r="E597" t="n">
        <v>0</v>
      </c>
      <c r="F597" t="inlineStr">
        <is>
          <t>Brak w miesiącu</t>
        </is>
      </c>
      <c r="G597" t="inlineStr">
        <is>
          <t>-</t>
        </is>
      </c>
      <c r="H597" t="inlineStr">
        <is>
          <t>-</t>
        </is>
      </c>
      <c r="I597" t="n">
        <v>0</v>
      </c>
      <c r="J597" t="n">
        <v>0</v>
      </c>
    </row>
    <row r="598">
      <c r="A598" t="inlineStr">
        <is>
          <t>2029_Kwiecień_W1</t>
        </is>
      </c>
      <c r="B598" t="n">
        <v>2029</v>
      </c>
      <c r="C598" t="inlineStr">
        <is>
          <t>Kwiecień</t>
        </is>
      </c>
      <c r="D598" t="inlineStr">
        <is>
          <t>W1</t>
        </is>
      </c>
      <c r="E598" t="n">
        <v>2</v>
      </c>
      <c r="F598" t="inlineStr">
        <is>
          <t>Niepełny (2 dni)</t>
        </is>
      </c>
      <c r="G598" t="inlineStr">
        <is>
          <t>01.04</t>
        </is>
      </c>
      <c r="H598" t="inlineStr">
        <is>
          <t>02.04</t>
        </is>
      </c>
      <c r="I598" t="n">
        <v>72</v>
      </c>
      <c r="J598" t="n">
        <v>0.06666999999999999</v>
      </c>
    </row>
    <row r="599">
      <c r="A599" t="inlineStr">
        <is>
          <t>2029_Kwiecień_W2</t>
        </is>
      </c>
      <c r="B599" t="n">
        <v>2029</v>
      </c>
      <c r="C599" t="inlineStr">
        <is>
          <t>Kwiecień</t>
        </is>
      </c>
      <c r="D599" t="inlineStr">
        <is>
          <t>W2</t>
        </is>
      </c>
      <c r="E599" t="n">
        <v>7</v>
      </c>
      <c r="F599" t="inlineStr">
        <is>
          <t>Pełny (7 dni)</t>
        </is>
      </c>
      <c r="G599" t="inlineStr">
        <is>
          <t>03.04</t>
        </is>
      </c>
      <c r="H599" t="inlineStr">
        <is>
          <t>09.04</t>
        </is>
      </c>
      <c r="I599" t="n">
        <v>272</v>
      </c>
      <c r="J599" t="n">
        <v>0.23333</v>
      </c>
    </row>
    <row r="600">
      <c r="A600" t="inlineStr">
        <is>
          <t>2029_Kwiecień_W3</t>
        </is>
      </c>
      <c r="B600" t="n">
        <v>2029</v>
      </c>
      <c r="C600" t="inlineStr">
        <is>
          <t>Kwiecień</t>
        </is>
      </c>
      <c r="D600" t="inlineStr">
        <is>
          <t>W3</t>
        </is>
      </c>
      <c r="E600" t="n">
        <v>7</v>
      </c>
      <c r="F600" t="inlineStr">
        <is>
          <t>Pełny (7 dni)</t>
        </is>
      </c>
      <c r="G600" t="inlineStr">
        <is>
          <t>10.04</t>
        </is>
      </c>
      <c r="H600" t="inlineStr">
        <is>
          <t>16.04</t>
        </is>
      </c>
      <c r="I600" t="n">
        <v>272</v>
      </c>
      <c r="J600" t="n">
        <v>0.23333</v>
      </c>
    </row>
    <row r="601">
      <c r="A601" t="inlineStr">
        <is>
          <t>2029_Kwiecień_W4</t>
        </is>
      </c>
      <c r="B601" t="n">
        <v>2029</v>
      </c>
      <c r="C601" t="inlineStr">
        <is>
          <t>Kwiecień</t>
        </is>
      </c>
      <c r="D601" t="inlineStr">
        <is>
          <t>W4</t>
        </is>
      </c>
      <c r="E601" t="n">
        <v>7</v>
      </c>
      <c r="F601" t="inlineStr">
        <is>
          <t>Pełny (7 dni)</t>
        </is>
      </c>
      <c r="G601" t="inlineStr">
        <is>
          <t>17.04</t>
        </is>
      </c>
      <c r="H601" t="inlineStr">
        <is>
          <t>23.04</t>
        </is>
      </c>
      <c r="I601" t="n">
        <v>272</v>
      </c>
      <c r="J601" t="n">
        <v>0.23333</v>
      </c>
    </row>
    <row r="602">
      <c r="A602" t="inlineStr">
        <is>
          <t>2029_Kwiecień_W5</t>
        </is>
      </c>
      <c r="B602" t="n">
        <v>2029</v>
      </c>
      <c r="C602" t="inlineStr">
        <is>
          <t>Kwiecień</t>
        </is>
      </c>
      <c r="D602" t="inlineStr">
        <is>
          <t>W5</t>
        </is>
      </c>
      <c r="E602" t="n">
        <v>7</v>
      </c>
      <c r="F602" t="inlineStr">
        <is>
          <t>Pełny (7 dni)</t>
        </is>
      </c>
      <c r="G602" t="inlineStr">
        <is>
          <t>24.04</t>
        </is>
      </c>
      <c r="H602" t="inlineStr">
        <is>
          <t>30.04</t>
        </is>
      </c>
      <c r="I602" t="n">
        <v>272</v>
      </c>
      <c r="J602" t="n">
        <v>0.23333</v>
      </c>
    </row>
    <row r="603">
      <c r="A603" t="inlineStr">
        <is>
          <t>2029_Kwiecień_W6</t>
        </is>
      </c>
      <c r="B603" t="n">
        <v>2029</v>
      </c>
      <c r="C603" t="inlineStr">
        <is>
          <t>Kwiecień</t>
        </is>
      </c>
      <c r="D603" t="inlineStr">
        <is>
          <t>W6</t>
        </is>
      </c>
      <c r="E603" t="n">
        <v>0</v>
      </c>
      <c r="F603" t="inlineStr">
        <is>
          <t>Brak w miesiącu</t>
        </is>
      </c>
      <c r="G603" t="inlineStr">
        <is>
          <t>-</t>
        </is>
      </c>
      <c r="H603" t="inlineStr">
        <is>
          <t>-</t>
        </is>
      </c>
      <c r="I603" t="n">
        <v>0</v>
      </c>
      <c r="J603" t="n">
        <v>0</v>
      </c>
    </row>
    <row r="604">
      <c r="A604" t="inlineStr">
        <is>
          <t>2029_Maj_W1</t>
        </is>
      </c>
      <c r="B604" t="n">
        <v>2029</v>
      </c>
      <c r="C604" t="inlineStr">
        <is>
          <t>Maj</t>
        </is>
      </c>
      <c r="D604" t="inlineStr">
        <is>
          <t>W1</t>
        </is>
      </c>
      <c r="E604" t="n">
        <v>7</v>
      </c>
      <c r="F604" t="inlineStr">
        <is>
          <t>Pełny (7 dni)</t>
        </is>
      </c>
      <c r="G604" t="inlineStr">
        <is>
          <t>01.05</t>
        </is>
      </c>
      <c r="H604" t="inlineStr">
        <is>
          <t>07.05</t>
        </is>
      </c>
      <c r="I604" t="n">
        <v>272</v>
      </c>
      <c r="J604" t="n">
        <v>0.22581</v>
      </c>
    </row>
    <row r="605">
      <c r="A605" t="inlineStr">
        <is>
          <t>2029_Maj_W2</t>
        </is>
      </c>
      <c r="B605" t="n">
        <v>2029</v>
      </c>
      <c r="C605" t="inlineStr">
        <is>
          <t>Maj</t>
        </is>
      </c>
      <c r="D605" t="inlineStr">
        <is>
          <t>W2</t>
        </is>
      </c>
      <c r="E605" t="n">
        <v>7</v>
      </c>
      <c r="F605" t="inlineStr">
        <is>
          <t>Pełny (7 dni)</t>
        </is>
      </c>
      <c r="G605" t="inlineStr">
        <is>
          <t>08.05</t>
        </is>
      </c>
      <c r="H605" t="inlineStr">
        <is>
          <t>14.05</t>
        </is>
      </c>
      <c r="I605" t="n">
        <v>272</v>
      </c>
      <c r="J605" t="n">
        <v>0.22581</v>
      </c>
    </row>
    <row r="606">
      <c r="A606" t="inlineStr">
        <is>
          <t>2029_Maj_W3</t>
        </is>
      </c>
      <c r="B606" t="n">
        <v>2029</v>
      </c>
      <c r="C606" t="inlineStr">
        <is>
          <t>Maj</t>
        </is>
      </c>
      <c r="D606" t="inlineStr">
        <is>
          <t>W3</t>
        </is>
      </c>
      <c r="E606" t="n">
        <v>7</v>
      </c>
      <c r="F606" t="inlineStr">
        <is>
          <t>Pełny (7 dni)</t>
        </is>
      </c>
      <c r="G606" t="inlineStr">
        <is>
          <t>15.05</t>
        </is>
      </c>
      <c r="H606" t="inlineStr">
        <is>
          <t>21.05</t>
        </is>
      </c>
      <c r="I606" t="n">
        <v>272</v>
      </c>
      <c r="J606" t="n">
        <v>0.22581</v>
      </c>
    </row>
    <row r="607">
      <c r="A607" t="inlineStr">
        <is>
          <t>2029_Maj_W4</t>
        </is>
      </c>
      <c r="B607" t="n">
        <v>2029</v>
      </c>
      <c r="C607" t="inlineStr">
        <is>
          <t>Maj</t>
        </is>
      </c>
      <c r="D607" t="inlineStr">
        <is>
          <t>W4</t>
        </is>
      </c>
      <c r="E607" t="n">
        <v>7</v>
      </c>
      <c r="F607" t="inlineStr">
        <is>
          <t>Pełny (7 dni)</t>
        </is>
      </c>
      <c r="G607" t="inlineStr">
        <is>
          <t>22.05</t>
        </is>
      </c>
      <c r="H607" t="inlineStr">
        <is>
          <t>28.05</t>
        </is>
      </c>
      <c r="I607" t="n">
        <v>272</v>
      </c>
      <c r="J607" t="n">
        <v>0.22581</v>
      </c>
    </row>
    <row r="608">
      <c r="A608" t="inlineStr">
        <is>
          <t>2029_Maj_W5</t>
        </is>
      </c>
      <c r="B608" t="n">
        <v>2029</v>
      </c>
      <c r="C608" t="inlineStr">
        <is>
          <t>Maj</t>
        </is>
      </c>
      <c r="D608" t="inlineStr">
        <is>
          <t>W5</t>
        </is>
      </c>
      <c r="E608" t="n">
        <v>3</v>
      </c>
      <c r="F608" t="inlineStr">
        <is>
          <t>Niepełny (3 dni)</t>
        </is>
      </c>
      <c r="G608" t="inlineStr">
        <is>
          <t>29.05</t>
        </is>
      </c>
      <c r="H608" t="inlineStr">
        <is>
          <t>31.05</t>
        </is>
      </c>
      <c r="I608" t="n">
        <v>120</v>
      </c>
      <c r="J608" t="n">
        <v>0.09676999999999999</v>
      </c>
    </row>
    <row r="609">
      <c r="A609" t="inlineStr">
        <is>
          <t>2029_Maj_W6</t>
        </is>
      </c>
      <c r="B609" t="n">
        <v>2029</v>
      </c>
      <c r="C609" t="inlineStr">
        <is>
          <t>Maj</t>
        </is>
      </c>
      <c r="D609" t="inlineStr">
        <is>
          <t>W6</t>
        </is>
      </c>
      <c r="E609" t="n">
        <v>0</v>
      </c>
      <c r="F609" t="inlineStr">
        <is>
          <t>Brak w miesiącu</t>
        </is>
      </c>
      <c r="G609" t="inlineStr">
        <is>
          <t>-</t>
        </is>
      </c>
      <c r="H609" t="inlineStr">
        <is>
          <t>-</t>
        </is>
      </c>
      <c r="I609" t="n">
        <v>0</v>
      </c>
      <c r="J609" t="n">
        <v>0</v>
      </c>
    </row>
    <row r="610">
      <c r="A610" t="inlineStr">
        <is>
          <t>2029_Czerwiec_W1</t>
        </is>
      </c>
      <c r="B610" t="n">
        <v>2029</v>
      </c>
      <c r="C610" t="inlineStr">
        <is>
          <t>Czerwiec</t>
        </is>
      </c>
      <c r="D610" t="inlineStr">
        <is>
          <t>W1</t>
        </is>
      </c>
      <c r="E610" t="n">
        <v>4</v>
      </c>
      <c r="F610" t="inlineStr">
        <is>
          <t>Niepełny (4 dni)</t>
        </is>
      </c>
      <c r="G610" t="inlineStr">
        <is>
          <t>01.06</t>
        </is>
      </c>
      <c r="H610" t="inlineStr">
        <is>
          <t>04.06</t>
        </is>
      </c>
      <c r="I610" t="n">
        <v>152</v>
      </c>
      <c r="J610" t="n">
        <v>0.13333</v>
      </c>
    </row>
    <row r="611">
      <c r="A611" t="inlineStr">
        <is>
          <t>2029_Czerwiec_W2</t>
        </is>
      </c>
      <c r="B611" t="n">
        <v>2029</v>
      </c>
      <c r="C611" t="inlineStr">
        <is>
          <t>Czerwiec</t>
        </is>
      </c>
      <c r="D611" t="inlineStr">
        <is>
          <t>W2</t>
        </is>
      </c>
      <c r="E611" t="n">
        <v>7</v>
      </c>
      <c r="F611" t="inlineStr">
        <is>
          <t>Pełny (7 dni)</t>
        </is>
      </c>
      <c r="G611" t="inlineStr">
        <is>
          <t>05.06</t>
        </is>
      </c>
      <c r="H611" t="inlineStr">
        <is>
          <t>11.06</t>
        </is>
      </c>
      <c r="I611" t="n">
        <v>272</v>
      </c>
      <c r="J611" t="n">
        <v>0.23333</v>
      </c>
    </row>
    <row r="612">
      <c r="A612" t="inlineStr">
        <is>
          <t>2029_Czerwiec_W3</t>
        </is>
      </c>
      <c r="B612" t="n">
        <v>2029</v>
      </c>
      <c r="C612" t="inlineStr">
        <is>
          <t>Czerwiec</t>
        </is>
      </c>
      <c r="D612" t="inlineStr">
        <is>
          <t>W3</t>
        </is>
      </c>
      <c r="E612" t="n">
        <v>7</v>
      </c>
      <c r="F612" t="inlineStr">
        <is>
          <t>Pełny (7 dni)</t>
        </is>
      </c>
      <c r="G612" t="inlineStr">
        <is>
          <t>12.06</t>
        </is>
      </c>
      <c r="H612" t="inlineStr">
        <is>
          <t>18.06</t>
        </is>
      </c>
      <c r="I612" t="n">
        <v>272</v>
      </c>
      <c r="J612" t="n">
        <v>0.23333</v>
      </c>
    </row>
    <row r="613">
      <c r="A613" t="inlineStr">
        <is>
          <t>2029_Czerwiec_W4</t>
        </is>
      </c>
      <c r="B613" t="n">
        <v>2029</v>
      </c>
      <c r="C613" t="inlineStr">
        <is>
          <t>Czerwiec</t>
        </is>
      </c>
      <c r="D613" t="inlineStr">
        <is>
          <t>W4</t>
        </is>
      </c>
      <c r="E613" t="n">
        <v>7</v>
      </c>
      <c r="F613" t="inlineStr">
        <is>
          <t>Pełny (7 dni)</t>
        </is>
      </c>
      <c r="G613" t="inlineStr">
        <is>
          <t>19.06</t>
        </is>
      </c>
      <c r="H613" t="inlineStr">
        <is>
          <t>25.06</t>
        </is>
      </c>
      <c r="I613" t="n">
        <v>272</v>
      </c>
      <c r="J613" t="n">
        <v>0.23333</v>
      </c>
    </row>
    <row r="614">
      <c r="A614" t="inlineStr">
        <is>
          <t>2029_Czerwiec_W5</t>
        </is>
      </c>
      <c r="B614" t="n">
        <v>2029</v>
      </c>
      <c r="C614" t="inlineStr">
        <is>
          <t>Czerwiec</t>
        </is>
      </c>
      <c r="D614" t="inlineStr">
        <is>
          <t>W5</t>
        </is>
      </c>
      <c r="E614" t="n">
        <v>5</v>
      </c>
      <c r="F614" t="inlineStr">
        <is>
          <t>Niepełny (5 dni)</t>
        </is>
      </c>
      <c r="G614" t="inlineStr">
        <is>
          <t>26.06</t>
        </is>
      </c>
      <c r="H614" t="inlineStr">
        <is>
          <t>30.06</t>
        </is>
      </c>
      <c r="I614" t="n">
        <v>200</v>
      </c>
      <c r="J614" t="n">
        <v>0.16667</v>
      </c>
    </row>
    <row r="615">
      <c r="A615" t="inlineStr">
        <is>
          <t>2029_Czerwiec_W6</t>
        </is>
      </c>
      <c r="B615" t="n">
        <v>2029</v>
      </c>
      <c r="C615" t="inlineStr">
        <is>
          <t>Czerwiec</t>
        </is>
      </c>
      <c r="D615" t="inlineStr">
        <is>
          <t>W6</t>
        </is>
      </c>
      <c r="E615" t="n">
        <v>0</v>
      </c>
      <c r="F615" t="inlineStr">
        <is>
          <t>Brak w miesiącu</t>
        </is>
      </c>
      <c r="G615" t="inlineStr">
        <is>
          <t>-</t>
        </is>
      </c>
      <c r="H615" t="inlineStr">
        <is>
          <t>-</t>
        </is>
      </c>
      <c r="I615" t="n">
        <v>0</v>
      </c>
      <c r="J615" t="n">
        <v>0</v>
      </c>
    </row>
    <row r="616">
      <c r="A616" t="inlineStr">
        <is>
          <t>2029_Lipiec_W1</t>
        </is>
      </c>
      <c r="B616" t="n">
        <v>2029</v>
      </c>
      <c r="C616" t="inlineStr">
        <is>
          <t>Lipiec</t>
        </is>
      </c>
      <c r="D616" t="inlineStr">
        <is>
          <t>W1</t>
        </is>
      </c>
      <c r="E616" t="n">
        <v>2</v>
      </c>
      <c r="F616" t="inlineStr">
        <is>
          <t>Niepełny (2 dni)</t>
        </is>
      </c>
      <c r="G616" t="inlineStr">
        <is>
          <t>01.07</t>
        </is>
      </c>
      <c r="H616" t="inlineStr">
        <is>
          <t>02.07</t>
        </is>
      </c>
      <c r="I616" t="n">
        <v>72</v>
      </c>
      <c r="J616" t="n">
        <v>0.06451999999999999</v>
      </c>
    </row>
    <row r="617">
      <c r="A617" t="inlineStr">
        <is>
          <t>2029_Lipiec_W2</t>
        </is>
      </c>
      <c r="B617" t="n">
        <v>2029</v>
      </c>
      <c r="C617" t="inlineStr">
        <is>
          <t>Lipiec</t>
        </is>
      </c>
      <c r="D617" t="inlineStr">
        <is>
          <t>W2</t>
        </is>
      </c>
      <c r="E617" t="n">
        <v>7</v>
      </c>
      <c r="F617" t="inlineStr">
        <is>
          <t>Pełny (7 dni)</t>
        </is>
      </c>
      <c r="G617" t="inlineStr">
        <is>
          <t>03.07</t>
        </is>
      </c>
      <c r="H617" t="inlineStr">
        <is>
          <t>09.07</t>
        </is>
      </c>
      <c r="I617" t="n">
        <v>272</v>
      </c>
      <c r="J617" t="n">
        <v>0.22581</v>
      </c>
    </row>
    <row r="618">
      <c r="A618" t="inlineStr">
        <is>
          <t>2029_Lipiec_W3</t>
        </is>
      </c>
      <c r="B618" t="n">
        <v>2029</v>
      </c>
      <c r="C618" t="inlineStr">
        <is>
          <t>Lipiec</t>
        </is>
      </c>
      <c r="D618" t="inlineStr">
        <is>
          <t>W3</t>
        </is>
      </c>
      <c r="E618" t="n">
        <v>7</v>
      </c>
      <c r="F618" t="inlineStr">
        <is>
          <t>Pełny (7 dni)</t>
        </is>
      </c>
      <c r="G618" t="inlineStr">
        <is>
          <t>10.07</t>
        </is>
      </c>
      <c r="H618" t="inlineStr">
        <is>
          <t>16.07</t>
        </is>
      </c>
      <c r="I618" t="n">
        <v>272</v>
      </c>
      <c r="J618" t="n">
        <v>0.22581</v>
      </c>
    </row>
    <row r="619">
      <c r="A619" t="inlineStr">
        <is>
          <t>2029_Lipiec_W4</t>
        </is>
      </c>
      <c r="B619" t="n">
        <v>2029</v>
      </c>
      <c r="C619" t="inlineStr">
        <is>
          <t>Lipiec</t>
        </is>
      </c>
      <c r="D619" t="inlineStr">
        <is>
          <t>W4</t>
        </is>
      </c>
      <c r="E619" t="n">
        <v>7</v>
      </c>
      <c r="F619" t="inlineStr">
        <is>
          <t>Pełny (7 dni)</t>
        </is>
      </c>
      <c r="G619" t="inlineStr">
        <is>
          <t>17.07</t>
        </is>
      </c>
      <c r="H619" t="inlineStr">
        <is>
          <t>23.07</t>
        </is>
      </c>
      <c r="I619" t="n">
        <v>272</v>
      </c>
      <c r="J619" t="n">
        <v>0.22581</v>
      </c>
    </row>
    <row r="620">
      <c r="A620" t="inlineStr">
        <is>
          <t>2029_Lipiec_W5</t>
        </is>
      </c>
      <c r="B620" t="n">
        <v>2029</v>
      </c>
      <c r="C620" t="inlineStr">
        <is>
          <t>Lipiec</t>
        </is>
      </c>
      <c r="D620" t="inlineStr">
        <is>
          <t>W5</t>
        </is>
      </c>
      <c r="E620" t="n">
        <v>7</v>
      </c>
      <c r="F620" t="inlineStr">
        <is>
          <t>Pełny (7 dni)</t>
        </is>
      </c>
      <c r="G620" t="inlineStr">
        <is>
          <t>24.07</t>
        </is>
      </c>
      <c r="H620" t="inlineStr">
        <is>
          <t>30.07</t>
        </is>
      </c>
      <c r="I620" t="n">
        <v>272</v>
      </c>
      <c r="J620" t="n">
        <v>0.22581</v>
      </c>
    </row>
    <row r="621">
      <c r="A621" t="inlineStr">
        <is>
          <t>2029_Lipiec_W6</t>
        </is>
      </c>
      <c r="B621" t="n">
        <v>2029</v>
      </c>
      <c r="C621" t="inlineStr">
        <is>
          <t>Lipiec</t>
        </is>
      </c>
      <c r="D621" t="inlineStr">
        <is>
          <t>W6</t>
        </is>
      </c>
      <c r="E621" t="n">
        <v>1</v>
      </c>
      <c r="F621" t="inlineStr">
        <is>
          <t>Niepełny (1 dni)</t>
        </is>
      </c>
      <c r="G621" t="inlineStr">
        <is>
          <t>31.07</t>
        </is>
      </c>
      <c r="H621" t="inlineStr">
        <is>
          <t>31.07</t>
        </is>
      </c>
      <c r="I621" t="n">
        <v>40</v>
      </c>
      <c r="J621" t="n">
        <v>0.03226</v>
      </c>
    </row>
    <row r="622">
      <c r="A622" t="inlineStr">
        <is>
          <t>2029_Sierpień_W1</t>
        </is>
      </c>
      <c r="B622" t="n">
        <v>2029</v>
      </c>
      <c r="C622" t="inlineStr">
        <is>
          <t>Sierpień</t>
        </is>
      </c>
      <c r="D622" t="inlineStr">
        <is>
          <t>W1</t>
        </is>
      </c>
      <c r="E622" t="n">
        <v>6</v>
      </c>
      <c r="F622" t="inlineStr">
        <is>
          <t>Niepełny (6 dni)</t>
        </is>
      </c>
      <c r="G622" t="inlineStr">
        <is>
          <t>01.08</t>
        </is>
      </c>
      <c r="H622" t="inlineStr">
        <is>
          <t>06.08</t>
        </is>
      </c>
      <c r="I622" t="n">
        <v>232</v>
      </c>
      <c r="J622" t="n">
        <v>0.19355</v>
      </c>
    </row>
    <row r="623">
      <c r="A623" t="inlineStr">
        <is>
          <t>2029_Sierpień_W2</t>
        </is>
      </c>
      <c r="B623" t="n">
        <v>2029</v>
      </c>
      <c r="C623" t="inlineStr">
        <is>
          <t>Sierpień</t>
        </is>
      </c>
      <c r="D623" t="inlineStr">
        <is>
          <t>W2</t>
        </is>
      </c>
      <c r="E623" t="n">
        <v>7</v>
      </c>
      <c r="F623" t="inlineStr">
        <is>
          <t>Pełny (7 dni)</t>
        </is>
      </c>
      <c r="G623" t="inlineStr">
        <is>
          <t>07.08</t>
        </is>
      </c>
      <c r="H623" t="inlineStr">
        <is>
          <t>13.08</t>
        </is>
      </c>
      <c r="I623" t="n">
        <v>272</v>
      </c>
      <c r="J623" t="n">
        <v>0.22581</v>
      </c>
    </row>
    <row r="624">
      <c r="A624" t="inlineStr">
        <is>
          <t>2029_Sierpień_W3</t>
        </is>
      </c>
      <c r="B624" t="n">
        <v>2029</v>
      </c>
      <c r="C624" t="inlineStr">
        <is>
          <t>Sierpień</t>
        </is>
      </c>
      <c r="D624" t="inlineStr">
        <is>
          <t>W3</t>
        </is>
      </c>
      <c r="E624" t="n">
        <v>7</v>
      </c>
      <c r="F624" t="inlineStr">
        <is>
          <t>Pełny (7 dni)</t>
        </is>
      </c>
      <c r="G624" t="inlineStr">
        <is>
          <t>14.08</t>
        </is>
      </c>
      <c r="H624" t="inlineStr">
        <is>
          <t>20.08</t>
        </is>
      </c>
      <c r="I624" t="n">
        <v>272</v>
      </c>
      <c r="J624" t="n">
        <v>0.22581</v>
      </c>
    </row>
    <row r="625">
      <c r="A625" t="inlineStr">
        <is>
          <t>2029_Sierpień_W4</t>
        </is>
      </c>
      <c r="B625" t="n">
        <v>2029</v>
      </c>
      <c r="C625" t="inlineStr">
        <is>
          <t>Sierpień</t>
        </is>
      </c>
      <c r="D625" t="inlineStr">
        <is>
          <t>W4</t>
        </is>
      </c>
      <c r="E625" t="n">
        <v>7</v>
      </c>
      <c r="F625" t="inlineStr">
        <is>
          <t>Pełny (7 dni)</t>
        </is>
      </c>
      <c r="G625" t="inlineStr">
        <is>
          <t>21.08</t>
        </is>
      </c>
      <c r="H625" t="inlineStr">
        <is>
          <t>27.08</t>
        </is>
      </c>
      <c r="I625" t="n">
        <v>272</v>
      </c>
      <c r="J625" t="n">
        <v>0.22581</v>
      </c>
    </row>
    <row r="626">
      <c r="A626" t="inlineStr">
        <is>
          <t>2029_Sierpień_W5</t>
        </is>
      </c>
      <c r="B626" t="n">
        <v>2029</v>
      </c>
      <c r="C626" t="inlineStr">
        <is>
          <t>Sierpień</t>
        </is>
      </c>
      <c r="D626" t="inlineStr">
        <is>
          <t>W5</t>
        </is>
      </c>
      <c r="E626" t="n">
        <v>4</v>
      </c>
      <c r="F626" t="inlineStr">
        <is>
          <t>Niepełny (4 dni)</t>
        </is>
      </c>
      <c r="G626" t="inlineStr">
        <is>
          <t>28.08</t>
        </is>
      </c>
      <c r="H626" t="inlineStr">
        <is>
          <t>31.08</t>
        </is>
      </c>
      <c r="I626" t="n">
        <v>160</v>
      </c>
      <c r="J626" t="n">
        <v>0.12903</v>
      </c>
    </row>
    <row r="627">
      <c r="A627" t="inlineStr">
        <is>
          <t>2029_Sierpień_W6</t>
        </is>
      </c>
      <c r="B627" t="n">
        <v>2029</v>
      </c>
      <c r="C627" t="inlineStr">
        <is>
          <t>Sierpień</t>
        </is>
      </c>
      <c r="D627" t="inlineStr">
        <is>
          <t>W6</t>
        </is>
      </c>
      <c r="E627" t="n">
        <v>0</v>
      </c>
      <c r="F627" t="inlineStr">
        <is>
          <t>Brak w miesiącu</t>
        </is>
      </c>
      <c r="G627" t="inlineStr">
        <is>
          <t>-</t>
        </is>
      </c>
      <c r="H627" t="inlineStr">
        <is>
          <t>-</t>
        </is>
      </c>
      <c r="I627" t="n">
        <v>0</v>
      </c>
      <c r="J627" t="n">
        <v>0</v>
      </c>
    </row>
    <row r="628">
      <c r="A628" t="inlineStr">
        <is>
          <t>2029_Wrzesień_W1</t>
        </is>
      </c>
      <c r="B628" t="n">
        <v>2029</v>
      </c>
      <c r="C628" t="inlineStr">
        <is>
          <t>Wrzesień</t>
        </is>
      </c>
      <c r="D628" t="inlineStr">
        <is>
          <t>W1</t>
        </is>
      </c>
      <c r="E628" t="n">
        <v>3</v>
      </c>
      <c r="F628" t="inlineStr">
        <is>
          <t>Niepełny (3 dni)</t>
        </is>
      </c>
      <c r="G628" t="inlineStr">
        <is>
          <t>01.09</t>
        </is>
      </c>
      <c r="H628" t="inlineStr">
        <is>
          <t>03.09</t>
        </is>
      </c>
      <c r="I628" t="n">
        <v>112</v>
      </c>
      <c r="J628" t="n">
        <v>0.1</v>
      </c>
    </row>
    <row r="629">
      <c r="A629" t="inlineStr">
        <is>
          <t>2029_Wrzesień_W2</t>
        </is>
      </c>
      <c r="B629" t="n">
        <v>2029</v>
      </c>
      <c r="C629" t="inlineStr">
        <is>
          <t>Wrzesień</t>
        </is>
      </c>
      <c r="D629" t="inlineStr">
        <is>
          <t>W2</t>
        </is>
      </c>
      <c r="E629" t="n">
        <v>7</v>
      </c>
      <c r="F629" t="inlineStr">
        <is>
          <t>Pełny (7 dni)</t>
        </is>
      </c>
      <c r="G629" t="inlineStr">
        <is>
          <t>04.09</t>
        </is>
      </c>
      <c r="H629" t="inlineStr">
        <is>
          <t>10.09</t>
        </is>
      </c>
      <c r="I629" t="n">
        <v>272</v>
      </c>
      <c r="J629" t="n">
        <v>0.23333</v>
      </c>
    </row>
    <row r="630">
      <c r="A630" t="inlineStr">
        <is>
          <t>2029_Wrzesień_W3</t>
        </is>
      </c>
      <c r="B630" t="n">
        <v>2029</v>
      </c>
      <c r="C630" t="inlineStr">
        <is>
          <t>Wrzesień</t>
        </is>
      </c>
      <c r="D630" t="inlineStr">
        <is>
          <t>W3</t>
        </is>
      </c>
      <c r="E630" t="n">
        <v>7</v>
      </c>
      <c r="F630" t="inlineStr">
        <is>
          <t>Pełny (7 dni)</t>
        </is>
      </c>
      <c r="G630" t="inlineStr">
        <is>
          <t>11.09</t>
        </is>
      </c>
      <c r="H630" t="inlineStr">
        <is>
          <t>17.09</t>
        </is>
      </c>
      <c r="I630" t="n">
        <v>272</v>
      </c>
      <c r="J630" t="n">
        <v>0.23333</v>
      </c>
    </row>
    <row r="631">
      <c r="A631" t="inlineStr">
        <is>
          <t>2029_Wrzesień_W4</t>
        </is>
      </c>
      <c r="B631" t="n">
        <v>2029</v>
      </c>
      <c r="C631" t="inlineStr">
        <is>
          <t>Wrzesień</t>
        </is>
      </c>
      <c r="D631" t="inlineStr">
        <is>
          <t>W4</t>
        </is>
      </c>
      <c r="E631" t="n">
        <v>7</v>
      </c>
      <c r="F631" t="inlineStr">
        <is>
          <t>Pełny (7 dni)</t>
        </is>
      </c>
      <c r="G631" t="inlineStr">
        <is>
          <t>18.09</t>
        </is>
      </c>
      <c r="H631" t="inlineStr">
        <is>
          <t>24.09</t>
        </is>
      </c>
      <c r="I631" t="n">
        <v>272</v>
      </c>
      <c r="J631" t="n">
        <v>0.23333</v>
      </c>
    </row>
    <row r="632">
      <c r="A632" t="inlineStr">
        <is>
          <t>2029_Wrzesień_W5</t>
        </is>
      </c>
      <c r="B632" t="n">
        <v>2029</v>
      </c>
      <c r="C632" t="inlineStr">
        <is>
          <t>Wrzesień</t>
        </is>
      </c>
      <c r="D632" t="inlineStr">
        <is>
          <t>W5</t>
        </is>
      </c>
      <c r="E632" t="n">
        <v>6</v>
      </c>
      <c r="F632" t="inlineStr">
        <is>
          <t>Niepełny (6 dni)</t>
        </is>
      </c>
      <c r="G632" t="inlineStr">
        <is>
          <t>25.09</t>
        </is>
      </c>
      <c r="H632" t="inlineStr">
        <is>
          <t>30.09</t>
        </is>
      </c>
      <c r="I632" t="n">
        <v>232</v>
      </c>
      <c r="J632" t="n">
        <v>0.2</v>
      </c>
    </row>
    <row r="633">
      <c r="A633" t="inlineStr">
        <is>
          <t>2029_Wrzesień_W6</t>
        </is>
      </c>
      <c r="B633" t="n">
        <v>2029</v>
      </c>
      <c r="C633" t="inlineStr">
        <is>
          <t>Wrzesień</t>
        </is>
      </c>
      <c r="D633" t="inlineStr">
        <is>
          <t>W6</t>
        </is>
      </c>
      <c r="E633" t="n">
        <v>0</v>
      </c>
      <c r="F633" t="inlineStr">
        <is>
          <t>Brak w miesiącu</t>
        </is>
      </c>
      <c r="G633" t="inlineStr">
        <is>
          <t>-</t>
        </is>
      </c>
      <c r="H633" t="inlineStr">
        <is>
          <t>-</t>
        </is>
      </c>
      <c r="I633" t="n">
        <v>0</v>
      </c>
      <c r="J633" t="n">
        <v>0</v>
      </c>
    </row>
    <row r="634">
      <c r="A634" t="inlineStr">
        <is>
          <t>2029_Październik_W1</t>
        </is>
      </c>
      <c r="B634" t="n">
        <v>2029</v>
      </c>
      <c r="C634" t="inlineStr">
        <is>
          <t>Październik</t>
        </is>
      </c>
      <c r="D634" t="inlineStr">
        <is>
          <t>W1</t>
        </is>
      </c>
      <c r="E634" t="n">
        <v>1</v>
      </c>
      <c r="F634" t="inlineStr">
        <is>
          <t>Niepełny (1 dni)</t>
        </is>
      </c>
      <c r="G634" t="inlineStr">
        <is>
          <t>01.10</t>
        </is>
      </c>
      <c r="H634" t="inlineStr">
        <is>
          <t>01.10</t>
        </is>
      </c>
      <c r="I634" t="n">
        <v>40</v>
      </c>
      <c r="J634" t="n">
        <v>0.03226</v>
      </c>
    </row>
    <row r="635">
      <c r="A635" t="inlineStr">
        <is>
          <t>2029_Październik_W2</t>
        </is>
      </c>
      <c r="B635" t="n">
        <v>2029</v>
      </c>
      <c r="C635" t="inlineStr">
        <is>
          <t>Październik</t>
        </is>
      </c>
      <c r="D635" t="inlineStr">
        <is>
          <t>W2</t>
        </is>
      </c>
      <c r="E635" t="n">
        <v>7</v>
      </c>
      <c r="F635" t="inlineStr">
        <is>
          <t>Pełny (7 dni)</t>
        </is>
      </c>
      <c r="G635" t="inlineStr">
        <is>
          <t>02.10</t>
        </is>
      </c>
      <c r="H635" t="inlineStr">
        <is>
          <t>08.10</t>
        </is>
      </c>
      <c r="I635" t="n">
        <v>272</v>
      </c>
      <c r="J635" t="n">
        <v>0.22581</v>
      </c>
    </row>
    <row r="636">
      <c r="A636" t="inlineStr">
        <is>
          <t>2029_Październik_W3</t>
        </is>
      </c>
      <c r="B636" t="n">
        <v>2029</v>
      </c>
      <c r="C636" t="inlineStr">
        <is>
          <t>Październik</t>
        </is>
      </c>
      <c r="D636" t="inlineStr">
        <is>
          <t>W3</t>
        </is>
      </c>
      <c r="E636" t="n">
        <v>7</v>
      </c>
      <c r="F636" t="inlineStr">
        <is>
          <t>Pełny (7 dni)</t>
        </is>
      </c>
      <c r="G636" t="inlineStr">
        <is>
          <t>09.10</t>
        </is>
      </c>
      <c r="H636" t="inlineStr">
        <is>
          <t>15.10</t>
        </is>
      </c>
      <c r="I636" t="n">
        <v>272</v>
      </c>
      <c r="J636" t="n">
        <v>0.22581</v>
      </c>
    </row>
    <row r="637">
      <c r="A637" t="inlineStr">
        <is>
          <t>2029_Październik_W4</t>
        </is>
      </c>
      <c r="B637" t="n">
        <v>2029</v>
      </c>
      <c r="C637" t="inlineStr">
        <is>
          <t>Październik</t>
        </is>
      </c>
      <c r="D637" t="inlineStr">
        <is>
          <t>W4</t>
        </is>
      </c>
      <c r="E637" t="n">
        <v>7</v>
      </c>
      <c r="F637" t="inlineStr">
        <is>
          <t>Pełny (7 dni)</t>
        </is>
      </c>
      <c r="G637" t="inlineStr">
        <is>
          <t>16.10</t>
        </is>
      </c>
      <c r="H637" t="inlineStr">
        <is>
          <t>22.10</t>
        </is>
      </c>
      <c r="I637" t="n">
        <v>272</v>
      </c>
      <c r="J637" t="n">
        <v>0.22581</v>
      </c>
    </row>
    <row r="638">
      <c r="A638" t="inlineStr">
        <is>
          <t>2029_Październik_W5</t>
        </is>
      </c>
      <c r="B638" t="n">
        <v>2029</v>
      </c>
      <c r="C638" t="inlineStr">
        <is>
          <t>Październik</t>
        </is>
      </c>
      <c r="D638" t="inlineStr">
        <is>
          <t>W5</t>
        </is>
      </c>
      <c r="E638" t="n">
        <v>7</v>
      </c>
      <c r="F638" t="inlineStr">
        <is>
          <t>Pełny (7 dni)</t>
        </is>
      </c>
      <c r="G638" t="inlineStr">
        <is>
          <t>23.10</t>
        </is>
      </c>
      <c r="H638" t="inlineStr">
        <is>
          <t>29.10</t>
        </is>
      </c>
      <c r="I638" t="n">
        <v>272</v>
      </c>
      <c r="J638" t="n">
        <v>0.22581</v>
      </c>
    </row>
    <row r="639">
      <c r="A639" t="inlineStr">
        <is>
          <t>2029_Październik_W6</t>
        </is>
      </c>
      <c r="B639" t="n">
        <v>2029</v>
      </c>
      <c r="C639" t="inlineStr">
        <is>
          <t>Październik</t>
        </is>
      </c>
      <c r="D639" t="inlineStr">
        <is>
          <t>W6</t>
        </is>
      </c>
      <c r="E639" t="n">
        <v>2</v>
      </c>
      <c r="F639" t="inlineStr">
        <is>
          <t>Niepełny (2 dni)</t>
        </is>
      </c>
      <c r="G639" t="inlineStr">
        <is>
          <t>30.10</t>
        </is>
      </c>
      <c r="H639" t="inlineStr">
        <is>
          <t>31.10</t>
        </is>
      </c>
      <c r="I639" t="n">
        <v>80</v>
      </c>
      <c r="J639" t="n">
        <v>0.06451999999999999</v>
      </c>
    </row>
    <row r="640">
      <c r="A640" t="inlineStr">
        <is>
          <t>2029_Listopad_W1</t>
        </is>
      </c>
      <c r="B640" t="n">
        <v>2029</v>
      </c>
      <c r="C640" t="inlineStr">
        <is>
          <t>Listopad</t>
        </is>
      </c>
      <c r="D640" t="inlineStr">
        <is>
          <t>W1</t>
        </is>
      </c>
      <c r="E640" t="n">
        <v>5</v>
      </c>
      <c r="F640" t="inlineStr">
        <is>
          <t>Niepełny (5 dni)</t>
        </is>
      </c>
      <c r="G640" t="inlineStr">
        <is>
          <t>01.11</t>
        </is>
      </c>
      <c r="H640" t="inlineStr">
        <is>
          <t>05.11</t>
        </is>
      </c>
      <c r="I640" t="n">
        <v>192</v>
      </c>
      <c r="J640" t="n">
        <v>0.16667</v>
      </c>
    </row>
    <row r="641">
      <c r="A641" t="inlineStr">
        <is>
          <t>2029_Listopad_W2</t>
        </is>
      </c>
      <c r="B641" t="n">
        <v>2029</v>
      </c>
      <c r="C641" t="inlineStr">
        <is>
          <t>Listopad</t>
        </is>
      </c>
      <c r="D641" t="inlineStr">
        <is>
          <t>W2</t>
        </is>
      </c>
      <c r="E641" t="n">
        <v>7</v>
      </c>
      <c r="F641" t="inlineStr">
        <is>
          <t>Pełny (7 dni)</t>
        </is>
      </c>
      <c r="G641" t="inlineStr">
        <is>
          <t>06.11</t>
        </is>
      </c>
      <c r="H641" t="inlineStr">
        <is>
          <t>12.11</t>
        </is>
      </c>
      <c r="I641" t="n">
        <v>272</v>
      </c>
      <c r="J641" t="n">
        <v>0.23333</v>
      </c>
    </row>
    <row r="642">
      <c r="A642" t="inlineStr">
        <is>
          <t>2029_Listopad_W3</t>
        </is>
      </c>
      <c r="B642" t="n">
        <v>2029</v>
      </c>
      <c r="C642" t="inlineStr">
        <is>
          <t>Listopad</t>
        </is>
      </c>
      <c r="D642" t="inlineStr">
        <is>
          <t>W3</t>
        </is>
      </c>
      <c r="E642" t="n">
        <v>7</v>
      </c>
      <c r="F642" t="inlineStr">
        <is>
          <t>Pełny (7 dni)</t>
        </is>
      </c>
      <c r="G642" t="inlineStr">
        <is>
          <t>13.11</t>
        </is>
      </c>
      <c r="H642" t="inlineStr">
        <is>
          <t>19.11</t>
        </is>
      </c>
      <c r="I642" t="n">
        <v>272</v>
      </c>
      <c r="J642" t="n">
        <v>0.23333</v>
      </c>
    </row>
    <row r="643">
      <c r="A643" t="inlineStr">
        <is>
          <t>2029_Listopad_W4</t>
        </is>
      </c>
      <c r="B643" t="n">
        <v>2029</v>
      </c>
      <c r="C643" t="inlineStr">
        <is>
          <t>Listopad</t>
        </is>
      </c>
      <c r="D643" t="inlineStr">
        <is>
          <t>W4</t>
        </is>
      </c>
      <c r="E643" t="n">
        <v>7</v>
      </c>
      <c r="F643" t="inlineStr">
        <is>
          <t>Pełny (7 dni)</t>
        </is>
      </c>
      <c r="G643" t="inlineStr">
        <is>
          <t>20.11</t>
        </is>
      </c>
      <c r="H643" t="inlineStr">
        <is>
          <t>26.11</t>
        </is>
      </c>
      <c r="I643" t="n">
        <v>272</v>
      </c>
      <c r="J643" t="n">
        <v>0.23333</v>
      </c>
    </row>
    <row r="644">
      <c r="A644" t="inlineStr">
        <is>
          <t>2029_Listopad_W5</t>
        </is>
      </c>
      <c r="B644" t="n">
        <v>2029</v>
      </c>
      <c r="C644" t="inlineStr">
        <is>
          <t>Listopad</t>
        </is>
      </c>
      <c r="D644" t="inlineStr">
        <is>
          <t>W5</t>
        </is>
      </c>
      <c r="E644" t="n">
        <v>4</v>
      </c>
      <c r="F644" t="inlineStr">
        <is>
          <t>Niepełny (4 dni)</t>
        </is>
      </c>
      <c r="G644" t="inlineStr">
        <is>
          <t>27.11</t>
        </is>
      </c>
      <c r="H644" t="inlineStr">
        <is>
          <t>30.11</t>
        </is>
      </c>
      <c r="I644" t="n">
        <v>160</v>
      </c>
      <c r="J644" t="n">
        <v>0.13333</v>
      </c>
    </row>
    <row r="645">
      <c r="A645" t="inlineStr">
        <is>
          <t>2029_Listopad_W6</t>
        </is>
      </c>
      <c r="B645" t="n">
        <v>2029</v>
      </c>
      <c r="C645" t="inlineStr">
        <is>
          <t>Listopad</t>
        </is>
      </c>
      <c r="D645" t="inlineStr">
        <is>
          <t>W6</t>
        </is>
      </c>
      <c r="E645" t="n">
        <v>0</v>
      </c>
      <c r="F645" t="inlineStr">
        <is>
          <t>Brak w miesiącu</t>
        </is>
      </c>
      <c r="G645" t="inlineStr">
        <is>
          <t>-</t>
        </is>
      </c>
      <c r="H645" t="inlineStr">
        <is>
          <t>-</t>
        </is>
      </c>
      <c r="I645" t="n">
        <v>0</v>
      </c>
      <c r="J645" t="n">
        <v>0</v>
      </c>
    </row>
    <row r="646">
      <c r="A646" t="inlineStr">
        <is>
          <t>2029_Grudzień_W1</t>
        </is>
      </c>
      <c r="B646" t="n">
        <v>2029</v>
      </c>
      <c r="C646" t="inlineStr">
        <is>
          <t>Grudzień</t>
        </is>
      </c>
      <c r="D646" t="inlineStr">
        <is>
          <t>W1</t>
        </is>
      </c>
      <c r="E646" t="n">
        <v>3</v>
      </c>
      <c r="F646" t="inlineStr">
        <is>
          <t>Niepełny (3 dni)</t>
        </is>
      </c>
      <c r="G646" t="inlineStr">
        <is>
          <t>01.12</t>
        </is>
      </c>
      <c r="H646" t="inlineStr">
        <is>
          <t>03.12</t>
        </is>
      </c>
      <c r="I646" t="n">
        <v>112</v>
      </c>
      <c r="J646" t="n">
        <v>0.09676999999999999</v>
      </c>
    </row>
    <row r="647">
      <c r="A647" t="inlineStr">
        <is>
          <t>2029_Grudzień_W2</t>
        </is>
      </c>
      <c r="B647" t="n">
        <v>2029</v>
      </c>
      <c r="C647" t="inlineStr">
        <is>
          <t>Grudzień</t>
        </is>
      </c>
      <c r="D647" t="inlineStr">
        <is>
          <t>W2</t>
        </is>
      </c>
      <c r="E647" t="n">
        <v>7</v>
      </c>
      <c r="F647" t="inlineStr">
        <is>
          <t>Pełny (7 dni)</t>
        </is>
      </c>
      <c r="G647" t="inlineStr">
        <is>
          <t>04.12</t>
        </is>
      </c>
      <c r="H647" t="inlineStr">
        <is>
          <t>10.12</t>
        </is>
      </c>
      <c r="I647" t="n">
        <v>272</v>
      </c>
      <c r="J647" t="n">
        <v>0.22581</v>
      </c>
    </row>
    <row r="648">
      <c r="A648" t="inlineStr">
        <is>
          <t>2029_Grudzień_W3</t>
        </is>
      </c>
      <c r="B648" t="n">
        <v>2029</v>
      </c>
      <c r="C648" t="inlineStr">
        <is>
          <t>Grudzień</t>
        </is>
      </c>
      <c r="D648" t="inlineStr">
        <is>
          <t>W3</t>
        </is>
      </c>
      <c r="E648" t="n">
        <v>7</v>
      </c>
      <c r="F648" t="inlineStr">
        <is>
          <t>Pełny (7 dni)</t>
        </is>
      </c>
      <c r="G648" t="inlineStr">
        <is>
          <t>11.12</t>
        </is>
      </c>
      <c r="H648" t="inlineStr">
        <is>
          <t>17.12</t>
        </is>
      </c>
      <c r="I648" t="n">
        <v>272</v>
      </c>
      <c r="J648" t="n">
        <v>0.22581</v>
      </c>
    </row>
    <row r="649">
      <c r="A649" t="inlineStr">
        <is>
          <t>2029_Grudzień_W4</t>
        </is>
      </c>
      <c r="B649" t="n">
        <v>2029</v>
      </c>
      <c r="C649" t="inlineStr">
        <is>
          <t>Grudzień</t>
        </is>
      </c>
      <c r="D649" t="inlineStr">
        <is>
          <t>W4</t>
        </is>
      </c>
      <c r="E649" t="n">
        <v>7</v>
      </c>
      <c r="F649" t="inlineStr">
        <is>
          <t>Pełny (7 dni)</t>
        </is>
      </c>
      <c r="G649" t="inlineStr">
        <is>
          <t>18.12</t>
        </is>
      </c>
      <c r="H649" t="inlineStr">
        <is>
          <t>24.12</t>
        </is>
      </c>
      <c r="I649" t="n">
        <v>272</v>
      </c>
      <c r="J649" t="n">
        <v>0.22581</v>
      </c>
    </row>
    <row r="650">
      <c r="A650" t="inlineStr">
        <is>
          <t>2029_Grudzień_W5</t>
        </is>
      </c>
      <c r="B650" t="n">
        <v>2029</v>
      </c>
      <c r="C650" t="inlineStr">
        <is>
          <t>Grudzień</t>
        </is>
      </c>
      <c r="D650" t="inlineStr">
        <is>
          <t>W5</t>
        </is>
      </c>
      <c r="E650" t="n">
        <v>7</v>
      </c>
      <c r="F650" t="inlineStr">
        <is>
          <t>Pełny (7 dni)</t>
        </is>
      </c>
      <c r="G650" t="inlineStr">
        <is>
          <t>25.12</t>
        </is>
      </c>
      <c r="H650" t="inlineStr">
        <is>
          <t>31.12</t>
        </is>
      </c>
      <c r="I650" t="n">
        <v>272</v>
      </c>
      <c r="J650" t="n">
        <v>0.22581</v>
      </c>
    </row>
    <row r="651">
      <c r="A651" t="inlineStr">
        <is>
          <t>2029_Grudzień_W6</t>
        </is>
      </c>
      <c r="B651" t="n">
        <v>2029</v>
      </c>
      <c r="C651" t="inlineStr">
        <is>
          <t>Grudzień</t>
        </is>
      </c>
      <c r="D651" t="inlineStr">
        <is>
          <t>W6</t>
        </is>
      </c>
      <c r="E651" t="n">
        <v>0</v>
      </c>
      <c r="F651" t="inlineStr">
        <is>
          <t>Brak w miesiącu</t>
        </is>
      </c>
      <c r="G651" t="inlineStr">
        <is>
          <t>-</t>
        </is>
      </c>
      <c r="H651" t="inlineStr">
        <is>
          <t>-</t>
        </is>
      </c>
      <c r="I651" t="n">
        <v>0</v>
      </c>
      <c r="J651" t="n">
        <v>0</v>
      </c>
    </row>
    <row r="652">
      <c r="A652" t="inlineStr">
        <is>
          <t>2030_Styczeń_W1</t>
        </is>
      </c>
      <c r="B652" t="n">
        <v>2030</v>
      </c>
      <c r="C652" t="inlineStr">
        <is>
          <t>Styczeń</t>
        </is>
      </c>
      <c r="D652" t="inlineStr">
        <is>
          <t>W1</t>
        </is>
      </c>
      <c r="E652" t="n">
        <v>7</v>
      </c>
      <c r="F652" t="inlineStr">
        <is>
          <t>Pełny (7 dni)</t>
        </is>
      </c>
      <c r="G652" t="inlineStr">
        <is>
          <t>01.01</t>
        </is>
      </c>
      <c r="H652" t="inlineStr">
        <is>
          <t>07.01</t>
        </is>
      </c>
      <c r="I652" t="n">
        <v>272</v>
      </c>
      <c r="J652" t="n">
        <v>0.22581</v>
      </c>
    </row>
    <row r="653">
      <c r="A653" t="inlineStr">
        <is>
          <t>2030_Styczeń_W2</t>
        </is>
      </c>
      <c r="B653" t="n">
        <v>2030</v>
      </c>
      <c r="C653" t="inlineStr">
        <is>
          <t>Styczeń</t>
        </is>
      </c>
      <c r="D653" t="inlineStr">
        <is>
          <t>W2</t>
        </is>
      </c>
      <c r="E653" t="n">
        <v>7</v>
      </c>
      <c r="F653" t="inlineStr">
        <is>
          <t>Pełny (7 dni)</t>
        </is>
      </c>
      <c r="G653" t="inlineStr">
        <is>
          <t>08.01</t>
        </is>
      </c>
      <c r="H653" t="inlineStr">
        <is>
          <t>14.01</t>
        </is>
      </c>
      <c r="I653" t="n">
        <v>272</v>
      </c>
      <c r="J653" t="n">
        <v>0.22581</v>
      </c>
    </row>
    <row r="654">
      <c r="A654" t="inlineStr">
        <is>
          <t>2030_Styczeń_W3</t>
        </is>
      </c>
      <c r="B654" t="n">
        <v>2030</v>
      </c>
      <c r="C654" t="inlineStr">
        <is>
          <t>Styczeń</t>
        </is>
      </c>
      <c r="D654" t="inlineStr">
        <is>
          <t>W3</t>
        </is>
      </c>
      <c r="E654" t="n">
        <v>7</v>
      </c>
      <c r="F654" t="inlineStr">
        <is>
          <t>Pełny (7 dni)</t>
        </is>
      </c>
      <c r="G654" t="inlineStr">
        <is>
          <t>15.01</t>
        </is>
      </c>
      <c r="H654" t="inlineStr">
        <is>
          <t>21.01</t>
        </is>
      </c>
      <c r="I654" t="n">
        <v>272</v>
      </c>
      <c r="J654" t="n">
        <v>0.22581</v>
      </c>
    </row>
    <row r="655">
      <c r="A655" t="inlineStr">
        <is>
          <t>2030_Styczeń_W4</t>
        </is>
      </c>
      <c r="B655" t="n">
        <v>2030</v>
      </c>
      <c r="C655" t="inlineStr">
        <is>
          <t>Styczeń</t>
        </is>
      </c>
      <c r="D655" t="inlineStr">
        <is>
          <t>W4</t>
        </is>
      </c>
      <c r="E655" t="n">
        <v>7</v>
      </c>
      <c r="F655" t="inlineStr">
        <is>
          <t>Pełny (7 dni)</t>
        </is>
      </c>
      <c r="G655" t="inlineStr">
        <is>
          <t>22.01</t>
        </is>
      </c>
      <c r="H655" t="inlineStr">
        <is>
          <t>28.01</t>
        </is>
      </c>
      <c r="I655" t="n">
        <v>272</v>
      </c>
      <c r="J655" t="n">
        <v>0.22581</v>
      </c>
    </row>
    <row r="656">
      <c r="A656" t="inlineStr">
        <is>
          <t>2030_Styczeń_W5</t>
        </is>
      </c>
      <c r="B656" t="n">
        <v>2030</v>
      </c>
      <c r="C656" t="inlineStr">
        <is>
          <t>Styczeń</t>
        </is>
      </c>
      <c r="D656" t="inlineStr">
        <is>
          <t>W5</t>
        </is>
      </c>
      <c r="E656" t="n">
        <v>3</v>
      </c>
      <c r="F656" t="inlineStr">
        <is>
          <t>Niepełny (3 dni)</t>
        </is>
      </c>
      <c r="G656" t="inlineStr">
        <is>
          <t>29.01</t>
        </is>
      </c>
      <c r="H656" t="inlineStr">
        <is>
          <t>31.01</t>
        </is>
      </c>
      <c r="I656" t="n">
        <v>120</v>
      </c>
      <c r="J656" t="n">
        <v>0.09676999999999999</v>
      </c>
    </row>
    <row r="657">
      <c r="A657" t="inlineStr">
        <is>
          <t>2030_Styczeń_W6</t>
        </is>
      </c>
      <c r="B657" t="n">
        <v>2030</v>
      </c>
      <c r="C657" t="inlineStr">
        <is>
          <t>Styczeń</t>
        </is>
      </c>
      <c r="D657" t="inlineStr">
        <is>
          <t>W6</t>
        </is>
      </c>
      <c r="E657" t="n">
        <v>0</v>
      </c>
      <c r="F657" t="inlineStr">
        <is>
          <t>Brak w miesiącu</t>
        </is>
      </c>
      <c r="G657" t="inlineStr">
        <is>
          <t>-</t>
        </is>
      </c>
      <c r="H657" t="inlineStr">
        <is>
          <t>-</t>
        </is>
      </c>
      <c r="I657" t="n">
        <v>0</v>
      </c>
      <c r="J657" t="n">
        <v>0</v>
      </c>
    </row>
    <row r="658">
      <c r="A658" t="inlineStr">
        <is>
          <t>2030_Luty_W1</t>
        </is>
      </c>
      <c r="B658" t="n">
        <v>2030</v>
      </c>
      <c r="C658" t="inlineStr">
        <is>
          <t>Luty</t>
        </is>
      </c>
      <c r="D658" t="inlineStr">
        <is>
          <t>W1</t>
        </is>
      </c>
      <c r="E658" t="n">
        <v>4</v>
      </c>
      <c r="F658" t="inlineStr">
        <is>
          <t>Niepełny (4 dni)</t>
        </is>
      </c>
      <c r="G658" t="inlineStr">
        <is>
          <t>01.02</t>
        </is>
      </c>
      <c r="H658" t="inlineStr">
        <is>
          <t>04.02</t>
        </is>
      </c>
      <c r="I658" t="n">
        <v>152</v>
      </c>
      <c r="J658" t="n">
        <v>0.14286</v>
      </c>
    </row>
    <row r="659">
      <c r="A659" t="inlineStr">
        <is>
          <t>2030_Luty_W2</t>
        </is>
      </c>
      <c r="B659" t="n">
        <v>2030</v>
      </c>
      <c r="C659" t="inlineStr">
        <is>
          <t>Luty</t>
        </is>
      </c>
      <c r="D659" t="inlineStr">
        <is>
          <t>W2</t>
        </is>
      </c>
      <c r="E659" t="n">
        <v>7</v>
      </c>
      <c r="F659" t="inlineStr">
        <is>
          <t>Pełny (7 dni)</t>
        </is>
      </c>
      <c r="G659" t="inlineStr">
        <is>
          <t>05.02</t>
        </is>
      </c>
      <c r="H659" t="inlineStr">
        <is>
          <t>11.02</t>
        </is>
      </c>
      <c r="I659" t="n">
        <v>272</v>
      </c>
      <c r="J659" t="n">
        <v>0.25</v>
      </c>
    </row>
    <row r="660">
      <c r="A660" t="inlineStr">
        <is>
          <t>2030_Luty_W3</t>
        </is>
      </c>
      <c r="B660" t="n">
        <v>2030</v>
      </c>
      <c r="C660" t="inlineStr">
        <is>
          <t>Luty</t>
        </is>
      </c>
      <c r="D660" t="inlineStr">
        <is>
          <t>W3</t>
        </is>
      </c>
      <c r="E660" t="n">
        <v>7</v>
      </c>
      <c r="F660" t="inlineStr">
        <is>
          <t>Pełny (7 dni)</t>
        </is>
      </c>
      <c r="G660" t="inlineStr">
        <is>
          <t>12.02</t>
        </is>
      </c>
      <c r="H660" t="inlineStr">
        <is>
          <t>18.02</t>
        </is>
      </c>
      <c r="I660" t="n">
        <v>272</v>
      </c>
      <c r="J660" t="n">
        <v>0.25</v>
      </c>
    </row>
    <row r="661">
      <c r="A661" t="inlineStr">
        <is>
          <t>2030_Luty_W4</t>
        </is>
      </c>
      <c r="B661" t="n">
        <v>2030</v>
      </c>
      <c r="C661" t="inlineStr">
        <is>
          <t>Luty</t>
        </is>
      </c>
      <c r="D661" t="inlineStr">
        <is>
          <t>W4</t>
        </is>
      </c>
      <c r="E661" t="n">
        <v>7</v>
      </c>
      <c r="F661" t="inlineStr">
        <is>
          <t>Pełny (7 dni)</t>
        </is>
      </c>
      <c r="G661" t="inlineStr">
        <is>
          <t>19.02</t>
        </is>
      </c>
      <c r="H661" t="inlineStr">
        <is>
          <t>25.02</t>
        </is>
      </c>
      <c r="I661" t="n">
        <v>272</v>
      </c>
      <c r="J661" t="n">
        <v>0.25</v>
      </c>
    </row>
    <row r="662">
      <c r="A662" t="inlineStr">
        <is>
          <t>2030_Luty_W5</t>
        </is>
      </c>
      <c r="B662" t="n">
        <v>2030</v>
      </c>
      <c r="C662" t="inlineStr">
        <is>
          <t>Luty</t>
        </is>
      </c>
      <c r="D662" t="inlineStr">
        <is>
          <t>W5</t>
        </is>
      </c>
      <c r="E662" t="n">
        <v>3</v>
      </c>
      <c r="F662" t="inlineStr">
        <is>
          <t>Niepełny (3 dni)</t>
        </is>
      </c>
      <c r="G662" t="inlineStr">
        <is>
          <t>26.02</t>
        </is>
      </c>
      <c r="H662" t="inlineStr">
        <is>
          <t>28.02</t>
        </is>
      </c>
      <c r="I662" t="n">
        <v>120</v>
      </c>
      <c r="J662" t="n">
        <v>0.10714</v>
      </c>
    </row>
    <row r="663">
      <c r="A663" t="inlineStr">
        <is>
          <t>2030_Luty_W6</t>
        </is>
      </c>
      <c r="B663" t="n">
        <v>2030</v>
      </c>
      <c r="C663" t="inlineStr">
        <is>
          <t>Luty</t>
        </is>
      </c>
      <c r="D663" t="inlineStr">
        <is>
          <t>W6</t>
        </is>
      </c>
      <c r="E663" t="n">
        <v>0</v>
      </c>
      <c r="F663" t="inlineStr">
        <is>
          <t>Brak w miesiącu</t>
        </is>
      </c>
      <c r="G663" t="inlineStr">
        <is>
          <t>-</t>
        </is>
      </c>
      <c r="H663" t="inlineStr">
        <is>
          <t>-</t>
        </is>
      </c>
      <c r="I663" t="n">
        <v>0</v>
      </c>
      <c r="J663" t="n">
        <v>0</v>
      </c>
    </row>
    <row r="664">
      <c r="A664" t="inlineStr">
        <is>
          <t>2030_Marzec_W1</t>
        </is>
      </c>
      <c r="B664" t="n">
        <v>2030</v>
      </c>
      <c r="C664" t="inlineStr">
        <is>
          <t>Marzec</t>
        </is>
      </c>
      <c r="D664" t="inlineStr">
        <is>
          <t>W1</t>
        </is>
      </c>
      <c r="E664" t="n">
        <v>4</v>
      </c>
      <c r="F664" t="inlineStr">
        <is>
          <t>Niepełny (4 dni)</t>
        </is>
      </c>
      <c r="G664" t="inlineStr">
        <is>
          <t>01.03</t>
        </is>
      </c>
      <c r="H664" t="inlineStr">
        <is>
          <t>04.03</t>
        </is>
      </c>
      <c r="I664" t="n">
        <v>152</v>
      </c>
      <c r="J664" t="n">
        <v>0.12903</v>
      </c>
    </row>
    <row r="665">
      <c r="A665" t="inlineStr">
        <is>
          <t>2030_Marzec_W2</t>
        </is>
      </c>
      <c r="B665" t="n">
        <v>2030</v>
      </c>
      <c r="C665" t="inlineStr">
        <is>
          <t>Marzec</t>
        </is>
      </c>
      <c r="D665" t="inlineStr">
        <is>
          <t>W2</t>
        </is>
      </c>
      <c r="E665" t="n">
        <v>7</v>
      </c>
      <c r="F665" t="inlineStr">
        <is>
          <t>Pełny (7 dni)</t>
        </is>
      </c>
      <c r="G665" t="inlineStr">
        <is>
          <t>05.03</t>
        </is>
      </c>
      <c r="H665" t="inlineStr">
        <is>
          <t>11.03</t>
        </is>
      </c>
      <c r="I665" t="n">
        <v>272</v>
      </c>
      <c r="J665" t="n">
        <v>0.22581</v>
      </c>
    </row>
    <row r="666">
      <c r="A666" t="inlineStr">
        <is>
          <t>2030_Marzec_W3</t>
        </is>
      </c>
      <c r="B666" t="n">
        <v>2030</v>
      </c>
      <c r="C666" t="inlineStr">
        <is>
          <t>Marzec</t>
        </is>
      </c>
      <c r="D666" t="inlineStr">
        <is>
          <t>W3</t>
        </is>
      </c>
      <c r="E666" t="n">
        <v>7</v>
      </c>
      <c r="F666" t="inlineStr">
        <is>
          <t>Pełny (7 dni)</t>
        </is>
      </c>
      <c r="G666" t="inlineStr">
        <is>
          <t>12.03</t>
        </is>
      </c>
      <c r="H666" t="inlineStr">
        <is>
          <t>18.03</t>
        </is>
      </c>
      <c r="I666" t="n">
        <v>272</v>
      </c>
      <c r="J666" t="n">
        <v>0.22581</v>
      </c>
    </row>
    <row r="667">
      <c r="A667" t="inlineStr">
        <is>
          <t>2030_Marzec_W4</t>
        </is>
      </c>
      <c r="B667" t="n">
        <v>2030</v>
      </c>
      <c r="C667" t="inlineStr">
        <is>
          <t>Marzec</t>
        </is>
      </c>
      <c r="D667" t="inlineStr">
        <is>
          <t>W4</t>
        </is>
      </c>
      <c r="E667" t="n">
        <v>7</v>
      </c>
      <c r="F667" t="inlineStr">
        <is>
          <t>Pełny (7 dni)</t>
        </is>
      </c>
      <c r="G667" t="inlineStr">
        <is>
          <t>19.03</t>
        </is>
      </c>
      <c r="H667" t="inlineStr">
        <is>
          <t>25.03</t>
        </is>
      </c>
      <c r="I667" t="n">
        <v>272</v>
      </c>
      <c r="J667" t="n">
        <v>0.22581</v>
      </c>
    </row>
    <row r="668">
      <c r="A668" t="inlineStr">
        <is>
          <t>2030_Marzec_W5</t>
        </is>
      </c>
      <c r="B668" t="n">
        <v>2030</v>
      </c>
      <c r="C668" t="inlineStr">
        <is>
          <t>Marzec</t>
        </is>
      </c>
      <c r="D668" t="inlineStr">
        <is>
          <t>W5</t>
        </is>
      </c>
      <c r="E668" t="n">
        <v>6</v>
      </c>
      <c r="F668" t="inlineStr">
        <is>
          <t>Niepełny (6 dni)</t>
        </is>
      </c>
      <c r="G668" t="inlineStr">
        <is>
          <t>26.03</t>
        </is>
      </c>
      <c r="H668" t="inlineStr">
        <is>
          <t>31.03</t>
        </is>
      </c>
      <c r="I668" t="n">
        <v>232</v>
      </c>
      <c r="J668" t="n">
        <v>0.19355</v>
      </c>
    </row>
    <row r="669">
      <c r="A669" t="inlineStr">
        <is>
          <t>2030_Marzec_W6</t>
        </is>
      </c>
      <c r="B669" t="n">
        <v>2030</v>
      </c>
      <c r="C669" t="inlineStr">
        <is>
          <t>Marzec</t>
        </is>
      </c>
      <c r="D669" t="inlineStr">
        <is>
          <t>W6</t>
        </is>
      </c>
      <c r="E669" t="n">
        <v>0</v>
      </c>
      <c r="F669" t="inlineStr">
        <is>
          <t>Brak w miesiącu</t>
        </is>
      </c>
      <c r="G669" t="inlineStr">
        <is>
          <t>-</t>
        </is>
      </c>
      <c r="H669" t="inlineStr">
        <is>
          <t>-</t>
        </is>
      </c>
      <c r="I669" t="n">
        <v>0</v>
      </c>
      <c r="J669" t="n">
        <v>0</v>
      </c>
    </row>
    <row r="670">
      <c r="A670" t="inlineStr">
        <is>
          <t>2030_Kwiecień_W1</t>
        </is>
      </c>
      <c r="B670" t="n">
        <v>2030</v>
      </c>
      <c r="C670" t="inlineStr">
        <is>
          <t>Kwiecień</t>
        </is>
      </c>
      <c r="D670" t="inlineStr">
        <is>
          <t>W1</t>
        </is>
      </c>
      <c r="E670" t="n">
        <v>1</v>
      </c>
      <c r="F670" t="inlineStr">
        <is>
          <t>Niepełny (1 dni)</t>
        </is>
      </c>
      <c r="G670" t="inlineStr">
        <is>
          <t>01.04</t>
        </is>
      </c>
      <c r="H670" t="inlineStr">
        <is>
          <t>01.04</t>
        </is>
      </c>
      <c r="I670" t="n">
        <v>40</v>
      </c>
      <c r="J670" t="n">
        <v>0.03333</v>
      </c>
    </row>
    <row r="671">
      <c r="A671" t="inlineStr">
        <is>
          <t>2030_Kwiecień_W2</t>
        </is>
      </c>
      <c r="B671" t="n">
        <v>2030</v>
      </c>
      <c r="C671" t="inlineStr">
        <is>
          <t>Kwiecień</t>
        </is>
      </c>
      <c r="D671" t="inlineStr">
        <is>
          <t>W2</t>
        </is>
      </c>
      <c r="E671" t="n">
        <v>7</v>
      </c>
      <c r="F671" t="inlineStr">
        <is>
          <t>Pełny (7 dni)</t>
        </is>
      </c>
      <c r="G671" t="inlineStr">
        <is>
          <t>02.04</t>
        </is>
      </c>
      <c r="H671" t="inlineStr">
        <is>
          <t>08.04</t>
        </is>
      </c>
      <c r="I671" t="n">
        <v>272</v>
      </c>
      <c r="J671" t="n">
        <v>0.23333</v>
      </c>
    </row>
    <row r="672">
      <c r="A672" t="inlineStr">
        <is>
          <t>2030_Kwiecień_W3</t>
        </is>
      </c>
      <c r="B672" t="n">
        <v>2030</v>
      </c>
      <c r="C672" t="inlineStr">
        <is>
          <t>Kwiecień</t>
        </is>
      </c>
      <c r="D672" t="inlineStr">
        <is>
          <t>W3</t>
        </is>
      </c>
      <c r="E672" t="n">
        <v>7</v>
      </c>
      <c r="F672" t="inlineStr">
        <is>
          <t>Pełny (7 dni)</t>
        </is>
      </c>
      <c r="G672" t="inlineStr">
        <is>
          <t>09.04</t>
        </is>
      </c>
      <c r="H672" t="inlineStr">
        <is>
          <t>15.04</t>
        </is>
      </c>
      <c r="I672" t="n">
        <v>272</v>
      </c>
      <c r="J672" t="n">
        <v>0.23333</v>
      </c>
    </row>
    <row r="673">
      <c r="A673" t="inlineStr">
        <is>
          <t>2030_Kwiecień_W4</t>
        </is>
      </c>
      <c r="B673" t="n">
        <v>2030</v>
      </c>
      <c r="C673" t="inlineStr">
        <is>
          <t>Kwiecień</t>
        </is>
      </c>
      <c r="D673" t="inlineStr">
        <is>
          <t>W4</t>
        </is>
      </c>
      <c r="E673" t="n">
        <v>7</v>
      </c>
      <c r="F673" t="inlineStr">
        <is>
          <t>Pełny (7 dni)</t>
        </is>
      </c>
      <c r="G673" t="inlineStr">
        <is>
          <t>16.04</t>
        </is>
      </c>
      <c r="H673" t="inlineStr">
        <is>
          <t>22.04</t>
        </is>
      </c>
      <c r="I673" t="n">
        <v>272</v>
      </c>
      <c r="J673" t="n">
        <v>0.23333</v>
      </c>
    </row>
    <row r="674">
      <c r="A674" t="inlineStr">
        <is>
          <t>2030_Kwiecień_W5</t>
        </is>
      </c>
      <c r="B674" t="n">
        <v>2030</v>
      </c>
      <c r="C674" t="inlineStr">
        <is>
          <t>Kwiecień</t>
        </is>
      </c>
      <c r="D674" t="inlineStr">
        <is>
          <t>W5</t>
        </is>
      </c>
      <c r="E674" t="n">
        <v>7</v>
      </c>
      <c r="F674" t="inlineStr">
        <is>
          <t>Pełny (7 dni)</t>
        </is>
      </c>
      <c r="G674" t="inlineStr">
        <is>
          <t>23.04</t>
        </is>
      </c>
      <c r="H674" t="inlineStr">
        <is>
          <t>29.04</t>
        </is>
      </c>
      <c r="I674" t="n">
        <v>272</v>
      </c>
      <c r="J674" t="n">
        <v>0.23333</v>
      </c>
    </row>
    <row r="675">
      <c r="A675" t="inlineStr">
        <is>
          <t>2030_Kwiecień_W6</t>
        </is>
      </c>
      <c r="B675" t="n">
        <v>2030</v>
      </c>
      <c r="C675" t="inlineStr">
        <is>
          <t>Kwiecień</t>
        </is>
      </c>
      <c r="D675" t="inlineStr">
        <is>
          <t>W6</t>
        </is>
      </c>
      <c r="E675" t="n">
        <v>1</v>
      </c>
      <c r="F675" t="inlineStr">
        <is>
          <t>Niepełny (1 dni)</t>
        </is>
      </c>
      <c r="G675" t="inlineStr">
        <is>
          <t>30.04</t>
        </is>
      </c>
      <c r="H675" t="inlineStr">
        <is>
          <t>30.04</t>
        </is>
      </c>
      <c r="I675" t="n">
        <v>40</v>
      </c>
      <c r="J675" t="n">
        <v>0.03333</v>
      </c>
    </row>
    <row r="676">
      <c r="A676" t="inlineStr">
        <is>
          <t>2030_Maj_W1</t>
        </is>
      </c>
      <c r="B676" t="n">
        <v>2030</v>
      </c>
      <c r="C676" t="inlineStr">
        <is>
          <t>Maj</t>
        </is>
      </c>
      <c r="D676" t="inlineStr">
        <is>
          <t>W1</t>
        </is>
      </c>
      <c r="E676" t="n">
        <v>6</v>
      </c>
      <c r="F676" t="inlineStr">
        <is>
          <t>Niepełny (6 dni)</t>
        </is>
      </c>
      <c r="G676" t="inlineStr">
        <is>
          <t>01.05</t>
        </is>
      </c>
      <c r="H676" t="inlineStr">
        <is>
          <t>06.05</t>
        </is>
      </c>
      <c r="I676" t="n">
        <v>232</v>
      </c>
      <c r="J676" t="n">
        <v>0.19355</v>
      </c>
    </row>
    <row r="677">
      <c r="A677" t="inlineStr">
        <is>
          <t>2030_Maj_W2</t>
        </is>
      </c>
      <c r="B677" t="n">
        <v>2030</v>
      </c>
      <c r="C677" t="inlineStr">
        <is>
          <t>Maj</t>
        </is>
      </c>
      <c r="D677" t="inlineStr">
        <is>
          <t>W2</t>
        </is>
      </c>
      <c r="E677" t="n">
        <v>7</v>
      </c>
      <c r="F677" t="inlineStr">
        <is>
          <t>Pełny (7 dni)</t>
        </is>
      </c>
      <c r="G677" t="inlineStr">
        <is>
          <t>07.05</t>
        </is>
      </c>
      <c r="H677" t="inlineStr">
        <is>
          <t>13.05</t>
        </is>
      </c>
      <c r="I677" t="n">
        <v>272</v>
      </c>
      <c r="J677" t="n">
        <v>0.22581</v>
      </c>
    </row>
    <row r="678">
      <c r="A678" t="inlineStr">
        <is>
          <t>2030_Maj_W3</t>
        </is>
      </c>
      <c r="B678" t="n">
        <v>2030</v>
      </c>
      <c r="C678" t="inlineStr">
        <is>
          <t>Maj</t>
        </is>
      </c>
      <c r="D678" t="inlineStr">
        <is>
          <t>W3</t>
        </is>
      </c>
      <c r="E678" t="n">
        <v>7</v>
      </c>
      <c r="F678" t="inlineStr">
        <is>
          <t>Pełny (7 dni)</t>
        </is>
      </c>
      <c r="G678" t="inlineStr">
        <is>
          <t>14.05</t>
        </is>
      </c>
      <c r="H678" t="inlineStr">
        <is>
          <t>20.05</t>
        </is>
      </c>
      <c r="I678" t="n">
        <v>272</v>
      </c>
      <c r="J678" t="n">
        <v>0.22581</v>
      </c>
    </row>
    <row r="679">
      <c r="A679" t="inlineStr">
        <is>
          <t>2030_Maj_W4</t>
        </is>
      </c>
      <c r="B679" t="n">
        <v>2030</v>
      </c>
      <c r="C679" t="inlineStr">
        <is>
          <t>Maj</t>
        </is>
      </c>
      <c r="D679" t="inlineStr">
        <is>
          <t>W4</t>
        </is>
      </c>
      <c r="E679" t="n">
        <v>7</v>
      </c>
      <c r="F679" t="inlineStr">
        <is>
          <t>Pełny (7 dni)</t>
        </is>
      </c>
      <c r="G679" t="inlineStr">
        <is>
          <t>21.05</t>
        </is>
      </c>
      <c r="H679" t="inlineStr">
        <is>
          <t>27.05</t>
        </is>
      </c>
      <c r="I679" t="n">
        <v>272</v>
      </c>
      <c r="J679" t="n">
        <v>0.22581</v>
      </c>
    </row>
    <row r="680">
      <c r="A680" t="inlineStr">
        <is>
          <t>2030_Maj_W5</t>
        </is>
      </c>
      <c r="B680" t="n">
        <v>2030</v>
      </c>
      <c r="C680" t="inlineStr">
        <is>
          <t>Maj</t>
        </is>
      </c>
      <c r="D680" t="inlineStr">
        <is>
          <t>W5</t>
        </is>
      </c>
      <c r="E680" t="n">
        <v>4</v>
      </c>
      <c r="F680" t="inlineStr">
        <is>
          <t>Niepełny (4 dni)</t>
        </is>
      </c>
      <c r="G680" t="inlineStr">
        <is>
          <t>28.05</t>
        </is>
      </c>
      <c r="H680" t="inlineStr">
        <is>
          <t>31.05</t>
        </is>
      </c>
      <c r="I680" t="n">
        <v>160</v>
      </c>
      <c r="J680" t="n">
        <v>0.12903</v>
      </c>
    </row>
    <row r="681">
      <c r="A681" t="inlineStr">
        <is>
          <t>2030_Maj_W6</t>
        </is>
      </c>
      <c r="B681" t="n">
        <v>2030</v>
      </c>
      <c r="C681" t="inlineStr">
        <is>
          <t>Maj</t>
        </is>
      </c>
      <c r="D681" t="inlineStr">
        <is>
          <t>W6</t>
        </is>
      </c>
      <c r="E681" t="n">
        <v>0</v>
      </c>
      <c r="F681" t="inlineStr">
        <is>
          <t>Brak w miesiącu</t>
        </is>
      </c>
      <c r="G681" t="inlineStr">
        <is>
          <t>-</t>
        </is>
      </c>
      <c r="H681" t="inlineStr">
        <is>
          <t>-</t>
        </is>
      </c>
      <c r="I681" t="n">
        <v>0</v>
      </c>
      <c r="J681" t="n">
        <v>0</v>
      </c>
    </row>
    <row r="682">
      <c r="A682" t="inlineStr">
        <is>
          <t>2030_Czerwiec_W1</t>
        </is>
      </c>
      <c r="B682" t="n">
        <v>2030</v>
      </c>
      <c r="C682" t="inlineStr">
        <is>
          <t>Czerwiec</t>
        </is>
      </c>
      <c r="D682" t="inlineStr">
        <is>
          <t>W1</t>
        </is>
      </c>
      <c r="E682" t="n">
        <v>3</v>
      </c>
      <c r="F682" t="inlineStr">
        <is>
          <t>Niepełny (3 dni)</t>
        </is>
      </c>
      <c r="G682" t="inlineStr">
        <is>
          <t>01.06</t>
        </is>
      </c>
      <c r="H682" t="inlineStr">
        <is>
          <t>03.06</t>
        </is>
      </c>
      <c r="I682" t="n">
        <v>112</v>
      </c>
      <c r="J682" t="n">
        <v>0.1</v>
      </c>
    </row>
    <row r="683">
      <c r="A683" t="inlineStr">
        <is>
          <t>2030_Czerwiec_W2</t>
        </is>
      </c>
      <c r="B683" t="n">
        <v>2030</v>
      </c>
      <c r="C683" t="inlineStr">
        <is>
          <t>Czerwiec</t>
        </is>
      </c>
      <c r="D683" t="inlineStr">
        <is>
          <t>W2</t>
        </is>
      </c>
      <c r="E683" t="n">
        <v>7</v>
      </c>
      <c r="F683" t="inlineStr">
        <is>
          <t>Pełny (7 dni)</t>
        </is>
      </c>
      <c r="G683" t="inlineStr">
        <is>
          <t>04.06</t>
        </is>
      </c>
      <c r="H683" t="inlineStr">
        <is>
          <t>10.06</t>
        </is>
      </c>
      <c r="I683" t="n">
        <v>272</v>
      </c>
      <c r="J683" t="n">
        <v>0.23333</v>
      </c>
    </row>
    <row r="684">
      <c r="A684" t="inlineStr">
        <is>
          <t>2030_Czerwiec_W3</t>
        </is>
      </c>
      <c r="B684" t="n">
        <v>2030</v>
      </c>
      <c r="C684" t="inlineStr">
        <is>
          <t>Czerwiec</t>
        </is>
      </c>
      <c r="D684" t="inlineStr">
        <is>
          <t>W3</t>
        </is>
      </c>
      <c r="E684" t="n">
        <v>7</v>
      </c>
      <c r="F684" t="inlineStr">
        <is>
          <t>Pełny (7 dni)</t>
        </is>
      </c>
      <c r="G684" t="inlineStr">
        <is>
          <t>11.06</t>
        </is>
      </c>
      <c r="H684" t="inlineStr">
        <is>
          <t>17.06</t>
        </is>
      </c>
      <c r="I684" t="n">
        <v>272</v>
      </c>
      <c r="J684" t="n">
        <v>0.23333</v>
      </c>
    </row>
    <row r="685">
      <c r="A685" t="inlineStr">
        <is>
          <t>2030_Czerwiec_W4</t>
        </is>
      </c>
      <c r="B685" t="n">
        <v>2030</v>
      </c>
      <c r="C685" t="inlineStr">
        <is>
          <t>Czerwiec</t>
        </is>
      </c>
      <c r="D685" t="inlineStr">
        <is>
          <t>W4</t>
        </is>
      </c>
      <c r="E685" t="n">
        <v>7</v>
      </c>
      <c r="F685" t="inlineStr">
        <is>
          <t>Pełny (7 dni)</t>
        </is>
      </c>
      <c r="G685" t="inlineStr">
        <is>
          <t>18.06</t>
        </is>
      </c>
      <c r="H685" t="inlineStr">
        <is>
          <t>24.06</t>
        </is>
      </c>
      <c r="I685" t="n">
        <v>272</v>
      </c>
      <c r="J685" t="n">
        <v>0.23333</v>
      </c>
    </row>
    <row r="686">
      <c r="A686" t="inlineStr">
        <is>
          <t>2030_Czerwiec_W5</t>
        </is>
      </c>
      <c r="B686" t="n">
        <v>2030</v>
      </c>
      <c r="C686" t="inlineStr">
        <is>
          <t>Czerwiec</t>
        </is>
      </c>
      <c r="D686" t="inlineStr">
        <is>
          <t>W5</t>
        </is>
      </c>
      <c r="E686" t="n">
        <v>6</v>
      </c>
      <c r="F686" t="inlineStr">
        <is>
          <t>Niepełny (6 dni)</t>
        </is>
      </c>
      <c r="G686" t="inlineStr">
        <is>
          <t>25.06</t>
        </is>
      </c>
      <c r="H686" t="inlineStr">
        <is>
          <t>30.06</t>
        </is>
      </c>
      <c r="I686" t="n">
        <v>232</v>
      </c>
      <c r="J686" t="n">
        <v>0.2</v>
      </c>
    </row>
    <row r="687">
      <c r="A687" t="inlineStr">
        <is>
          <t>2030_Czerwiec_W6</t>
        </is>
      </c>
      <c r="B687" t="n">
        <v>2030</v>
      </c>
      <c r="C687" t="inlineStr">
        <is>
          <t>Czerwiec</t>
        </is>
      </c>
      <c r="D687" t="inlineStr">
        <is>
          <t>W6</t>
        </is>
      </c>
      <c r="E687" t="n">
        <v>0</v>
      </c>
      <c r="F687" t="inlineStr">
        <is>
          <t>Brak w miesiącu</t>
        </is>
      </c>
      <c r="G687" t="inlineStr">
        <is>
          <t>-</t>
        </is>
      </c>
      <c r="H687" t="inlineStr">
        <is>
          <t>-</t>
        </is>
      </c>
      <c r="I687" t="n">
        <v>0</v>
      </c>
      <c r="J687" t="n">
        <v>0</v>
      </c>
    </row>
    <row r="688">
      <c r="A688" t="inlineStr">
        <is>
          <t>2030_Lipiec_W1</t>
        </is>
      </c>
      <c r="B688" t="n">
        <v>2030</v>
      </c>
      <c r="C688" t="inlineStr">
        <is>
          <t>Lipiec</t>
        </is>
      </c>
      <c r="D688" t="inlineStr">
        <is>
          <t>W1</t>
        </is>
      </c>
      <c r="E688" t="n">
        <v>1</v>
      </c>
      <c r="F688" t="inlineStr">
        <is>
          <t>Niepełny (1 dni)</t>
        </is>
      </c>
      <c r="G688" t="inlineStr">
        <is>
          <t>01.07</t>
        </is>
      </c>
      <c r="H688" t="inlineStr">
        <is>
          <t>01.07</t>
        </is>
      </c>
      <c r="I688" t="n">
        <v>40</v>
      </c>
      <c r="J688" t="n">
        <v>0.03226</v>
      </c>
    </row>
    <row r="689">
      <c r="A689" t="inlineStr">
        <is>
          <t>2030_Lipiec_W2</t>
        </is>
      </c>
      <c r="B689" t="n">
        <v>2030</v>
      </c>
      <c r="C689" t="inlineStr">
        <is>
          <t>Lipiec</t>
        </is>
      </c>
      <c r="D689" t="inlineStr">
        <is>
          <t>W2</t>
        </is>
      </c>
      <c r="E689" t="n">
        <v>7</v>
      </c>
      <c r="F689" t="inlineStr">
        <is>
          <t>Pełny (7 dni)</t>
        </is>
      </c>
      <c r="G689" t="inlineStr">
        <is>
          <t>02.07</t>
        </is>
      </c>
      <c r="H689" t="inlineStr">
        <is>
          <t>08.07</t>
        </is>
      </c>
      <c r="I689" t="n">
        <v>272</v>
      </c>
      <c r="J689" t="n">
        <v>0.22581</v>
      </c>
    </row>
    <row r="690">
      <c r="A690" t="inlineStr">
        <is>
          <t>2030_Lipiec_W3</t>
        </is>
      </c>
      <c r="B690" t="n">
        <v>2030</v>
      </c>
      <c r="C690" t="inlineStr">
        <is>
          <t>Lipiec</t>
        </is>
      </c>
      <c r="D690" t="inlineStr">
        <is>
          <t>W3</t>
        </is>
      </c>
      <c r="E690" t="n">
        <v>7</v>
      </c>
      <c r="F690" t="inlineStr">
        <is>
          <t>Pełny (7 dni)</t>
        </is>
      </c>
      <c r="G690" t="inlineStr">
        <is>
          <t>09.07</t>
        </is>
      </c>
      <c r="H690" t="inlineStr">
        <is>
          <t>15.07</t>
        </is>
      </c>
      <c r="I690" t="n">
        <v>272</v>
      </c>
      <c r="J690" t="n">
        <v>0.22581</v>
      </c>
    </row>
    <row r="691">
      <c r="A691" t="inlineStr">
        <is>
          <t>2030_Lipiec_W4</t>
        </is>
      </c>
      <c r="B691" t="n">
        <v>2030</v>
      </c>
      <c r="C691" t="inlineStr">
        <is>
          <t>Lipiec</t>
        </is>
      </c>
      <c r="D691" t="inlineStr">
        <is>
          <t>W4</t>
        </is>
      </c>
      <c r="E691" t="n">
        <v>7</v>
      </c>
      <c r="F691" t="inlineStr">
        <is>
          <t>Pełny (7 dni)</t>
        </is>
      </c>
      <c r="G691" t="inlineStr">
        <is>
          <t>16.07</t>
        </is>
      </c>
      <c r="H691" t="inlineStr">
        <is>
          <t>22.07</t>
        </is>
      </c>
      <c r="I691" t="n">
        <v>272</v>
      </c>
      <c r="J691" t="n">
        <v>0.22581</v>
      </c>
    </row>
    <row r="692">
      <c r="A692" t="inlineStr">
        <is>
          <t>2030_Lipiec_W5</t>
        </is>
      </c>
      <c r="B692" t="n">
        <v>2030</v>
      </c>
      <c r="C692" t="inlineStr">
        <is>
          <t>Lipiec</t>
        </is>
      </c>
      <c r="D692" t="inlineStr">
        <is>
          <t>W5</t>
        </is>
      </c>
      <c r="E692" t="n">
        <v>7</v>
      </c>
      <c r="F692" t="inlineStr">
        <is>
          <t>Pełny (7 dni)</t>
        </is>
      </c>
      <c r="G692" t="inlineStr">
        <is>
          <t>23.07</t>
        </is>
      </c>
      <c r="H692" t="inlineStr">
        <is>
          <t>29.07</t>
        </is>
      </c>
      <c r="I692" t="n">
        <v>272</v>
      </c>
      <c r="J692" t="n">
        <v>0.22581</v>
      </c>
    </row>
    <row r="693">
      <c r="A693" t="inlineStr">
        <is>
          <t>2030_Lipiec_W6</t>
        </is>
      </c>
      <c r="B693" t="n">
        <v>2030</v>
      </c>
      <c r="C693" t="inlineStr">
        <is>
          <t>Lipiec</t>
        </is>
      </c>
      <c r="D693" t="inlineStr">
        <is>
          <t>W6</t>
        </is>
      </c>
      <c r="E693" t="n">
        <v>2</v>
      </c>
      <c r="F693" t="inlineStr">
        <is>
          <t>Niepełny (2 dni)</t>
        </is>
      </c>
      <c r="G693" t="inlineStr">
        <is>
          <t>30.07</t>
        </is>
      </c>
      <c r="H693" t="inlineStr">
        <is>
          <t>31.07</t>
        </is>
      </c>
      <c r="I693" t="n">
        <v>80</v>
      </c>
      <c r="J693" t="n">
        <v>0.06451999999999999</v>
      </c>
    </row>
    <row r="694">
      <c r="A694" t="inlineStr">
        <is>
          <t>2030_Sierpień_W1</t>
        </is>
      </c>
      <c r="B694" t="n">
        <v>2030</v>
      </c>
      <c r="C694" t="inlineStr">
        <is>
          <t>Sierpień</t>
        </is>
      </c>
      <c r="D694" t="inlineStr">
        <is>
          <t>W1</t>
        </is>
      </c>
      <c r="E694" t="n">
        <v>5</v>
      </c>
      <c r="F694" t="inlineStr">
        <is>
          <t>Niepełny (5 dni)</t>
        </is>
      </c>
      <c r="G694" t="inlineStr">
        <is>
          <t>01.08</t>
        </is>
      </c>
      <c r="H694" t="inlineStr">
        <is>
          <t>05.08</t>
        </is>
      </c>
      <c r="I694" t="n">
        <v>192</v>
      </c>
      <c r="J694" t="n">
        <v>0.16129</v>
      </c>
    </row>
    <row r="695">
      <c r="A695" t="inlineStr">
        <is>
          <t>2030_Sierpień_W2</t>
        </is>
      </c>
      <c r="B695" t="n">
        <v>2030</v>
      </c>
      <c r="C695" t="inlineStr">
        <is>
          <t>Sierpień</t>
        </is>
      </c>
      <c r="D695" t="inlineStr">
        <is>
          <t>W2</t>
        </is>
      </c>
      <c r="E695" t="n">
        <v>7</v>
      </c>
      <c r="F695" t="inlineStr">
        <is>
          <t>Pełny (7 dni)</t>
        </is>
      </c>
      <c r="G695" t="inlineStr">
        <is>
          <t>06.08</t>
        </is>
      </c>
      <c r="H695" t="inlineStr">
        <is>
          <t>12.08</t>
        </is>
      </c>
      <c r="I695" t="n">
        <v>272</v>
      </c>
      <c r="J695" t="n">
        <v>0.22581</v>
      </c>
    </row>
    <row r="696">
      <c r="A696" t="inlineStr">
        <is>
          <t>2030_Sierpień_W3</t>
        </is>
      </c>
      <c r="B696" t="n">
        <v>2030</v>
      </c>
      <c r="C696" t="inlineStr">
        <is>
          <t>Sierpień</t>
        </is>
      </c>
      <c r="D696" t="inlineStr">
        <is>
          <t>W3</t>
        </is>
      </c>
      <c r="E696" t="n">
        <v>7</v>
      </c>
      <c r="F696" t="inlineStr">
        <is>
          <t>Pełny (7 dni)</t>
        </is>
      </c>
      <c r="G696" t="inlineStr">
        <is>
          <t>13.08</t>
        </is>
      </c>
      <c r="H696" t="inlineStr">
        <is>
          <t>19.08</t>
        </is>
      </c>
      <c r="I696" t="n">
        <v>272</v>
      </c>
      <c r="J696" t="n">
        <v>0.22581</v>
      </c>
    </row>
    <row r="697">
      <c r="A697" t="inlineStr">
        <is>
          <t>2030_Sierpień_W4</t>
        </is>
      </c>
      <c r="B697" t="n">
        <v>2030</v>
      </c>
      <c r="C697" t="inlineStr">
        <is>
          <t>Sierpień</t>
        </is>
      </c>
      <c r="D697" t="inlineStr">
        <is>
          <t>W4</t>
        </is>
      </c>
      <c r="E697" t="n">
        <v>7</v>
      </c>
      <c r="F697" t="inlineStr">
        <is>
          <t>Pełny (7 dni)</t>
        </is>
      </c>
      <c r="G697" t="inlineStr">
        <is>
          <t>20.08</t>
        </is>
      </c>
      <c r="H697" t="inlineStr">
        <is>
          <t>26.08</t>
        </is>
      </c>
      <c r="I697" t="n">
        <v>272</v>
      </c>
      <c r="J697" t="n">
        <v>0.22581</v>
      </c>
    </row>
    <row r="698">
      <c r="A698" t="inlineStr">
        <is>
          <t>2030_Sierpień_W5</t>
        </is>
      </c>
      <c r="B698" t="n">
        <v>2030</v>
      </c>
      <c r="C698" t="inlineStr">
        <is>
          <t>Sierpień</t>
        </is>
      </c>
      <c r="D698" t="inlineStr">
        <is>
          <t>W5</t>
        </is>
      </c>
      <c r="E698" t="n">
        <v>5</v>
      </c>
      <c r="F698" t="inlineStr">
        <is>
          <t>Niepełny (5 dni)</t>
        </is>
      </c>
      <c r="G698" t="inlineStr">
        <is>
          <t>27.08</t>
        </is>
      </c>
      <c r="H698" t="inlineStr">
        <is>
          <t>31.08</t>
        </is>
      </c>
      <c r="I698" t="n">
        <v>200</v>
      </c>
      <c r="J698" t="n">
        <v>0.16129</v>
      </c>
    </row>
    <row r="699">
      <c r="A699" t="inlineStr">
        <is>
          <t>2030_Sierpień_W6</t>
        </is>
      </c>
      <c r="B699" t="n">
        <v>2030</v>
      </c>
      <c r="C699" t="inlineStr">
        <is>
          <t>Sierpień</t>
        </is>
      </c>
      <c r="D699" t="inlineStr">
        <is>
          <t>W6</t>
        </is>
      </c>
      <c r="E699" t="n">
        <v>0</v>
      </c>
      <c r="F699" t="inlineStr">
        <is>
          <t>Brak w miesiącu</t>
        </is>
      </c>
      <c r="G699" t="inlineStr">
        <is>
          <t>-</t>
        </is>
      </c>
      <c r="H699" t="inlineStr">
        <is>
          <t>-</t>
        </is>
      </c>
      <c r="I699" t="n">
        <v>0</v>
      </c>
      <c r="J699" t="n">
        <v>0</v>
      </c>
    </row>
    <row r="700">
      <c r="A700" t="inlineStr">
        <is>
          <t>2030_Wrzesień_W1</t>
        </is>
      </c>
      <c r="B700" t="n">
        <v>2030</v>
      </c>
      <c r="C700" t="inlineStr">
        <is>
          <t>Wrzesień</t>
        </is>
      </c>
      <c r="D700" t="inlineStr">
        <is>
          <t>W1</t>
        </is>
      </c>
      <c r="E700" t="n">
        <v>2</v>
      </c>
      <c r="F700" t="inlineStr">
        <is>
          <t>Niepełny (2 dni)</t>
        </is>
      </c>
      <c r="G700" t="inlineStr">
        <is>
          <t>01.09</t>
        </is>
      </c>
      <c r="H700" t="inlineStr">
        <is>
          <t>02.09</t>
        </is>
      </c>
      <c r="I700" t="n">
        <v>72</v>
      </c>
      <c r="J700" t="n">
        <v>0.06666999999999999</v>
      </c>
    </row>
    <row r="701">
      <c r="A701" t="inlineStr">
        <is>
          <t>2030_Wrzesień_W2</t>
        </is>
      </c>
      <c r="B701" t="n">
        <v>2030</v>
      </c>
      <c r="C701" t="inlineStr">
        <is>
          <t>Wrzesień</t>
        </is>
      </c>
      <c r="D701" t="inlineStr">
        <is>
          <t>W2</t>
        </is>
      </c>
      <c r="E701" t="n">
        <v>7</v>
      </c>
      <c r="F701" t="inlineStr">
        <is>
          <t>Pełny (7 dni)</t>
        </is>
      </c>
      <c r="G701" t="inlineStr">
        <is>
          <t>03.09</t>
        </is>
      </c>
      <c r="H701" t="inlineStr">
        <is>
          <t>09.09</t>
        </is>
      </c>
      <c r="I701" t="n">
        <v>272</v>
      </c>
      <c r="J701" t="n">
        <v>0.23333</v>
      </c>
    </row>
    <row r="702">
      <c r="A702" t="inlineStr">
        <is>
          <t>2030_Wrzesień_W3</t>
        </is>
      </c>
      <c r="B702" t="n">
        <v>2030</v>
      </c>
      <c r="C702" t="inlineStr">
        <is>
          <t>Wrzesień</t>
        </is>
      </c>
      <c r="D702" t="inlineStr">
        <is>
          <t>W3</t>
        </is>
      </c>
      <c r="E702" t="n">
        <v>7</v>
      </c>
      <c r="F702" t="inlineStr">
        <is>
          <t>Pełny (7 dni)</t>
        </is>
      </c>
      <c r="G702" t="inlineStr">
        <is>
          <t>10.09</t>
        </is>
      </c>
      <c r="H702" t="inlineStr">
        <is>
          <t>16.09</t>
        </is>
      </c>
      <c r="I702" t="n">
        <v>272</v>
      </c>
      <c r="J702" t="n">
        <v>0.23333</v>
      </c>
    </row>
    <row r="703">
      <c r="A703" t="inlineStr">
        <is>
          <t>2030_Wrzesień_W4</t>
        </is>
      </c>
      <c r="B703" t="n">
        <v>2030</v>
      </c>
      <c r="C703" t="inlineStr">
        <is>
          <t>Wrzesień</t>
        </is>
      </c>
      <c r="D703" t="inlineStr">
        <is>
          <t>W4</t>
        </is>
      </c>
      <c r="E703" t="n">
        <v>7</v>
      </c>
      <c r="F703" t="inlineStr">
        <is>
          <t>Pełny (7 dni)</t>
        </is>
      </c>
      <c r="G703" t="inlineStr">
        <is>
          <t>17.09</t>
        </is>
      </c>
      <c r="H703" t="inlineStr">
        <is>
          <t>23.09</t>
        </is>
      </c>
      <c r="I703" t="n">
        <v>272</v>
      </c>
      <c r="J703" t="n">
        <v>0.23333</v>
      </c>
    </row>
    <row r="704">
      <c r="A704" t="inlineStr">
        <is>
          <t>2030_Wrzesień_W5</t>
        </is>
      </c>
      <c r="B704" t="n">
        <v>2030</v>
      </c>
      <c r="C704" t="inlineStr">
        <is>
          <t>Wrzesień</t>
        </is>
      </c>
      <c r="D704" t="inlineStr">
        <is>
          <t>W5</t>
        </is>
      </c>
      <c r="E704" t="n">
        <v>7</v>
      </c>
      <c r="F704" t="inlineStr">
        <is>
          <t>Pełny (7 dni)</t>
        </is>
      </c>
      <c r="G704" t="inlineStr">
        <is>
          <t>24.09</t>
        </is>
      </c>
      <c r="H704" t="inlineStr">
        <is>
          <t>30.09</t>
        </is>
      </c>
      <c r="I704" t="n">
        <v>272</v>
      </c>
      <c r="J704" t="n">
        <v>0.23333</v>
      </c>
    </row>
    <row r="705">
      <c r="A705" t="inlineStr">
        <is>
          <t>2030_Wrzesień_W6</t>
        </is>
      </c>
      <c r="B705" t="n">
        <v>2030</v>
      </c>
      <c r="C705" t="inlineStr">
        <is>
          <t>Wrzesień</t>
        </is>
      </c>
      <c r="D705" t="inlineStr">
        <is>
          <t>W6</t>
        </is>
      </c>
      <c r="E705" t="n">
        <v>0</v>
      </c>
      <c r="F705" t="inlineStr">
        <is>
          <t>Brak w miesiącu</t>
        </is>
      </c>
      <c r="G705" t="inlineStr">
        <is>
          <t>-</t>
        </is>
      </c>
      <c r="H705" t="inlineStr">
        <is>
          <t>-</t>
        </is>
      </c>
      <c r="I705" t="n">
        <v>0</v>
      </c>
      <c r="J705" t="n">
        <v>0</v>
      </c>
    </row>
    <row r="706">
      <c r="A706" t="inlineStr">
        <is>
          <t>2030_Październik_W1</t>
        </is>
      </c>
      <c r="B706" t="n">
        <v>2030</v>
      </c>
      <c r="C706" t="inlineStr">
        <is>
          <t>Październik</t>
        </is>
      </c>
      <c r="D706" t="inlineStr">
        <is>
          <t>W1</t>
        </is>
      </c>
      <c r="E706" t="n">
        <v>7</v>
      </c>
      <c r="F706" t="inlineStr">
        <is>
          <t>Pełny (7 dni)</t>
        </is>
      </c>
      <c r="G706" t="inlineStr">
        <is>
          <t>01.10</t>
        </is>
      </c>
      <c r="H706" t="inlineStr">
        <is>
          <t>07.10</t>
        </is>
      </c>
      <c r="I706" t="n">
        <v>272</v>
      </c>
      <c r="J706" t="n">
        <v>0.22581</v>
      </c>
    </row>
    <row r="707">
      <c r="A707" t="inlineStr">
        <is>
          <t>2030_Październik_W2</t>
        </is>
      </c>
      <c r="B707" t="n">
        <v>2030</v>
      </c>
      <c r="C707" t="inlineStr">
        <is>
          <t>Październik</t>
        </is>
      </c>
      <c r="D707" t="inlineStr">
        <is>
          <t>W2</t>
        </is>
      </c>
      <c r="E707" t="n">
        <v>7</v>
      </c>
      <c r="F707" t="inlineStr">
        <is>
          <t>Pełny (7 dni)</t>
        </is>
      </c>
      <c r="G707" t="inlineStr">
        <is>
          <t>08.10</t>
        </is>
      </c>
      <c r="H707" t="inlineStr">
        <is>
          <t>14.10</t>
        </is>
      </c>
      <c r="I707" t="n">
        <v>272</v>
      </c>
      <c r="J707" t="n">
        <v>0.22581</v>
      </c>
    </row>
    <row r="708">
      <c r="A708" t="inlineStr">
        <is>
          <t>2030_Październik_W3</t>
        </is>
      </c>
      <c r="B708" t="n">
        <v>2030</v>
      </c>
      <c r="C708" t="inlineStr">
        <is>
          <t>Październik</t>
        </is>
      </c>
      <c r="D708" t="inlineStr">
        <is>
          <t>W3</t>
        </is>
      </c>
      <c r="E708" t="n">
        <v>7</v>
      </c>
      <c r="F708" t="inlineStr">
        <is>
          <t>Pełny (7 dni)</t>
        </is>
      </c>
      <c r="G708" t="inlineStr">
        <is>
          <t>15.10</t>
        </is>
      </c>
      <c r="H708" t="inlineStr">
        <is>
          <t>21.10</t>
        </is>
      </c>
      <c r="I708" t="n">
        <v>272</v>
      </c>
      <c r="J708" t="n">
        <v>0.22581</v>
      </c>
    </row>
    <row r="709">
      <c r="A709" t="inlineStr">
        <is>
          <t>2030_Październik_W4</t>
        </is>
      </c>
      <c r="B709" t="n">
        <v>2030</v>
      </c>
      <c r="C709" t="inlineStr">
        <is>
          <t>Październik</t>
        </is>
      </c>
      <c r="D709" t="inlineStr">
        <is>
          <t>W4</t>
        </is>
      </c>
      <c r="E709" t="n">
        <v>7</v>
      </c>
      <c r="F709" t="inlineStr">
        <is>
          <t>Pełny (7 dni)</t>
        </is>
      </c>
      <c r="G709" t="inlineStr">
        <is>
          <t>22.10</t>
        </is>
      </c>
      <c r="H709" t="inlineStr">
        <is>
          <t>28.10</t>
        </is>
      </c>
      <c r="I709" t="n">
        <v>272</v>
      </c>
      <c r="J709" t="n">
        <v>0.22581</v>
      </c>
    </row>
    <row r="710">
      <c r="A710" t="inlineStr">
        <is>
          <t>2030_Październik_W5</t>
        </is>
      </c>
      <c r="B710" t="n">
        <v>2030</v>
      </c>
      <c r="C710" t="inlineStr">
        <is>
          <t>Październik</t>
        </is>
      </c>
      <c r="D710" t="inlineStr">
        <is>
          <t>W5</t>
        </is>
      </c>
      <c r="E710" t="n">
        <v>3</v>
      </c>
      <c r="F710" t="inlineStr">
        <is>
          <t>Niepełny (3 dni)</t>
        </is>
      </c>
      <c r="G710" t="inlineStr">
        <is>
          <t>29.10</t>
        </is>
      </c>
      <c r="H710" t="inlineStr">
        <is>
          <t>31.10</t>
        </is>
      </c>
      <c r="I710" t="n">
        <v>120</v>
      </c>
      <c r="J710" t="n">
        <v>0.09676999999999999</v>
      </c>
    </row>
    <row r="711">
      <c r="A711" t="inlineStr">
        <is>
          <t>2030_Październik_W6</t>
        </is>
      </c>
      <c r="B711" t="n">
        <v>2030</v>
      </c>
      <c r="C711" t="inlineStr">
        <is>
          <t>Październik</t>
        </is>
      </c>
      <c r="D711" t="inlineStr">
        <is>
          <t>W6</t>
        </is>
      </c>
      <c r="E711" t="n">
        <v>0</v>
      </c>
      <c r="F711" t="inlineStr">
        <is>
          <t>Brak w miesiącu</t>
        </is>
      </c>
      <c r="G711" t="inlineStr">
        <is>
          <t>-</t>
        </is>
      </c>
      <c r="H711" t="inlineStr">
        <is>
          <t>-</t>
        </is>
      </c>
      <c r="I711" t="n">
        <v>0</v>
      </c>
      <c r="J711" t="n">
        <v>0</v>
      </c>
    </row>
    <row r="712">
      <c r="A712" t="inlineStr">
        <is>
          <t>2030_Listopad_W1</t>
        </is>
      </c>
      <c r="B712" t="n">
        <v>2030</v>
      </c>
      <c r="C712" t="inlineStr">
        <is>
          <t>Listopad</t>
        </is>
      </c>
      <c r="D712" t="inlineStr">
        <is>
          <t>W1</t>
        </is>
      </c>
      <c r="E712" t="n">
        <v>4</v>
      </c>
      <c r="F712" t="inlineStr">
        <is>
          <t>Niepełny (4 dni)</t>
        </is>
      </c>
      <c r="G712" t="inlineStr">
        <is>
          <t>01.11</t>
        </is>
      </c>
      <c r="H712" t="inlineStr">
        <is>
          <t>04.11</t>
        </is>
      </c>
      <c r="I712" t="n">
        <v>152</v>
      </c>
      <c r="J712" t="n">
        <v>0.13333</v>
      </c>
    </row>
    <row r="713">
      <c r="A713" t="inlineStr">
        <is>
          <t>2030_Listopad_W2</t>
        </is>
      </c>
      <c r="B713" t="n">
        <v>2030</v>
      </c>
      <c r="C713" t="inlineStr">
        <is>
          <t>Listopad</t>
        </is>
      </c>
      <c r="D713" t="inlineStr">
        <is>
          <t>W2</t>
        </is>
      </c>
      <c r="E713" t="n">
        <v>7</v>
      </c>
      <c r="F713" t="inlineStr">
        <is>
          <t>Pełny (7 dni)</t>
        </is>
      </c>
      <c r="G713" t="inlineStr">
        <is>
          <t>05.11</t>
        </is>
      </c>
      <c r="H713" t="inlineStr">
        <is>
          <t>11.11</t>
        </is>
      </c>
      <c r="I713" t="n">
        <v>272</v>
      </c>
      <c r="J713" t="n">
        <v>0.23333</v>
      </c>
    </row>
    <row r="714">
      <c r="A714" t="inlineStr">
        <is>
          <t>2030_Listopad_W3</t>
        </is>
      </c>
      <c r="B714" t="n">
        <v>2030</v>
      </c>
      <c r="C714" t="inlineStr">
        <is>
          <t>Listopad</t>
        </is>
      </c>
      <c r="D714" t="inlineStr">
        <is>
          <t>W3</t>
        </is>
      </c>
      <c r="E714" t="n">
        <v>7</v>
      </c>
      <c r="F714" t="inlineStr">
        <is>
          <t>Pełny (7 dni)</t>
        </is>
      </c>
      <c r="G714" t="inlineStr">
        <is>
          <t>12.11</t>
        </is>
      </c>
      <c r="H714" t="inlineStr">
        <is>
          <t>18.11</t>
        </is>
      </c>
      <c r="I714" t="n">
        <v>272</v>
      </c>
      <c r="J714" t="n">
        <v>0.23333</v>
      </c>
    </row>
    <row r="715">
      <c r="A715" t="inlineStr">
        <is>
          <t>2030_Listopad_W4</t>
        </is>
      </c>
      <c r="B715" t="n">
        <v>2030</v>
      </c>
      <c r="C715" t="inlineStr">
        <is>
          <t>Listopad</t>
        </is>
      </c>
      <c r="D715" t="inlineStr">
        <is>
          <t>W4</t>
        </is>
      </c>
      <c r="E715" t="n">
        <v>7</v>
      </c>
      <c r="F715" t="inlineStr">
        <is>
          <t>Pełny (7 dni)</t>
        </is>
      </c>
      <c r="G715" t="inlineStr">
        <is>
          <t>19.11</t>
        </is>
      </c>
      <c r="H715" t="inlineStr">
        <is>
          <t>25.11</t>
        </is>
      </c>
      <c r="I715" t="n">
        <v>272</v>
      </c>
      <c r="J715" t="n">
        <v>0.23333</v>
      </c>
    </row>
    <row r="716">
      <c r="A716" t="inlineStr">
        <is>
          <t>2030_Listopad_W5</t>
        </is>
      </c>
      <c r="B716" t="n">
        <v>2030</v>
      </c>
      <c r="C716" t="inlineStr">
        <is>
          <t>Listopad</t>
        </is>
      </c>
      <c r="D716" t="inlineStr">
        <is>
          <t>W5</t>
        </is>
      </c>
      <c r="E716" t="n">
        <v>5</v>
      </c>
      <c r="F716" t="inlineStr">
        <is>
          <t>Niepełny (5 dni)</t>
        </is>
      </c>
      <c r="G716" t="inlineStr">
        <is>
          <t>26.11</t>
        </is>
      </c>
      <c r="H716" t="inlineStr">
        <is>
          <t>30.11</t>
        </is>
      </c>
      <c r="I716" t="n">
        <v>200</v>
      </c>
      <c r="J716" t="n">
        <v>0.16667</v>
      </c>
    </row>
    <row r="717">
      <c r="A717" t="inlineStr">
        <is>
          <t>2030_Listopad_W6</t>
        </is>
      </c>
      <c r="B717" t="n">
        <v>2030</v>
      </c>
      <c r="C717" t="inlineStr">
        <is>
          <t>Listopad</t>
        </is>
      </c>
      <c r="D717" t="inlineStr">
        <is>
          <t>W6</t>
        </is>
      </c>
      <c r="E717" t="n">
        <v>0</v>
      </c>
      <c r="F717" t="inlineStr">
        <is>
          <t>Brak w miesiącu</t>
        </is>
      </c>
      <c r="G717" t="inlineStr">
        <is>
          <t>-</t>
        </is>
      </c>
      <c r="H717" t="inlineStr">
        <is>
          <t>-</t>
        </is>
      </c>
      <c r="I717" t="n">
        <v>0</v>
      </c>
      <c r="J717" t="n">
        <v>0</v>
      </c>
    </row>
    <row r="718">
      <c r="A718" t="inlineStr">
        <is>
          <t>2030_Grudzień_W1</t>
        </is>
      </c>
      <c r="B718" t="n">
        <v>2030</v>
      </c>
      <c r="C718" t="inlineStr">
        <is>
          <t>Grudzień</t>
        </is>
      </c>
      <c r="D718" t="inlineStr">
        <is>
          <t>W1</t>
        </is>
      </c>
      <c r="E718" t="n">
        <v>2</v>
      </c>
      <c r="F718" t="inlineStr">
        <is>
          <t>Niepełny (2 dni)</t>
        </is>
      </c>
      <c r="G718" t="inlineStr">
        <is>
          <t>01.12</t>
        </is>
      </c>
      <c r="H718" t="inlineStr">
        <is>
          <t>02.12</t>
        </is>
      </c>
      <c r="I718" t="n">
        <v>72</v>
      </c>
      <c r="J718" t="n">
        <v>0.06451999999999999</v>
      </c>
    </row>
    <row r="719">
      <c r="A719" t="inlineStr">
        <is>
          <t>2030_Grudzień_W2</t>
        </is>
      </c>
      <c r="B719" t="n">
        <v>2030</v>
      </c>
      <c r="C719" t="inlineStr">
        <is>
          <t>Grudzień</t>
        </is>
      </c>
      <c r="D719" t="inlineStr">
        <is>
          <t>W2</t>
        </is>
      </c>
      <c r="E719" t="n">
        <v>7</v>
      </c>
      <c r="F719" t="inlineStr">
        <is>
          <t>Pełny (7 dni)</t>
        </is>
      </c>
      <c r="G719" t="inlineStr">
        <is>
          <t>03.12</t>
        </is>
      </c>
      <c r="H719" t="inlineStr">
        <is>
          <t>09.12</t>
        </is>
      </c>
      <c r="I719" t="n">
        <v>272</v>
      </c>
      <c r="J719" t="n">
        <v>0.22581</v>
      </c>
    </row>
    <row r="720">
      <c r="A720" t="inlineStr">
        <is>
          <t>2030_Grudzień_W3</t>
        </is>
      </c>
      <c r="B720" t="n">
        <v>2030</v>
      </c>
      <c r="C720" t="inlineStr">
        <is>
          <t>Grudzień</t>
        </is>
      </c>
      <c r="D720" t="inlineStr">
        <is>
          <t>W3</t>
        </is>
      </c>
      <c r="E720" t="n">
        <v>7</v>
      </c>
      <c r="F720" t="inlineStr">
        <is>
          <t>Pełny (7 dni)</t>
        </is>
      </c>
      <c r="G720" t="inlineStr">
        <is>
          <t>10.12</t>
        </is>
      </c>
      <c r="H720" t="inlineStr">
        <is>
          <t>16.12</t>
        </is>
      </c>
      <c r="I720" t="n">
        <v>272</v>
      </c>
      <c r="J720" t="n">
        <v>0.22581</v>
      </c>
    </row>
    <row r="721">
      <c r="A721" t="inlineStr">
        <is>
          <t>2030_Grudzień_W4</t>
        </is>
      </c>
      <c r="B721" t="n">
        <v>2030</v>
      </c>
      <c r="C721" t="inlineStr">
        <is>
          <t>Grudzień</t>
        </is>
      </c>
      <c r="D721" t="inlineStr">
        <is>
          <t>W4</t>
        </is>
      </c>
      <c r="E721" t="n">
        <v>7</v>
      </c>
      <c r="F721" t="inlineStr">
        <is>
          <t>Pełny (7 dni)</t>
        </is>
      </c>
      <c r="G721" t="inlineStr">
        <is>
          <t>17.12</t>
        </is>
      </c>
      <c r="H721" t="inlineStr">
        <is>
          <t>23.12</t>
        </is>
      </c>
      <c r="I721" t="n">
        <v>272</v>
      </c>
      <c r="J721" t="n">
        <v>0.22581</v>
      </c>
    </row>
    <row r="722">
      <c r="A722" t="inlineStr">
        <is>
          <t>2030_Grudzień_W5</t>
        </is>
      </c>
      <c r="B722" t="n">
        <v>2030</v>
      </c>
      <c r="C722" t="inlineStr">
        <is>
          <t>Grudzień</t>
        </is>
      </c>
      <c r="D722" t="inlineStr">
        <is>
          <t>W5</t>
        </is>
      </c>
      <c r="E722" t="n">
        <v>7</v>
      </c>
      <c r="F722" t="inlineStr">
        <is>
          <t>Pełny (7 dni)</t>
        </is>
      </c>
      <c r="G722" t="inlineStr">
        <is>
          <t>24.12</t>
        </is>
      </c>
      <c r="H722" t="inlineStr">
        <is>
          <t>30.12</t>
        </is>
      </c>
      <c r="I722" t="n">
        <v>272</v>
      </c>
      <c r="J722" t="n">
        <v>0.22581</v>
      </c>
    </row>
    <row r="723">
      <c r="A723" t="inlineStr">
        <is>
          <t>2030_Grudzień_W6</t>
        </is>
      </c>
      <c r="B723" t="n">
        <v>2030</v>
      </c>
      <c r="C723" t="inlineStr">
        <is>
          <t>Grudzień</t>
        </is>
      </c>
      <c r="D723" t="inlineStr">
        <is>
          <t>W6</t>
        </is>
      </c>
      <c r="E723" t="n">
        <v>1</v>
      </c>
      <c r="F723" t="inlineStr">
        <is>
          <t>Niepełny (1 dni)</t>
        </is>
      </c>
      <c r="G723" t="inlineStr">
        <is>
          <t>31.12</t>
        </is>
      </c>
      <c r="H723" t="inlineStr">
        <is>
          <t>31.12</t>
        </is>
      </c>
      <c r="I723" t="n">
        <v>40</v>
      </c>
      <c r="J723" t="n">
        <v>0.03226</v>
      </c>
    </row>
    <row r="724">
      <c r="A724" t="inlineStr">
        <is>
          <t>2031_Styczeń_W1</t>
        </is>
      </c>
      <c r="B724" t="n">
        <v>2031</v>
      </c>
      <c r="C724" t="inlineStr">
        <is>
          <t>Styczeń</t>
        </is>
      </c>
      <c r="D724" t="inlineStr">
        <is>
          <t>W1</t>
        </is>
      </c>
      <c r="E724" t="n">
        <v>6</v>
      </c>
      <c r="F724" t="inlineStr">
        <is>
          <t>Niepełny (6 dni)</t>
        </is>
      </c>
      <c r="G724" t="inlineStr">
        <is>
          <t>01.01</t>
        </is>
      </c>
      <c r="H724" t="inlineStr">
        <is>
          <t>06.01</t>
        </is>
      </c>
      <c r="I724" t="n">
        <v>232</v>
      </c>
      <c r="J724" t="n">
        <v>0.19355</v>
      </c>
    </row>
    <row r="725">
      <c r="A725" t="inlineStr">
        <is>
          <t>2031_Styczeń_W2</t>
        </is>
      </c>
      <c r="B725" t="n">
        <v>2031</v>
      </c>
      <c r="C725" t="inlineStr">
        <is>
          <t>Styczeń</t>
        </is>
      </c>
      <c r="D725" t="inlineStr">
        <is>
          <t>W2</t>
        </is>
      </c>
      <c r="E725" t="n">
        <v>7</v>
      </c>
      <c r="F725" t="inlineStr">
        <is>
          <t>Pełny (7 dni)</t>
        </is>
      </c>
      <c r="G725" t="inlineStr">
        <is>
          <t>07.01</t>
        </is>
      </c>
      <c r="H725" t="inlineStr">
        <is>
          <t>13.01</t>
        </is>
      </c>
      <c r="I725" t="n">
        <v>272</v>
      </c>
      <c r="J725" t="n">
        <v>0.22581</v>
      </c>
    </row>
    <row r="726">
      <c r="A726" t="inlineStr">
        <is>
          <t>2031_Styczeń_W3</t>
        </is>
      </c>
      <c r="B726" t="n">
        <v>2031</v>
      </c>
      <c r="C726" t="inlineStr">
        <is>
          <t>Styczeń</t>
        </is>
      </c>
      <c r="D726" t="inlineStr">
        <is>
          <t>W3</t>
        </is>
      </c>
      <c r="E726" t="n">
        <v>7</v>
      </c>
      <c r="F726" t="inlineStr">
        <is>
          <t>Pełny (7 dni)</t>
        </is>
      </c>
      <c r="G726" t="inlineStr">
        <is>
          <t>14.01</t>
        </is>
      </c>
      <c r="H726" t="inlineStr">
        <is>
          <t>20.01</t>
        </is>
      </c>
      <c r="I726" t="n">
        <v>272</v>
      </c>
      <c r="J726" t="n">
        <v>0.22581</v>
      </c>
    </row>
    <row r="727">
      <c r="A727" t="inlineStr">
        <is>
          <t>2031_Styczeń_W4</t>
        </is>
      </c>
      <c r="B727" t="n">
        <v>2031</v>
      </c>
      <c r="C727" t="inlineStr">
        <is>
          <t>Styczeń</t>
        </is>
      </c>
      <c r="D727" t="inlineStr">
        <is>
          <t>W4</t>
        </is>
      </c>
      <c r="E727" t="n">
        <v>7</v>
      </c>
      <c r="F727" t="inlineStr">
        <is>
          <t>Pełny (7 dni)</t>
        </is>
      </c>
      <c r="G727" t="inlineStr">
        <is>
          <t>21.01</t>
        </is>
      </c>
      <c r="H727" t="inlineStr">
        <is>
          <t>27.01</t>
        </is>
      </c>
      <c r="I727" t="n">
        <v>272</v>
      </c>
      <c r="J727" t="n">
        <v>0.22581</v>
      </c>
    </row>
    <row r="728">
      <c r="A728" t="inlineStr">
        <is>
          <t>2031_Styczeń_W5</t>
        </is>
      </c>
      <c r="B728" t="n">
        <v>2031</v>
      </c>
      <c r="C728" t="inlineStr">
        <is>
          <t>Styczeń</t>
        </is>
      </c>
      <c r="D728" t="inlineStr">
        <is>
          <t>W5</t>
        </is>
      </c>
      <c r="E728" t="n">
        <v>4</v>
      </c>
      <c r="F728" t="inlineStr">
        <is>
          <t>Niepełny (4 dni)</t>
        </is>
      </c>
      <c r="G728" t="inlineStr">
        <is>
          <t>28.01</t>
        </is>
      </c>
      <c r="H728" t="inlineStr">
        <is>
          <t>31.01</t>
        </is>
      </c>
      <c r="I728" t="n">
        <v>160</v>
      </c>
      <c r="J728" t="n">
        <v>0.12903</v>
      </c>
    </row>
    <row r="729">
      <c r="A729" t="inlineStr">
        <is>
          <t>2031_Styczeń_W6</t>
        </is>
      </c>
      <c r="B729" t="n">
        <v>2031</v>
      </c>
      <c r="C729" t="inlineStr">
        <is>
          <t>Styczeń</t>
        </is>
      </c>
      <c r="D729" t="inlineStr">
        <is>
          <t>W6</t>
        </is>
      </c>
      <c r="E729" t="n">
        <v>0</v>
      </c>
      <c r="F729" t="inlineStr">
        <is>
          <t>Brak w miesiącu</t>
        </is>
      </c>
      <c r="G729" t="inlineStr">
        <is>
          <t>-</t>
        </is>
      </c>
      <c r="H729" t="inlineStr">
        <is>
          <t>-</t>
        </is>
      </c>
      <c r="I729" t="n">
        <v>0</v>
      </c>
      <c r="J729" t="n">
        <v>0</v>
      </c>
    </row>
    <row r="730">
      <c r="A730" t="inlineStr">
        <is>
          <t>2031_Luty_W1</t>
        </is>
      </c>
      <c r="B730" t="n">
        <v>2031</v>
      </c>
      <c r="C730" t="inlineStr">
        <is>
          <t>Luty</t>
        </is>
      </c>
      <c r="D730" t="inlineStr">
        <is>
          <t>W1</t>
        </is>
      </c>
      <c r="E730" t="n">
        <v>3</v>
      </c>
      <c r="F730" t="inlineStr">
        <is>
          <t>Niepełny (3 dni)</t>
        </is>
      </c>
      <c r="G730" t="inlineStr">
        <is>
          <t>01.02</t>
        </is>
      </c>
      <c r="H730" t="inlineStr">
        <is>
          <t>03.02</t>
        </is>
      </c>
      <c r="I730" t="n">
        <v>112</v>
      </c>
      <c r="J730" t="n">
        <v>0.10714</v>
      </c>
    </row>
    <row r="731">
      <c r="A731" t="inlineStr">
        <is>
          <t>2031_Luty_W2</t>
        </is>
      </c>
      <c r="B731" t="n">
        <v>2031</v>
      </c>
      <c r="C731" t="inlineStr">
        <is>
          <t>Luty</t>
        </is>
      </c>
      <c r="D731" t="inlineStr">
        <is>
          <t>W2</t>
        </is>
      </c>
      <c r="E731" t="n">
        <v>7</v>
      </c>
      <c r="F731" t="inlineStr">
        <is>
          <t>Pełny (7 dni)</t>
        </is>
      </c>
      <c r="G731" t="inlineStr">
        <is>
          <t>04.02</t>
        </is>
      </c>
      <c r="H731" t="inlineStr">
        <is>
          <t>10.02</t>
        </is>
      </c>
      <c r="I731" t="n">
        <v>272</v>
      </c>
      <c r="J731" t="n">
        <v>0.25</v>
      </c>
    </row>
    <row r="732">
      <c r="A732" t="inlineStr">
        <is>
          <t>2031_Luty_W3</t>
        </is>
      </c>
      <c r="B732" t="n">
        <v>2031</v>
      </c>
      <c r="C732" t="inlineStr">
        <is>
          <t>Luty</t>
        </is>
      </c>
      <c r="D732" t="inlineStr">
        <is>
          <t>W3</t>
        </is>
      </c>
      <c r="E732" t="n">
        <v>7</v>
      </c>
      <c r="F732" t="inlineStr">
        <is>
          <t>Pełny (7 dni)</t>
        </is>
      </c>
      <c r="G732" t="inlineStr">
        <is>
          <t>11.02</t>
        </is>
      </c>
      <c r="H732" t="inlineStr">
        <is>
          <t>17.02</t>
        </is>
      </c>
      <c r="I732" t="n">
        <v>272</v>
      </c>
      <c r="J732" t="n">
        <v>0.25</v>
      </c>
    </row>
    <row r="733">
      <c r="A733" t="inlineStr">
        <is>
          <t>2031_Luty_W4</t>
        </is>
      </c>
      <c r="B733" t="n">
        <v>2031</v>
      </c>
      <c r="C733" t="inlineStr">
        <is>
          <t>Luty</t>
        </is>
      </c>
      <c r="D733" t="inlineStr">
        <is>
          <t>W4</t>
        </is>
      </c>
      <c r="E733" t="n">
        <v>7</v>
      </c>
      <c r="F733" t="inlineStr">
        <is>
          <t>Pełny (7 dni)</t>
        </is>
      </c>
      <c r="G733" t="inlineStr">
        <is>
          <t>18.02</t>
        </is>
      </c>
      <c r="H733" t="inlineStr">
        <is>
          <t>24.02</t>
        </is>
      </c>
      <c r="I733" t="n">
        <v>272</v>
      </c>
      <c r="J733" t="n">
        <v>0.25</v>
      </c>
    </row>
    <row r="734">
      <c r="A734" t="inlineStr">
        <is>
          <t>2031_Luty_W5</t>
        </is>
      </c>
      <c r="B734" t="n">
        <v>2031</v>
      </c>
      <c r="C734" t="inlineStr">
        <is>
          <t>Luty</t>
        </is>
      </c>
      <c r="D734" t="inlineStr">
        <is>
          <t>W5</t>
        </is>
      </c>
      <c r="E734" t="n">
        <v>4</v>
      </c>
      <c r="F734" t="inlineStr">
        <is>
          <t>Niepełny (4 dni)</t>
        </is>
      </c>
      <c r="G734" t="inlineStr">
        <is>
          <t>25.02</t>
        </is>
      </c>
      <c r="H734" t="inlineStr">
        <is>
          <t>28.02</t>
        </is>
      </c>
      <c r="I734" t="n">
        <v>160</v>
      </c>
      <c r="J734" t="n">
        <v>0.14286</v>
      </c>
    </row>
    <row r="735">
      <c r="A735" t="inlineStr">
        <is>
          <t>2031_Luty_W6</t>
        </is>
      </c>
      <c r="B735" t="n">
        <v>2031</v>
      </c>
      <c r="C735" t="inlineStr">
        <is>
          <t>Luty</t>
        </is>
      </c>
      <c r="D735" t="inlineStr">
        <is>
          <t>W6</t>
        </is>
      </c>
      <c r="E735" t="n">
        <v>0</v>
      </c>
      <c r="F735" t="inlineStr">
        <is>
          <t>Brak w miesiącu</t>
        </is>
      </c>
      <c r="G735" t="inlineStr">
        <is>
          <t>-</t>
        </is>
      </c>
      <c r="H735" t="inlineStr">
        <is>
          <t>-</t>
        </is>
      </c>
      <c r="I735" t="n">
        <v>0</v>
      </c>
      <c r="J735" t="n">
        <v>0</v>
      </c>
    </row>
    <row r="736">
      <c r="A736" t="inlineStr">
        <is>
          <t>2031_Marzec_W1</t>
        </is>
      </c>
      <c r="B736" t="n">
        <v>2031</v>
      </c>
      <c r="C736" t="inlineStr">
        <is>
          <t>Marzec</t>
        </is>
      </c>
      <c r="D736" t="inlineStr">
        <is>
          <t>W1</t>
        </is>
      </c>
      <c r="E736" t="n">
        <v>3</v>
      </c>
      <c r="F736" t="inlineStr">
        <is>
          <t>Niepełny (3 dni)</t>
        </is>
      </c>
      <c r="G736" t="inlineStr">
        <is>
          <t>01.03</t>
        </is>
      </c>
      <c r="H736" t="inlineStr">
        <is>
          <t>03.03</t>
        </is>
      </c>
      <c r="I736" t="n">
        <v>112</v>
      </c>
      <c r="J736" t="n">
        <v>0.09676999999999999</v>
      </c>
    </row>
    <row r="737">
      <c r="A737" t="inlineStr">
        <is>
          <t>2031_Marzec_W2</t>
        </is>
      </c>
      <c r="B737" t="n">
        <v>2031</v>
      </c>
      <c r="C737" t="inlineStr">
        <is>
          <t>Marzec</t>
        </is>
      </c>
      <c r="D737" t="inlineStr">
        <is>
          <t>W2</t>
        </is>
      </c>
      <c r="E737" t="n">
        <v>7</v>
      </c>
      <c r="F737" t="inlineStr">
        <is>
          <t>Pełny (7 dni)</t>
        </is>
      </c>
      <c r="G737" t="inlineStr">
        <is>
          <t>04.03</t>
        </is>
      </c>
      <c r="H737" t="inlineStr">
        <is>
          <t>10.03</t>
        </is>
      </c>
      <c r="I737" t="n">
        <v>272</v>
      </c>
      <c r="J737" t="n">
        <v>0.22581</v>
      </c>
    </row>
    <row r="738">
      <c r="A738" t="inlineStr">
        <is>
          <t>2031_Marzec_W3</t>
        </is>
      </c>
      <c r="B738" t="n">
        <v>2031</v>
      </c>
      <c r="C738" t="inlineStr">
        <is>
          <t>Marzec</t>
        </is>
      </c>
      <c r="D738" t="inlineStr">
        <is>
          <t>W3</t>
        </is>
      </c>
      <c r="E738" t="n">
        <v>7</v>
      </c>
      <c r="F738" t="inlineStr">
        <is>
          <t>Pełny (7 dni)</t>
        </is>
      </c>
      <c r="G738" t="inlineStr">
        <is>
          <t>11.03</t>
        </is>
      </c>
      <c r="H738" t="inlineStr">
        <is>
          <t>17.03</t>
        </is>
      </c>
      <c r="I738" t="n">
        <v>272</v>
      </c>
      <c r="J738" t="n">
        <v>0.22581</v>
      </c>
    </row>
    <row r="739">
      <c r="A739" t="inlineStr">
        <is>
          <t>2031_Marzec_W4</t>
        </is>
      </c>
      <c r="B739" t="n">
        <v>2031</v>
      </c>
      <c r="C739" t="inlineStr">
        <is>
          <t>Marzec</t>
        </is>
      </c>
      <c r="D739" t="inlineStr">
        <is>
          <t>W4</t>
        </is>
      </c>
      <c r="E739" t="n">
        <v>7</v>
      </c>
      <c r="F739" t="inlineStr">
        <is>
          <t>Pełny (7 dni)</t>
        </is>
      </c>
      <c r="G739" t="inlineStr">
        <is>
          <t>18.03</t>
        </is>
      </c>
      <c r="H739" t="inlineStr">
        <is>
          <t>24.03</t>
        </is>
      </c>
      <c r="I739" t="n">
        <v>272</v>
      </c>
      <c r="J739" t="n">
        <v>0.22581</v>
      </c>
    </row>
    <row r="740">
      <c r="A740" t="inlineStr">
        <is>
          <t>2031_Marzec_W5</t>
        </is>
      </c>
      <c r="B740" t="n">
        <v>2031</v>
      </c>
      <c r="C740" t="inlineStr">
        <is>
          <t>Marzec</t>
        </is>
      </c>
      <c r="D740" t="inlineStr">
        <is>
          <t>W5</t>
        </is>
      </c>
      <c r="E740" t="n">
        <v>7</v>
      </c>
      <c r="F740" t="inlineStr">
        <is>
          <t>Pełny (7 dni)</t>
        </is>
      </c>
      <c r="G740" t="inlineStr">
        <is>
          <t>25.03</t>
        </is>
      </c>
      <c r="H740" t="inlineStr">
        <is>
          <t>31.03</t>
        </is>
      </c>
      <c r="I740" t="n">
        <v>272</v>
      </c>
      <c r="J740" t="n">
        <v>0.22581</v>
      </c>
    </row>
    <row r="741">
      <c r="A741" t="inlineStr">
        <is>
          <t>2031_Marzec_W6</t>
        </is>
      </c>
      <c r="B741" t="n">
        <v>2031</v>
      </c>
      <c r="C741" t="inlineStr">
        <is>
          <t>Marzec</t>
        </is>
      </c>
      <c r="D741" t="inlineStr">
        <is>
          <t>W6</t>
        </is>
      </c>
      <c r="E741" t="n">
        <v>0</v>
      </c>
      <c r="F741" t="inlineStr">
        <is>
          <t>Brak w miesiącu</t>
        </is>
      </c>
      <c r="G741" t="inlineStr">
        <is>
          <t>-</t>
        </is>
      </c>
      <c r="H741" t="inlineStr">
        <is>
          <t>-</t>
        </is>
      </c>
      <c r="I741" t="n">
        <v>0</v>
      </c>
      <c r="J741" t="n">
        <v>0</v>
      </c>
    </row>
    <row r="742">
      <c r="A742" t="inlineStr">
        <is>
          <t>2031_Kwiecień_W1</t>
        </is>
      </c>
      <c r="B742" t="n">
        <v>2031</v>
      </c>
      <c r="C742" t="inlineStr">
        <is>
          <t>Kwiecień</t>
        </is>
      </c>
      <c r="D742" t="inlineStr">
        <is>
          <t>W1</t>
        </is>
      </c>
      <c r="E742" t="n">
        <v>7</v>
      </c>
      <c r="F742" t="inlineStr">
        <is>
          <t>Pełny (7 dni)</t>
        </is>
      </c>
      <c r="G742" t="inlineStr">
        <is>
          <t>01.04</t>
        </is>
      </c>
      <c r="H742" t="inlineStr">
        <is>
          <t>07.04</t>
        </is>
      </c>
      <c r="I742" t="n">
        <v>272</v>
      </c>
      <c r="J742" t="n">
        <v>0.23333</v>
      </c>
    </row>
    <row r="743">
      <c r="A743" t="inlineStr">
        <is>
          <t>2031_Kwiecień_W2</t>
        </is>
      </c>
      <c r="B743" t="n">
        <v>2031</v>
      </c>
      <c r="C743" t="inlineStr">
        <is>
          <t>Kwiecień</t>
        </is>
      </c>
      <c r="D743" t="inlineStr">
        <is>
          <t>W2</t>
        </is>
      </c>
      <c r="E743" t="n">
        <v>7</v>
      </c>
      <c r="F743" t="inlineStr">
        <is>
          <t>Pełny (7 dni)</t>
        </is>
      </c>
      <c r="G743" t="inlineStr">
        <is>
          <t>08.04</t>
        </is>
      </c>
      <c r="H743" t="inlineStr">
        <is>
          <t>14.04</t>
        </is>
      </c>
      <c r="I743" t="n">
        <v>272</v>
      </c>
      <c r="J743" t="n">
        <v>0.23333</v>
      </c>
    </row>
    <row r="744">
      <c r="A744" t="inlineStr">
        <is>
          <t>2031_Kwiecień_W3</t>
        </is>
      </c>
      <c r="B744" t="n">
        <v>2031</v>
      </c>
      <c r="C744" t="inlineStr">
        <is>
          <t>Kwiecień</t>
        </is>
      </c>
      <c r="D744" t="inlineStr">
        <is>
          <t>W3</t>
        </is>
      </c>
      <c r="E744" t="n">
        <v>7</v>
      </c>
      <c r="F744" t="inlineStr">
        <is>
          <t>Pełny (7 dni)</t>
        </is>
      </c>
      <c r="G744" t="inlineStr">
        <is>
          <t>15.04</t>
        </is>
      </c>
      <c r="H744" t="inlineStr">
        <is>
          <t>21.04</t>
        </is>
      </c>
      <c r="I744" t="n">
        <v>272</v>
      </c>
      <c r="J744" t="n">
        <v>0.23333</v>
      </c>
    </row>
    <row r="745">
      <c r="A745" t="inlineStr">
        <is>
          <t>2031_Kwiecień_W4</t>
        </is>
      </c>
      <c r="B745" t="n">
        <v>2031</v>
      </c>
      <c r="C745" t="inlineStr">
        <is>
          <t>Kwiecień</t>
        </is>
      </c>
      <c r="D745" t="inlineStr">
        <is>
          <t>W4</t>
        </is>
      </c>
      <c r="E745" t="n">
        <v>7</v>
      </c>
      <c r="F745" t="inlineStr">
        <is>
          <t>Pełny (7 dni)</t>
        </is>
      </c>
      <c r="G745" t="inlineStr">
        <is>
          <t>22.04</t>
        </is>
      </c>
      <c r="H745" t="inlineStr">
        <is>
          <t>28.04</t>
        </is>
      </c>
      <c r="I745" t="n">
        <v>272</v>
      </c>
      <c r="J745" t="n">
        <v>0.23333</v>
      </c>
    </row>
    <row r="746">
      <c r="A746" t="inlineStr">
        <is>
          <t>2031_Kwiecień_W5</t>
        </is>
      </c>
      <c r="B746" t="n">
        <v>2031</v>
      </c>
      <c r="C746" t="inlineStr">
        <is>
          <t>Kwiecień</t>
        </is>
      </c>
      <c r="D746" t="inlineStr">
        <is>
          <t>W5</t>
        </is>
      </c>
      <c r="E746" t="n">
        <v>2</v>
      </c>
      <c r="F746" t="inlineStr">
        <is>
          <t>Niepełny (2 dni)</t>
        </is>
      </c>
      <c r="G746" t="inlineStr">
        <is>
          <t>29.04</t>
        </is>
      </c>
      <c r="H746" t="inlineStr">
        <is>
          <t>30.04</t>
        </is>
      </c>
      <c r="I746" t="n">
        <v>80</v>
      </c>
      <c r="J746" t="n">
        <v>0.06666999999999999</v>
      </c>
    </row>
    <row r="747">
      <c r="A747" t="inlineStr">
        <is>
          <t>2031_Kwiecień_W6</t>
        </is>
      </c>
      <c r="B747" t="n">
        <v>2031</v>
      </c>
      <c r="C747" t="inlineStr">
        <is>
          <t>Kwiecień</t>
        </is>
      </c>
      <c r="D747" t="inlineStr">
        <is>
          <t>W6</t>
        </is>
      </c>
      <c r="E747" t="n">
        <v>0</v>
      </c>
      <c r="F747" t="inlineStr">
        <is>
          <t>Brak w miesiącu</t>
        </is>
      </c>
      <c r="G747" t="inlineStr">
        <is>
          <t>-</t>
        </is>
      </c>
      <c r="H747" t="inlineStr">
        <is>
          <t>-</t>
        </is>
      </c>
      <c r="I747" t="n">
        <v>0</v>
      </c>
      <c r="J747" t="n">
        <v>0</v>
      </c>
    </row>
    <row r="748">
      <c r="A748" t="inlineStr">
        <is>
          <t>2031_Maj_W1</t>
        </is>
      </c>
      <c r="B748" t="n">
        <v>2031</v>
      </c>
      <c r="C748" t="inlineStr">
        <is>
          <t>Maj</t>
        </is>
      </c>
      <c r="D748" t="inlineStr">
        <is>
          <t>W1</t>
        </is>
      </c>
      <c r="E748" t="n">
        <v>5</v>
      </c>
      <c r="F748" t="inlineStr">
        <is>
          <t>Niepełny (5 dni)</t>
        </is>
      </c>
      <c r="G748" t="inlineStr">
        <is>
          <t>01.05</t>
        </is>
      </c>
      <c r="H748" t="inlineStr">
        <is>
          <t>05.05</t>
        </is>
      </c>
      <c r="I748" t="n">
        <v>192</v>
      </c>
      <c r="J748" t="n">
        <v>0.16129</v>
      </c>
    </row>
    <row r="749">
      <c r="A749" t="inlineStr">
        <is>
          <t>2031_Maj_W2</t>
        </is>
      </c>
      <c r="B749" t="n">
        <v>2031</v>
      </c>
      <c r="C749" t="inlineStr">
        <is>
          <t>Maj</t>
        </is>
      </c>
      <c r="D749" t="inlineStr">
        <is>
          <t>W2</t>
        </is>
      </c>
      <c r="E749" t="n">
        <v>7</v>
      </c>
      <c r="F749" t="inlineStr">
        <is>
          <t>Pełny (7 dni)</t>
        </is>
      </c>
      <c r="G749" t="inlineStr">
        <is>
          <t>06.05</t>
        </is>
      </c>
      <c r="H749" t="inlineStr">
        <is>
          <t>12.05</t>
        </is>
      </c>
      <c r="I749" t="n">
        <v>272</v>
      </c>
      <c r="J749" t="n">
        <v>0.22581</v>
      </c>
    </row>
    <row r="750">
      <c r="A750" t="inlineStr">
        <is>
          <t>2031_Maj_W3</t>
        </is>
      </c>
      <c r="B750" t="n">
        <v>2031</v>
      </c>
      <c r="C750" t="inlineStr">
        <is>
          <t>Maj</t>
        </is>
      </c>
      <c r="D750" t="inlineStr">
        <is>
          <t>W3</t>
        </is>
      </c>
      <c r="E750" t="n">
        <v>7</v>
      </c>
      <c r="F750" t="inlineStr">
        <is>
          <t>Pełny (7 dni)</t>
        </is>
      </c>
      <c r="G750" t="inlineStr">
        <is>
          <t>13.05</t>
        </is>
      </c>
      <c r="H750" t="inlineStr">
        <is>
          <t>19.05</t>
        </is>
      </c>
      <c r="I750" t="n">
        <v>272</v>
      </c>
      <c r="J750" t="n">
        <v>0.22581</v>
      </c>
    </row>
    <row r="751">
      <c r="A751" t="inlineStr">
        <is>
          <t>2031_Maj_W4</t>
        </is>
      </c>
      <c r="B751" t="n">
        <v>2031</v>
      </c>
      <c r="C751" t="inlineStr">
        <is>
          <t>Maj</t>
        </is>
      </c>
      <c r="D751" t="inlineStr">
        <is>
          <t>W4</t>
        </is>
      </c>
      <c r="E751" t="n">
        <v>7</v>
      </c>
      <c r="F751" t="inlineStr">
        <is>
          <t>Pełny (7 dni)</t>
        </is>
      </c>
      <c r="G751" t="inlineStr">
        <is>
          <t>20.05</t>
        </is>
      </c>
      <c r="H751" t="inlineStr">
        <is>
          <t>26.05</t>
        </is>
      </c>
      <c r="I751" t="n">
        <v>272</v>
      </c>
      <c r="J751" t="n">
        <v>0.22581</v>
      </c>
    </row>
    <row r="752">
      <c r="A752" t="inlineStr">
        <is>
          <t>2031_Maj_W5</t>
        </is>
      </c>
      <c r="B752" t="n">
        <v>2031</v>
      </c>
      <c r="C752" t="inlineStr">
        <is>
          <t>Maj</t>
        </is>
      </c>
      <c r="D752" t="inlineStr">
        <is>
          <t>W5</t>
        </is>
      </c>
      <c r="E752" t="n">
        <v>5</v>
      </c>
      <c r="F752" t="inlineStr">
        <is>
          <t>Niepełny (5 dni)</t>
        </is>
      </c>
      <c r="G752" t="inlineStr">
        <is>
          <t>27.05</t>
        </is>
      </c>
      <c r="H752" t="inlineStr">
        <is>
          <t>31.05</t>
        </is>
      </c>
      <c r="I752" t="n">
        <v>200</v>
      </c>
      <c r="J752" t="n">
        <v>0.16129</v>
      </c>
    </row>
    <row r="753">
      <c r="A753" t="inlineStr">
        <is>
          <t>2031_Maj_W6</t>
        </is>
      </c>
      <c r="B753" t="n">
        <v>2031</v>
      </c>
      <c r="C753" t="inlineStr">
        <is>
          <t>Maj</t>
        </is>
      </c>
      <c r="D753" t="inlineStr">
        <is>
          <t>W6</t>
        </is>
      </c>
      <c r="E753" t="n">
        <v>0</v>
      </c>
      <c r="F753" t="inlineStr">
        <is>
          <t>Brak w miesiącu</t>
        </is>
      </c>
      <c r="G753" t="inlineStr">
        <is>
          <t>-</t>
        </is>
      </c>
      <c r="H753" t="inlineStr">
        <is>
          <t>-</t>
        </is>
      </c>
      <c r="I753" t="n">
        <v>0</v>
      </c>
      <c r="J753" t="n">
        <v>0</v>
      </c>
    </row>
    <row r="754">
      <c r="A754" t="inlineStr">
        <is>
          <t>2031_Czerwiec_W1</t>
        </is>
      </c>
      <c r="B754" t="n">
        <v>2031</v>
      </c>
      <c r="C754" t="inlineStr">
        <is>
          <t>Czerwiec</t>
        </is>
      </c>
      <c r="D754" t="inlineStr">
        <is>
          <t>W1</t>
        </is>
      </c>
      <c r="E754" t="n">
        <v>2</v>
      </c>
      <c r="F754" t="inlineStr">
        <is>
          <t>Niepełny (2 dni)</t>
        </is>
      </c>
      <c r="G754" t="inlineStr">
        <is>
          <t>01.06</t>
        </is>
      </c>
      <c r="H754" t="inlineStr">
        <is>
          <t>02.06</t>
        </is>
      </c>
      <c r="I754" t="n">
        <v>72</v>
      </c>
      <c r="J754" t="n">
        <v>0.06666999999999999</v>
      </c>
    </row>
    <row r="755">
      <c r="A755" t="inlineStr">
        <is>
          <t>2031_Czerwiec_W2</t>
        </is>
      </c>
      <c r="B755" t="n">
        <v>2031</v>
      </c>
      <c r="C755" t="inlineStr">
        <is>
          <t>Czerwiec</t>
        </is>
      </c>
      <c r="D755" t="inlineStr">
        <is>
          <t>W2</t>
        </is>
      </c>
      <c r="E755" t="n">
        <v>7</v>
      </c>
      <c r="F755" t="inlineStr">
        <is>
          <t>Pełny (7 dni)</t>
        </is>
      </c>
      <c r="G755" t="inlineStr">
        <is>
          <t>03.06</t>
        </is>
      </c>
      <c r="H755" t="inlineStr">
        <is>
          <t>09.06</t>
        </is>
      </c>
      <c r="I755" t="n">
        <v>272</v>
      </c>
      <c r="J755" t="n">
        <v>0.23333</v>
      </c>
    </row>
    <row r="756">
      <c r="A756" t="inlineStr">
        <is>
          <t>2031_Czerwiec_W3</t>
        </is>
      </c>
      <c r="B756" t="n">
        <v>2031</v>
      </c>
      <c r="C756" t="inlineStr">
        <is>
          <t>Czerwiec</t>
        </is>
      </c>
      <c r="D756" t="inlineStr">
        <is>
          <t>W3</t>
        </is>
      </c>
      <c r="E756" t="n">
        <v>7</v>
      </c>
      <c r="F756" t="inlineStr">
        <is>
          <t>Pełny (7 dni)</t>
        </is>
      </c>
      <c r="G756" t="inlineStr">
        <is>
          <t>10.06</t>
        </is>
      </c>
      <c r="H756" t="inlineStr">
        <is>
          <t>16.06</t>
        </is>
      </c>
      <c r="I756" t="n">
        <v>272</v>
      </c>
      <c r="J756" t="n">
        <v>0.23333</v>
      </c>
    </row>
    <row r="757">
      <c r="A757" t="inlineStr">
        <is>
          <t>2031_Czerwiec_W4</t>
        </is>
      </c>
      <c r="B757" t="n">
        <v>2031</v>
      </c>
      <c r="C757" t="inlineStr">
        <is>
          <t>Czerwiec</t>
        </is>
      </c>
      <c r="D757" t="inlineStr">
        <is>
          <t>W4</t>
        </is>
      </c>
      <c r="E757" t="n">
        <v>7</v>
      </c>
      <c r="F757" t="inlineStr">
        <is>
          <t>Pełny (7 dni)</t>
        </is>
      </c>
      <c r="G757" t="inlineStr">
        <is>
          <t>17.06</t>
        </is>
      </c>
      <c r="H757" t="inlineStr">
        <is>
          <t>23.06</t>
        </is>
      </c>
      <c r="I757" t="n">
        <v>272</v>
      </c>
      <c r="J757" t="n">
        <v>0.23333</v>
      </c>
    </row>
    <row r="758">
      <c r="A758" t="inlineStr">
        <is>
          <t>2031_Czerwiec_W5</t>
        </is>
      </c>
      <c r="B758" t="n">
        <v>2031</v>
      </c>
      <c r="C758" t="inlineStr">
        <is>
          <t>Czerwiec</t>
        </is>
      </c>
      <c r="D758" t="inlineStr">
        <is>
          <t>W5</t>
        </is>
      </c>
      <c r="E758" t="n">
        <v>7</v>
      </c>
      <c r="F758" t="inlineStr">
        <is>
          <t>Pełny (7 dni)</t>
        </is>
      </c>
      <c r="G758" t="inlineStr">
        <is>
          <t>24.06</t>
        </is>
      </c>
      <c r="H758" t="inlineStr">
        <is>
          <t>30.06</t>
        </is>
      </c>
      <c r="I758" t="n">
        <v>272</v>
      </c>
      <c r="J758" t="n">
        <v>0.23333</v>
      </c>
    </row>
    <row r="759">
      <c r="A759" t="inlineStr">
        <is>
          <t>2031_Czerwiec_W6</t>
        </is>
      </c>
      <c r="B759" t="n">
        <v>2031</v>
      </c>
      <c r="C759" t="inlineStr">
        <is>
          <t>Czerwiec</t>
        </is>
      </c>
      <c r="D759" t="inlineStr">
        <is>
          <t>W6</t>
        </is>
      </c>
      <c r="E759" t="n">
        <v>0</v>
      </c>
      <c r="F759" t="inlineStr">
        <is>
          <t>Brak w miesiącu</t>
        </is>
      </c>
      <c r="G759" t="inlineStr">
        <is>
          <t>-</t>
        </is>
      </c>
      <c r="H759" t="inlineStr">
        <is>
          <t>-</t>
        </is>
      </c>
      <c r="I759" t="n">
        <v>0</v>
      </c>
      <c r="J759" t="n">
        <v>0</v>
      </c>
    </row>
    <row r="760">
      <c r="A760" t="inlineStr">
        <is>
          <t>2031_Lipiec_W1</t>
        </is>
      </c>
      <c r="B760" t="n">
        <v>2031</v>
      </c>
      <c r="C760" t="inlineStr">
        <is>
          <t>Lipiec</t>
        </is>
      </c>
      <c r="D760" t="inlineStr">
        <is>
          <t>W1</t>
        </is>
      </c>
      <c r="E760" t="n">
        <v>7</v>
      </c>
      <c r="F760" t="inlineStr">
        <is>
          <t>Pełny (7 dni)</t>
        </is>
      </c>
      <c r="G760" t="inlineStr">
        <is>
          <t>01.07</t>
        </is>
      </c>
      <c r="H760" t="inlineStr">
        <is>
          <t>07.07</t>
        </is>
      </c>
      <c r="I760" t="n">
        <v>272</v>
      </c>
      <c r="J760" t="n">
        <v>0.22581</v>
      </c>
    </row>
    <row r="761">
      <c r="A761" t="inlineStr">
        <is>
          <t>2031_Lipiec_W2</t>
        </is>
      </c>
      <c r="B761" t="n">
        <v>2031</v>
      </c>
      <c r="C761" t="inlineStr">
        <is>
          <t>Lipiec</t>
        </is>
      </c>
      <c r="D761" t="inlineStr">
        <is>
          <t>W2</t>
        </is>
      </c>
      <c r="E761" t="n">
        <v>7</v>
      </c>
      <c r="F761" t="inlineStr">
        <is>
          <t>Pełny (7 dni)</t>
        </is>
      </c>
      <c r="G761" t="inlineStr">
        <is>
          <t>08.07</t>
        </is>
      </c>
      <c r="H761" t="inlineStr">
        <is>
          <t>14.07</t>
        </is>
      </c>
      <c r="I761" t="n">
        <v>272</v>
      </c>
      <c r="J761" t="n">
        <v>0.22581</v>
      </c>
    </row>
    <row r="762">
      <c r="A762" t="inlineStr">
        <is>
          <t>2031_Lipiec_W3</t>
        </is>
      </c>
      <c r="B762" t="n">
        <v>2031</v>
      </c>
      <c r="C762" t="inlineStr">
        <is>
          <t>Lipiec</t>
        </is>
      </c>
      <c r="D762" t="inlineStr">
        <is>
          <t>W3</t>
        </is>
      </c>
      <c r="E762" t="n">
        <v>7</v>
      </c>
      <c r="F762" t="inlineStr">
        <is>
          <t>Pełny (7 dni)</t>
        </is>
      </c>
      <c r="G762" t="inlineStr">
        <is>
          <t>15.07</t>
        </is>
      </c>
      <c r="H762" t="inlineStr">
        <is>
          <t>21.07</t>
        </is>
      </c>
      <c r="I762" t="n">
        <v>272</v>
      </c>
      <c r="J762" t="n">
        <v>0.22581</v>
      </c>
    </row>
    <row r="763">
      <c r="A763" t="inlineStr">
        <is>
          <t>2031_Lipiec_W4</t>
        </is>
      </c>
      <c r="B763" t="n">
        <v>2031</v>
      </c>
      <c r="C763" t="inlineStr">
        <is>
          <t>Lipiec</t>
        </is>
      </c>
      <c r="D763" t="inlineStr">
        <is>
          <t>W4</t>
        </is>
      </c>
      <c r="E763" t="n">
        <v>7</v>
      </c>
      <c r="F763" t="inlineStr">
        <is>
          <t>Pełny (7 dni)</t>
        </is>
      </c>
      <c r="G763" t="inlineStr">
        <is>
          <t>22.07</t>
        </is>
      </c>
      <c r="H763" t="inlineStr">
        <is>
          <t>28.07</t>
        </is>
      </c>
      <c r="I763" t="n">
        <v>272</v>
      </c>
      <c r="J763" t="n">
        <v>0.22581</v>
      </c>
    </row>
    <row r="764">
      <c r="A764" t="inlineStr">
        <is>
          <t>2031_Lipiec_W5</t>
        </is>
      </c>
      <c r="B764" t="n">
        <v>2031</v>
      </c>
      <c r="C764" t="inlineStr">
        <is>
          <t>Lipiec</t>
        </is>
      </c>
      <c r="D764" t="inlineStr">
        <is>
          <t>W5</t>
        </is>
      </c>
      <c r="E764" t="n">
        <v>3</v>
      </c>
      <c r="F764" t="inlineStr">
        <is>
          <t>Niepełny (3 dni)</t>
        </is>
      </c>
      <c r="G764" t="inlineStr">
        <is>
          <t>29.07</t>
        </is>
      </c>
      <c r="H764" t="inlineStr">
        <is>
          <t>31.07</t>
        </is>
      </c>
      <c r="I764" t="n">
        <v>120</v>
      </c>
      <c r="J764" t="n">
        <v>0.09676999999999999</v>
      </c>
    </row>
    <row r="765">
      <c r="A765" t="inlineStr">
        <is>
          <t>2031_Lipiec_W6</t>
        </is>
      </c>
      <c r="B765" t="n">
        <v>2031</v>
      </c>
      <c r="C765" t="inlineStr">
        <is>
          <t>Lipiec</t>
        </is>
      </c>
      <c r="D765" t="inlineStr">
        <is>
          <t>W6</t>
        </is>
      </c>
      <c r="E765" t="n">
        <v>0</v>
      </c>
      <c r="F765" t="inlineStr">
        <is>
          <t>Brak w miesiącu</t>
        </is>
      </c>
      <c r="G765" t="inlineStr">
        <is>
          <t>-</t>
        </is>
      </c>
      <c r="H765" t="inlineStr">
        <is>
          <t>-</t>
        </is>
      </c>
      <c r="I765" t="n">
        <v>0</v>
      </c>
      <c r="J765" t="n">
        <v>0</v>
      </c>
    </row>
    <row r="766">
      <c r="A766" t="inlineStr">
        <is>
          <t>2031_Sierpień_W1</t>
        </is>
      </c>
      <c r="B766" t="n">
        <v>2031</v>
      </c>
      <c r="C766" t="inlineStr">
        <is>
          <t>Sierpień</t>
        </is>
      </c>
      <c r="D766" t="inlineStr">
        <is>
          <t>W1</t>
        </is>
      </c>
      <c r="E766" t="n">
        <v>4</v>
      </c>
      <c r="F766" t="inlineStr">
        <is>
          <t>Niepełny (4 dni)</t>
        </is>
      </c>
      <c r="G766" t="inlineStr">
        <is>
          <t>01.08</t>
        </is>
      </c>
      <c r="H766" t="inlineStr">
        <is>
          <t>04.08</t>
        </is>
      </c>
      <c r="I766" t="n">
        <v>152</v>
      </c>
      <c r="J766" t="n">
        <v>0.12903</v>
      </c>
    </row>
    <row r="767">
      <c r="A767" t="inlineStr">
        <is>
          <t>2031_Sierpień_W2</t>
        </is>
      </c>
      <c r="B767" t="n">
        <v>2031</v>
      </c>
      <c r="C767" t="inlineStr">
        <is>
          <t>Sierpień</t>
        </is>
      </c>
      <c r="D767" t="inlineStr">
        <is>
          <t>W2</t>
        </is>
      </c>
      <c r="E767" t="n">
        <v>7</v>
      </c>
      <c r="F767" t="inlineStr">
        <is>
          <t>Pełny (7 dni)</t>
        </is>
      </c>
      <c r="G767" t="inlineStr">
        <is>
          <t>05.08</t>
        </is>
      </c>
      <c r="H767" t="inlineStr">
        <is>
          <t>11.08</t>
        </is>
      </c>
      <c r="I767" t="n">
        <v>272</v>
      </c>
      <c r="J767" t="n">
        <v>0.22581</v>
      </c>
    </row>
    <row r="768">
      <c r="A768" t="inlineStr">
        <is>
          <t>2031_Sierpień_W3</t>
        </is>
      </c>
      <c r="B768" t="n">
        <v>2031</v>
      </c>
      <c r="C768" t="inlineStr">
        <is>
          <t>Sierpień</t>
        </is>
      </c>
      <c r="D768" t="inlineStr">
        <is>
          <t>W3</t>
        </is>
      </c>
      <c r="E768" t="n">
        <v>7</v>
      </c>
      <c r="F768" t="inlineStr">
        <is>
          <t>Pełny (7 dni)</t>
        </is>
      </c>
      <c r="G768" t="inlineStr">
        <is>
          <t>12.08</t>
        </is>
      </c>
      <c r="H768" t="inlineStr">
        <is>
          <t>18.08</t>
        </is>
      </c>
      <c r="I768" t="n">
        <v>272</v>
      </c>
      <c r="J768" t="n">
        <v>0.22581</v>
      </c>
    </row>
    <row r="769">
      <c r="A769" t="inlineStr">
        <is>
          <t>2031_Sierpień_W4</t>
        </is>
      </c>
      <c r="B769" t="n">
        <v>2031</v>
      </c>
      <c r="C769" t="inlineStr">
        <is>
          <t>Sierpień</t>
        </is>
      </c>
      <c r="D769" t="inlineStr">
        <is>
          <t>W4</t>
        </is>
      </c>
      <c r="E769" t="n">
        <v>7</v>
      </c>
      <c r="F769" t="inlineStr">
        <is>
          <t>Pełny (7 dni)</t>
        </is>
      </c>
      <c r="G769" t="inlineStr">
        <is>
          <t>19.08</t>
        </is>
      </c>
      <c r="H769" t="inlineStr">
        <is>
          <t>25.08</t>
        </is>
      </c>
      <c r="I769" t="n">
        <v>272</v>
      </c>
      <c r="J769" t="n">
        <v>0.22581</v>
      </c>
    </row>
    <row r="770">
      <c r="A770" t="inlineStr">
        <is>
          <t>2031_Sierpień_W5</t>
        </is>
      </c>
      <c r="B770" t="n">
        <v>2031</v>
      </c>
      <c r="C770" t="inlineStr">
        <is>
          <t>Sierpień</t>
        </is>
      </c>
      <c r="D770" t="inlineStr">
        <is>
          <t>W5</t>
        </is>
      </c>
      <c r="E770" t="n">
        <v>6</v>
      </c>
      <c r="F770" t="inlineStr">
        <is>
          <t>Niepełny (6 dni)</t>
        </is>
      </c>
      <c r="G770" t="inlineStr">
        <is>
          <t>26.08</t>
        </is>
      </c>
      <c r="H770" t="inlineStr">
        <is>
          <t>31.08</t>
        </is>
      </c>
      <c r="I770" t="n">
        <v>232</v>
      </c>
      <c r="J770" t="n">
        <v>0.19355</v>
      </c>
    </row>
    <row r="771">
      <c r="A771" t="inlineStr">
        <is>
          <t>2031_Sierpień_W6</t>
        </is>
      </c>
      <c r="B771" t="n">
        <v>2031</v>
      </c>
      <c r="C771" t="inlineStr">
        <is>
          <t>Sierpień</t>
        </is>
      </c>
      <c r="D771" t="inlineStr">
        <is>
          <t>W6</t>
        </is>
      </c>
      <c r="E771" t="n">
        <v>0</v>
      </c>
      <c r="F771" t="inlineStr">
        <is>
          <t>Brak w miesiącu</t>
        </is>
      </c>
      <c r="G771" t="inlineStr">
        <is>
          <t>-</t>
        </is>
      </c>
      <c r="H771" t="inlineStr">
        <is>
          <t>-</t>
        </is>
      </c>
      <c r="I771" t="n">
        <v>0</v>
      </c>
      <c r="J771" t="n">
        <v>0</v>
      </c>
    </row>
    <row r="772">
      <c r="A772" t="inlineStr">
        <is>
          <t>2031_Wrzesień_W1</t>
        </is>
      </c>
      <c r="B772" t="n">
        <v>2031</v>
      </c>
      <c r="C772" t="inlineStr">
        <is>
          <t>Wrzesień</t>
        </is>
      </c>
      <c r="D772" t="inlineStr">
        <is>
          <t>W1</t>
        </is>
      </c>
      <c r="E772" t="n">
        <v>1</v>
      </c>
      <c r="F772" t="inlineStr">
        <is>
          <t>Niepełny (1 dni)</t>
        </is>
      </c>
      <c r="G772" t="inlineStr">
        <is>
          <t>01.09</t>
        </is>
      </c>
      <c r="H772" t="inlineStr">
        <is>
          <t>01.09</t>
        </is>
      </c>
      <c r="I772" t="n">
        <v>40</v>
      </c>
      <c r="J772" t="n">
        <v>0.03333</v>
      </c>
    </row>
    <row r="773">
      <c r="A773" t="inlineStr">
        <is>
          <t>2031_Wrzesień_W2</t>
        </is>
      </c>
      <c r="B773" t="n">
        <v>2031</v>
      </c>
      <c r="C773" t="inlineStr">
        <is>
          <t>Wrzesień</t>
        </is>
      </c>
      <c r="D773" t="inlineStr">
        <is>
          <t>W2</t>
        </is>
      </c>
      <c r="E773" t="n">
        <v>7</v>
      </c>
      <c r="F773" t="inlineStr">
        <is>
          <t>Pełny (7 dni)</t>
        </is>
      </c>
      <c r="G773" t="inlineStr">
        <is>
          <t>02.09</t>
        </is>
      </c>
      <c r="H773" t="inlineStr">
        <is>
          <t>08.09</t>
        </is>
      </c>
      <c r="I773" t="n">
        <v>272</v>
      </c>
      <c r="J773" t="n">
        <v>0.23333</v>
      </c>
    </row>
    <row r="774">
      <c r="A774" t="inlineStr">
        <is>
          <t>2031_Wrzesień_W3</t>
        </is>
      </c>
      <c r="B774" t="n">
        <v>2031</v>
      </c>
      <c r="C774" t="inlineStr">
        <is>
          <t>Wrzesień</t>
        </is>
      </c>
      <c r="D774" t="inlineStr">
        <is>
          <t>W3</t>
        </is>
      </c>
      <c r="E774" t="n">
        <v>7</v>
      </c>
      <c r="F774" t="inlineStr">
        <is>
          <t>Pełny (7 dni)</t>
        </is>
      </c>
      <c r="G774" t="inlineStr">
        <is>
          <t>09.09</t>
        </is>
      </c>
      <c r="H774" t="inlineStr">
        <is>
          <t>15.09</t>
        </is>
      </c>
      <c r="I774" t="n">
        <v>272</v>
      </c>
      <c r="J774" t="n">
        <v>0.23333</v>
      </c>
    </row>
    <row r="775">
      <c r="A775" t="inlineStr">
        <is>
          <t>2031_Wrzesień_W4</t>
        </is>
      </c>
      <c r="B775" t="n">
        <v>2031</v>
      </c>
      <c r="C775" t="inlineStr">
        <is>
          <t>Wrzesień</t>
        </is>
      </c>
      <c r="D775" t="inlineStr">
        <is>
          <t>W4</t>
        </is>
      </c>
      <c r="E775" t="n">
        <v>7</v>
      </c>
      <c r="F775" t="inlineStr">
        <is>
          <t>Pełny (7 dni)</t>
        </is>
      </c>
      <c r="G775" t="inlineStr">
        <is>
          <t>16.09</t>
        </is>
      </c>
      <c r="H775" t="inlineStr">
        <is>
          <t>22.09</t>
        </is>
      </c>
      <c r="I775" t="n">
        <v>272</v>
      </c>
      <c r="J775" t="n">
        <v>0.23333</v>
      </c>
    </row>
    <row r="776">
      <c r="A776" t="inlineStr">
        <is>
          <t>2031_Wrzesień_W5</t>
        </is>
      </c>
      <c r="B776" t="n">
        <v>2031</v>
      </c>
      <c r="C776" t="inlineStr">
        <is>
          <t>Wrzesień</t>
        </is>
      </c>
      <c r="D776" t="inlineStr">
        <is>
          <t>W5</t>
        </is>
      </c>
      <c r="E776" t="n">
        <v>7</v>
      </c>
      <c r="F776" t="inlineStr">
        <is>
          <t>Pełny (7 dni)</t>
        </is>
      </c>
      <c r="G776" t="inlineStr">
        <is>
          <t>23.09</t>
        </is>
      </c>
      <c r="H776" t="inlineStr">
        <is>
          <t>29.09</t>
        </is>
      </c>
      <c r="I776" t="n">
        <v>272</v>
      </c>
      <c r="J776" t="n">
        <v>0.23333</v>
      </c>
    </row>
    <row r="777">
      <c r="A777" t="inlineStr">
        <is>
          <t>2031_Wrzesień_W6</t>
        </is>
      </c>
      <c r="B777" t="n">
        <v>2031</v>
      </c>
      <c r="C777" t="inlineStr">
        <is>
          <t>Wrzesień</t>
        </is>
      </c>
      <c r="D777" t="inlineStr">
        <is>
          <t>W6</t>
        </is>
      </c>
      <c r="E777" t="n">
        <v>1</v>
      </c>
      <c r="F777" t="inlineStr">
        <is>
          <t>Niepełny (1 dni)</t>
        </is>
      </c>
      <c r="G777" t="inlineStr">
        <is>
          <t>30.09</t>
        </is>
      </c>
      <c r="H777" t="inlineStr">
        <is>
          <t>30.09</t>
        </is>
      </c>
      <c r="I777" t="n">
        <v>40</v>
      </c>
      <c r="J777" t="n">
        <v>0.03333</v>
      </c>
    </row>
    <row r="778">
      <c r="A778" t="inlineStr">
        <is>
          <t>2031_Październik_W1</t>
        </is>
      </c>
      <c r="B778" t="n">
        <v>2031</v>
      </c>
      <c r="C778" t="inlineStr">
        <is>
          <t>Październik</t>
        </is>
      </c>
      <c r="D778" t="inlineStr">
        <is>
          <t>W1</t>
        </is>
      </c>
      <c r="E778" t="n">
        <v>6</v>
      </c>
      <c r="F778" t="inlineStr">
        <is>
          <t>Niepełny (6 dni)</t>
        </is>
      </c>
      <c r="G778" t="inlineStr">
        <is>
          <t>01.10</t>
        </is>
      </c>
      <c r="H778" t="inlineStr">
        <is>
          <t>06.10</t>
        </is>
      </c>
      <c r="I778" t="n">
        <v>232</v>
      </c>
      <c r="J778" t="n">
        <v>0.19355</v>
      </c>
    </row>
    <row r="779">
      <c r="A779" t="inlineStr">
        <is>
          <t>2031_Październik_W2</t>
        </is>
      </c>
      <c r="B779" t="n">
        <v>2031</v>
      </c>
      <c r="C779" t="inlineStr">
        <is>
          <t>Październik</t>
        </is>
      </c>
      <c r="D779" t="inlineStr">
        <is>
          <t>W2</t>
        </is>
      </c>
      <c r="E779" t="n">
        <v>7</v>
      </c>
      <c r="F779" t="inlineStr">
        <is>
          <t>Pełny (7 dni)</t>
        </is>
      </c>
      <c r="G779" t="inlineStr">
        <is>
          <t>07.10</t>
        </is>
      </c>
      <c r="H779" t="inlineStr">
        <is>
          <t>13.10</t>
        </is>
      </c>
      <c r="I779" t="n">
        <v>272</v>
      </c>
      <c r="J779" t="n">
        <v>0.22581</v>
      </c>
    </row>
    <row r="780">
      <c r="A780" t="inlineStr">
        <is>
          <t>2031_Październik_W3</t>
        </is>
      </c>
      <c r="B780" t="n">
        <v>2031</v>
      </c>
      <c r="C780" t="inlineStr">
        <is>
          <t>Październik</t>
        </is>
      </c>
      <c r="D780" t="inlineStr">
        <is>
          <t>W3</t>
        </is>
      </c>
      <c r="E780" t="n">
        <v>7</v>
      </c>
      <c r="F780" t="inlineStr">
        <is>
          <t>Pełny (7 dni)</t>
        </is>
      </c>
      <c r="G780" t="inlineStr">
        <is>
          <t>14.10</t>
        </is>
      </c>
      <c r="H780" t="inlineStr">
        <is>
          <t>20.10</t>
        </is>
      </c>
      <c r="I780" t="n">
        <v>272</v>
      </c>
      <c r="J780" t="n">
        <v>0.22581</v>
      </c>
    </row>
    <row r="781">
      <c r="A781" t="inlineStr">
        <is>
          <t>2031_Październik_W4</t>
        </is>
      </c>
      <c r="B781" t="n">
        <v>2031</v>
      </c>
      <c r="C781" t="inlineStr">
        <is>
          <t>Październik</t>
        </is>
      </c>
      <c r="D781" t="inlineStr">
        <is>
          <t>W4</t>
        </is>
      </c>
      <c r="E781" t="n">
        <v>7</v>
      </c>
      <c r="F781" t="inlineStr">
        <is>
          <t>Pełny (7 dni)</t>
        </is>
      </c>
      <c r="G781" t="inlineStr">
        <is>
          <t>21.10</t>
        </is>
      </c>
      <c r="H781" t="inlineStr">
        <is>
          <t>27.10</t>
        </is>
      </c>
      <c r="I781" t="n">
        <v>272</v>
      </c>
      <c r="J781" t="n">
        <v>0.22581</v>
      </c>
    </row>
    <row r="782">
      <c r="A782" t="inlineStr">
        <is>
          <t>2031_Październik_W5</t>
        </is>
      </c>
      <c r="B782" t="n">
        <v>2031</v>
      </c>
      <c r="C782" t="inlineStr">
        <is>
          <t>Październik</t>
        </is>
      </c>
      <c r="D782" t="inlineStr">
        <is>
          <t>W5</t>
        </is>
      </c>
      <c r="E782" t="n">
        <v>4</v>
      </c>
      <c r="F782" t="inlineStr">
        <is>
          <t>Niepełny (4 dni)</t>
        </is>
      </c>
      <c r="G782" t="inlineStr">
        <is>
          <t>28.10</t>
        </is>
      </c>
      <c r="H782" t="inlineStr">
        <is>
          <t>31.10</t>
        </is>
      </c>
      <c r="I782" t="n">
        <v>160</v>
      </c>
      <c r="J782" t="n">
        <v>0.12903</v>
      </c>
    </row>
    <row r="783">
      <c r="A783" t="inlineStr">
        <is>
          <t>2031_Październik_W6</t>
        </is>
      </c>
      <c r="B783" t="n">
        <v>2031</v>
      </c>
      <c r="C783" t="inlineStr">
        <is>
          <t>Październik</t>
        </is>
      </c>
      <c r="D783" t="inlineStr">
        <is>
          <t>W6</t>
        </is>
      </c>
      <c r="E783" t="n">
        <v>0</v>
      </c>
      <c r="F783" t="inlineStr">
        <is>
          <t>Brak w miesiącu</t>
        </is>
      </c>
      <c r="G783" t="inlineStr">
        <is>
          <t>-</t>
        </is>
      </c>
      <c r="H783" t="inlineStr">
        <is>
          <t>-</t>
        </is>
      </c>
      <c r="I783" t="n">
        <v>0</v>
      </c>
      <c r="J783" t="n">
        <v>0</v>
      </c>
    </row>
    <row r="784">
      <c r="A784" t="inlineStr">
        <is>
          <t>2031_Listopad_W1</t>
        </is>
      </c>
      <c r="B784" t="n">
        <v>2031</v>
      </c>
      <c r="C784" t="inlineStr">
        <is>
          <t>Listopad</t>
        </is>
      </c>
      <c r="D784" t="inlineStr">
        <is>
          <t>W1</t>
        </is>
      </c>
      <c r="E784" t="n">
        <v>3</v>
      </c>
      <c r="F784" t="inlineStr">
        <is>
          <t>Niepełny (3 dni)</t>
        </is>
      </c>
      <c r="G784" t="inlineStr">
        <is>
          <t>01.11</t>
        </is>
      </c>
      <c r="H784" t="inlineStr">
        <is>
          <t>03.11</t>
        </is>
      </c>
      <c r="I784" t="n">
        <v>112</v>
      </c>
      <c r="J784" t="n">
        <v>0.1</v>
      </c>
    </row>
    <row r="785">
      <c r="A785" t="inlineStr">
        <is>
          <t>2031_Listopad_W2</t>
        </is>
      </c>
      <c r="B785" t="n">
        <v>2031</v>
      </c>
      <c r="C785" t="inlineStr">
        <is>
          <t>Listopad</t>
        </is>
      </c>
      <c r="D785" t="inlineStr">
        <is>
          <t>W2</t>
        </is>
      </c>
      <c r="E785" t="n">
        <v>7</v>
      </c>
      <c r="F785" t="inlineStr">
        <is>
          <t>Pełny (7 dni)</t>
        </is>
      </c>
      <c r="G785" t="inlineStr">
        <is>
          <t>04.11</t>
        </is>
      </c>
      <c r="H785" t="inlineStr">
        <is>
          <t>10.11</t>
        </is>
      </c>
      <c r="I785" t="n">
        <v>272</v>
      </c>
      <c r="J785" t="n">
        <v>0.23333</v>
      </c>
    </row>
    <row r="786">
      <c r="A786" t="inlineStr">
        <is>
          <t>2031_Listopad_W3</t>
        </is>
      </c>
      <c r="B786" t="n">
        <v>2031</v>
      </c>
      <c r="C786" t="inlineStr">
        <is>
          <t>Listopad</t>
        </is>
      </c>
      <c r="D786" t="inlineStr">
        <is>
          <t>W3</t>
        </is>
      </c>
      <c r="E786" t="n">
        <v>7</v>
      </c>
      <c r="F786" t="inlineStr">
        <is>
          <t>Pełny (7 dni)</t>
        </is>
      </c>
      <c r="G786" t="inlineStr">
        <is>
          <t>11.11</t>
        </is>
      </c>
      <c r="H786" t="inlineStr">
        <is>
          <t>17.11</t>
        </is>
      </c>
      <c r="I786" t="n">
        <v>272</v>
      </c>
      <c r="J786" t="n">
        <v>0.23333</v>
      </c>
    </row>
    <row r="787">
      <c r="A787" t="inlineStr">
        <is>
          <t>2031_Listopad_W4</t>
        </is>
      </c>
      <c r="B787" t="n">
        <v>2031</v>
      </c>
      <c r="C787" t="inlineStr">
        <is>
          <t>Listopad</t>
        </is>
      </c>
      <c r="D787" t="inlineStr">
        <is>
          <t>W4</t>
        </is>
      </c>
      <c r="E787" t="n">
        <v>7</v>
      </c>
      <c r="F787" t="inlineStr">
        <is>
          <t>Pełny (7 dni)</t>
        </is>
      </c>
      <c r="G787" t="inlineStr">
        <is>
          <t>18.11</t>
        </is>
      </c>
      <c r="H787" t="inlineStr">
        <is>
          <t>24.11</t>
        </is>
      </c>
      <c r="I787" t="n">
        <v>272</v>
      </c>
      <c r="J787" t="n">
        <v>0.23333</v>
      </c>
    </row>
    <row r="788">
      <c r="A788" t="inlineStr">
        <is>
          <t>2031_Listopad_W5</t>
        </is>
      </c>
      <c r="B788" t="n">
        <v>2031</v>
      </c>
      <c r="C788" t="inlineStr">
        <is>
          <t>Listopad</t>
        </is>
      </c>
      <c r="D788" t="inlineStr">
        <is>
          <t>W5</t>
        </is>
      </c>
      <c r="E788" t="n">
        <v>6</v>
      </c>
      <c r="F788" t="inlineStr">
        <is>
          <t>Niepełny (6 dni)</t>
        </is>
      </c>
      <c r="G788" t="inlineStr">
        <is>
          <t>25.11</t>
        </is>
      </c>
      <c r="H788" t="inlineStr">
        <is>
          <t>30.11</t>
        </is>
      </c>
      <c r="I788" t="n">
        <v>232</v>
      </c>
      <c r="J788" t="n">
        <v>0.2</v>
      </c>
    </row>
    <row r="789">
      <c r="A789" t="inlineStr">
        <is>
          <t>2031_Listopad_W6</t>
        </is>
      </c>
      <c r="B789" t="n">
        <v>2031</v>
      </c>
      <c r="C789" t="inlineStr">
        <is>
          <t>Listopad</t>
        </is>
      </c>
      <c r="D789" t="inlineStr">
        <is>
          <t>W6</t>
        </is>
      </c>
      <c r="E789" t="n">
        <v>0</v>
      </c>
      <c r="F789" t="inlineStr">
        <is>
          <t>Brak w miesiącu</t>
        </is>
      </c>
      <c r="G789" t="inlineStr">
        <is>
          <t>-</t>
        </is>
      </c>
      <c r="H789" t="inlineStr">
        <is>
          <t>-</t>
        </is>
      </c>
      <c r="I789" t="n">
        <v>0</v>
      </c>
      <c r="J789" t="n">
        <v>0</v>
      </c>
    </row>
    <row r="790">
      <c r="A790" t="inlineStr">
        <is>
          <t>2031_Grudzień_W1</t>
        </is>
      </c>
      <c r="B790" t="n">
        <v>2031</v>
      </c>
      <c r="C790" t="inlineStr">
        <is>
          <t>Grudzień</t>
        </is>
      </c>
      <c r="D790" t="inlineStr">
        <is>
          <t>W1</t>
        </is>
      </c>
      <c r="E790" t="n">
        <v>1</v>
      </c>
      <c r="F790" t="inlineStr">
        <is>
          <t>Niepełny (1 dni)</t>
        </is>
      </c>
      <c r="G790" t="inlineStr">
        <is>
          <t>01.12</t>
        </is>
      </c>
      <c r="H790" t="inlineStr">
        <is>
          <t>01.12</t>
        </is>
      </c>
      <c r="I790" t="n">
        <v>40</v>
      </c>
      <c r="J790" t="n">
        <v>0.03226</v>
      </c>
    </row>
    <row r="791">
      <c r="A791" t="inlineStr">
        <is>
          <t>2031_Grudzień_W2</t>
        </is>
      </c>
      <c r="B791" t="n">
        <v>2031</v>
      </c>
      <c r="C791" t="inlineStr">
        <is>
          <t>Grudzień</t>
        </is>
      </c>
      <c r="D791" t="inlineStr">
        <is>
          <t>W2</t>
        </is>
      </c>
      <c r="E791" t="n">
        <v>7</v>
      </c>
      <c r="F791" t="inlineStr">
        <is>
          <t>Pełny (7 dni)</t>
        </is>
      </c>
      <c r="G791" t="inlineStr">
        <is>
          <t>02.12</t>
        </is>
      </c>
      <c r="H791" t="inlineStr">
        <is>
          <t>08.12</t>
        </is>
      </c>
      <c r="I791" t="n">
        <v>272</v>
      </c>
      <c r="J791" t="n">
        <v>0.22581</v>
      </c>
    </row>
    <row r="792">
      <c r="A792" t="inlineStr">
        <is>
          <t>2031_Grudzień_W3</t>
        </is>
      </c>
      <c r="B792" t="n">
        <v>2031</v>
      </c>
      <c r="C792" t="inlineStr">
        <is>
          <t>Grudzień</t>
        </is>
      </c>
      <c r="D792" t="inlineStr">
        <is>
          <t>W3</t>
        </is>
      </c>
      <c r="E792" t="n">
        <v>7</v>
      </c>
      <c r="F792" t="inlineStr">
        <is>
          <t>Pełny (7 dni)</t>
        </is>
      </c>
      <c r="G792" t="inlineStr">
        <is>
          <t>09.12</t>
        </is>
      </c>
      <c r="H792" t="inlineStr">
        <is>
          <t>15.12</t>
        </is>
      </c>
      <c r="I792" t="n">
        <v>272</v>
      </c>
      <c r="J792" t="n">
        <v>0.22581</v>
      </c>
    </row>
    <row r="793">
      <c r="A793" t="inlineStr">
        <is>
          <t>2031_Grudzień_W4</t>
        </is>
      </c>
      <c r="B793" t="n">
        <v>2031</v>
      </c>
      <c r="C793" t="inlineStr">
        <is>
          <t>Grudzień</t>
        </is>
      </c>
      <c r="D793" t="inlineStr">
        <is>
          <t>W4</t>
        </is>
      </c>
      <c r="E793" t="n">
        <v>7</v>
      </c>
      <c r="F793" t="inlineStr">
        <is>
          <t>Pełny (7 dni)</t>
        </is>
      </c>
      <c r="G793" t="inlineStr">
        <is>
          <t>16.12</t>
        </is>
      </c>
      <c r="H793" t="inlineStr">
        <is>
          <t>22.12</t>
        </is>
      </c>
      <c r="I793" t="n">
        <v>272</v>
      </c>
      <c r="J793" t="n">
        <v>0.22581</v>
      </c>
    </row>
    <row r="794">
      <c r="A794" t="inlineStr">
        <is>
          <t>2031_Grudzień_W5</t>
        </is>
      </c>
      <c r="B794" t="n">
        <v>2031</v>
      </c>
      <c r="C794" t="inlineStr">
        <is>
          <t>Grudzień</t>
        </is>
      </c>
      <c r="D794" t="inlineStr">
        <is>
          <t>W5</t>
        </is>
      </c>
      <c r="E794" t="n">
        <v>7</v>
      </c>
      <c r="F794" t="inlineStr">
        <is>
          <t>Pełny (7 dni)</t>
        </is>
      </c>
      <c r="G794" t="inlineStr">
        <is>
          <t>23.12</t>
        </is>
      </c>
      <c r="H794" t="inlineStr">
        <is>
          <t>29.12</t>
        </is>
      </c>
      <c r="I794" t="n">
        <v>272</v>
      </c>
      <c r="J794" t="n">
        <v>0.22581</v>
      </c>
    </row>
    <row r="795">
      <c r="A795" t="inlineStr">
        <is>
          <t>2031_Grudzień_W6</t>
        </is>
      </c>
      <c r="B795" t="n">
        <v>2031</v>
      </c>
      <c r="C795" t="inlineStr">
        <is>
          <t>Grudzień</t>
        </is>
      </c>
      <c r="D795" t="inlineStr">
        <is>
          <t>W6</t>
        </is>
      </c>
      <c r="E795" t="n">
        <v>2</v>
      </c>
      <c r="F795" t="inlineStr">
        <is>
          <t>Niepełny (2 dni)</t>
        </is>
      </c>
      <c r="G795" t="inlineStr">
        <is>
          <t>30.12</t>
        </is>
      </c>
      <c r="H795" t="inlineStr">
        <is>
          <t>31.12</t>
        </is>
      </c>
      <c r="I795" t="n">
        <v>80</v>
      </c>
      <c r="J795" t="n">
        <v>0.06451999999999999</v>
      </c>
    </row>
    <row r="796">
      <c r="A796" t="inlineStr">
        <is>
          <t>2032_Styczeń_W1</t>
        </is>
      </c>
      <c r="B796" t="n">
        <v>2032</v>
      </c>
      <c r="C796" t="inlineStr">
        <is>
          <t>Styczeń</t>
        </is>
      </c>
      <c r="D796" t="inlineStr">
        <is>
          <t>W1</t>
        </is>
      </c>
      <c r="E796" t="n">
        <v>5</v>
      </c>
      <c r="F796" t="inlineStr">
        <is>
          <t>Niepełny (5 dni)</t>
        </is>
      </c>
      <c r="G796" t="inlineStr">
        <is>
          <t>01.01</t>
        </is>
      </c>
      <c r="H796" t="inlineStr">
        <is>
          <t>05.01</t>
        </is>
      </c>
      <c r="I796" t="n">
        <v>192</v>
      </c>
      <c r="J796" t="n">
        <v>0.16129</v>
      </c>
    </row>
    <row r="797">
      <c r="A797" t="inlineStr">
        <is>
          <t>2032_Styczeń_W2</t>
        </is>
      </c>
      <c r="B797" t="n">
        <v>2032</v>
      </c>
      <c r="C797" t="inlineStr">
        <is>
          <t>Styczeń</t>
        </is>
      </c>
      <c r="D797" t="inlineStr">
        <is>
          <t>W2</t>
        </is>
      </c>
      <c r="E797" t="n">
        <v>7</v>
      </c>
      <c r="F797" t="inlineStr">
        <is>
          <t>Pełny (7 dni)</t>
        </is>
      </c>
      <c r="G797" t="inlineStr">
        <is>
          <t>06.01</t>
        </is>
      </c>
      <c r="H797" t="inlineStr">
        <is>
          <t>12.01</t>
        </is>
      </c>
      <c r="I797" t="n">
        <v>272</v>
      </c>
      <c r="J797" t="n">
        <v>0.22581</v>
      </c>
    </row>
    <row r="798">
      <c r="A798" t="inlineStr">
        <is>
          <t>2032_Styczeń_W3</t>
        </is>
      </c>
      <c r="B798" t="n">
        <v>2032</v>
      </c>
      <c r="C798" t="inlineStr">
        <is>
          <t>Styczeń</t>
        </is>
      </c>
      <c r="D798" t="inlineStr">
        <is>
          <t>W3</t>
        </is>
      </c>
      <c r="E798" t="n">
        <v>7</v>
      </c>
      <c r="F798" t="inlineStr">
        <is>
          <t>Pełny (7 dni)</t>
        </is>
      </c>
      <c r="G798" t="inlineStr">
        <is>
          <t>13.01</t>
        </is>
      </c>
      <c r="H798" t="inlineStr">
        <is>
          <t>19.01</t>
        </is>
      </c>
      <c r="I798" t="n">
        <v>272</v>
      </c>
      <c r="J798" t="n">
        <v>0.22581</v>
      </c>
    </row>
    <row r="799">
      <c r="A799" t="inlineStr">
        <is>
          <t>2032_Styczeń_W4</t>
        </is>
      </c>
      <c r="B799" t="n">
        <v>2032</v>
      </c>
      <c r="C799" t="inlineStr">
        <is>
          <t>Styczeń</t>
        </is>
      </c>
      <c r="D799" t="inlineStr">
        <is>
          <t>W4</t>
        </is>
      </c>
      <c r="E799" t="n">
        <v>7</v>
      </c>
      <c r="F799" t="inlineStr">
        <is>
          <t>Pełny (7 dni)</t>
        </is>
      </c>
      <c r="G799" t="inlineStr">
        <is>
          <t>20.01</t>
        </is>
      </c>
      <c r="H799" t="inlineStr">
        <is>
          <t>26.01</t>
        </is>
      </c>
      <c r="I799" t="n">
        <v>272</v>
      </c>
      <c r="J799" t="n">
        <v>0.22581</v>
      </c>
    </row>
    <row r="800">
      <c r="A800" t="inlineStr">
        <is>
          <t>2032_Styczeń_W5</t>
        </is>
      </c>
      <c r="B800" t="n">
        <v>2032</v>
      </c>
      <c r="C800" t="inlineStr">
        <is>
          <t>Styczeń</t>
        </is>
      </c>
      <c r="D800" t="inlineStr">
        <is>
          <t>W5</t>
        </is>
      </c>
      <c r="E800" t="n">
        <v>5</v>
      </c>
      <c r="F800" t="inlineStr">
        <is>
          <t>Niepełny (5 dni)</t>
        </is>
      </c>
      <c r="G800" t="inlineStr">
        <is>
          <t>27.01</t>
        </is>
      </c>
      <c r="H800" t="inlineStr">
        <is>
          <t>31.01</t>
        </is>
      </c>
      <c r="I800" t="n">
        <v>200</v>
      </c>
      <c r="J800" t="n">
        <v>0.16129</v>
      </c>
    </row>
    <row r="801">
      <c r="A801" t="inlineStr">
        <is>
          <t>2032_Styczeń_W6</t>
        </is>
      </c>
      <c r="B801" t="n">
        <v>2032</v>
      </c>
      <c r="C801" t="inlineStr">
        <is>
          <t>Styczeń</t>
        </is>
      </c>
      <c r="D801" t="inlineStr">
        <is>
          <t>W6</t>
        </is>
      </c>
      <c r="E801" t="n">
        <v>0</v>
      </c>
      <c r="F801" t="inlineStr">
        <is>
          <t>Brak w miesiącu</t>
        </is>
      </c>
      <c r="G801" t="inlineStr">
        <is>
          <t>-</t>
        </is>
      </c>
      <c r="H801" t="inlineStr">
        <is>
          <t>-</t>
        </is>
      </c>
      <c r="I801" t="n">
        <v>0</v>
      </c>
      <c r="J801" t="n">
        <v>0</v>
      </c>
    </row>
    <row r="802">
      <c r="A802" t="inlineStr">
        <is>
          <t>2032_Luty_W1</t>
        </is>
      </c>
      <c r="B802" t="n">
        <v>2032</v>
      </c>
      <c r="C802" t="inlineStr">
        <is>
          <t>Luty</t>
        </is>
      </c>
      <c r="D802" t="inlineStr">
        <is>
          <t>W1</t>
        </is>
      </c>
      <c r="E802" t="n">
        <v>2</v>
      </c>
      <c r="F802" t="inlineStr">
        <is>
          <t>Niepełny (2 dni)</t>
        </is>
      </c>
      <c r="G802" t="inlineStr">
        <is>
          <t>01.02</t>
        </is>
      </c>
      <c r="H802" t="inlineStr">
        <is>
          <t>02.02</t>
        </is>
      </c>
      <c r="I802" t="n">
        <v>72</v>
      </c>
      <c r="J802" t="n">
        <v>0.06897</v>
      </c>
    </row>
    <row r="803">
      <c r="A803" t="inlineStr">
        <is>
          <t>2032_Luty_W2</t>
        </is>
      </c>
      <c r="B803" t="n">
        <v>2032</v>
      </c>
      <c r="C803" t="inlineStr">
        <is>
          <t>Luty</t>
        </is>
      </c>
      <c r="D803" t="inlineStr">
        <is>
          <t>W2</t>
        </is>
      </c>
      <c r="E803" t="n">
        <v>7</v>
      </c>
      <c r="F803" t="inlineStr">
        <is>
          <t>Pełny (7 dni)</t>
        </is>
      </c>
      <c r="G803" t="inlineStr">
        <is>
          <t>03.02</t>
        </is>
      </c>
      <c r="H803" t="inlineStr">
        <is>
          <t>09.02</t>
        </is>
      </c>
      <c r="I803" t="n">
        <v>272</v>
      </c>
      <c r="J803" t="n">
        <v>0.24138</v>
      </c>
    </row>
    <row r="804">
      <c r="A804" t="inlineStr">
        <is>
          <t>2032_Luty_W3</t>
        </is>
      </c>
      <c r="B804" t="n">
        <v>2032</v>
      </c>
      <c r="C804" t="inlineStr">
        <is>
          <t>Luty</t>
        </is>
      </c>
      <c r="D804" t="inlineStr">
        <is>
          <t>W3</t>
        </is>
      </c>
      <c r="E804" t="n">
        <v>7</v>
      </c>
      <c r="F804" t="inlineStr">
        <is>
          <t>Pełny (7 dni)</t>
        </is>
      </c>
      <c r="G804" t="inlineStr">
        <is>
          <t>10.02</t>
        </is>
      </c>
      <c r="H804" t="inlineStr">
        <is>
          <t>16.02</t>
        </is>
      </c>
      <c r="I804" t="n">
        <v>272</v>
      </c>
      <c r="J804" t="n">
        <v>0.24138</v>
      </c>
    </row>
    <row r="805">
      <c r="A805" t="inlineStr">
        <is>
          <t>2032_Luty_W4</t>
        </is>
      </c>
      <c r="B805" t="n">
        <v>2032</v>
      </c>
      <c r="C805" t="inlineStr">
        <is>
          <t>Luty</t>
        </is>
      </c>
      <c r="D805" t="inlineStr">
        <is>
          <t>W4</t>
        </is>
      </c>
      <c r="E805" t="n">
        <v>7</v>
      </c>
      <c r="F805" t="inlineStr">
        <is>
          <t>Pełny (7 dni)</t>
        </is>
      </c>
      <c r="G805" t="inlineStr">
        <is>
          <t>17.02</t>
        </is>
      </c>
      <c r="H805" t="inlineStr">
        <is>
          <t>23.02</t>
        </is>
      </c>
      <c r="I805" t="n">
        <v>272</v>
      </c>
      <c r="J805" t="n">
        <v>0.24138</v>
      </c>
    </row>
    <row r="806">
      <c r="A806" t="inlineStr">
        <is>
          <t>2032_Luty_W5</t>
        </is>
      </c>
      <c r="B806" t="n">
        <v>2032</v>
      </c>
      <c r="C806" t="inlineStr">
        <is>
          <t>Luty</t>
        </is>
      </c>
      <c r="D806" t="inlineStr">
        <is>
          <t>W5</t>
        </is>
      </c>
      <c r="E806" t="n">
        <v>6</v>
      </c>
      <c r="F806" t="inlineStr">
        <is>
          <t>Niepełny (6 dni)</t>
        </is>
      </c>
      <c r="G806" t="inlineStr">
        <is>
          <t>24.02</t>
        </is>
      </c>
      <c r="H806" t="inlineStr">
        <is>
          <t>29.02</t>
        </is>
      </c>
      <c r="I806" t="n">
        <v>232</v>
      </c>
      <c r="J806" t="n">
        <v>0.2069</v>
      </c>
    </row>
    <row r="807">
      <c r="A807" t="inlineStr">
        <is>
          <t>2032_Luty_W6</t>
        </is>
      </c>
      <c r="B807" t="n">
        <v>2032</v>
      </c>
      <c r="C807" t="inlineStr">
        <is>
          <t>Luty</t>
        </is>
      </c>
      <c r="D807" t="inlineStr">
        <is>
          <t>W6</t>
        </is>
      </c>
      <c r="E807" t="n">
        <v>0</v>
      </c>
      <c r="F807" t="inlineStr">
        <is>
          <t>Brak w miesiącu</t>
        </is>
      </c>
      <c r="G807" t="inlineStr">
        <is>
          <t>-</t>
        </is>
      </c>
      <c r="H807" t="inlineStr">
        <is>
          <t>-</t>
        </is>
      </c>
      <c r="I807" t="n">
        <v>0</v>
      </c>
      <c r="J807" t="n">
        <v>0</v>
      </c>
    </row>
    <row r="808">
      <c r="A808" t="inlineStr">
        <is>
          <t>2032_Marzec_W1</t>
        </is>
      </c>
      <c r="B808" t="n">
        <v>2032</v>
      </c>
      <c r="C808" t="inlineStr">
        <is>
          <t>Marzec</t>
        </is>
      </c>
      <c r="D808" t="inlineStr">
        <is>
          <t>W1</t>
        </is>
      </c>
      <c r="E808" t="n">
        <v>1</v>
      </c>
      <c r="F808" t="inlineStr">
        <is>
          <t>Niepełny (1 dni)</t>
        </is>
      </c>
      <c r="G808" t="inlineStr">
        <is>
          <t>01.03</t>
        </is>
      </c>
      <c r="H808" t="inlineStr">
        <is>
          <t>01.03</t>
        </is>
      </c>
      <c r="I808" t="n">
        <v>40</v>
      </c>
      <c r="J808" t="n">
        <v>0.03226</v>
      </c>
    </row>
    <row r="809">
      <c r="A809" t="inlineStr">
        <is>
          <t>2032_Marzec_W2</t>
        </is>
      </c>
      <c r="B809" t="n">
        <v>2032</v>
      </c>
      <c r="C809" t="inlineStr">
        <is>
          <t>Marzec</t>
        </is>
      </c>
      <c r="D809" t="inlineStr">
        <is>
          <t>W2</t>
        </is>
      </c>
      <c r="E809" t="n">
        <v>7</v>
      </c>
      <c r="F809" t="inlineStr">
        <is>
          <t>Pełny (7 dni)</t>
        </is>
      </c>
      <c r="G809" t="inlineStr">
        <is>
          <t>02.03</t>
        </is>
      </c>
      <c r="H809" t="inlineStr">
        <is>
          <t>08.03</t>
        </is>
      </c>
      <c r="I809" t="n">
        <v>272</v>
      </c>
      <c r="J809" t="n">
        <v>0.22581</v>
      </c>
    </row>
    <row r="810">
      <c r="A810" t="inlineStr">
        <is>
          <t>2032_Marzec_W3</t>
        </is>
      </c>
      <c r="B810" t="n">
        <v>2032</v>
      </c>
      <c r="C810" t="inlineStr">
        <is>
          <t>Marzec</t>
        </is>
      </c>
      <c r="D810" t="inlineStr">
        <is>
          <t>W3</t>
        </is>
      </c>
      <c r="E810" t="n">
        <v>7</v>
      </c>
      <c r="F810" t="inlineStr">
        <is>
          <t>Pełny (7 dni)</t>
        </is>
      </c>
      <c r="G810" t="inlineStr">
        <is>
          <t>09.03</t>
        </is>
      </c>
      <c r="H810" t="inlineStr">
        <is>
          <t>15.03</t>
        </is>
      </c>
      <c r="I810" t="n">
        <v>272</v>
      </c>
      <c r="J810" t="n">
        <v>0.22581</v>
      </c>
    </row>
    <row r="811">
      <c r="A811" t="inlineStr">
        <is>
          <t>2032_Marzec_W4</t>
        </is>
      </c>
      <c r="B811" t="n">
        <v>2032</v>
      </c>
      <c r="C811" t="inlineStr">
        <is>
          <t>Marzec</t>
        </is>
      </c>
      <c r="D811" t="inlineStr">
        <is>
          <t>W4</t>
        </is>
      </c>
      <c r="E811" t="n">
        <v>7</v>
      </c>
      <c r="F811" t="inlineStr">
        <is>
          <t>Pełny (7 dni)</t>
        </is>
      </c>
      <c r="G811" t="inlineStr">
        <is>
          <t>16.03</t>
        </is>
      </c>
      <c r="H811" t="inlineStr">
        <is>
          <t>22.03</t>
        </is>
      </c>
      <c r="I811" t="n">
        <v>272</v>
      </c>
      <c r="J811" t="n">
        <v>0.22581</v>
      </c>
    </row>
    <row r="812">
      <c r="A812" t="inlineStr">
        <is>
          <t>2032_Marzec_W5</t>
        </is>
      </c>
      <c r="B812" t="n">
        <v>2032</v>
      </c>
      <c r="C812" t="inlineStr">
        <is>
          <t>Marzec</t>
        </is>
      </c>
      <c r="D812" t="inlineStr">
        <is>
          <t>W5</t>
        </is>
      </c>
      <c r="E812" t="n">
        <v>7</v>
      </c>
      <c r="F812" t="inlineStr">
        <is>
          <t>Pełny (7 dni)</t>
        </is>
      </c>
      <c r="G812" t="inlineStr">
        <is>
          <t>23.03</t>
        </is>
      </c>
      <c r="H812" t="inlineStr">
        <is>
          <t>29.03</t>
        </is>
      </c>
      <c r="I812" t="n">
        <v>272</v>
      </c>
      <c r="J812" t="n">
        <v>0.22581</v>
      </c>
    </row>
    <row r="813">
      <c r="A813" t="inlineStr">
        <is>
          <t>2032_Marzec_W6</t>
        </is>
      </c>
      <c r="B813" t="n">
        <v>2032</v>
      </c>
      <c r="C813" t="inlineStr">
        <is>
          <t>Marzec</t>
        </is>
      </c>
      <c r="D813" t="inlineStr">
        <is>
          <t>W6</t>
        </is>
      </c>
      <c r="E813" t="n">
        <v>2</v>
      </c>
      <c r="F813" t="inlineStr">
        <is>
          <t>Niepełny (2 dni)</t>
        </is>
      </c>
      <c r="G813" t="inlineStr">
        <is>
          <t>30.03</t>
        </is>
      </c>
      <c r="H813" t="inlineStr">
        <is>
          <t>31.03</t>
        </is>
      </c>
      <c r="I813" t="n">
        <v>80</v>
      </c>
      <c r="J813" t="n">
        <v>0.06451999999999999</v>
      </c>
    </row>
    <row r="814">
      <c r="A814" t="inlineStr">
        <is>
          <t>2032_Kwiecień_W1</t>
        </is>
      </c>
      <c r="B814" t="n">
        <v>2032</v>
      </c>
      <c r="C814" t="inlineStr">
        <is>
          <t>Kwiecień</t>
        </is>
      </c>
      <c r="D814" t="inlineStr">
        <is>
          <t>W1</t>
        </is>
      </c>
      <c r="E814" t="n">
        <v>5</v>
      </c>
      <c r="F814" t="inlineStr">
        <is>
          <t>Niepełny (5 dni)</t>
        </is>
      </c>
      <c r="G814" t="inlineStr">
        <is>
          <t>01.04</t>
        </is>
      </c>
      <c r="H814" t="inlineStr">
        <is>
          <t>05.04</t>
        </is>
      </c>
      <c r="I814" t="n">
        <v>192</v>
      </c>
      <c r="J814" t="n">
        <v>0.16667</v>
      </c>
    </row>
    <row r="815">
      <c r="A815" t="inlineStr">
        <is>
          <t>2032_Kwiecień_W2</t>
        </is>
      </c>
      <c r="B815" t="n">
        <v>2032</v>
      </c>
      <c r="C815" t="inlineStr">
        <is>
          <t>Kwiecień</t>
        </is>
      </c>
      <c r="D815" t="inlineStr">
        <is>
          <t>W2</t>
        </is>
      </c>
      <c r="E815" t="n">
        <v>7</v>
      </c>
      <c r="F815" t="inlineStr">
        <is>
          <t>Pełny (7 dni)</t>
        </is>
      </c>
      <c r="G815" t="inlineStr">
        <is>
          <t>06.04</t>
        </is>
      </c>
      <c r="H815" t="inlineStr">
        <is>
          <t>12.04</t>
        </is>
      </c>
      <c r="I815" t="n">
        <v>272</v>
      </c>
      <c r="J815" t="n">
        <v>0.23333</v>
      </c>
    </row>
    <row r="816">
      <c r="A816" t="inlineStr">
        <is>
          <t>2032_Kwiecień_W3</t>
        </is>
      </c>
      <c r="B816" t="n">
        <v>2032</v>
      </c>
      <c r="C816" t="inlineStr">
        <is>
          <t>Kwiecień</t>
        </is>
      </c>
      <c r="D816" t="inlineStr">
        <is>
          <t>W3</t>
        </is>
      </c>
      <c r="E816" t="n">
        <v>7</v>
      </c>
      <c r="F816" t="inlineStr">
        <is>
          <t>Pełny (7 dni)</t>
        </is>
      </c>
      <c r="G816" t="inlineStr">
        <is>
          <t>13.04</t>
        </is>
      </c>
      <c r="H816" t="inlineStr">
        <is>
          <t>19.04</t>
        </is>
      </c>
      <c r="I816" t="n">
        <v>272</v>
      </c>
      <c r="J816" t="n">
        <v>0.23333</v>
      </c>
    </row>
    <row r="817">
      <c r="A817" t="inlineStr">
        <is>
          <t>2032_Kwiecień_W4</t>
        </is>
      </c>
      <c r="B817" t="n">
        <v>2032</v>
      </c>
      <c r="C817" t="inlineStr">
        <is>
          <t>Kwiecień</t>
        </is>
      </c>
      <c r="D817" t="inlineStr">
        <is>
          <t>W4</t>
        </is>
      </c>
      <c r="E817" t="n">
        <v>7</v>
      </c>
      <c r="F817" t="inlineStr">
        <is>
          <t>Pełny (7 dni)</t>
        </is>
      </c>
      <c r="G817" t="inlineStr">
        <is>
          <t>20.04</t>
        </is>
      </c>
      <c r="H817" t="inlineStr">
        <is>
          <t>26.04</t>
        </is>
      </c>
      <c r="I817" t="n">
        <v>272</v>
      </c>
      <c r="J817" t="n">
        <v>0.23333</v>
      </c>
    </row>
    <row r="818">
      <c r="A818" t="inlineStr">
        <is>
          <t>2032_Kwiecień_W5</t>
        </is>
      </c>
      <c r="B818" t="n">
        <v>2032</v>
      </c>
      <c r="C818" t="inlineStr">
        <is>
          <t>Kwiecień</t>
        </is>
      </c>
      <c r="D818" t="inlineStr">
        <is>
          <t>W5</t>
        </is>
      </c>
      <c r="E818" t="n">
        <v>4</v>
      </c>
      <c r="F818" t="inlineStr">
        <is>
          <t>Niepełny (4 dni)</t>
        </is>
      </c>
      <c r="G818" t="inlineStr">
        <is>
          <t>27.04</t>
        </is>
      </c>
      <c r="H818" t="inlineStr">
        <is>
          <t>30.04</t>
        </is>
      </c>
      <c r="I818" t="n">
        <v>160</v>
      </c>
      <c r="J818" t="n">
        <v>0.13333</v>
      </c>
    </row>
    <row r="819">
      <c r="A819" t="inlineStr">
        <is>
          <t>2032_Kwiecień_W6</t>
        </is>
      </c>
      <c r="B819" t="n">
        <v>2032</v>
      </c>
      <c r="C819" t="inlineStr">
        <is>
          <t>Kwiecień</t>
        </is>
      </c>
      <c r="D819" t="inlineStr">
        <is>
          <t>W6</t>
        </is>
      </c>
      <c r="E819" t="n">
        <v>0</v>
      </c>
      <c r="F819" t="inlineStr">
        <is>
          <t>Brak w miesiącu</t>
        </is>
      </c>
      <c r="G819" t="inlineStr">
        <is>
          <t>-</t>
        </is>
      </c>
      <c r="H819" t="inlineStr">
        <is>
          <t>-</t>
        </is>
      </c>
      <c r="I819" t="n">
        <v>0</v>
      </c>
      <c r="J819" t="n">
        <v>0</v>
      </c>
    </row>
    <row r="820">
      <c r="A820" t="inlineStr">
        <is>
          <t>2032_Maj_W1</t>
        </is>
      </c>
      <c r="B820" t="n">
        <v>2032</v>
      </c>
      <c r="C820" t="inlineStr">
        <is>
          <t>Maj</t>
        </is>
      </c>
      <c r="D820" t="inlineStr">
        <is>
          <t>W1</t>
        </is>
      </c>
      <c r="E820" t="n">
        <v>3</v>
      </c>
      <c r="F820" t="inlineStr">
        <is>
          <t>Niepełny (3 dni)</t>
        </is>
      </c>
      <c r="G820" t="inlineStr">
        <is>
          <t>01.05</t>
        </is>
      </c>
      <c r="H820" t="inlineStr">
        <is>
          <t>03.05</t>
        </is>
      </c>
      <c r="I820" t="n">
        <v>112</v>
      </c>
      <c r="J820" t="n">
        <v>0.09676999999999999</v>
      </c>
    </row>
    <row r="821">
      <c r="A821" t="inlineStr">
        <is>
          <t>2032_Maj_W2</t>
        </is>
      </c>
      <c r="B821" t="n">
        <v>2032</v>
      </c>
      <c r="C821" t="inlineStr">
        <is>
          <t>Maj</t>
        </is>
      </c>
      <c r="D821" t="inlineStr">
        <is>
          <t>W2</t>
        </is>
      </c>
      <c r="E821" t="n">
        <v>7</v>
      </c>
      <c r="F821" t="inlineStr">
        <is>
          <t>Pełny (7 dni)</t>
        </is>
      </c>
      <c r="G821" t="inlineStr">
        <is>
          <t>04.05</t>
        </is>
      </c>
      <c r="H821" t="inlineStr">
        <is>
          <t>10.05</t>
        </is>
      </c>
      <c r="I821" t="n">
        <v>272</v>
      </c>
      <c r="J821" t="n">
        <v>0.22581</v>
      </c>
    </row>
    <row r="822">
      <c r="A822" t="inlineStr">
        <is>
          <t>2032_Maj_W3</t>
        </is>
      </c>
      <c r="B822" t="n">
        <v>2032</v>
      </c>
      <c r="C822" t="inlineStr">
        <is>
          <t>Maj</t>
        </is>
      </c>
      <c r="D822" t="inlineStr">
        <is>
          <t>W3</t>
        </is>
      </c>
      <c r="E822" t="n">
        <v>7</v>
      </c>
      <c r="F822" t="inlineStr">
        <is>
          <t>Pełny (7 dni)</t>
        </is>
      </c>
      <c r="G822" t="inlineStr">
        <is>
          <t>11.05</t>
        </is>
      </c>
      <c r="H822" t="inlineStr">
        <is>
          <t>17.05</t>
        </is>
      </c>
      <c r="I822" t="n">
        <v>272</v>
      </c>
      <c r="J822" t="n">
        <v>0.22581</v>
      </c>
    </row>
    <row r="823">
      <c r="A823" t="inlineStr">
        <is>
          <t>2032_Maj_W4</t>
        </is>
      </c>
      <c r="B823" t="n">
        <v>2032</v>
      </c>
      <c r="C823" t="inlineStr">
        <is>
          <t>Maj</t>
        </is>
      </c>
      <c r="D823" t="inlineStr">
        <is>
          <t>W4</t>
        </is>
      </c>
      <c r="E823" t="n">
        <v>7</v>
      </c>
      <c r="F823" t="inlineStr">
        <is>
          <t>Pełny (7 dni)</t>
        </is>
      </c>
      <c r="G823" t="inlineStr">
        <is>
          <t>18.05</t>
        </is>
      </c>
      <c r="H823" t="inlineStr">
        <is>
          <t>24.05</t>
        </is>
      </c>
      <c r="I823" t="n">
        <v>272</v>
      </c>
      <c r="J823" t="n">
        <v>0.22581</v>
      </c>
    </row>
    <row r="824">
      <c r="A824" t="inlineStr">
        <is>
          <t>2032_Maj_W5</t>
        </is>
      </c>
      <c r="B824" t="n">
        <v>2032</v>
      </c>
      <c r="C824" t="inlineStr">
        <is>
          <t>Maj</t>
        </is>
      </c>
      <c r="D824" t="inlineStr">
        <is>
          <t>W5</t>
        </is>
      </c>
      <c r="E824" t="n">
        <v>7</v>
      </c>
      <c r="F824" t="inlineStr">
        <is>
          <t>Pełny (7 dni)</t>
        </is>
      </c>
      <c r="G824" t="inlineStr">
        <is>
          <t>25.05</t>
        </is>
      </c>
      <c r="H824" t="inlineStr">
        <is>
          <t>31.05</t>
        </is>
      </c>
      <c r="I824" t="n">
        <v>272</v>
      </c>
      <c r="J824" t="n">
        <v>0.22581</v>
      </c>
    </row>
    <row r="825">
      <c r="A825" t="inlineStr">
        <is>
          <t>2032_Maj_W6</t>
        </is>
      </c>
      <c r="B825" t="n">
        <v>2032</v>
      </c>
      <c r="C825" t="inlineStr">
        <is>
          <t>Maj</t>
        </is>
      </c>
      <c r="D825" t="inlineStr">
        <is>
          <t>W6</t>
        </is>
      </c>
      <c r="E825" t="n">
        <v>0</v>
      </c>
      <c r="F825" t="inlineStr">
        <is>
          <t>Brak w miesiącu</t>
        </is>
      </c>
      <c r="G825" t="inlineStr">
        <is>
          <t>-</t>
        </is>
      </c>
      <c r="H825" t="inlineStr">
        <is>
          <t>-</t>
        </is>
      </c>
      <c r="I825" t="n">
        <v>0</v>
      </c>
      <c r="J825" t="n">
        <v>0</v>
      </c>
    </row>
    <row r="826">
      <c r="A826" t="inlineStr">
        <is>
          <t>2032_Czerwiec_W1</t>
        </is>
      </c>
      <c r="B826" t="n">
        <v>2032</v>
      </c>
      <c r="C826" t="inlineStr">
        <is>
          <t>Czerwiec</t>
        </is>
      </c>
      <c r="D826" t="inlineStr">
        <is>
          <t>W1</t>
        </is>
      </c>
      <c r="E826" t="n">
        <v>7</v>
      </c>
      <c r="F826" t="inlineStr">
        <is>
          <t>Pełny (7 dni)</t>
        </is>
      </c>
      <c r="G826" t="inlineStr">
        <is>
          <t>01.06</t>
        </is>
      </c>
      <c r="H826" t="inlineStr">
        <is>
          <t>07.06</t>
        </is>
      </c>
      <c r="I826" t="n">
        <v>272</v>
      </c>
      <c r="J826" t="n">
        <v>0.23333</v>
      </c>
    </row>
    <row r="827">
      <c r="A827" t="inlineStr">
        <is>
          <t>2032_Czerwiec_W2</t>
        </is>
      </c>
      <c r="B827" t="n">
        <v>2032</v>
      </c>
      <c r="C827" t="inlineStr">
        <is>
          <t>Czerwiec</t>
        </is>
      </c>
      <c r="D827" t="inlineStr">
        <is>
          <t>W2</t>
        </is>
      </c>
      <c r="E827" t="n">
        <v>7</v>
      </c>
      <c r="F827" t="inlineStr">
        <is>
          <t>Pełny (7 dni)</t>
        </is>
      </c>
      <c r="G827" t="inlineStr">
        <is>
          <t>08.06</t>
        </is>
      </c>
      <c r="H827" t="inlineStr">
        <is>
          <t>14.06</t>
        </is>
      </c>
      <c r="I827" t="n">
        <v>272</v>
      </c>
      <c r="J827" t="n">
        <v>0.23333</v>
      </c>
    </row>
    <row r="828">
      <c r="A828" t="inlineStr">
        <is>
          <t>2032_Czerwiec_W3</t>
        </is>
      </c>
      <c r="B828" t="n">
        <v>2032</v>
      </c>
      <c r="C828" t="inlineStr">
        <is>
          <t>Czerwiec</t>
        </is>
      </c>
      <c r="D828" t="inlineStr">
        <is>
          <t>W3</t>
        </is>
      </c>
      <c r="E828" t="n">
        <v>7</v>
      </c>
      <c r="F828" t="inlineStr">
        <is>
          <t>Pełny (7 dni)</t>
        </is>
      </c>
      <c r="G828" t="inlineStr">
        <is>
          <t>15.06</t>
        </is>
      </c>
      <c r="H828" t="inlineStr">
        <is>
          <t>21.06</t>
        </is>
      </c>
      <c r="I828" t="n">
        <v>272</v>
      </c>
      <c r="J828" t="n">
        <v>0.23333</v>
      </c>
    </row>
    <row r="829">
      <c r="A829" t="inlineStr">
        <is>
          <t>2032_Czerwiec_W4</t>
        </is>
      </c>
      <c r="B829" t="n">
        <v>2032</v>
      </c>
      <c r="C829" t="inlineStr">
        <is>
          <t>Czerwiec</t>
        </is>
      </c>
      <c r="D829" t="inlineStr">
        <is>
          <t>W4</t>
        </is>
      </c>
      <c r="E829" t="n">
        <v>7</v>
      </c>
      <c r="F829" t="inlineStr">
        <is>
          <t>Pełny (7 dni)</t>
        </is>
      </c>
      <c r="G829" t="inlineStr">
        <is>
          <t>22.06</t>
        </is>
      </c>
      <c r="H829" t="inlineStr">
        <is>
          <t>28.06</t>
        </is>
      </c>
      <c r="I829" t="n">
        <v>272</v>
      </c>
      <c r="J829" t="n">
        <v>0.23333</v>
      </c>
    </row>
    <row r="830">
      <c r="A830" t="inlineStr">
        <is>
          <t>2032_Czerwiec_W5</t>
        </is>
      </c>
      <c r="B830" t="n">
        <v>2032</v>
      </c>
      <c r="C830" t="inlineStr">
        <is>
          <t>Czerwiec</t>
        </is>
      </c>
      <c r="D830" t="inlineStr">
        <is>
          <t>W5</t>
        </is>
      </c>
      <c r="E830" t="n">
        <v>2</v>
      </c>
      <c r="F830" t="inlineStr">
        <is>
          <t>Niepełny (2 dni)</t>
        </is>
      </c>
      <c r="G830" t="inlineStr">
        <is>
          <t>29.06</t>
        </is>
      </c>
      <c r="H830" t="inlineStr">
        <is>
          <t>30.06</t>
        </is>
      </c>
      <c r="I830" t="n">
        <v>80</v>
      </c>
      <c r="J830" t="n">
        <v>0.06666999999999999</v>
      </c>
    </row>
    <row r="831">
      <c r="A831" t="inlineStr">
        <is>
          <t>2032_Czerwiec_W6</t>
        </is>
      </c>
      <c r="B831" t="n">
        <v>2032</v>
      </c>
      <c r="C831" t="inlineStr">
        <is>
          <t>Czerwiec</t>
        </is>
      </c>
      <c r="D831" t="inlineStr">
        <is>
          <t>W6</t>
        </is>
      </c>
      <c r="E831" t="n">
        <v>0</v>
      </c>
      <c r="F831" t="inlineStr">
        <is>
          <t>Brak w miesiącu</t>
        </is>
      </c>
      <c r="G831" t="inlineStr">
        <is>
          <t>-</t>
        </is>
      </c>
      <c r="H831" t="inlineStr">
        <is>
          <t>-</t>
        </is>
      </c>
      <c r="I831" t="n">
        <v>0</v>
      </c>
      <c r="J831" t="n">
        <v>0</v>
      </c>
    </row>
    <row r="832">
      <c r="A832" t="inlineStr">
        <is>
          <t>2032_Lipiec_W1</t>
        </is>
      </c>
      <c r="B832" t="n">
        <v>2032</v>
      </c>
      <c r="C832" t="inlineStr">
        <is>
          <t>Lipiec</t>
        </is>
      </c>
      <c r="D832" t="inlineStr">
        <is>
          <t>W1</t>
        </is>
      </c>
      <c r="E832" t="n">
        <v>5</v>
      </c>
      <c r="F832" t="inlineStr">
        <is>
          <t>Niepełny (5 dni)</t>
        </is>
      </c>
      <c r="G832" t="inlineStr">
        <is>
          <t>01.07</t>
        </is>
      </c>
      <c r="H832" t="inlineStr">
        <is>
          <t>05.07</t>
        </is>
      </c>
      <c r="I832" t="n">
        <v>192</v>
      </c>
      <c r="J832" t="n">
        <v>0.16129</v>
      </c>
    </row>
    <row r="833">
      <c r="A833" t="inlineStr">
        <is>
          <t>2032_Lipiec_W2</t>
        </is>
      </c>
      <c r="B833" t="n">
        <v>2032</v>
      </c>
      <c r="C833" t="inlineStr">
        <is>
          <t>Lipiec</t>
        </is>
      </c>
      <c r="D833" t="inlineStr">
        <is>
          <t>W2</t>
        </is>
      </c>
      <c r="E833" t="n">
        <v>7</v>
      </c>
      <c r="F833" t="inlineStr">
        <is>
          <t>Pełny (7 dni)</t>
        </is>
      </c>
      <c r="G833" t="inlineStr">
        <is>
          <t>06.07</t>
        </is>
      </c>
      <c r="H833" t="inlineStr">
        <is>
          <t>12.07</t>
        </is>
      </c>
      <c r="I833" t="n">
        <v>272</v>
      </c>
      <c r="J833" t="n">
        <v>0.22581</v>
      </c>
    </row>
    <row r="834">
      <c r="A834" t="inlineStr">
        <is>
          <t>2032_Lipiec_W3</t>
        </is>
      </c>
      <c r="B834" t="n">
        <v>2032</v>
      </c>
      <c r="C834" t="inlineStr">
        <is>
          <t>Lipiec</t>
        </is>
      </c>
      <c r="D834" t="inlineStr">
        <is>
          <t>W3</t>
        </is>
      </c>
      <c r="E834" t="n">
        <v>7</v>
      </c>
      <c r="F834" t="inlineStr">
        <is>
          <t>Pełny (7 dni)</t>
        </is>
      </c>
      <c r="G834" t="inlineStr">
        <is>
          <t>13.07</t>
        </is>
      </c>
      <c r="H834" t="inlineStr">
        <is>
          <t>19.07</t>
        </is>
      </c>
      <c r="I834" t="n">
        <v>272</v>
      </c>
      <c r="J834" t="n">
        <v>0.22581</v>
      </c>
    </row>
    <row r="835">
      <c r="A835" t="inlineStr">
        <is>
          <t>2032_Lipiec_W4</t>
        </is>
      </c>
      <c r="B835" t="n">
        <v>2032</v>
      </c>
      <c r="C835" t="inlineStr">
        <is>
          <t>Lipiec</t>
        </is>
      </c>
      <c r="D835" t="inlineStr">
        <is>
          <t>W4</t>
        </is>
      </c>
      <c r="E835" t="n">
        <v>7</v>
      </c>
      <c r="F835" t="inlineStr">
        <is>
          <t>Pełny (7 dni)</t>
        </is>
      </c>
      <c r="G835" t="inlineStr">
        <is>
          <t>20.07</t>
        </is>
      </c>
      <c r="H835" t="inlineStr">
        <is>
          <t>26.07</t>
        </is>
      </c>
      <c r="I835" t="n">
        <v>272</v>
      </c>
      <c r="J835" t="n">
        <v>0.22581</v>
      </c>
    </row>
    <row r="836">
      <c r="A836" t="inlineStr">
        <is>
          <t>2032_Lipiec_W5</t>
        </is>
      </c>
      <c r="B836" t="n">
        <v>2032</v>
      </c>
      <c r="C836" t="inlineStr">
        <is>
          <t>Lipiec</t>
        </is>
      </c>
      <c r="D836" t="inlineStr">
        <is>
          <t>W5</t>
        </is>
      </c>
      <c r="E836" t="n">
        <v>5</v>
      </c>
      <c r="F836" t="inlineStr">
        <is>
          <t>Niepełny (5 dni)</t>
        </is>
      </c>
      <c r="G836" t="inlineStr">
        <is>
          <t>27.07</t>
        </is>
      </c>
      <c r="H836" t="inlineStr">
        <is>
          <t>31.07</t>
        </is>
      </c>
      <c r="I836" t="n">
        <v>200</v>
      </c>
      <c r="J836" t="n">
        <v>0.16129</v>
      </c>
    </row>
    <row r="837">
      <c r="A837" t="inlineStr">
        <is>
          <t>2032_Lipiec_W6</t>
        </is>
      </c>
      <c r="B837" t="n">
        <v>2032</v>
      </c>
      <c r="C837" t="inlineStr">
        <is>
          <t>Lipiec</t>
        </is>
      </c>
      <c r="D837" t="inlineStr">
        <is>
          <t>W6</t>
        </is>
      </c>
      <c r="E837" t="n">
        <v>0</v>
      </c>
      <c r="F837" t="inlineStr">
        <is>
          <t>Brak w miesiącu</t>
        </is>
      </c>
      <c r="G837" t="inlineStr">
        <is>
          <t>-</t>
        </is>
      </c>
      <c r="H837" t="inlineStr">
        <is>
          <t>-</t>
        </is>
      </c>
      <c r="I837" t="n">
        <v>0</v>
      </c>
      <c r="J837" t="n">
        <v>0</v>
      </c>
    </row>
    <row r="838">
      <c r="A838" t="inlineStr">
        <is>
          <t>2032_Sierpień_W1</t>
        </is>
      </c>
      <c r="B838" t="n">
        <v>2032</v>
      </c>
      <c r="C838" t="inlineStr">
        <is>
          <t>Sierpień</t>
        </is>
      </c>
      <c r="D838" t="inlineStr">
        <is>
          <t>W1</t>
        </is>
      </c>
      <c r="E838" t="n">
        <v>2</v>
      </c>
      <c r="F838" t="inlineStr">
        <is>
          <t>Niepełny (2 dni)</t>
        </is>
      </c>
      <c r="G838" t="inlineStr">
        <is>
          <t>01.08</t>
        </is>
      </c>
      <c r="H838" t="inlineStr">
        <is>
          <t>02.08</t>
        </is>
      </c>
      <c r="I838" t="n">
        <v>72</v>
      </c>
      <c r="J838" t="n">
        <v>0.06451999999999999</v>
      </c>
    </row>
    <row r="839">
      <c r="A839" t="inlineStr">
        <is>
          <t>2032_Sierpień_W2</t>
        </is>
      </c>
      <c r="B839" t="n">
        <v>2032</v>
      </c>
      <c r="C839" t="inlineStr">
        <is>
          <t>Sierpień</t>
        </is>
      </c>
      <c r="D839" t="inlineStr">
        <is>
          <t>W2</t>
        </is>
      </c>
      <c r="E839" t="n">
        <v>7</v>
      </c>
      <c r="F839" t="inlineStr">
        <is>
          <t>Pełny (7 dni)</t>
        </is>
      </c>
      <c r="G839" t="inlineStr">
        <is>
          <t>03.08</t>
        </is>
      </c>
      <c r="H839" t="inlineStr">
        <is>
          <t>09.08</t>
        </is>
      </c>
      <c r="I839" t="n">
        <v>272</v>
      </c>
      <c r="J839" t="n">
        <v>0.22581</v>
      </c>
    </row>
    <row r="840">
      <c r="A840" t="inlineStr">
        <is>
          <t>2032_Sierpień_W3</t>
        </is>
      </c>
      <c r="B840" t="n">
        <v>2032</v>
      </c>
      <c r="C840" t="inlineStr">
        <is>
          <t>Sierpień</t>
        </is>
      </c>
      <c r="D840" t="inlineStr">
        <is>
          <t>W3</t>
        </is>
      </c>
      <c r="E840" t="n">
        <v>7</v>
      </c>
      <c r="F840" t="inlineStr">
        <is>
          <t>Pełny (7 dni)</t>
        </is>
      </c>
      <c r="G840" t="inlineStr">
        <is>
          <t>10.08</t>
        </is>
      </c>
      <c r="H840" t="inlineStr">
        <is>
          <t>16.08</t>
        </is>
      </c>
      <c r="I840" t="n">
        <v>272</v>
      </c>
      <c r="J840" t="n">
        <v>0.22581</v>
      </c>
    </row>
    <row r="841">
      <c r="A841" t="inlineStr">
        <is>
          <t>2032_Sierpień_W4</t>
        </is>
      </c>
      <c r="B841" t="n">
        <v>2032</v>
      </c>
      <c r="C841" t="inlineStr">
        <is>
          <t>Sierpień</t>
        </is>
      </c>
      <c r="D841" t="inlineStr">
        <is>
          <t>W4</t>
        </is>
      </c>
      <c r="E841" t="n">
        <v>7</v>
      </c>
      <c r="F841" t="inlineStr">
        <is>
          <t>Pełny (7 dni)</t>
        </is>
      </c>
      <c r="G841" t="inlineStr">
        <is>
          <t>17.08</t>
        </is>
      </c>
      <c r="H841" t="inlineStr">
        <is>
          <t>23.08</t>
        </is>
      </c>
      <c r="I841" t="n">
        <v>272</v>
      </c>
      <c r="J841" t="n">
        <v>0.22581</v>
      </c>
    </row>
    <row r="842">
      <c r="A842" t="inlineStr">
        <is>
          <t>2032_Sierpień_W5</t>
        </is>
      </c>
      <c r="B842" t="n">
        <v>2032</v>
      </c>
      <c r="C842" t="inlineStr">
        <is>
          <t>Sierpień</t>
        </is>
      </c>
      <c r="D842" t="inlineStr">
        <is>
          <t>W5</t>
        </is>
      </c>
      <c r="E842" t="n">
        <v>7</v>
      </c>
      <c r="F842" t="inlineStr">
        <is>
          <t>Pełny (7 dni)</t>
        </is>
      </c>
      <c r="G842" t="inlineStr">
        <is>
          <t>24.08</t>
        </is>
      </c>
      <c r="H842" t="inlineStr">
        <is>
          <t>30.08</t>
        </is>
      </c>
      <c r="I842" t="n">
        <v>272</v>
      </c>
      <c r="J842" t="n">
        <v>0.22581</v>
      </c>
    </row>
    <row r="843">
      <c r="A843" t="inlineStr">
        <is>
          <t>2032_Sierpień_W6</t>
        </is>
      </c>
      <c r="B843" t="n">
        <v>2032</v>
      </c>
      <c r="C843" t="inlineStr">
        <is>
          <t>Sierpień</t>
        </is>
      </c>
      <c r="D843" t="inlineStr">
        <is>
          <t>W6</t>
        </is>
      </c>
      <c r="E843" t="n">
        <v>1</v>
      </c>
      <c r="F843" t="inlineStr">
        <is>
          <t>Niepełny (1 dni)</t>
        </is>
      </c>
      <c r="G843" t="inlineStr">
        <is>
          <t>31.08</t>
        </is>
      </c>
      <c r="H843" t="inlineStr">
        <is>
          <t>31.08</t>
        </is>
      </c>
      <c r="I843" t="n">
        <v>40</v>
      </c>
      <c r="J843" t="n">
        <v>0.03226</v>
      </c>
    </row>
    <row r="844">
      <c r="A844" t="inlineStr">
        <is>
          <t>2032_Wrzesień_W1</t>
        </is>
      </c>
      <c r="B844" t="n">
        <v>2032</v>
      </c>
      <c r="C844" t="inlineStr">
        <is>
          <t>Wrzesień</t>
        </is>
      </c>
      <c r="D844" t="inlineStr">
        <is>
          <t>W1</t>
        </is>
      </c>
      <c r="E844" t="n">
        <v>6</v>
      </c>
      <c r="F844" t="inlineStr">
        <is>
          <t>Niepełny (6 dni)</t>
        </is>
      </c>
      <c r="G844" t="inlineStr">
        <is>
          <t>01.09</t>
        </is>
      </c>
      <c r="H844" t="inlineStr">
        <is>
          <t>06.09</t>
        </is>
      </c>
      <c r="I844" t="n">
        <v>232</v>
      </c>
      <c r="J844" t="n">
        <v>0.2</v>
      </c>
    </row>
    <row r="845">
      <c r="A845" t="inlineStr">
        <is>
          <t>2032_Wrzesień_W2</t>
        </is>
      </c>
      <c r="B845" t="n">
        <v>2032</v>
      </c>
      <c r="C845" t="inlineStr">
        <is>
          <t>Wrzesień</t>
        </is>
      </c>
      <c r="D845" t="inlineStr">
        <is>
          <t>W2</t>
        </is>
      </c>
      <c r="E845" t="n">
        <v>7</v>
      </c>
      <c r="F845" t="inlineStr">
        <is>
          <t>Pełny (7 dni)</t>
        </is>
      </c>
      <c r="G845" t="inlineStr">
        <is>
          <t>07.09</t>
        </is>
      </c>
      <c r="H845" t="inlineStr">
        <is>
          <t>13.09</t>
        </is>
      </c>
      <c r="I845" t="n">
        <v>272</v>
      </c>
      <c r="J845" t="n">
        <v>0.23333</v>
      </c>
    </row>
    <row r="846">
      <c r="A846" t="inlineStr">
        <is>
          <t>2032_Wrzesień_W3</t>
        </is>
      </c>
      <c r="B846" t="n">
        <v>2032</v>
      </c>
      <c r="C846" t="inlineStr">
        <is>
          <t>Wrzesień</t>
        </is>
      </c>
      <c r="D846" t="inlineStr">
        <is>
          <t>W3</t>
        </is>
      </c>
      <c r="E846" t="n">
        <v>7</v>
      </c>
      <c r="F846" t="inlineStr">
        <is>
          <t>Pełny (7 dni)</t>
        </is>
      </c>
      <c r="G846" t="inlineStr">
        <is>
          <t>14.09</t>
        </is>
      </c>
      <c r="H846" t="inlineStr">
        <is>
          <t>20.09</t>
        </is>
      </c>
      <c r="I846" t="n">
        <v>272</v>
      </c>
      <c r="J846" t="n">
        <v>0.23333</v>
      </c>
    </row>
    <row r="847">
      <c r="A847" t="inlineStr">
        <is>
          <t>2032_Wrzesień_W4</t>
        </is>
      </c>
      <c r="B847" t="n">
        <v>2032</v>
      </c>
      <c r="C847" t="inlineStr">
        <is>
          <t>Wrzesień</t>
        </is>
      </c>
      <c r="D847" t="inlineStr">
        <is>
          <t>W4</t>
        </is>
      </c>
      <c r="E847" t="n">
        <v>7</v>
      </c>
      <c r="F847" t="inlineStr">
        <is>
          <t>Pełny (7 dni)</t>
        </is>
      </c>
      <c r="G847" t="inlineStr">
        <is>
          <t>21.09</t>
        </is>
      </c>
      <c r="H847" t="inlineStr">
        <is>
          <t>27.09</t>
        </is>
      </c>
      <c r="I847" t="n">
        <v>272</v>
      </c>
      <c r="J847" t="n">
        <v>0.23333</v>
      </c>
    </row>
    <row r="848">
      <c r="A848" t="inlineStr">
        <is>
          <t>2032_Wrzesień_W5</t>
        </is>
      </c>
      <c r="B848" t="n">
        <v>2032</v>
      </c>
      <c r="C848" t="inlineStr">
        <is>
          <t>Wrzesień</t>
        </is>
      </c>
      <c r="D848" t="inlineStr">
        <is>
          <t>W5</t>
        </is>
      </c>
      <c r="E848" t="n">
        <v>3</v>
      </c>
      <c r="F848" t="inlineStr">
        <is>
          <t>Niepełny (3 dni)</t>
        </is>
      </c>
      <c r="G848" t="inlineStr">
        <is>
          <t>28.09</t>
        </is>
      </c>
      <c r="H848" t="inlineStr">
        <is>
          <t>30.09</t>
        </is>
      </c>
      <c r="I848" t="n">
        <v>120</v>
      </c>
      <c r="J848" t="n">
        <v>0.1</v>
      </c>
    </row>
    <row r="849">
      <c r="A849" t="inlineStr">
        <is>
          <t>2032_Wrzesień_W6</t>
        </is>
      </c>
      <c r="B849" t="n">
        <v>2032</v>
      </c>
      <c r="C849" t="inlineStr">
        <is>
          <t>Wrzesień</t>
        </is>
      </c>
      <c r="D849" t="inlineStr">
        <is>
          <t>W6</t>
        </is>
      </c>
      <c r="E849" t="n">
        <v>0</v>
      </c>
      <c r="F849" t="inlineStr">
        <is>
          <t>Brak w miesiącu</t>
        </is>
      </c>
      <c r="G849" t="inlineStr">
        <is>
          <t>-</t>
        </is>
      </c>
      <c r="H849" t="inlineStr">
        <is>
          <t>-</t>
        </is>
      </c>
      <c r="I849" t="n">
        <v>0</v>
      </c>
      <c r="J849" t="n">
        <v>0</v>
      </c>
    </row>
    <row r="850">
      <c r="A850" t="inlineStr">
        <is>
          <t>2032_Październik_W1</t>
        </is>
      </c>
      <c r="B850" t="n">
        <v>2032</v>
      </c>
      <c r="C850" t="inlineStr">
        <is>
          <t>Październik</t>
        </is>
      </c>
      <c r="D850" t="inlineStr">
        <is>
          <t>W1</t>
        </is>
      </c>
      <c r="E850" t="n">
        <v>4</v>
      </c>
      <c r="F850" t="inlineStr">
        <is>
          <t>Niepełny (4 dni)</t>
        </is>
      </c>
      <c r="G850" t="inlineStr">
        <is>
          <t>01.10</t>
        </is>
      </c>
      <c r="H850" t="inlineStr">
        <is>
          <t>04.10</t>
        </is>
      </c>
      <c r="I850" t="n">
        <v>152</v>
      </c>
      <c r="J850" t="n">
        <v>0.12903</v>
      </c>
    </row>
    <row r="851">
      <c r="A851" t="inlineStr">
        <is>
          <t>2032_Październik_W2</t>
        </is>
      </c>
      <c r="B851" t="n">
        <v>2032</v>
      </c>
      <c r="C851" t="inlineStr">
        <is>
          <t>Październik</t>
        </is>
      </c>
      <c r="D851" t="inlineStr">
        <is>
          <t>W2</t>
        </is>
      </c>
      <c r="E851" t="n">
        <v>7</v>
      </c>
      <c r="F851" t="inlineStr">
        <is>
          <t>Pełny (7 dni)</t>
        </is>
      </c>
      <c r="G851" t="inlineStr">
        <is>
          <t>05.10</t>
        </is>
      </c>
      <c r="H851" t="inlineStr">
        <is>
          <t>11.10</t>
        </is>
      </c>
      <c r="I851" t="n">
        <v>272</v>
      </c>
      <c r="J851" t="n">
        <v>0.22581</v>
      </c>
    </row>
    <row r="852">
      <c r="A852" t="inlineStr">
        <is>
          <t>2032_Październik_W3</t>
        </is>
      </c>
      <c r="B852" t="n">
        <v>2032</v>
      </c>
      <c r="C852" t="inlineStr">
        <is>
          <t>Październik</t>
        </is>
      </c>
      <c r="D852" t="inlineStr">
        <is>
          <t>W3</t>
        </is>
      </c>
      <c r="E852" t="n">
        <v>7</v>
      </c>
      <c r="F852" t="inlineStr">
        <is>
          <t>Pełny (7 dni)</t>
        </is>
      </c>
      <c r="G852" t="inlineStr">
        <is>
          <t>12.10</t>
        </is>
      </c>
      <c r="H852" t="inlineStr">
        <is>
          <t>18.10</t>
        </is>
      </c>
      <c r="I852" t="n">
        <v>272</v>
      </c>
      <c r="J852" t="n">
        <v>0.22581</v>
      </c>
    </row>
    <row r="853">
      <c r="A853" t="inlineStr">
        <is>
          <t>2032_Październik_W4</t>
        </is>
      </c>
      <c r="B853" t="n">
        <v>2032</v>
      </c>
      <c r="C853" t="inlineStr">
        <is>
          <t>Październik</t>
        </is>
      </c>
      <c r="D853" t="inlineStr">
        <is>
          <t>W4</t>
        </is>
      </c>
      <c r="E853" t="n">
        <v>7</v>
      </c>
      <c r="F853" t="inlineStr">
        <is>
          <t>Pełny (7 dni)</t>
        </is>
      </c>
      <c r="G853" t="inlineStr">
        <is>
          <t>19.10</t>
        </is>
      </c>
      <c r="H853" t="inlineStr">
        <is>
          <t>25.10</t>
        </is>
      </c>
      <c r="I853" t="n">
        <v>272</v>
      </c>
      <c r="J853" t="n">
        <v>0.22581</v>
      </c>
    </row>
    <row r="854">
      <c r="A854" t="inlineStr">
        <is>
          <t>2032_Październik_W5</t>
        </is>
      </c>
      <c r="B854" t="n">
        <v>2032</v>
      </c>
      <c r="C854" t="inlineStr">
        <is>
          <t>Październik</t>
        </is>
      </c>
      <c r="D854" t="inlineStr">
        <is>
          <t>W5</t>
        </is>
      </c>
      <c r="E854" t="n">
        <v>6</v>
      </c>
      <c r="F854" t="inlineStr">
        <is>
          <t>Niepełny (6 dni)</t>
        </is>
      </c>
      <c r="G854" t="inlineStr">
        <is>
          <t>26.10</t>
        </is>
      </c>
      <c r="H854" t="inlineStr">
        <is>
          <t>31.10</t>
        </is>
      </c>
      <c r="I854" t="n">
        <v>232</v>
      </c>
      <c r="J854" t="n">
        <v>0.19355</v>
      </c>
    </row>
    <row r="855">
      <c r="A855" t="inlineStr">
        <is>
          <t>2032_Październik_W6</t>
        </is>
      </c>
      <c r="B855" t="n">
        <v>2032</v>
      </c>
      <c r="C855" t="inlineStr">
        <is>
          <t>Październik</t>
        </is>
      </c>
      <c r="D855" t="inlineStr">
        <is>
          <t>W6</t>
        </is>
      </c>
      <c r="E855" t="n">
        <v>0</v>
      </c>
      <c r="F855" t="inlineStr">
        <is>
          <t>Brak w miesiącu</t>
        </is>
      </c>
      <c r="G855" t="inlineStr">
        <is>
          <t>-</t>
        </is>
      </c>
      <c r="H855" t="inlineStr">
        <is>
          <t>-</t>
        </is>
      </c>
      <c r="I855" t="n">
        <v>0</v>
      </c>
      <c r="J855" t="n">
        <v>0</v>
      </c>
    </row>
    <row r="856">
      <c r="A856" t="inlineStr">
        <is>
          <t>2032_Listopad_W1</t>
        </is>
      </c>
      <c r="B856" t="n">
        <v>2032</v>
      </c>
      <c r="C856" t="inlineStr">
        <is>
          <t>Listopad</t>
        </is>
      </c>
      <c r="D856" t="inlineStr">
        <is>
          <t>W1</t>
        </is>
      </c>
      <c r="E856" t="n">
        <v>1</v>
      </c>
      <c r="F856" t="inlineStr">
        <is>
          <t>Niepełny (1 dni)</t>
        </is>
      </c>
      <c r="G856" t="inlineStr">
        <is>
          <t>01.11</t>
        </is>
      </c>
      <c r="H856" t="inlineStr">
        <is>
          <t>01.11</t>
        </is>
      </c>
      <c r="I856" t="n">
        <v>40</v>
      </c>
      <c r="J856" t="n">
        <v>0.03333</v>
      </c>
    </row>
    <row r="857">
      <c r="A857" t="inlineStr">
        <is>
          <t>2032_Listopad_W2</t>
        </is>
      </c>
      <c r="B857" t="n">
        <v>2032</v>
      </c>
      <c r="C857" t="inlineStr">
        <is>
          <t>Listopad</t>
        </is>
      </c>
      <c r="D857" t="inlineStr">
        <is>
          <t>W2</t>
        </is>
      </c>
      <c r="E857" t="n">
        <v>7</v>
      </c>
      <c r="F857" t="inlineStr">
        <is>
          <t>Pełny (7 dni)</t>
        </is>
      </c>
      <c r="G857" t="inlineStr">
        <is>
          <t>02.11</t>
        </is>
      </c>
      <c r="H857" t="inlineStr">
        <is>
          <t>08.11</t>
        </is>
      </c>
      <c r="I857" t="n">
        <v>272</v>
      </c>
      <c r="J857" t="n">
        <v>0.23333</v>
      </c>
    </row>
    <row r="858">
      <c r="A858" t="inlineStr">
        <is>
          <t>2032_Listopad_W3</t>
        </is>
      </c>
      <c r="B858" t="n">
        <v>2032</v>
      </c>
      <c r="C858" t="inlineStr">
        <is>
          <t>Listopad</t>
        </is>
      </c>
      <c r="D858" t="inlineStr">
        <is>
          <t>W3</t>
        </is>
      </c>
      <c r="E858" t="n">
        <v>7</v>
      </c>
      <c r="F858" t="inlineStr">
        <is>
          <t>Pełny (7 dni)</t>
        </is>
      </c>
      <c r="G858" t="inlineStr">
        <is>
          <t>09.11</t>
        </is>
      </c>
      <c r="H858" t="inlineStr">
        <is>
          <t>15.11</t>
        </is>
      </c>
      <c r="I858" t="n">
        <v>272</v>
      </c>
      <c r="J858" t="n">
        <v>0.23333</v>
      </c>
    </row>
    <row r="859">
      <c r="A859" t="inlineStr">
        <is>
          <t>2032_Listopad_W4</t>
        </is>
      </c>
      <c r="B859" t="n">
        <v>2032</v>
      </c>
      <c r="C859" t="inlineStr">
        <is>
          <t>Listopad</t>
        </is>
      </c>
      <c r="D859" t="inlineStr">
        <is>
          <t>W4</t>
        </is>
      </c>
      <c r="E859" t="n">
        <v>7</v>
      </c>
      <c r="F859" t="inlineStr">
        <is>
          <t>Pełny (7 dni)</t>
        </is>
      </c>
      <c r="G859" t="inlineStr">
        <is>
          <t>16.11</t>
        </is>
      </c>
      <c r="H859" t="inlineStr">
        <is>
          <t>22.11</t>
        </is>
      </c>
      <c r="I859" t="n">
        <v>272</v>
      </c>
      <c r="J859" t="n">
        <v>0.23333</v>
      </c>
    </row>
    <row r="860">
      <c r="A860" t="inlineStr">
        <is>
          <t>2032_Listopad_W5</t>
        </is>
      </c>
      <c r="B860" t="n">
        <v>2032</v>
      </c>
      <c r="C860" t="inlineStr">
        <is>
          <t>Listopad</t>
        </is>
      </c>
      <c r="D860" t="inlineStr">
        <is>
          <t>W5</t>
        </is>
      </c>
      <c r="E860" t="n">
        <v>7</v>
      </c>
      <c r="F860" t="inlineStr">
        <is>
          <t>Pełny (7 dni)</t>
        </is>
      </c>
      <c r="G860" t="inlineStr">
        <is>
          <t>23.11</t>
        </is>
      </c>
      <c r="H860" t="inlineStr">
        <is>
          <t>29.11</t>
        </is>
      </c>
      <c r="I860" t="n">
        <v>272</v>
      </c>
      <c r="J860" t="n">
        <v>0.23333</v>
      </c>
    </row>
    <row r="861">
      <c r="A861" t="inlineStr">
        <is>
          <t>2032_Listopad_W6</t>
        </is>
      </c>
      <c r="B861" t="n">
        <v>2032</v>
      </c>
      <c r="C861" t="inlineStr">
        <is>
          <t>Listopad</t>
        </is>
      </c>
      <c r="D861" t="inlineStr">
        <is>
          <t>W6</t>
        </is>
      </c>
      <c r="E861" t="n">
        <v>1</v>
      </c>
      <c r="F861" t="inlineStr">
        <is>
          <t>Niepełny (1 dni)</t>
        </is>
      </c>
      <c r="G861" t="inlineStr">
        <is>
          <t>30.11</t>
        </is>
      </c>
      <c r="H861" t="inlineStr">
        <is>
          <t>30.11</t>
        </is>
      </c>
      <c r="I861" t="n">
        <v>40</v>
      </c>
      <c r="J861" t="n">
        <v>0.03333</v>
      </c>
    </row>
    <row r="862">
      <c r="A862" t="inlineStr">
        <is>
          <t>2032_Grudzień_W1</t>
        </is>
      </c>
      <c r="B862" t="n">
        <v>2032</v>
      </c>
      <c r="C862" t="inlineStr">
        <is>
          <t>Grudzień</t>
        </is>
      </c>
      <c r="D862" t="inlineStr">
        <is>
          <t>W1</t>
        </is>
      </c>
      <c r="E862" t="n">
        <v>6</v>
      </c>
      <c r="F862" t="inlineStr">
        <is>
          <t>Niepełny (6 dni)</t>
        </is>
      </c>
      <c r="G862" t="inlineStr">
        <is>
          <t>01.12</t>
        </is>
      </c>
      <c r="H862" t="inlineStr">
        <is>
          <t>06.12</t>
        </is>
      </c>
      <c r="I862" t="n">
        <v>232</v>
      </c>
      <c r="J862" t="n">
        <v>0.19355</v>
      </c>
    </row>
    <row r="863">
      <c r="A863" t="inlineStr">
        <is>
          <t>2032_Grudzień_W2</t>
        </is>
      </c>
      <c r="B863" t="n">
        <v>2032</v>
      </c>
      <c r="C863" t="inlineStr">
        <is>
          <t>Grudzień</t>
        </is>
      </c>
      <c r="D863" t="inlineStr">
        <is>
          <t>W2</t>
        </is>
      </c>
      <c r="E863" t="n">
        <v>7</v>
      </c>
      <c r="F863" t="inlineStr">
        <is>
          <t>Pełny (7 dni)</t>
        </is>
      </c>
      <c r="G863" t="inlineStr">
        <is>
          <t>07.12</t>
        </is>
      </c>
      <c r="H863" t="inlineStr">
        <is>
          <t>13.12</t>
        </is>
      </c>
      <c r="I863" t="n">
        <v>272</v>
      </c>
      <c r="J863" t="n">
        <v>0.22581</v>
      </c>
    </row>
    <row r="864">
      <c r="A864" t="inlineStr">
        <is>
          <t>2032_Grudzień_W3</t>
        </is>
      </c>
      <c r="B864" t="n">
        <v>2032</v>
      </c>
      <c r="C864" t="inlineStr">
        <is>
          <t>Grudzień</t>
        </is>
      </c>
      <c r="D864" t="inlineStr">
        <is>
          <t>W3</t>
        </is>
      </c>
      <c r="E864" t="n">
        <v>7</v>
      </c>
      <c r="F864" t="inlineStr">
        <is>
          <t>Pełny (7 dni)</t>
        </is>
      </c>
      <c r="G864" t="inlineStr">
        <is>
          <t>14.12</t>
        </is>
      </c>
      <c r="H864" t="inlineStr">
        <is>
          <t>20.12</t>
        </is>
      </c>
      <c r="I864" t="n">
        <v>272</v>
      </c>
      <c r="J864" t="n">
        <v>0.22581</v>
      </c>
    </row>
    <row r="865">
      <c r="A865" t="inlineStr">
        <is>
          <t>2032_Grudzień_W4</t>
        </is>
      </c>
      <c r="B865" t="n">
        <v>2032</v>
      </c>
      <c r="C865" t="inlineStr">
        <is>
          <t>Grudzień</t>
        </is>
      </c>
      <c r="D865" t="inlineStr">
        <is>
          <t>W4</t>
        </is>
      </c>
      <c r="E865" t="n">
        <v>7</v>
      </c>
      <c r="F865" t="inlineStr">
        <is>
          <t>Pełny (7 dni)</t>
        </is>
      </c>
      <c r="G865" t="inlineStr">
        <is>
          <t>21.12</t>
        </is>
      </c>
      <c r="H865" t="inlineStr">
        <is>
          <t>27.12</t>
        </is>
      </c>
      <c r="I865" t="n">
        <v>272</v>
      </c>
      <c r="J865" t="n">
        <v>0.22581</v>
      </c>
    </row>
    <row r="866">
      <c r="A866" t="inlineStr">
        <is>
          <t>2032_Grudzień_W5</t>
        </is>
      </c>
      <c r="B866" t="n">
        <v>2032</v>
      </c>
      <c r="C866" t="inlineStr">
        <is>
          <t>Grudzień</t>
        </is>
      </c>
      <c r="D866" t="inlineStr">
        <is>
          <t>W5</t>
        </is>
      </c>
      <c r="E866" t="n">
        <v>4</v>
      </c>
      <c r="F866" t="inlineStr">
        <is>
          <t>Niepełny (4 dni)</t>
        </is>
      </c>
      <c r="G866" t="inlineStr">
        <is>
          <t>28.12</t>
        </is>
      </c>
      <c r="H866" t="inlineStr">
        <is>
          <t>31.12</t>
        </is>
      </c>
      <c r="I866" t="n">
        <v>160</v>
      </c>
      <c r="J866" t="n">
        <v>0.12903</v>
      </c>
    </row>
    <row r="867">
      <c r="A867" t="inlineStr">
        <is>
          <t>2032_Grudzień_W6</t>
        </is>
      </c>
      <c r="B867" t="n">
        <v>2032</v>
      </c>
      <c r="C867" t="inlineStr">
        <is>
          <t>Grudzień</t>
        </is>
      </c>
      <c r="D867" t="inlineStr">
        <is>
          <t>W6</t>
        </is>
      </c>
      <c r="E867" t="n">
        <v>0</v>
      </c>
      <c r="F867" t="inlineStr">
        <is>
          <t>Brak w miesiącu</t>
        </is>
      </c>
      <c r="G867" t="inlineStr">
        <is>
          <t>-</t>
        </is>
      </c>
      <c r="H867" t="inlineStr">
        <is>
          <t>-</t>
        </is>
      </c>
      <c r="I867" t="n">
        <v>0</v>
      </c>
      <c r="J867" t="n">
        <v>0</v>
      </c>
    </row>
    <row r="868">
      <c r="A868" t="inlineStr">
        <is>
          <t>2033_Styczeń_W1</t>
        </is>
      </c>
      <c r="B868" t="n">
        <v>2033</v>
      </c>
      <c r="C868" t="inlineStr">
        <is>
          <t>Styczeń</t>
        </is>
      </c>
      <c r="D868" t="inlineStr">
        <is>
          <t>W1</t>
        </is>
      </c>
      <c r="E868" t="n">
        <v>3</v>
      </c>
      <c r="F868" t="inlineStr">
        <is>
          <t>Niepełny (3 dni)</t>
        </is>
      </c>
      <c r="G868" t="inlineStr">
        <is>
          <t>01.01</t>
        </is>
      </c>
      <c r="H868" t="inlineStr">
        <is>
          <t>03.01</t>
        </is>
      </c>
      <c r="I868" t="n">
        <v>112</v>
      </c>
      <c r="J868" t="n">
        <v>0.09676999999999999</v>
      </c>
    </row>
    <row r="869">
      <c r="A869" t="inlineStr">
        <is>
          <t>2033_Styczeń_W2</t>
        </is>
      </c>
      <c r="B869" t="n">
        <v>2033</v>
      </c>
      <c r="C869" t="inlineStr">
        <is>
          <t>Styczeń</t>
        </is>
      </c>
      <c r="D869" t="inlineStr">
        <is>
          <t>W2</t>
        </is>
      </c>
      <c r="E869" t="n">
        <v>7</v>
      </c>
      <c r="F869" t="inlineStr">
        <is>
          <t>Pełny (7 dni)</t>
        </is>
      </c>
      <c r="G869" t="inlineStr">
        <is>
          <t>04.01</t>
        </is>
      </c>
      <c r="H869" t="inlineStr">
        <is>
          <t>10.01</t>
        </is>
      </c>
      <c r="I869" t="n">
        <v>272</v>
      </c>
      <c r="J869" t="n">
        <v>0.22581</v>
      </c>
    </row>
    <row r="870">
      <c r="A870" t="inlineStr">
        <is>
          <t>2033_Styczeń_W3</t>
        </is>
      </c>
      <c r="B870" t="n">
        <v>2033</v>
      </c>
      <c r="C870" t="inlineStr">
        <is>
          <t>Styczeń</t>
        </is>
      </c>
      <c r="D870" t="inlineStr">
        <is>
          <t>W3</t>
        </is>
      </c>
      <c r="E870" t="n">
        <v>7</v>
      </c>
      <c r="F870" t="inlineStr">
        <is>
          <t>Pełny (7 dni)</t>
        </is>
      </c>
      <c r="G870" t="inlineStr">
        <is>
          <t>11.01</t>
        </is>
      </c>
      <c r="H870" t="inlineStr">
        <is>
          <t>17.01</t>
        </is>
      </c>
      <c r="I870" t="n">
        <v>272</v>
      </c>
      <c r="J870" t="n">
        <v>0.22581</v>
      </c>
    </row>
    <row r="871">
      <c r="A871" t="inlineStr">
        <is>
          <t>2033_Styczeń_W4</t>
        </is>
      </c>
      <c r="B871" t="n">
        <v>2033</v>
      </c>
      <c r="C871" t="inlineStr">
        <is>
          <t>Styczeń</t>
        </is>
      </c>
      <c r="D871" t="inlineStr">
        <is>
          <t>W4</t>
        </is>
      </c>
      <c r="E871" t="n">
        <v>7</v>
      </c>
      <c r="F871" t="inlineStr">
        <is>
          <t>Pełny (7 dni)</t>
        </is>
      </c>
      <c r="G871" t="inlineStr">
        <is>
          <t>18.01</t>
        </is>
      </c>
      <c r="H871" t="inlineStr">
        <is>
          <t>24.01</t>
        </is>
      </c>
      <c r="I871" t="n">
        <v>272</v>
      </c>
      <c r="J871" t="n">
        <v>0.22581</v>
      </c>
    </row>
    <row r="872">
      <c r="A872" t="inlineStr">
        <is>
          <t>2033_Styczeń_W5</t>
        </is>
      </c>
      <c r="B872" t="n">
        <v>2033</v>
      </c>
      <c r="C872" t="inlineStr">
        <is>
          <t>Styczeń</t>
        </is>
      </c>
      <c r="D872" t="inlineStr">
        <is>
          <t>W5</t>
        </is>
      </c>
      <c r="E872" t="n">
        <v>7</v>
      </c>
      <c r="F872" t="inlineStr">
        <is>
          <t>Pełny (7 dni)</t>
        </is>
      </c>
      <c r="G872" t="inlineStr">
        <is>
          <t>25.01</t>
        </is>
      </c>
      <c r="H872" t="inlineStr">
        <is>
          <t>31.01</t>
        </is>
      </c>
      <c r="I872" t="n">
        <v>272</v>
      </c>
      <c r="J872" t="n">
        <v>0.22581</v>
      </c>
    </row>
    <row r="873">
      <c r="A873" t="inlineStr">
        <is>
          <t>2033_Styczeń_W6</t>
        </is>
      </c>
      <c r="B873" t="n">
        <v>2033</v>
      </c>
      <c r="C873" t="inlineStr">
        <is>
          <t>Styczeń</t>
        </is>
      </c>
      <c r="D873" t="inlineStr">
        <is>
          <t>W6</t>
        </is>
      </c>
      <c r="E873" t="n">
        <v>0</v>
      </c>
      <c r="F873" t="inlineStr">
        <is>
          <t>Brak w miesiącu</t>
        </is>
      </c>
      <c r="G873" t="inlineStr">
        <is>
          <t>-</t>
        </is>
      </c>
      <c r="H873" t="inlineStr">
        <is>
          <t>-</t>
        </is>
      </c>
      <c r="I873" t="n">
        <v>0</v>
      </c>
      <c r="J873" t="n">
        <v>0</v>
      </c>
    </row>
    <row r="874">
      <c r="A874" t="inlineStr">
        <is>
          <t>2033_Luty_W1</t>
        </is>
      </c>
      <c r="B874" t="n">
        <v>2033</v>
      </c>
      <c r="C874" t="inlineStr">
        <is>
          <t>Luty</t>
        </is>
      </c>
      <c r="D874" t="inlineStr">
        <is>
          <t>W1</t>
        </is>
      </c>
      <c r="E874" t="n">
        <v>7</v>
      </c>
      <c r="F874" t="inlineStr">
        <is>
          <t>Pełny (7 dni)</t>
        </is>
      </c>
      <c r="G874" t="inlineStr">
        <is>
          <t>01.02</t>
        </is>
      </c>
      <c r="H874" t="inlineStr">
        <is>
          <t>07.02</t>
        </is>
      </c>
      <c r="I874" t="n">
        <v>272</v>
      </c>
      <c r="J874" t="n">
        <v>0.25</v>
      </c>
    </row>
    <row r="875">
      <c r="A875" t="inlineStr">
        <is>
          <t>2033_Luty_W2</t>
        </is>
      </c>
      <c r="B875" t="n">
        <v>2033</v>
      </c>
      <c r="C875" t="inlineStr">
        <is>
          <t>Luty</t>
        </is>
      </c>
      <c r="D875" t="inlineStr">
        <is>
          <t>W2</t>
        </is>
      </c>
      <c r="E875" t="n">
        <v>7</v>
      </c>
      <c r="F875" t="inlineStr">
        <is>
          <t>Pełny (7 dni)</t>
        </is>
      </c>
      <c r="G875" t="inlineStr">
        <is>
          <t>08.02</t>
        </is>
      </c>
      <c r="H875" t="inlineStr">
        <is>
          <t>14.02</t>
        </is>
      </c>
      <c r="I875" t="n">
        <v>272</v>
      </c>
      <c r="J875" t="n">
        <v>0.25</v>
      </c>
    </row>
    <row r="876">
      <c r="A876" t="inlineStr">
        <is>
          <t>2033_Luty_W3</t>
        </is>
      </c>
      <c r="B876" t="n">
        <v>2033</v>
      </c>
      <c r="C876" t="inlineStr">
        <is>
          <t>Luty</t>
        </is>
      </c>
      <c r="D876" t="inlineStr">
        <is>
          <t>W3</t>
        </is>
      </c>
      <c r="E876" t="n">
        <v>7</v>
      </c>
      <c r="F876" t="inlineStr">
        <is>
          <t>Pełny (7 dni)</t>
        </is>
      </c>
      <c r="G876" t="inlineStr">
        <is>
          <t>15.02</t>
        </is>
      </c>
      <c r="H876" t="inlineStr">
        <is>
          <t>21.02</t>
        </is>
      </c>
      <c r="I876" t="n">
        <v>272</v>
      </c>
      <c r="J876" t="n">
        <v>0.25</v>
      </c>
    </row>
    <row r="877">
      <c r="A877" t="inlineStr">
        <is>
          <t>2033_Luty_W4</t>
        </is>
      </c>
      <c r="B877" t="n">
        <v>2033</v>
      </c>
      <c r="C877" t="inlineStr">
        <is>
          <t>Luty</t>
        </is>
      </c>
      <c r="D877" t="inlineStr">
        <is>
          <t>W4</t>
        </is>
      </c>
      <c r="E877" t="n">
        <v>7</v>
      </c>
      <c r="F877" t="inlineStr">
        <is>
          <t>Pełny (7 dni)</t>
        </is>
      </c>
      <c r="G877" t="inlineStr">
        <is>
          <t>22.02</t>
        </is>
      </c>
      <c r="H877" t="inlineStr">
        <is>
          <t>28.02</t>
        </is>
      </c>
      <c r="I877" t="n">
        <v>272</v>
      </c>
      <c r="J877" t="n">
        <v>0.25</v>
      </c>
    </row>
    <row r="878">
      <c r="A878" t="inlineStr">
        <is>
          <t>2033_Luty_W5</t>
        </is>
      </c>
      <c r="B878" t="n">
        <v>2033</v>
      </c>
      <c r="C878" t="inlineStr">
        <is>
          <t>Luty</t>
        </is>
      </c>
      <c r="D878" t="inlineStr">
        <is>
          <t>W5</t>
        </is>
      </c>
      <c r="E878" t="n">
        <v>0</v>
      </c>
      <c r="F878" t="inlineStr">
        <is>
          <t>Brak w miesiącu</t>
        </is>
      </c>
      <c r="G878" t="inlineStr">
        <is>
          <t>-</t>
        </is>
      </c>
      <c r="H878" t="inlineStr">
        <is>
          <t>-</t>
        </is>
      </c>
      <c r="I878" t="n">
        <v>0</v>
      </c>
      <c r="J878" t="n">
        <v>0</v>
      </c>
    </row>
    <row r="879">
      <c r="A879" t="inlineStr">
        <is>
          <t>2033_Luty_W6</t>
        </is>
      </c>
      <c r="B879" t="n">
        <v>2033</v>
      </c>
      <c r="C879" t="inlineStr">
        <is>
          <t>Luty</t>
        </is>
      </c>
      <c r="D879" t="inlineStr">
        <is>
          <t>W6</t>
        </is>
      </c>
      <c r="E879" t="n">
        <v>0</v>
      </c>
      <c r="F879" t="inlineStr">
        <is>
          <t>Brak w miesiącu</t>
        </is>
      </c>
      <c r="G879" t="inlineStr">
        <is>
          <t>-</t>
        </is>
      </c>
      <c r="H879" t="inlineStr">
        <is>
          <t>-</t>
        </is>
      </c>
      <c r="I879" t="n">
        <v>0</v>
      </c>
      <c r="J879" t="n">
        <v>0</v>
      </c>
    </row>
    <row r="880">
      <c r="A880" t="inlineStr">
        <is>
          <t>2033_Marzec_W1</t>
        </is>
      </c>
      <c r="B880" t="n">
        <v>2033</v>
      </c>
      <c r="C880" t="inlineStr">
        <is>
          <t>Marzec</t>
        </is>
      </c>
      <c r="D880" t="inlineStr">
        <is>
          <t>W1</t>
        </is>
      </c>
      <c r="E880" t="n">
        <v>7</v>
      </c>
      <c r="F880" t="inlineStr">
        <is>
          <t>Pełny (7 dni)</t>
        </is>
      </c>
      <c r="G880" t="inlineStr">
        <is>
          <t>01.03</t>
        </is>
      </c>
      <c r="H880" t="inlineStr">
        <is>
          <t>07.03</t>
        </is>
      </c>
      <c r="I880" t="n">
        <v>272</v>
      </c>
      <c r="J880" t="n">
        <v>0.22581</v>
      </c>
    </row>
    <row r="881">
      <c r="A881" t="inlineStr">
        <is>
          <t>2033_Marzec_W2</t>
        </is>
      </c>
      <c r="B881" t="n">
        <v>2033</v>
      </c>
      <c r="C881" t="inlineStr">
        <is>
          <t>Marzec</t>
        </is>
      </c>
      <c r="D881" t="inlineStr">
        <is>
          <t>W2</t>
        </is>
      </c>
      <c r="E881" t="n">
        <v>7</v>
      </c>
      <c r="F881" t="inlineStr">
        <is>
          <t>Pełny (7 dni)</t>
        </is>
      </c>
      <c r="G881" t="inlineStr">
        <is>
          <t>08.03</t>
        </is>
      </c>
      <c r="H881" t="inlineStr">
        <is>
          <t>14.03</t>
        </is>
      </c>
      <c r="I881" t="n">
        <v>272</v>
      </c>
      <c r="J881" t="n">
        <v>0.22581</v>
      </c>
    </row>
    <row r="882">
      <c r="A882" t="inlineStr">
        <is>
          <t>2033_Marzec_W3</t>
        </is>
      </c>
      <c r="B882" t="n">
        <v>2033</v>
      </c>
      <c r="C882" t="inlineStr">
        <is>
          <t>Marzec</t>
        </is>
      </c>
      <c r="D882" t="inlineStr">
        <is>
          <t>W3</t>
        </is>
      </c>
      <c r="E882" t="n">
        <v>7</v>
      </c>
      <c r="F882" t="inlineStr">
        <is>
          <t>Pełny (7 dni)</t>
        </is>
      </c>
      <c r="G882" t="inlineStr">
        <is>
          <t>15.03</t>
        </is>
      </c>
      <c r="H882" t="inlineStr">
        <is>
          <t>21.03</t>
        </is>
      </c>
      <c r="I882" t="n">
        <v>272</v>
      </c>
      <c r="J882" t="n">
        <v>0.22581</v>
      </c>
    </row>
    <row r="883">
      <c r="A883" t="inlineStr">
        <is>
          <t>2033_Marzec_W4</t>
        </is>
      </c>
      <c r="B883" t="n">
        <v>2033</v>
      </c>
      <c r="C883" t="inlineStr">
        <is>
          <t>Marzec</t>
        </is>
      </c>
      <c r="D883" t="inlineStr">
        <is>
          <t>W4</t>
        </is>
      </c>
      <c r="E883" t="n">
        <v>7</v>
      </c>
      <c r="F883" t="inlineStr">
        <is>
          <t>Pełny (7 dni)</t>
        </is>
      </c>
      <c r="G883" t="inlineStr">
        <is>
          <t>22.03</t>
        </is>
      </c>
      <c r="H883" t="inlineStr">
        <is>
          <t>28.03</t>
        </is>
      </c>
      <c r="I883" t="n">
        <v>272</v>
      </c>
      <c r="J883" t="n">
        <v>0.22581</v>
      </c>
    </row>
    <row r="884">
      <c r="A884" t="inlineStr">
        <is>
          <t>2033_Marzec_W5</t>
        </is>
      </c>
      <c r="B884" t="n">
        <v>2033</v>
      </c>
      <c r="C884" t="inlineStr">
        <is>
          <t>Marzec</t>
        </is>
      </c>
      <c r="D884" t="inlineStr">
        <is>
          <t>W5</t>
        </is>
      </c>
      <c r="E884" t="n">
        <v>3</v>
      </c>
      <c r="F884" t="inlineStr">
        <is>
          <t>Niepełny (3 dni)</t>
        </is>
      </c>
      <c r="G884" t="inlineStr">
        <is>
          <t>29.03</t>
        </is>
      </c>
      <c r="H884" t="inlineStr">
        <is>
          <t>31.03</t>
        </is>
      </c>
      <c r="I884" t="n">
        <v>120</v>
      </c>
      <c r="J884" t="n">
        <v>0.09676999999999999</v>
      </c>
    </row>
    <row r="885">
      <c r="A885" t="inlineStr">
        <is>
          <t>2033_Marzec_W6</t>
        </is>
      </c>
      <c r="B885" t="n">
        <v>2033</v>
      </c>
      <c r="C885" t="inlineStr">
        <is>
          <t>Marzec</t>
        </is>
      </c>
      <c r="D885" t="inlineStr">
        <is>
          <t>W6</t>
        </is>
      </c>
      <c r="E885" t="n">
        <v>0</v>
      </c>
      <c r="F885" t="inlineStr">
        <is>
          <t>Brak w miesiącu</t>
        </is>
      </c>
      <c r="G885" t="inlineStr">
        <is>
          <t>-</t>
        </is>
      </c>
      <c r="H885" t="inlineStr">
        <is>
          <t>-</t>
        </is>
      </c>
      <c r="I885" t="n">
        <v>0</v>
      </c>
      <c r="J885" t="n">
        <v>0</v>
      </c>
    </row>
    <row r="886">
      <c r="A886" t="inlineStr">
        <is>
          <t>2033_Kwiecień_W1</t>
        </is>
      </c>
      <c r="B886" t="n">
        <v>2033</v>
      </c>
      <c r="C886" t="inlineStr">
        <is>
          <t>Kwiecień</t>
        </is>
      </c>
      <c r="D886" t="inlineStr">
        <is>
          <t>W1</t>
        </is>
      </c>
      <c r="E886" t="n">
        <v>4</v>
      </c>
      <c r="F886" t="inlineStr">
        <is>
          <t>Niepełny (4 dni)</t>
        </is>
      </c>
      <c r="G886" t="inlineStr">
        <is>
          <t>01.04</t>
        </is>
      </c>
      <c r="H886" t="inlineStr">
        <is>
          <t>04.04</t>
        </is>
      </c>
      <c r="I886" t="n">
        <v>152</v>
      </c>
      <c r="J886" t="n">
        <v>0.13333</v>
      </c>
    </row>
    <row r="887">
      <c r="A887" t="inlineStr">
        <is>
          <t>2033_Kwiecień_W2</t>
        </is>
      </c>
      <c r="B887" t="n">
        <v>2033</v>
      </c>
      <c r="C887" t="inlineStr">
        <is>
          <t>Kwiecień</t>
        </is>
      </c>
      <c r="D887" t="inlineStr">
        <is>
          <t>W2</t>
        </is>
      </c>
      <c r="E887" t="n">
        <v>7</v>
      </c>
      <c r="F887" t="inlineStr">
        <is>
          <t>Pełny (7 dni)</t>
        </is>
      </c>
      <c r="G887" t="inlineStr">
        <is>
          <t>05.04</t>
        </is>
      </c>
      <c r="H887" t="inlineStr">
        <is>
          <t>11.04</t>
        </is>
      </c>
      <c r="I887" t="n">
        <v>272</v>
      </c>
      <c r="J887" t="n">
        <v>0.23333</v>
      </c>
    </row>
    <row r="888">
      <c r="A888" t="inlineStr">
        <is>
          <t>2033_Kwiecień_W3</t>
        </is>
      </c>
      <c r="B888" t="n">
        <v>2033</v>
      </c>
      <c r="C888" t="inlineStr">
        <is>
          <t>Kwiecień</t>
        </is>
      </c>
      <c r="D888" t="inlineStr">
        <is>
          <t>W3</t>
        </is>
      </c>
      <c r="E888" t="n">
        <v>7</v>
      </c>
      <c r="F888" t="inlineStr">
        <is>
          <t>Pełny (7 dni)</t>
        </is>
      </c>
      <c r="G888" t="inlineStr">
        <is>
          <t>12.04</t>
        </is>
      </c>
      <c r="H888" t="inlineStr">
        <is>
          <t>18.04</t>
        </is>
      </c>
      <c r="I888" t="n">
        <v>272</v>
      </c>
      <c r="J888" t="n">
        <v>0.23333</v>
      </c>
    </row>
    <row r="889">
      <c r="A889" t="inlineStr">
        <is>
          <t>2033_Kwiecień_W4</t>
        </is>
      </c>
      <c r="B889" t="n">
        <v>2033</v>
      </c>
      <c r="C889" t="inlineStr">
        <is>
          <t>Kwiecień</t>
        </is>
      </c>
      <c r="D889" t="inlineStr">
        <is>
          <t>W4</t>
        </is>
      </c>
      <c r="E889" t="n">
        <v>7</v>
      </c>
      <c r="F889" t="inlineStr">
        <is>
          <t>Pełny (7 dni)</t>
        </is>
      </c>
      <c r="G889" t="inlineStr">
        <is>
          <t>19.04</t>
        </is>
      </c>
      <c r="H889" t="inlineStr">
        <is>
          <t>25.04</t>
        </is>
      </c>
      <c r="I889" t="n">
        <v>272</v>
      </c>
      <c r="J889" t="n">
        <v>0.23333</v>
      </c>
    </row>
    <row r="890">
      <c r="A890" t="inlineStr">
        <is>
          <t>2033_Kwiecień_W5</t>
        </is>
      </c>
      <c r="B890" t="n">
        <v>2033</v>
      </c>
      <c r="C890" t="inlineStr">
        <is>
          <t>Kwiecień</t>
        </is>
      </c>
      <c r="D890" t="inlineStr">
        <is>
          <t>W5</t>
        </is>
      </c>
      <c r="E890" t="n">
        <v>5</v>
      </c>
      <c r="F890" t="inlineStr">
        <is>
          <t>Niepełny (5 dni)</t>
        </is>
      </c>
      <c r="G890" t="inlineStr">
        <is>
          <t>26.04</t>
        </is>
      </c>
      <c r="H890" t="inlineStr">
        <is>
          <t>30.04</t>
        </is>
      </c>
      <c r="I890" t="n">
        <v>200</v>
      </c>
      <c r="J890" t="n">
        <v>0.16667</v>
      </c>
    </row>
    <row r="891">
      <c r="A891" t="inlineStr">
        <is>
          <t>2033_Kwiecień_W6</t>
        </is>
      </c>
      <c r="B891" t="n">
        <v>2033</v>
      </c>
      <c r="C891" t="inlineStr">
        <is>
          <t>Kwiecień</t>
        </is>
      </c>
      <c r="D891" t="inlineStr">
        <is>
          <t>W6</t>
        </is>
      </c>
      <c r="E891" t="n">
        <v>0</v>
      </c>
      <c r="F891" t="inlineStr">
        <is>
          <t>Brak w miesiącu</t>
        </is>
      </c>
      <c r="G891" t="inlineStr">
        <is>
          <t>-</t>
        </is>
      </c>
      <c r="H891" t="inlineStr">
        <is>
          <t>-</t>
        </is>
      </c>
      <c r="I891" t="n">
        <v>0</v>
      </c>
      <c r="J891" t="n">
        <v>0</v>
      </c>
    </row>
    <row r="892">
      <c r="A892" t="inlineStr">
        <is>
          <t>2033_Maj_W1</t>
        </is>
      </c>
      <c r="B892" t="n">
        <v>2033</v>
      </c>
      <c r="C892" t="inlineStr">
        <is>
          <t>Maj</t>
        </is>
      </c>
      <c r="D892" t="inlineStr">
        <is>
          <t>W1</t>
        </is>
      </c>
      <c r="E892" t="n">
        <v>2</v>
      </c>
      <c r="F892" t="inlineStr">
        <is>
          <t>Niepełny (2 dni)</t>
        </is>
      </c>
      <c r="G892" t="inlineStr">
        <is>
          <t>01.05</t>
        </is>
      </c>
      <c r="H892" t="inlineStr">
        <is>
          <t>02.05</t>
        </is>
      </c>
      <c r="I892" t="n">
        <v>72</v>
      </c>
      <c r="J892" t="n">
        <v>0.06451999999999999</v>
      </c>
    </row>
    <row r="893">
      <c r="A893" t="inlineStr">
        <is>
          <t>2033_Maj_W2</t>
        </is>
      </c>
      <c r="B893" t="n">
        <v>2033</v>
      </c>
      <c r="C893" t="inlineStr">
        <is>
          <t>Maj</t>
        </is>
      </c>
      <c r="D893" t="inlineStr">
        <is>
          <t>W2</t>
        </is>
      </c>
      <c r="E893" t="n">
        <v>7</v>
      </c>
      <c r="F893" t="inlineStr">
        <is>
          <t>Pełny (7 dni)</t>
        </is>
      </c>
      <c r="G893" t="inlineStr">
        <is>
          <t>03.05</t>
        </is>
      </c>
      <c r="H893" t="inlineStr">
        <is>
          <t>09.05</t>
        </is>
      </c>
      <c r="I893" t="n">
        <v>272</v>
      </c>
      <c r="J893" t="n">
        <v>0.22581</v>
      </c>
    </row>
    <row r="894">
      <c r="A894" t="inlineStr">
        <is>
          <t>2033_Maj_W3</t>
        </is>
      </c>
      <c r="B894" t="n">
        <v>2033</v>
      </c>
      <c r="C894" t="inlineStr">
        <is>
          <t>Maj</t>
        </is>
      </c>
      <c r="D894" t="inlineStr">
        <is>
          <t>W3</t>
        </is>
      </c>
      <c r="E894" t="n">
        <v>7</v>
      </c>
      <c r="F894" t="inlineStr">
        <is>
          <t>Pełny (7 dni)</t>
        </is>
      </c>
      <c r="G894" t="inlineStr">
        <is>
          <t>10.05</t>
        </is>
      </c>
      <c r="H894" t="inlineStr">
        <is>
          <t>16.05</t>
        </is>
      </c>
      <c r="I894" t="n">
        <v>272</v>
      </c>
      <c r="J894" t="n">
        <v>0.22581</v>
      </c>
    </row>
    <row r="895">
      <c r="A895" t="inlineStr">
        <is>
          <t>2033_Maj_W4</t>
        </is>
      </c>
      <c r="B895" t="n">
        <v>2033</v>
      </c>
      <c r="C895" t="inlineStr">
        <is>
          <t>Maj</t>
        </is>
      </c>
      <c r="D895" t="inlineStr">
        <is>
          <t>W4</t>
        </is>
      </c>
      <c r="E895" t="n">
        <v>7</v>
      </c>
      <c r="F895" t="inlineStr">
        <is>
          <t>Pełny (7 dni)</t>
        </is>
      </c>
      <c r="G895" t="inlineStr">
        <is>
          <t>17.05</t>
        </is>
      </c>
      <c r="H895" t="inlineStr">
        <is>
          <t>23.05</t>
        </is>
      </c>
      <c r="I895" t="n">
        <v>272</v>
      </c>
      <c r="J895" t="n">
        <v>0.22581</v>
      </c>
    </row>
    <row r="896">
      <c r="A896" t="inlineStr">
        <is>
          <t>2033_Maj_W5</t>
        </is>
      </c>
      <c r="B896" t="n">
        <v>2033</v>
      </c>
      <c r="C896" t="inlineStr">
        <is>
          <t>Maj</t>
        </is>
      </c>
      <c r="D896" t="inlineStr">
        <is>
          <t>W5</t>
        </is>
      </c>
      <c r="E896" t="n">
        <v>7</v>
      </c>
      <c r="F896" t="inlineStr">
        <is>
          <t>Pełny (7 dni)</t>
        </is>
      </c>
      <c r="G896" t="inlineStr">
        <is>
          <t>24.05</t>
        </is>
      </c>
      <c r="H896" t="inlineStr">
        <is>
          <t>30.05</t>
        </is>
      </c>
      <c r="I896" t="n">
        <v>272</v>
      </c>
      <c r="J896" t="n">
        <v>0.22581</v>
      </c>
    </row>
    <row r="897">
      <c r="A897" t="inlineStr">
        <is>
          <t>2033_Maj_W6</t>
        </is>
      </c>
      <c r="B897" t="n">
        <v>2033</v>
      </c>
      <c r="C897" t="inlineStr">
        <is>
          <t>Maj</t>
        </is>
      </c>
      <c r="D897" t="inlineStr">
        <is>
          <t>W6</t>
        </is>
      </c>
      <c r="E897" t="n">
        <v>1</v>
      </c>
      <c r="F897" t="inlineStr">
        <is>
          <t>Niepełny (1 dni)</t>
        </is>
      </c>
      <c r="G897" t="inlineStr">
        <is>
          <t>31.05</t>
        </is>
      </c>
      <c r="H897" t="inlineStr">
        <is>
          <t>31.05</t>
        </is>
      </c>
      <c r="I897" t="n">
        <v>40</v>
      </c>
      <c r="J897" t="n">
        <v>0.03226</v>
      </c>
    </row>
    <row r="898">
      <c r="A898" t="inlineStr">
        <is>
          <t>2033_Czerwiec_W1</t>
        </is>
      </c>
      <c r="B898" t="n">
        <v>2033</v>
      </c>
      <c r="C898" t="inlineStr">
        <is>
          <t>Czerwiec</t>
        </is>
      </c>
      <c r="D898" t="inlineStr">
        <is>
          <t>W1</t>
        </is>
      </c>
      <c r="E898" t="n">
        <v>6</v>
      </c>
      <c r="F898" t="inlineStr">
        <is>
          <t>Niepełny (6 dni)</t>
        </is>
      </c>
      <c r="G898" t="inlineStr">
        <is>
          <t>01.06</t>
        </is>
      </c>
      <c r="H898" t="inlineStr">
        <is>
          <t>06.06</t>
        </is>
      </c>
      <c r="I898" t="n">
        <v>232</v>
      </c>
      <c r="J898" t="n">
        <v>0.2</v>
      </c>
    </row>
    <row r="899">
      <c r="A899" t="inlineStr">
        <is>
          <t>2033_Czerwiec_W2</t>
        </is>
      </c>
      <c r="B899" t="n">
        <v>2033</v>
      </c>
      <c r="C899" t="inlineStr">
        <is>
          <t>Czerwiec</t>
        </is>
      </c>
      <c r="D899" t="inlineStr">
        <is>
          <t>W2</t>
        </is>
      </c>
      <c r="E899" t="n">
        <v>7</v>
      </c>
      <c r="F899" t="inlineStr">
        <is>
          <t>Pełny (7 dni)</t>
        </is>
      </c>
      <c r="G899" t="inlineStr">
        <is>
          <t>07.06</t>
        </is>
      </c>
      <c r="H899" t="inlineStr">
        <is>
          <t>13.06</t>
        </is>
      </c>
      <c r="I899" t="n">
        <v>272</v>
      </c>
      <c r="J899" t="n">
        <v>0.23333</v>
      </c>
    </row>
    <row r="900">
      <c r="A900" t="inlineStr">
        <is>
          <t>2033_Czerwiec_W3</t>
        </is>
      </c>
      <c r="B900" t="n">
        <v>2033</v>
      </c>
      <c r="C900" t="inlineStr">
        <is>
          <t>Czerwiec</t>
        </is>
      </c>
      <c r="D900" t="inlineStr">
        <is>
          <t>W3</t>
        </is>
      </c>
      <c r="E900" t="n">
        <v>7</v>
      </c>
      <c r="F900" t="inlineStr">
        <is>
          <t>Pełny (7 dni)</t>
        </is>
      </c>
      <c r="G900" t="inlineStr">
        <is>
          <t>14.06</t>
        </is>
      </c>
      <c r="H900" t="inlineStr">
        <is>
          <t>20.06</t>
        </is>
      </c>
      <c r="I900" t="n">
        <v>272</v>
      </c>
      <c r="J900" t="n">
        <v>0.23333</v>
      </c>
    </row>
    <row r="901">
      <c r="A901" t="inlineStr">
        <is>
          <t>2033_Czerwiec_W4</t>
        </is>
      </c>
      <c r="B901" t="n">
        <v>2033</v>
      </c>
      <c r="C901" t="inlineStr">
        <is>
          <t>Czerwiec</t>
        </is>
      </c>
      <c r="D901" t="inlineStr">
        <is>
          <t>W4</t>
        </is>
      </c>
      <c r="E901" t="n">
        <v>7</v>
      </c>
      <c r="F901" t="inlineStr">
        <is>
          <t>Pełny (7 dni)</t>
        </is>
      </c>
      <c r="G901" t="inlineStr">
        <is>
          <t>21.06</t>
        </is>
      </c>
      <c r="H901" t="inlineStr">
        <is>
          <t>27.06</t>
        </is>
      </c>
      <c r="I901" t="n">
        <v>272</v>
      </c>
      <c r="J901" t="n">
        <v>0.23333</v>
      </c>
    </row>
    <row r="902">
      <c r="A902" t="inlineStr">
        <is>
          <t>2033_Czerwiec_W5</t>
        </is>
      </c>
      <c r="B902" t="n">
        <v>2033</v>
      </c>
      <c r="C902" t="inlineStr">
        <is>
          <t>Czerwiec</t>
        </is>
      </c>
      <c r="D902" t="inlineStr">
        <is>
          <t>W5</t>
        </is>
      </c>
      <c r="E902" t="n">
        <v>3</v>
      </c>
      <c r="F902" t="inlineStr">
        <is>
          <t>Niepełny (3 dni)</t>
        </is>
      </c>
      <c r="G902" t="inlineStr">
        <is>
          <t>28.06</t>
        </is>
      </c>
      <c r="H902" t="inlineStr">
        <is>
          <t>30.06</t>
        </is>
      </c>
      <c r="I902" t="n">
        <v>120</v>
      </c>
      <c r="J902" t="n">
        <v>0.1</v>
      </c>
    </row>
    <row r="903">
      <c r="A903" t="inlineStr">
        <is>
          <t>2033_Czerwiec_W6</t>
        </is>
      </c>
      <c r="B903" t="n">
        <v>2033</v>
      </c>
      <c r="C903" t="inlineStr">
        <is>
          <t>Czerwiec</t>
        </is>
      </c>
      <c r="D903" t="inlineStr">
        <is>
          <t>W6</t>
        </is>
      </c>
      <c r="E903" t="n">
        <v>0</v>
      </c>
      <c r="F903" t="inlineStr">
        <is>
          <t>Brak w miesiącu</t>
        </is>
      </c>
      <c r="G903" t="inlineStr">
        <is>
          <t>-</t>
        </is>
      </c>
      <c r="H903" t="inlineStr">
        <is>
          <t>-</t>
        </is>
      </c>
      <c r="I903" t="n">
        <v>0</v>
      </c>
      <c r="J903" t="n">
        <v>0</v>
      </c>
    </row>
    <row r="904">
      <c r="A904" t="inlineStr">
        <is>
          <t>2033_Lipiec_W1</t>
        </is>
      </c>
      <c r="B904" t="n">
        <v>2033</v>
      </c>
      <c r="C904" t="inlineStr">
        <is>
          <t>Lipiec</t>
        </is>
      </c>
      <c r="D904" t="inlineStr">
        <is>
          <t>W1</t>
        </is>
      </c>
      <c r="E904" t="n">
        <v>4</v>
      </c>
      <c r="F904" t="inlineStr">
        <is>
          <t>Niepełny (4 dni)</t>
        </is>
      </c>
      <c r="G904" t="inlineStr">
        <is>
          <t>01.07</t>
        </is>
      </c>
      <c r="H904" t="inlineStr">
        <is>
          <t>04.07</t>
        </is>
      </c>
      <c r="I904" t="n">
        <v>152</v>
      </c>
      <c r="J904" t="n">
        <v>0.12903</v>
      </c>
    </row>
    <row r="905">
      <c r="A905" t="inlineStr">
        <is>
          <t>2033_Lipiec_W2</t>
        </is>
      </c>
      <c r="B905" t="n">
        <v>2033</v>
      </c>
      <c r="C905" t="inlineStr">
        <is>
          <t>Lipiec</t>
        </is>
      </c>
      <c r="D905" t="inlineStr">
        <is>
          <t>W2</t>
        </is>
      </c>
      <c r="E905" t="n">
        <v>7</v>
      </c>
      <c r="F905" t="inlineStr">
        <is>
          <t>Pełny (7 dni)</t>
        </is>
      </c>
      <c r="G905" t="inlineStr">
        <is>
          <t>05.07</t>
        </is>
      </c>
      <c r="H905" t="inlineStr">
        <is>
          <t>11.07</t>
        </is>
      </c>
      <c r="I905" t="n">
        <v>272</v>
      </c>
      <c r="J905" t="n">
        <v>0.22581</v>
      </c>
    </row>
    <row r="906">
      <c r="A906" t="inlineStr">
        <is>
          <t>2033_Lipiec_W3</t>
        </is>
      </c>
      <c r="B906" t="n">
        <v>2033</v>
      </c>
      <c r="C906" t="inlineStr">
        <is>
          <t>Lipiec</t>
        </is>
      </c>
      <c r="D906" t="inlineStr">
        <is>
          <t>W3</t>
        </is>
      </c>
      <c r="E906" t="n">
        <v>7</v>
      </c>
      <c r="F906" t="inlineStr">
        <is>
          <t>Pełny (7 dni)</t>
        </is>
      </c>
      <c r="G906" t="inlineStr">
        <is>
          <t>12.07</t>
        </is>
      </c>
      <c r="H906" t="inlineStr">
        <is>
          <t>18.07</t>
        </is>
      </c>
      <c r="I906" t="n">
        <v>272</v>
      </c>
      <c r="J906" t="n">
        <v>0.22581</v>
      </c>
    </row>
    <row r="907">
      <c r="A907" t="inlineStr">
        <is>
          <t>2033_Lipiec_W4</t>
        </is>
      </c>
      <c r="B907" t="n">
        <v>2033</v>
      </c>
      <c r="C907" t="inlineStr">
        <is>
          <t>Lipiec</t>
        </is>
      </c>
      <c r="D907" t="inlineStr">
        <is>
          <t>W4</t>
        </is>
      </c>
      <c r="E907" t="n">
        <v>7</v>
      </c>
      <c r="F907" t="inlineStr">
        <is>
          <t>Pełny (7 dni)</t>
        </is>
      </c>
      <c r="G907" t="inlineStr">
        <is>
          <t>19.07</t>
        </is>
      </c>
      <c r="H907" t="inlineStr">
        <is>
          <t>25.07</t>
        </is>
      </c>
      <c r="I907" t="n">
        <v>272</v>
      </c>
      <c r="J907" t="n">
        <v>0.22581</v>
      </c>
    </row>
    <row r="908">
      <c r="A908" t="inlineStr">
        <is>
          <t>2033_Lipiec_W5</t>
        </is>
      </c>
      <c r="B908" t="n">
        <v>2033</v>
      </c>
      <c r="C908" t="inlineStr">
        <is>
          <t>Lipiec</t>
        </is>
      </c>
      <c r="D908" t="inlineStr">
        <is>
          <t>W5</t>
        </is>
      </c>
      <c r="E908" t="n">
        <v>6</v>
      </c>
      <c r="F908" t="inlineStr">
        <is>
          <t>Niepełny (6 dni)</t>
        </is>
      </c>
      <c r="G908" t="inlineStr">
        <is>
          <t>26.07</t>
        </is>
      </c>
      <c r="H908" t="inlineStr">
        <is>
          <t>31.07</t>
        </is>
      </c>
      <c r="I908" t="n">
        <v>232</v>
      </c>
      <c r="J908" t="n">
        <v>0.19355</v>
      </c>
    </row>
    <row r="909">
      <c r="A909" t="inlineStr">
        <is>
          <t>2033_Lipiec_W6</t>
        </is>
      </c>
      <c r="B909" t="n">
        <v>2033</v>
      </c>
      <c r="C909" t="inlineStr">
        <is>
          <t>Lipiec</t>
        </is>
      </c>
      <c r="D909" t="inlineStr">
        <is>
          <t>W6</t>
        </is>
      </c>
      <c r="E909" t="n">
        <v>0</v>
      </c>
      <c r="F909" t="inlineStr">
        <is>
          <t>Brak w miesiącu</t>
        </is>
      </c>
      <c r="G909" t="inlineStr">
        <is>
          <t>-</t>
        </is>
      </c>
      <c r="H909" t="inlineStr">
        <is>
          <t>-</t>
        </is>
      </c>
      <c r="I909" t="n">
        <v>0</v>
      </c>
      <c r="J909" t="n">
        <v>0</v>
      </c>
    </row>
    <row r="910">
      <c r="A910" t="inlineStr">
        <is>
          <t>2033_Sierpień_W1</t>
        </is>
      </c>
      <c r="B910" t="n">
        <v>2033</v>
      </c>
      <c r="C910" t="inlineStr">
        <is>
          <t>Sierpień</t>
        </is>
      </c>
      <c r="D910" t="inlineStr">
        <is>
          <t>W1</t>
        </is>
      </c>
      <c r="E910" t="n">
        <v>1</v>
      </c>
      <c r="F910" t="inlineStr">
        <is>
          <t>Niepełny (1 dni)</t>
        </is>
      </c>
      <c r="G910" t="inlineStr">
        <is>
          <t>01.08</t>
        </is>
      </c>
      <c r="H910" t="inlineStr">
        <is>
          <t>01.08</t>
        </is>
      </c>
      <c r="I910" t="n">
        <v>40</v>
      </c>
      <c r="J910" t="n">
        <v>0.03226</v>
      </c>
    </row>
    <row r="911">
      <c r="A911" t="inlineStr">
        <is>
          <t>2033_Sierpień_W2</t>
        </is>
      </c>
      <c r="B911" t="n">
        <v>2033</v>
      </c>
      <c r="C911" t="inlineStr">
        <is>
          <t>Sierpień</t>
        </is>
      </c>
      <c r="D911" t="inlineStr">
        <is>
          <t>W2</t>
        </is>
      </c>
      <c r="E911" t="n">
        <v>7</v>
      </c>
      <c r="F911" t="inlineStr">
        <is>
          <t>Pełny (7 dni)</t>
        </is>
      </c>
      <c r="G911" t="inlineStr">
        <is>
          <t>02.08</t>
        </is>
      </c>
      <c r="H911" t="inlineStr">
        <is>
          <t>08.08</t>
        </is>
      </c>
      <c r="I911" t="n">
        <v>272</v>
      </c>
      <c r="J911" t="n">
        <v>0.22581</v>
      </c>
    </row>
    <row r="912">
      <c r="A912" t="inlineStr">
        <is>
          <t>2033_Sierpień_W3</t>
        </is>
      </c>
      <c r="B912" t="n">
        <v>2033</v>
      </c>
      <c r="C912" t="inlineStr">
        <is>
          <t>Sierpień</t>
        </is>
      </c>
      <c r="D912" t="inlineStr">
        <is>
          <t>W3</t>
        </is>
      </c>
      <c r="E912" t="n">
        <v>7</v>
      </c>
      <c r="F912" t="inlineStr">
        <is>
          <t>Pełny (7 dni)</t>
        </is>
      </c>
      <c r="G912" t="inlineStr">
        <is>
          <t>09.08</t>
        </is>
      </c>
      <c r="H912" t="inlineStr">
        <is>
          <t>15.08</t>
        </is>
      </c>
      <c r="I912" t="n">
        <v>272</v>
      </c>
      <c r="J912" t="n">
        <v>0.22581</v>
      </c>
    </row>
    <row r="913">
      <c r="A913" t="inlineStr">
        <is>
          <t>2033_Sierpień_W4</t>
        </is>
      </c>
      <c r="B913" t="n">
        <v>2033</v>
      </c>
      <c r="C913" t="inlineStr">
        <is>
          <t>Sierpień</t>
        </is>
      </c>
      <c r="D913" t="inlineStr">
        <is>
          <t>W4</t>
        </is>
      </c>
      <c r="E913" t="n">
        <v>7</v>
      </c>
      <c r="F913" t="inlineStr">
        <is>
          <t>Pełny (7 dni)</t>
        </is>
      </c>
      <c r="G913" t="inlineStr">
        <is>
          <t>16.08</t>
        </is>
      </c>
      <c r="H913" t="inlineStr">
        <is>
          <t>22.08</t>
        </is>
      </c>
      <c r="I913" t="n">
        <v>272</v>
      </c>
      <c r="J913" t="n">
        <v>0.22581</v>
      </c>
    </row>
    <row r="914">
      <c r="A914" t="inlineStr">
        <is>
          <t>2033_Sierpień_W5</t>
        </is>
      </c>
      <c r="B914" t="n">
        <v>2033</v>
      </c>
      <c r="C914" t="inlineStr">
        <is>
          <t>Sierpień</t>
        </is>
      </c>
      <c r="D914" t="inlineStr">
        <is>
          <t>W5</t>
        </is>
      </c>
      <c r="E914" t="n">
        <v>7</v>
      </c>
      <c r="F914" t="inlineStr">
        <is>
          <t>Pełny (7 dni)</t>
        </is>
      </c>
      <c r="G914" t="inlineStr">
        <is>
          <t>23.08</t>
        </is>
      </c>
      <c r="H914" t="inlineStr">
        <is>
          <t>29.08</t>
        </is>
      </c>
      <c r="I914" t="n">
        <v>272</v>
      </c>
      <c r="J914" t="n">
        <v>0.22581</v>
      </c>
    </row>
    <row r="915">
      <c r="A915" t="inlineStr">
        <is>
          <t>2033_Sierpień_W6</t>
        </is>
      </c>
      <c r="B915" t="n">
        <v>2033</v>
      </c>
      <c r="C915" t="inlineStr">
        <is>
          <t>Sierpień</t>
        </is>
      </c>
      <c r="D915" t="inlineStr">
        <is>
          <t>W6</t>
        </is>
      </c>
      <c r="E915" t="n">
        <v>2</v>
      </c>
      <c r="F915" t="inlineStr">
        <is>
          <t>Niepełny (2 dni)</t>
        </is>
      </c>
      <c r="G915" t="inlineStr">
        <is>
          <t>30.08</t>
        </is>
      </c>
      <c r="H915" t="inlineStr">
        <is>
          <t>31.08</t>
        </is>
      </c>
      <c r="I915" t="n">
        <v>80</v>
      </c>
      <c r="J915" t="n">
        <v>0.06451999999999999</v>
      </c>
    </row>
    <row r="916">
      <c r="A916" t="inlineStr">
        <is>
          <t>2033_Wrzesień_W1</t>
        </is>
      </c>
      <c r="B916" t="n">
        <v>2033</v>
      </c>
      <c r="C916" t="inlineStr">
        <is>
          <t>Wrzesień</t>
        </is>
      </c>
      <c r="D916" t="inlineStr">
        <is>
          <t>W1</t>
        </is>
      </c>
      <c r="E916" t="n">
        <v>5</v>
      </c>
      <c r="F916" t="inlineStr">
        <is>
          <t>Niepełny (5 dni)</t>
        </is>
      </c>
      <c r="G916" t="inlineStr">
        <is>
          <t>01.09</t>
        </is>
      </c>
      <c r="H916" t="inlineStr">
        <is>
          <t>05.09</t>
        </is>
      </c>
      <c r="I916" t="n">
        <v>192</v>
      </c>
      <c r="J916" t="n">
        <v>0.16667</v>
      </c>
    </row>
    <row r="917">
      <c r="A917" t="inlineStr">
        <is>
          <t>2033_Wrzesień_W2</t>
        </is>
      </c>
      <c r="B917" t="n">
        <v>2033</v>
      </c>
      <c r="C917" t="inlineStr">
        <is>
          <t>Wrzesień</t>
        </is>
      </c>
      <c r="D917" t="inlineStr">
        <is>
          <t>W2</t>
        </is>
      </c>
      <c r="E917" t="n">
        <v>7</v>
      </c>
      <c r="F917" t="inlineStr">
        <is>
          <t>Pełny (7 dni)</t>
        </is>
      </c>
      <c r="G917" t="inlineStr">
        <is>
          <t>06.09</t>
        </is>
      </c>
      <c r="H917" t="inlineStr">
        <is>
          <t>12.09</t>
        </is>
      </c>
      <c r="I917" t="n">
        <v>272</v>
      </c>
      <c r="J917" t="n">
        <v>0.23333</v>
      </c>
    </row>
    <row r="918">
      <c r="A918" t="inlineStr">
        <is>
          <t>2033_Wrzesień_W3</t>
        </is>
      </c>
      <c r="B918" t="n">
        <v>2033</v>
      </c>
      <c r="C918" t="inlineStr">
        <is>
          <t>Wrzesień</t>
        </is>
      </c>
      <c r="D918" t="inlineStr">
        <is>
          <t>W3</t>
        </is>
      </c>
      <c r="E918" t="n">
        <v>7</v>
      </c>
      <c r="F918" t="inlineStr">
        <is>
          <t>Pełny (7 dni)</t>
        </is>
      </c>
      <c r="G918" t="inlineStr">
        <is>
          <t>13.09</t>
        </is>
      </c>
      <c r="H918" t="inlineStr">
        <is>
          <t>19.09</t>
        </is>
      </c>
      <c r="I918" t="n">
        <v>272</v>
      </c>
      <c r="J918" t="n">
        <v>0.23333</v>
      </c>
    </row>
    <row r="919">
      <c r="A919" t="inlineStr">
        <is>
          <t>2033_Wrzesień_W4</t>
        </is>
      </c>
      <c r="B919" t="n">
        <v>2033</v>
      </c>
      <c r="C919" t="inlineStr">
        <is>
          <t>Wrzesień</t>
        </is>
      </c>
      <c r="D919" t="inlineStr">
        <is>
          <t>W4</t>
        </is>
      </c>
      <c r="E919" t="n">
        <v>7</v>
      </c>
      <c r="F919" t="inlineStr">
        <is>
          <t>Pełny (7 dni)</t>
        </is>
      </c>
      <c r="G919" t="inlineStr">
        <is>
          <t>20.09</t>
        </is>
      </c>
      <c r="H919" t="inlineStr">
        <is>
          <t>26.09</t>
        </is>
      </c>
      <c r="I919" t="n">
        <v>272</v>
      </c>
      <c r="J919" t="n">
        <v>0.23333</v>
      </c>
    </row>
    <row r="920">
      <c r="A920" t="inlineStr">
        <is>
          <t>2033_Wrzesień_W5</t>
        </is>
      </c>
      <c r="B920" t="n">
        <v>2033</v>
      </c>
      <c r="C920" t="inlineStr">
        <is>
          <t>Wrzesień</t>
        </is>
      </c>
      <c r="D920" t="inlineStr">
        <is>
          <t>W5</t>
        </is>
      </c>
      <c r="E920" t="n">
        <v>4</v>
      </c>
      <c r="F920" t="inlineStr">
        <is>
          <t>Niepełny (4 dni)</t>
        </is>
      </c>
      <c r="G920" t="inlineStr">
        <is>
          <t>27.09</t>
        </is>
      </c>
      <c r="H920" t="inlineStr">
        <is>
          <t>30.09</t>
        </is>
      </c>
      <c r="I920" t="n">
        <v>160</v>
      </c>
      <c r="J920" t="n">
        <v>0.13333</v>
      </c>
    </row>
    <row r="921">
      <c r="A921" t="inlineStr">
        <is>
          <t>2033_Wrzesień_W6</t>
        </is>
      </c>
      <c r="B921" t="n">
        <v>2033</v>
      </c>
      <c r="C921" t="inlineStr">
        <is>
          <t>Wrzesień</t>
        </is>
      </c>
      <c r="D921" t="inlineStr">
        <is>
          <t>W6</t>
        </is>
      </c>
      <c r="E921" t="n">
        <v>0</v>
      </c>
      <c r="F921" t="inlineStr">
        <is>
          <t>Brak w miesiącu</t>
        </is>
      </c>
      <c r="G921" t="inlineStr">
        <is>
          <t>-</t>
        </is>
      </c>
      <c r="H921" t="inlineStr">
        <is>
          <t>-</t>
        </is>
      </c>
      <c r="I921" t="n">
        <v>0</v>
      </c>
      <c r="J921" t="n">
        <v>0</v>
      </c>
    </row>
    <row r="922">
      <c r="A922" t="inlineStr">
        <is>
          <t>2033_Październik_W1</t>
        </is>
      </c>
      <c r="B922" t="n">
        <v>2033</v>
      </c>
      <c r="C922" t="inlineStr">
        <is>
          <t>Październik</t>
        </is>
      </c>
      <c r="D922" t="inlineStr">
        <is>
          <t>W1</t>
        </is>
      </c>
      <c r="E922" t="n">
        <v>3</v>
      </c>
      <c r="F922" t="inlineStr">
        <is>
          <t>Niepełny (3 dni)</t>
        </is>
      </c>
      <c r="G922" t="inlineStr">
        <is>
          <t>01.10</t>
        </is>
      </c>
      <c r="H922" t="inlineStr">
        <is>
          <t>03.10</t>
        </is>
      </c>
      <c r="I922" t="n">
        <v>112</v>
      </c>
      <c r="J922" t="n">
        <v>0.09676999999999999</v>
      </c>
    </row>
    <row r="923">
      <c r="A923" t="inlineStr">
        <is>
          <t>2033_Październik_W2</t>
        </is>
      </c>
      <c r="B923" t="n">
        <v>2033</v>
      </c>
      <c r="C923" t="inlineStr">
        <is>
          <t>Październik</t>
        </is>
      </c>
      <c r="D923" t="inlineStr">
        <is>
          <t>W2</t>
        </is>
      </c>
      <c r="E923" t="n">
        <v>7</v>
      </c>
      <c r="F923" t="inlineStr">
        <is>
          <t>Pełny (7 dni)</t>
        </is>
      </c>
      <c r="G923" t="inlineStr">
        <is>
          <t>04.10</t>
        </is>
      </c>
      <c r="H923" t="inlineStr">
        <is>
          <t>10.10</t>
        </is>
      </c>
      <c r="I923" t="n">
        <v>272</v>
      </c>
      <c r="J923" t="n">
        <v>0.22581</v>
      </c>
    </row>
    <row r="924">
      <c r="A924" t="inlineStr">
        <is>
          <t>2033_Październik_W3</t>
        </is>
      </c>
      <c r="B924" t="n">
        <v>2033</v>
      </c>
      <c r="C924" t="inlineStr">
        <is>
          <t>Październik</t>
        </is>
      </c>
      <c r="D924" t="inlineStr">
        <is>
          <t>W3</t>
        </is>
      </c>
      <c r="E924" t="n">
        <v>7</v>
      </c>
      <c r="F924" t="inlineStr">
        <is>
          <t>Pełny (7 dni)</t>
        </is>
      </c>
      <c r="G924" t="inlineStr">
        <is>
          <t>11.10</t>
        </is>
      </c>
      <c r="H924" t="inlineStr">
        <is>
          <t>17.10</t>
        </is>
      </c>
      <c r="I924" t="n">
        <v>272</v>
      </c>
      <c r="J924" t="n">
        <v>0.22581</v>
      </c>
    </row>
    <row r="925">
      <c r="A925" t="inlineStr">
        <is>
          <t>2033_Październik_W4</t>
        </is>
      </c>
      <c r="B925" t="n">
        <v>2033</v>
      </c>
      <c r="C925" t="inlineStr">
        <is>
          <t>Październik</t>
        </is>
      </c>
      <c r="D925" t="inlineStr">
        <is>
          <t>W4</t>
        </is>
      </c>
      <c r="E925" t="n">
        <v>7</v>
      </c>
      <c r="F925" t="inlineStr">
        <is>
          <t>Pełny (7 dni)</t>
        </is>
      </c>
      <c r="G925" t="inlineStr">
        <is>
          <t>18.10</t>
        </is>
      </c>
      <c r="H925" t="inlineStr">
        <is>
          <t>24.10</t>
        </is>
      </c>
      <c r="I925" t="n">
        <v>272</v>
      </c>
      <c r="J925" t="n">
        <v>0.22581</v>
      </c>
    </row>
    <row r="926">
      <c r="A926" t="inlineStr">
        <is>
          <t>2033_Październik_W5</t>
        </is>
      </c>
      <c r="B926" t="n">
        <v>2033</v>
      </c>
      <c r="C926" t="inlineStr">
        <is>
          <t>Październik</t>
        </is>
      </c>
      <c r="D926" t="inlineStr">
        <is>
          <t>W5</t>
        </is>
      </c>
      <c r="E926" t="n">
        <v>7</v>
      </c>
      <c r="F926" t="inlineStr">
        <is>
          <t>Pełny (7 dni)</t>
        </is>
      </c>
      <c r="G926" t="inlineStr">
        <is>
          <t>25.10</t>
        </is>
      </c>
      <c r="H926" t="inlineStr">
        <is>
          <t>31.10</t>
        </is>
      </c>
      <c r="I926" t="n">
        <v>272</v>
      </c>
      <c r="J926" t="n">
        <v>0.22581</v>
      </c>
    </row>
    <row r="927">
      <c r="A927" t="inlineStr">
        <is>
          <t>2033_Październik_W6</t>
        </is>
      </c>
      <c r="B927" t="n">
        <v>2033</v>
      </c>
      <c r="C927" t="inlineStr">
        <is>
          <t>Październik</t>
        </is>
      </c>
      <c r="D927" t="inlineStr">
        <is>
          <t>W6</t>
        </is>
      </c>
      <c r="E927" t="n">
        <v>0</v>
      </c>
      <c r="F927" t="inlineStr">
        <is>
          <t>Brak w miesiącu</t>
        </is>
      </c>
      <c r="G927" t="inlineStr">
        <is>
          <t>-</t>
        </is>
      </c>
      <c r="H927" t="inlineStr">
        <is>
          <t>-</t>
        </is>
      </c>
      <c r="I927" t="n">
        <v>0</v>
      </c>
      <c r="J927" t="n">
        <v>0</v>
      </c>
    </row>
    <row r="928">
      <c r="A928" t="inlineStr">
        <is>
          <t>2033_Listopad_W1</t>
        </is>
      </c>
      <c r="B928" t="n">
        <v>2033</v>
      </c>
      <c r="C928" t="inlineStr">
        <is>
          <t>Listopad</t>
        </is>
      </c>
      <c r="D928" t="inlineStr">
        <is>
          <t>W1</t>
        </is>
      </c>
      <c r="E928" t="n">
        <v>7</v>
      </c>
      <c r="F928" t="inlineStr">
        <is>
          <t>Pełny (7 dni)</t>
        </is>
      </c>
      <c r="G928" t="inlineStr">
        <is>
          <t>01.11</t>
        </is>
      </c>
      <c r="H928" t="inlineStr">
        <is>
          <t>07.11</t>
        </is>
      </c>
      <c r="I928" t="n">
        <v>272</v>
      </c>
      <c r="J928" t="n">
        <v>0.23333</v>
      </c>
    </row>
    <row r="929">
      <c r="A929" t="inlineStr">
        <is>
          <t>2033_Listopad_W2</t>
        </is>
      </c>
      <c r="B929" t="n">
        <v>2033</v>
      </c>
      <c r="C929" t="inlineStr">
        <is>
          <t>Listopad</t>
        </is>
      </c>
      <c r="D929" t="inlineStr">
        <is>
          <t>W2</t>
        </is>
      </c>
      <c r="E929" t="n">
        <v>7</v>
      </c>
      <c r="F929" t="inlineStr">
        <is>
          <t>Pełny (7 dni)</t>
        </is>
      </c>
      <c r="G929" t="inlineStr">
        <is>
          <t>08.11</t>
        </is>
      </c>
      <c r="H929" t="inlineStr">
        <is>
          <t>14.11</t>
        </is>
      </c>
      <c r="I929" t="n">
        <v>272</v>
      </c>
      <c r="J929" t="n">
        <v>0.23333</v>
      </c>
    </row>
    <row r="930">
      <c r="A930" t="inlineStr">
        <is>
          <t>2033_Listopad_W3</t>
        </is>
      </c>
      <c r="B930" t="n">
        <v>2033</v>
      </c>
      <c r="C930" t="inlineStr">
        <is>
          <t>Listopad</t>
        </is>
      </c>
      <c r="D930" t="inlineStr">
        <is>
          <t>W3</t>
        </is>
      </c>
      <c r="E930" t="n">
        <v>7</v>
      </c>
      <c r="F930" t="inlineStr">
        <is>
          <t>Pełny (7 dni)</t>
        </is>
      </c>
      <c r="G930" t="inlineStr">
        <is>
          <t>15.11</t>
        </is>
      </c>
      <c r="H930" t="inlineStr">
        <is>
          <t>21.11</t>
        </is>
      </c>
      <c r="I930" t="n">
        <v>272</v>
      </c>
      <c r="J930" t="n">
        <v>0.23333</v>
      </c>
    </row>
    <row r="931">
      <c r="A931" t="inlineStr">
        <is>
          <t>2033_Listopad_W4</t>
        </is>
      </c>
      <c r="B931" t="n">
        <v>2033</v>
      </c>
      <c r="C931" t="inlineStr">
        <is>
          <t>Listopad</t>
        </is>
      </c>
      <c r="D931" t="inlineStr">
        <is>
          <t>W4</t>
        </is>
      </c>
      <c r="E931" t="n">
        <v>7</v>
      </c>
      <c r="F931" t="inlineStr">
        <is>
          <t>Pełny (7 dni)</t>
        </is>
      </c>
      <c r="G931" t="inlineStr">
        <is>
          <t>22.11</t>
        </is>
      </c>
      <c r="H931" t="inlineStr">
        <is>
          <t>28.11</t>
        </is>
      </c>
      <c r="I931" t="n">
        <v>272</v>
      </c>
      <c r="J931" t="n">
        <v>0.23333</v>
      </c>
    </row>
    <row r="932">
      <c r="A932" t="inlineStr">
        <is>
          <t>2033_Listopad_W5</t>
        </is>
      </c>
      <c r="B932" t="n">
        <v>2033</v>
      </c>
      <c r="C932" t="inlineStr">
        <is>
          <t>Listopad</t>
        </is>
      </c>
      <c r="D932" t="inlineStr">
        <is>
          <t>W5</t>
        </is>
      </c>
      <c r="E932" t="n">
        <v>2</v>
      </c>
      <c r="F932" t="inlineStr">
        <is>
          <t>Niepełny (2 dni)</t>
        </is>
      </c>
      <c r="G932" t="inlineStr">
        <is>
          <t>29.11</t>
        </is>
      </c>
      <c r="H932" t="inlineStr">
        <is>
          <t>30.11</t>
        </is>
      </c>
      <c r="I932" t="n">
        <v>80</v>
      </c>
      <c r="J932" t="n">
        <v>0.06666999999999999</v>
      </c>
    </row>
    <row r="933">
      <c r="A933" t="inlineStr">
        <is>
          <t>2033_Listopad_W6</t>
        </is>
      </c>
      <c r="B933" t="n">
        <v>2033</v>
      </c>
      <c r="C933" t="inlineStr">
        <is>
          <t>Listopad</t>
        </is>
      </c>
      <c r="D933" t="inlineStr">
        <is>
          <t>W6</t>
        </is>
      </c>
      <c r="E933" t="n">
        <v>0</v>
      </c>
      <c r="F933" t="inlineStr">
        <is>
          <t>Brak w miesiącu</t>
        </is>
      </c>
      <c r="G933" t="inlineStr">
        <is>
          <t>-</t>
        </is>
      </c>
      <c r="H933" t="inlineStr">
        <is>
          <t>-</t>
        </is>
      </c>
      <c r="I933" t="n">
        <v>0</v>
      </c>
      <c r="J933" t="n">
        <v>0</v>
      </c>
    </row>
    <row r="934">
      <c r="A934" t="inlineStr">
        <is>
          <t>2033_Grudzień_W1</t>
        </is>
      </c>
      <c r="B934" t="n">
        <v>2033</v>
      </c>
      <c r="C934" t="inlineStr">
        <is>
          <t>Grudzień</t>
        </is>
      </c>
      <c r="D934" t="inlineStr">
        <is>
          <t>W1</t>
        </is>
      </c>
      <c r="E934" t="n">
        <v>5</v>
      </c>
      <c r="F934" t="inlineStr">
        <is>
          <t>Niepełny (5 dni)</t>
        </is>
      </c>
      <c r="G934" t="inlineStr">
        <is>
          <t>01.12</t>
        </is>
      </c>
      <c r="H934" t="inlineStr">
        <is>
          <t>05.12</t>
        </is>
      </c>
      <c r="I934" t="n">
        <v>192</v>
      </c>
      <c r="J934" t="n">
        <v>0.16129</v>
      </c>
    </row>
    <row r="935">
      <c r="A935" t="inlineStr">
        <is>
          <t>2033_Grudzień_W2</t>
        </is>
      </c>
      <c r="B935" t="n">
        <v>2033</v>
      </c>
      <c r="C935" t="inlineStr">
        <is>
          <t>Grudzień</t>
        </is>
      </c>
      <c r="D935" t="inlineStr">
        <is>
          <t>W2</t>
        </is>
      </c>
      <c r="E935" t="n">
        <v>7</v>
      </c>
      <c r="F935" t="inlineStr">
        <is>
          <t>Pełny (7 dni)</t>
        </is>
      </c>
      <c r="G935" t="inlineStr">
        <is>
          <t>06.12</t>
        </is>
      </c>
      <c r="H935" t="inlineStr">
        <is>
          <t>12.12</t>
        </is>
      </c>
      <c r="I935" t="n">
        <v>272</v>
      </c>
      <c r="J935" t="n">
        <v>0.22581</v>
      </c>
    </row>
    <row r="936">
      <c r="A936" t="inlineStr">
        <is>
          <t>2033_Grudzień_W3</t>
        </is>
      </c>
      <c r="B936" t="n">
        <v>2033</v>
      </c>
      <c r="C936" t="inlineStr">
        <is>
          <t>Grudzień</t>
        </is>
      </c>
      <c r="D936" t="inlineStr">
        <is>
          <t>W3</t>
        </is>
      </c>
      <c r="E936" t="n">
        <v>7</v>
      </c>
      <c r="F936" t="inlineStr">
        <is>
          <t>Pełny (7 dni)</t>
        </is>
      </c>
      <c r="G936" t="inlineStr">
        <is>
          <t>13.12</t>
        </is>
      </c>
      <c r="H936" t="inlineStr">
        <is>
          <t>19.12</t>
        </is>
      </c>
      <c r="I936" t="n">
        <v>272</v>
      </c>
      <c r="J936" t="n">
        <v>0.22581</v>
      </c>
    </row>
    <row r="937">
      <c r="A937" t="inlineStr">
        <is>
          <t>2033_Grudzień_W4</t>
        </is>
      </c>
      <c r="B937" t="n">
        <v>2033</v>
      </c>
      <c r="C937" t="inlineStr">
        <is>
          <t>Grudzień</t>
        </is>
      </c>
      <c r="D937" t="inlineStr">
        <is>
          <t>W4</t>
        </is>
      </c>
      <c r="E937" t="n">
        <v>7</v>
      </c>
      <c r="F937" t="inlineStr">
        <is>
          <t>Pełny (7 dni)</t>
        </is>
      </c>
      <c r="G937" t="inlineStr">
        <is>
          <t>20.12</t>
        </is>
      </c>
      <c r="H937" t="inlineStr">
        <is>
          <t>26.12</t>
        </is>
      </c>
      <c r="I937" t="n">
        <v>272</v>
      </c>
      <c r="J937" t="n">
        <v>0.22581</v>
      </c>
    </row>
    <row r="938">
      <c r="A938" t="inlineStr">
        <is>
          <t>2033_Grudzień_W5</t>
        </is>
      </c>
      <c r="B938" t="n">
        <v>2033</v>
      </c>
      <c r="C938" t="inlineStr">
        <is>
          <t>Grudzień</t>
        </is>
      </c>
      <c r="D938" t="inlineStr">
        <is>
          <t>W5</t>
        </is>
      </c>
      <c r="E938" t="n">
        <v>5</v>
      </c>
      <c r="F938" t="inlineStr">
        <is>
          <t>Niepełny (5 dni)</t>
        </is>
      </c>
      <c r="G938" t="inlineStr">
        <is>
          <t>27.12</t>
        </is>
      </c>
      <c r="H938" t="inlineStr">
        <is>
          <t>31.12</t>
        </is>
      </c>
      <c r="I938" t="n">
        <v>200</v>
      </c>
      <c r="J938" t="n">
        <v>0.16129</v>
      </c>
    </row>
    <row r="939">
      <c r="A939" t="inlineStr">
        <is>
          <t>2033_Grudzień_W6</t>
        </is>
      </c>
      <c r="B939" t="n">
        <v>2033</v>
      </c>
      <c r="C939" t="inlineStr">
        <is>
          <t>Grudzień</t>
        </is>
      </c>
      <c r="D939" t="inlineStr">
        <is>
          <t>W6</t>
        </is>
      </c>
      <c r="E939" t="n">
        <v>0</v>
      </c>
      <c r="F939" t="inlineStr">
        <is>
          <t>Brak w miesiącu</t>
        </is>
      </c>
      <c r="G939" t="inlineStr">
        <is>
          <t>-</t>
        </is>
      </c>
      <c r="H939" t="inlineStr">
        <is>
          <t>-</t>
        </is>
      </c>
      <c r="I939" t="n">
        <v>0</v>
      </c>
      <c r="J939" t="n">
        <v>0</v>
      </c>
    </row>
    <row r="940">
      <c r="A940" t="inlineStr">
        <is>
          <t>2034_Styczeń_W1</t>
        </is>
      </c>
      <c r="B940" t="n">
        <v>2034</v>
      </c>
      <c r="C940" t="inlineStr">
        <is>
          <t>Styczeń</t>
        </is>
      </c>
      <c r="D940" t="inlineStr">
        <is>
          <t>W1</t>
        </is>
      </c>
      <c r="E940" t="n">
        <v>2</v>
      </c>
      <c r="F940" t="inlineStr">
        <is>
          <t>Niepełny (2 dni)</t>
        </is>
      </c>
      <c r="G940" t="inlineStr">
        <is>
          <t>01.01</t>
        </is>
      </c>
      <c r="H940" t="inlineStr">
        <is>
          <t>02.01</t>
        </is>
      </c>
      <c r="I940" t="n">
        <v>72</v>
      </c>
      <c r="J940" t="n">
        <v>0.06451999999999999</v>
      </c>
    </row>
    <row r="941">
      <c r="A941" t="inlineStr">
        <is>
          <t>2034_Styczeń_W2</t>
        </is>
      </c>
      <c r="B941" t="n">
        <v>2034</v>
      </c>
      <c r="C941" t="inlineStr">
        <is>
          <t>Styczeń</t>
        </is>
      </c>
      <c r="D941" t="inlineStr">
        <is>
          <t>W2</t>
        </is>
      </c>
      <c r="E941" t="n">
        <v>7</v>
      </c>
      <c r="F941" t="inlineStr">
        <is>
          <t>Pełny (7 dni)</t>
        </is>
      </c>
      <c r="G941" t="inlineStr">
        <is>
          <t>03.01</t>
        </is>
      </c>
      <c r="H941" t="inlineStr">
        <is>
          <t>09.01</t>
        </is>
      </c>
      <c r="I941" t="n">
        <v>272</v>
      </c>
      <c r="J941" t="n">
        <v>0.22581</v>
      </c>
    </row>
    <row r="942">
      <c r="A942" t="inlineStr">
        <is>
          <t>2034_Styczeń_W3</t>
        </is>
      </c>
      <c r="B942" t="n">
        <v>2034</v>
      </c>
      <c r="C942" t="inlineStr">
        <is>
          <t>Styczeń</t>
        </is>
      </c>
      <c r="D942" t="inlineStr">
        <is>
          <t>W3</t>
        </is>
      </c>
      <c r="E942" t="n">
        <v>7</v>
      </c>
      <c r="F942" t="inlineStr">
        <is>
          <t>Pełny (7 dni)</t>
        </is>
      </c>
      <c r="G942" t="inlineStr">
        <is>
          <t>10.01</t>
        </is>
      </c>
      <c r="H942" t="inlineStr">
        <is>
          <t>16.01</t>
        </is>
      </c>
      <c r="I942" t="n">
        <v>272</v>
      </c>
      <c r="J942" t="n">
        <v>0.22581</v>
      </c>
    </row>
    <row r="943">
      <c r="A943" t="inlineStr">
        <is>
          <t>2034_Styczeń_W4</t>
        </is>
      </c>
      <c r="B943" t="n">
        <v>2034</v>
      </c>
      <c r="C943" t="inlineStr">
        <is>
          <t>Styczeń</t>
        </is>
      </c>
      <c r="D943" t="inlineStr">
        <is>
          <t>W4</t>
        </is>
      </c>
      <c r="E943" t="n">
        <v>7</v>
      </c>
      <c r="F943" t="inlineStr">
        <is>
          <t>Pełny (7 dni)</t>
        </is>
      </c>
      <c r="G943" t="inlineStr">
        <is>
          <t>17.01</t>
        </is>
      </c>
      <c r="H943" t="inlineStr">
        <is>
          <t>23.01</t>
        </is>
      </c>
      <c r="I943" t="n">
        <v>272</v>
      </c>
      <c r="J943" t="n">
        <v>0.22581</v>
      </c>
    </row>
    <row r="944">
      <c r="A944" t="inlineStr">
        <is>
          <t>2034_Styczeń_W5</t>
        </is>
      </c>
      <c r="B944" t="n">
        <v>2034</v>
      </c>
      <c r="C944" t="inlineStr">
        <is>
          <t>Styczeń</t>
        </is>
      </c>
      <c r="D944" t="inlineStr">
        <is>
          <t>W5</t>
        </is>
      </c>
      <c r="E944" t="n">
        <v>7</v>
      </c>
      <c r="F944" t="inlineStr">
        <is>
          <t>Pełny (7 dni)</t>
        </is>
      </c>
      <c r="G944" t="inlineStr">
        <is>
          <t>24.01</t>
        </is>
      </c>
      <c r="H944" t="inlineStr">
        <is>
          <t>30.01</t>
        </is>
      </c>
      <c r="I944" t="n">
        <v>272</v>
      </c>
      <c r="J944" t="n">
        <v>0.22581</v>
      </c>
    </row>
    <row r="945">
      <c r="A945" t="inlineStr">
        <is>
          <t>2034_Styczeń_W6</t>
        </is>
      </c>
      <c r="B945" t="n">
        <v>2034</v>
      </c>
      <c r="C945" t="inlineStr">
        <is>
          <t>Styczeń</t>
        </is>
      </c>
      <c r="D945" t="inlineStr">
        <is>
          <t>W6</t>
        </is>
      </c>
      <c r="E945" t="n">
        <v>1</v>
      </c>
      <c r="F945" t="inlineStr">
        <is>
          <t>Niepełny (1 dni)</t>
        </is>
      </c>
      <c r="G945" t="inlineStr">
        <is>
          <t>31.01</t>
        </is>
      </c>
      <c r="H945" t="inlineStr">
        <is>
          <t>31.01</t>
        </is>
      </c>
      <c r="I945" t="n">
        <v>40</v>
      </c>
      <c r="J945" t="n">
        <v>0.03226</v>
      </c>
    </row>
    <row r="946">
      <c r="A946" t="inlineStr">
        <is>
          <t>2034_Luty_W1</t>
        </is>
      </c>
      <c r="B946" t="n">
        <v>2034</v>
      </c>
      <c r="C946" t="inlineStr">
        <is>
          <t>Luty</t>
        </is>
      </c>
      <c r="D946" t="inlineStr">
        <is>
          <t>W1</t>
        </is>
      </c>
      <c r="E946" t="n">
        <v>6</v>
      </c>
      <c r="F946" t="inlineStr">
        <is>
          <t>Niepełny (6 dni)</t>
        </is>
      </c>
      <c r="G946" t="inlineStr">
        <is>
          <t>01.02</t>
        </is>
      </c>
      <c r="H946" t="inlineStr">
        <is>
          <t>06.02</t>
        </is>
      </c>
      <c r="I946" t="n">
        <v>232</v>
      </c>
      <c r="J946" t="n">
        <v>0.21429</v>
      </c>
    </row>
    <row r="947">
      <c r="A947" t="inlineStr">
        <is>
          <t>2034_Luty_W2</t>
        </is>
      </c>
      <c r="B947" t="n">
        <v>2034</v>
      </c>
      <c r="C947" t="inlineStr">
        <is>
          <t>Luty</t>
        </is>
      </c>
      <c r="D947" t="inlineStr">
        <is>
          <t>W2</t>
        </is>
      </c>
      <c r="E947" t="n">
        <v>7</v>
      </c>
      <c r="F947" t="inlineStr">
        <is>
          <t>Pełny (7 dni)</t>
        </is>
      </c>
      <c r="G947" t="inlineStr">
        <is>
          <t>07.02</t>
        </is>
      </c>
      <c r="H947" t="inlineStr">
        <is>
          <t>13.02</t>
        </is>
      </c>
      <c r="I947" t="n">
        <v>272</v>
      </c>
      <c r="J947" t="n">
        <v>0.25</v>
      </c>
    </row>
    <row r="948">
      <c r="A948" t="inlineStr">
        <is>
          <t>2034_Luty_W3</t>
        </is>
      </c>
      <c r="B948" t="n">
        <v>2034</v>
      </c>
      <c r="C948" t="inlineStr">
        <is>
          <t>Luty</t>
        </is>
      </c>
      <c r="D948" t="inlineStr">
        <is>
          <t>W3</t>
        </is>
      </c>
      <c r="E948" t="n">
        <v>7</v>
      </c>
      <c r="F948" t="inlineStr">
        <is>
          <t>Pełny (7 dni)</t>
        </is>
      </c>
      <c r="G948" t="inlineStr">
        <is>
          <t>14.02</t>
        </is>
      </c>
      <c r="H948" t="inlineStr">
        <is>
          <t>20.02</t>
        </is>
      </c>
      <c r="I948" t="n">
        <v>272</v>
      </c>
      <c r="J948" t="n">
        <v>0.25</v>
      </c>
    </row>
    <row r="949">
      <c r="A949" t="inlineStr">
        <is>
          <t>2034_Luty_W4</t>
        </is>
      </c>
      <c r="B949" t="n">
        <v>2034</v>
      </c>
      <c r="C949" t="inlineStr">
        <is>
          <t>Luty</t>
        </is>
      </c>
      <c r="D949" t="inlineStr">
        <is>
          <t>W4</t>
        </is>
      </c>
      <c r="E949" t="n">
        <v>7</v>
      </c>
      <c r="F949" t="inlineStr">
        <is>
          <t>Pełny (7 dni)</t>
        </is>
      </c>
      <c r="G949" t="inlineStr">
        <is>
          <t>21.02</t>
        </is>
      </c>
      <c r="H949" t="inlineStr">
        <is>
          <t>27.02</t>
        </is>
      </c>
      <c r="I949" t="n">
        <v>272</v>
      </c>
      <c r="J949" t="n">
        <v>0.25</v>
      </c>
    </row>
    <row r="950">
      <c r="A950" t="inlineStr">
        <is>
          <t>2034_Luty_W5</t>
        </is>
      </c>
      <c r="B950" t="n">
        <v>2034</v>
      </c>
      <c r="C950" t="inlineStr">
        <is>
          <t>Luty</t>
        </is>
      </c>
      <c r="D950" t="inlineStr">
        <is>
          <t>W5</t>
        </is>
      </c>
      <c r="E950" t="n">
        <v>1</v>
      </c>
      <c r="F950" t="inlineStr">
        <is>
          <t>Niepełny (1 dni)</t>
        </is>
      </c>
      <c r="G950" t="inlineStr">
        <is>
          <t>28.02</t>
        </is>
      </c>
      <c r="H950" t="inlineStr">
        <is>
          <t>28.02</t>
        </is>
      </c>
      <c r="I950" t="n">
        <v>40</v>
      </c>
      <c r="J950" t="n">
        <v>0.03571</v>
      </c>
    </row>
    <row r="951">
      <c r="A951" t="inlineStr">
        <is>
          <t>2034_Luty_W6</t>
        </is>
      </c>
      <c r="B951" t="n">
        <v>2034</v>
      </c>
      <c r="C951" t="inlineStr">
        <is>
          <t>Luty</t>
        </is>
      </c>
      <c r="D951" t="inlineStr">
        <is>
          <t>W6</t>
        </is>
      </c>
      <c r="E951" t="n">
        <v>0</v>
      </c>
      <c r="F951" t="inlineStr">
        <is>
          <t>Brak w miesiącu</t>
        </is>
      </c>
      <c r="G951" t="inlineStr">
        <is>
          <t>-</t>
        </is>
      </c>
      <c r="H951" t="inlineStr">
        <is>
          <t>-</t>
        </is>
      </c>
      <c r="I951" t="n">
        <v>0</v>
      </c>
      <c r="J951" t="n">
        <v>0</v>
      </c>
    </row>
    <row r="952">
      <c r="A952" t="inlineStr">
        <is>
          <t>2034_Marzec_W1</t>
        </is>
      </c>
      <c r="B952" t="n">
        <v>2034</v>
      </c>
      <c r="C952" t="inlineStr">
        <is>
          <t>Marzec</t>
        </is>
      </c>
      <c r="D952" t="inlineStr">
        <is>
          <t>W1</t>
        </is>
      </c>
      <c r="E952" t="n">
        <v>6</v>
      </c>
      <c r="F952" t="inlineStr">
        <is>
          <t>Niepełny (6 dni)</t>
        </is>
      </c>
      <c r="G952" t="inlineStr">
        <is>
          <t>01.03</t>
        </is>
      </c>
      <c r="H952" t="inlineStr">
        <is>
          <t>06.03</t>
        </is>
      </c>
      <c r="I952" t="n">
        <v>232</v>
      </c>
      <c r="J952" t="n">
        <v>0.19355</v>
      </c>
    </row>
    <row r="953">
      <c r="A953" t="inlineStr">
        <is>
          <t>2034_Marzec_W2</t>
        </is>
      </c>
      <c r="B953" t="n">
        <v>2034</v>
      </c>
      <c r="C953" t="inlineStr">
        <is>
          <t>Marzec</t>
        </is>
      </c>
      <c r="D953" t="inlineStr">
        <is>
          <t>W2</t>
        </is>
      </c>
      <c r="E953" t="n">
        <v>7</v>
      </c>
      <c r="F953" t="inlineStr">
        <is>
          <t>Pełny (7 dni)</t>
        </is>
      </c>
      <c r="G953" t="inlineStr">
        <is>
          <t>07.03</t>
        </is>
      </c>
      <c r="H953" t="inlineStr">
        <is>
          <t>13.03</t>
        </is>
      </c>
      <c r="I953" t="n">
        <v>272</v>
      </c>
      <c r="J953" t="n">
        <v>0.22581</v>
      </c>
    </row>
    <row r="954">
      <c r="A954" t="inlineStr">
        <is>
          <t>2034_Marzec_W3</t>
        </is>
      </c>
      <c r="B954" t="n">
        <v>2034</v>
      </c>
      <c r="C954" t="inlineStr">
        <is>
          <t>Marzec</t>
        </is>
      </c>
      <c r="D954" t="inlineStr">
        <is>
          <t>W3</t>
        </is>
      </c>
      <c r="E954" t="n">
        <v>7</v>
      </c>
      <c r="F954" t="inlineStr">
        <is>
          <t>Pełny (7 dni)</t>
        </is>
      </c>
      <c r="G954" t="inlineStr">
        <is>
          <t>14.03</t>
        </is>
      </c>
      <c r="H954" t="inlineStr">
        <is>
          <t>20.03</t>
        </is>
      </c>
      <c r="I954" t="n">
        <v>272</v>
      </c>
      <c r="J954" t="n">
        <v>0.22581</v>
      </c>
    </row>
    <row r="955">
      <c r="A955" t="inlineStr">
        <is>
          <t>2034_Marzec_W4</t>
        </is>
      </c>
      <c r="B955" t="n">
        <v>2034</v>
      </c>
      <c r="C955" t="inlineStr">
        <is>
          <t>Marzec</t>
        </is>
      </c>
      <c r="D955" t="inlineStr">
        <is>
          <t>W4</t>
        </is>
      </c>
      <c r="E955" t="n">
        <v>7</v>
      </c>
      <c r="F955" t="inlineStr">
        <is>
          <t>Pełny (7 dni)</t>
        </is>
      </c>
      <c r="G955" t="inlineStr">
        <is>
          <t>21.03</t>
        </is>
      </c>
      <c r="H955" t="inlineStr">
        <is>
          <t>27.03</t>
        </is>
      </c>
      <c r="I955" t="n">
        <v>272</v>
      </c>
      <c r="J955" t="n">
        <v>0.22581</v>
      </c>
    </row>
    <row r="956">
      <c r="A956" t="inlineStr">
        <is>
          <t>2034_Marzec_W5</t>
        </is>
      </c>
      <c r="B956" t="n">
        <v>2034</v>
      </c>
      <c r="C956" t="inlineStr">
        <is>
          <t>Marzec</t>
        </is>
      </c>
      <c r="D956" t="inlineStr">
        <is>
          <t>W5</t>
        </is>
      </c>
      <c r="E956" t="n">
        <v>4</v>
      </c>
      <c r="F956" t="inlineStr">
        <is>
          <t>Niepełny (4 dni)</t>
        </is>
      </c>
      <c r="G956" t="inlineStr">
        <is>
          <t>28.03</t>
        </is>
      </c>
      <c r="H956" t="inlineStr">
        <is>
          <t>31.03</t>
        </is>
      </c>
      <c r="I956" t="n">
        <v>160</v>
      </c>
      <c r="J956" t="n">
        <v>0.12903</v>
      </c>
    </row>
    <row r="957">
      <c r="A957" t="inlineStr">
        <is>
          <t>2034_Marzec_W6</t>
        </is>
      </c>
      <c r="B957" t="n">
        <v>2034</v>
      </c>
      <c r="C957" t="inlineStr">
        <is>
          <t>Marzec</t>
        </is>
      </c>
      <c r="D957" t="inlineStr">
        <is>
          <t>W6</t>
        </is>
      </c>
      <c r="E957" t="n">
        <v>0</v>
      </c>
      <c r="F957" t="inlineStr">
        <is>
          <t>Brak w miesiącu</t>
        </is>
      </c>
      <c r="G957" t="inlineStr">
        <is>
          <t>-</t>
        </is>
      </c>
      <c r="H957" t="inlineStr">
        <is>
          <t>-</t>
        </is>
      </c>
      <c r="I957" t="n">
        <v>0</v>
      </c>
      <c r="J957" t="n">
        <v>0</v>
      </c>
    </row>
    <row r="958">
      <c r="A958" t="inlineStr">
        <is>
          <t>2034_Kwiecień_W1</t>
        </is>
      </c>
      <c r="B958" t="n">
        <v>2034</v>
      </c>
      <c r="C958" t="inlineStr">
        <is>
          <t>Kwiecień</t>
        </is>
      </c>
      <c r="D958" t="inlineStr">
        <is>
          <t>W1</t>
        </is>
      </c>
      <c r="E958" t="n">
        <v>3</v>
      </c>
      <c r="F958" t="inlineStr">
        <is>
          <t>Niepełny (3 dni)</t>
        </is>
      </c>
      <c r="G958" t="inlineStr">
        <is>
          <t>01.04</t>
        </is>
      </c>
      <c r="H958" t="inlineStr">
        <is>
          <t>03.04</t>
        </is>
      </c>
      <c r="I958" t="n">
        <v>112</v>
      </c>
      <c r="J958" t="n">
        <v>0.1</v>
      </c>
    </row>
    <row r="959">
      <c r="A959" t="inlineStr">
        <is>
          <t>2034_Kwiecień_W2</t>
        </is>
      </c>
      <c r="B959" t="n">
        <v>2034</v>
      </c>
      <c r="C959" t="inlineStr">
        <is>
          <t>Kwiecień</t>
        </is>
      </c>
      <c r="D959" t="inlineStr">
        <is>
          <t>W2</t>
        </is>
      </c>
      <c r="E959" t="n">
        <v>7</v>
      </c>
      <c r="F959" t="inlineStr">
        <is>
          <t>Pełny (7 dni)</t>
        </is>
      </c>
      <c r="G959" t="inlineStr">
        <is>
          <t>04.04</t>
        </is>
      </c>
      <c r="H959" t="inlineStr">
        <is>
          <t>10.04</t>
        </is>
      </c>
      <c r="I959" t="n">
        <v>272</v>
      </c>
      <c r="J959" t="n">
        <v>0.23333</v>
      </c>
    </row>
    <row r="960">
      <c r="A960" t="inlineStr">
        <is>
          <t>2034_Kwiecień_W3</t>
        </is>
      </c>
      <c r="B960" t="n">
        <v>2034</v>
      </c>
      <c r="C960" t="inlineStr">
        <is>
          <t>Kwiecień</t>
        </is>
      </c>
      <c r="D960" t="inlineStr">
        <is>
          <t>W3</t>
        </is>
      </c>
      <c r="E960" t="n">
        <v>7</v>
      </c>
      <c r="F960" t="inlineStr">
        <is>
          <t>Pełny (7 dni)</t>
        </is>
      </c>
      <c r="G960" t="inlineStr">
        <is>
          <t>11.04</t>
        </is>
      </c>
      <c r="H960" t="inlineStr">
        <is>
          <t>17.04</t>
        </is>
      </c>
      <c r="I960" t="n">
        <v>272</v>
      </c>
      <c r="J960" t="n">
        <v>0.23333</v>
      </c>
    </row>
    <row r="961">
      <c r="A961" t="inlineStr">
        <is>
          <t>2034_Kwiecień_W4</t>
        </is>
      </c>
      <c r="B961" t="n">
        <v>2034</v>
      </c>
      <c r="C961" t="inlineStr">
        <is>
          <t>Kwiecień</t>
        </is>
      </c>
      <c r="D961" t="inlineStr">
        <is>
          <t>W4</t>
        </is>
      </c>
      <c r="E961" t="n">
        <v>7</v>
      </c>
      <c r="F961" t="inlineStr">
        <is>
          <t>Pełny (7 dni)</t>
        </is>
      </c>
      <c r="G961" t="inlineStr">
        <is>
          <t>18.04</t>
        </is>
      </c>
      <c r="H961" t="inlineStr">
        <is>
          <t>24.04</t>
        </is>
      </c>
      <c r="I961" t="n">
        <v>272</v>
      </c>
      <c r="J961" t="n">
        <v>0.23333</v>
      </c>
    </row>
    <row r="962">
      <c r="A962" t="inlineStr">
        <is>
          <t>2034_Kwiecień_W5</t>
        </is>
      </c>
      <c r="B962" t="n">
        <v>2034</v>
      </c>
      <c r="C962" t="inlineStr">
        <is>
          <t>Kwiecień</t>
        </is>
      </c>
      <c r="D962" t="inlineStr">
        <is>
          <t>W5</t>
        </is>
      </c>
      <c r="E962" t="n">
        <v>6</v>
      </c>
      <c r="F962" t="inlineStr">
        <is>
          <t>Niepełny (6 dni)</t>
        </is>
      </c>
      <c r="G962" t="inlineStr">
        <is>
          <t>25.04</t>
        </is>
      </c>
      <c r="H962" t="inlineStr">
        <is>
          <t>30.04</t>
        </is>
      </c>
      <c r="I962" t="n">
        <v>232</v>
      </c>
      <c r="J962" t="n">
        <v>0.2</v>
      </c>
    </row>
    <row r="963">
      <c r="A963" t="inlineStr">
        <is>
          <t>2034_Kwiecień_W6</t>
        </is>
      </c>
      <c r="B963" t="n">
        <v>2034</v>
      </c>
      <c r="C963" t="inlineStr">
        <is>
          <t>Kwiecień</t>
        </is>
      </c>
      <c r="D963" t="inlineStr">
        <is>
          <t>W6</t>
        </is>
      </c>
      <c r="E963" t="n">
        <v>0</v>
      </c>
      <c r="F963" t="inlineStr">
        <is>
          <t>Brak w miesiącu</t>
        </is>
      </c>
      <c r="G963" t="inlineStr">
        <is>
          <t>-</t>
        </is>
      </c>
      <c r="H963" t="inlineStr">
        <is>
          <t>-</t>
        </is>
      </c>
      <c r="I963" t="n">
        <v>0</v>
      </c>
      <c r="J963" t="n">
        <v>0</v>
      </c>
    </row>
    <row r="964">
      <c r="A964" t="inlineStr">
        <is>
          <t>2034_Maj_W1</t>
        </is>
      </c>
      <c r="B964" t="n">
        <v>2034</v>
      </c>
      <c r="C964" t="inlineStr">
        <is>
          <t>Maj</t>
        </is>
      </c>
      <c r="D964" t="inlineStr">
        <is>
          <t>W1</t>
        </is>
      </c>
      <c r="E964" t="n">
        <v>1</v>
      </c>
      <c r="F964" t="inlineStr">
        <is>
          <t>Niepełny (1 dni)</t>
        </is>
      </c>
      <c r="G964" t="inlineStr">
        <is>
          <t>01.05</t>
        </is>
      </c>
      <c r="H964" t="inlineStr">
        <is>
          <t>01.05</t>
        </is>
      </c>
      <c r="I964" t="n">
        <v>40</v>
      </c>
      <c r="J964" t="n">
        <v>0.03226</v>
      </c>
    </row>
    <row r="965">
      <c r="A965" t="inlineStr">
        <is>
          <t>2034_Maj_W2</t>
        </is>
      </c>
      <c r="B965" t="n">
        <v>2034</v>
      </c>
      <c r="C965" t="inlineStr">
        <is>
          <t>Maj</t>
        </is>
      </c>
      <c r="D965" t="inlineStr">
        <is>
          <t>W2</t>
        </is>
      </c>
      <c r="E965" t="n">
        <v>7</v>
      </c>
      <c r="F965" t="inlineStr">
        <is>
          <t>Pełny (7 dni)</t>
        </is>
      </c>
      <c r="G965" t="inlineStr">
        <is>
          <t>02.05</t>
        </is>
      </c>
      <c r="H965" t="inlineStr">
        <is>
          <t>08.05</t>
        </is>
      </c>
      <c r="I965" t="n">
        <v>272</v>
      </c>
      <c r="J965" t="n">
        <v>0.22581</v>
      </c>
    </row>
    <row r="966">
      <c r="A966" t="inlineStr">
        <is>
          <t>2034_Maj_W3</t>
        </is>
      </c>
      <c r="B966" t="n">
        <v>2034</v>
      </c>
      <c r="C966" t="inlineStr">
        <is>
          <t>Maj</t>
        </is>
      </c>
      <c r="D966" t="inlineStr">
        <is>
          <t>W3</t>
        </is>
      </c>
      <c r="E966" t="n">
        <v>7</v>
      </c>
      <c r="F966" t="inlineStr">
        <is>
          <t>Pełny (7 dni)</t>
        </is>
      </c>
      <c r="G966" t="inlineStr">
        <is>
          <t>09.05</t>
        </is>
      </c>
      <c r="H966" t="inlineStr">
        <is>
          <t>15.05</t>
        </is>
      </c>
      <c r="I966" t="n">
        <v>272</v>
      </c>
      <c r="J966" t="n">
        <v>0.22581</v>
      </c>
    </row>
    <row r="967">
      <c r="A967" t="inlineStr">
        <is>
          <t>2034_Maj_W4</t>
        </is>
      </c>
      <c r="B967" t="n">
        <v>2034</v>
      </c>
      <c r="C967" t="inlineStr">
        <is>
          <t>Maj</t>
        </is>
      </c>
      <c r="D967" t="inlineStr">
        <is>
          <t>W4</t>
        </is>
      </c>
      <c r="E967" t="n">
        <v>7</v>
      </c>
      <c r="F967" t="inlineStr">
        <is>
          <t>Pełny (7 dni)</t>
        </is>
      </c>
      <c r="G967" t="inlineStr">
        <is>
          <t>16.05</t>
        </is>
      </c>
      <c r="H967" t="inlineStr">
        <is>
          <t>22.05</t>
        </is>
      </c>
      <c r="I967" t="n">
        <v>272</v>
      </c>
      <c r="J967" t="n">
        <v>0.22581</v>
      </c>
    </row>
    <row r="968">
      <c r="A968" t="inlineStr">
        <is>
          <t>2034_Maj_W5</t>
        </is>
      </c>
      <c r="B968" t="n">
        <v>2034</v>
      </c>
      <c r="C968" t="inlineStr">
        <is>
          <t>Maj</t>
        </is>
      </c>
      <c r="D968" t="inlineStr">
        <is>
          <t>W5</t>
        </is>
      </c>
      <c r="E968" t="n">
        <v>7</v>
      </c>
      <c r="F968" t="inlineStr">
        <is>
          <t>Pełny (7 dni)</t>
        </is>
      </c>
      <c r="G968" t="inlineStr">
        <is>
          <t>23.05</t>
        </is>
      </c>
      <c r="H968" t="inlineStr">
        <is>
          <t>29.05</t>
        </is>
      </c>
      <c r="I968" t="n">
        <v>272</v>
      </c>
      <c r="J968" t="n">
        <v>0.22581</v>
      </c>
    </row>
    <row r="969">
      <c r="A969" t="inlineStr">
        <is>
          <t>2034_Maj_W6</t>
        </is>
      </c>
      <c r="B969" t="n">
        <v>2034</v>
      </c>
      <c r="C969" t="inlineStr">
        <is>
          <t>Maj</t>
        </is>
      </c>
      <c r="D969" t="inlineStr">
        <is>
          <t>W6</t>
        </is>
      </c>
      <c r="E969" t="n">
        <v>2</v>
      </c>
      <c r="F969" t="inlineStr">
        <is>
          <t>Niepełny (2 dni)</t>
        </is>
      </c>
      <c r="G969" t="inlineStr">
        <is>
          <t>30.05</t>
        </is>
      </c>
      <c r="H969" t="inlineStr">
        <is>
          <t>31.05</t>
        </is>
      </c>
      <c r="I969" t="n">
        <v>80</v>
      </c>
      <c r="J969" t="n">
        <v>0.06451999999999999</v>
      </c>
    </row>
    <row r="970">
      <c r="A970" t="inlineStr">
        <is>
          <t>2034_Czerwiec_W1</t>
        </is>
      </c>
      <c r="B970" t="n">
        <v>2034</v>
      </c>
      <c r="C970" t="inlineStr">
        <is>
          <t>Czerwiec</t>
        </is>
      </c>
      <c r="D970" t="inlineStr">
        <is>
          <t>W1</t>
        </is>
      </c>
      <c r="E970" t="n">
        <v>5</v>
      </c>
      <c r="F970" t="inlineStr">
        <is>
          <t>Niepełny (5 dni)</t>
        </is>
      </c>
      <c r="G970" t="inlineStr">
        <is>
          <t>01.06</t>
        </is>
      </c>
      <c r="H970" t="inlineStr">
        <is>
          <t>05.06</t>
        </is>
      </c>
      <c r="I970" t="n">
        <v>192</v>
      </c>
      <c r="J970" t="n">
        <v>0.16667</v>
      </c>
    </row>
    <row r="971">
      <c r="A971" t="inlineStr">
        <is>
          <t>2034_Czerwiec_W2</t>
        </is>
      </c>
      <c r="B971" t="n">
        <v>2034</v>
      </c>
      <c r="C971" t="inlineStr">
        <is>
          <t>Czerwiec</t>
        </is>
      </c>
      <c r="D971" t="inlineStr">
        <is>
          <t>W2</t>
        </is>
      </c>
      <c r="E971" t="n">
        <v>7</v>
      </c>
      <c r="F971" t="inlineStr">
        <is>
          <t>Pełny (7 dni)</t>
        </is>
      </c>
      <c r="G971" t="inlineStr">
        <is>
          <t>06.06</t>
        </is>
      </c>
      <c r="H971" t="inlineStr">
        <is>
          <t>12.06</t>
        </is>
      </c>
      <c r="I971" t="n">
        <v>272</v>
      </c>
      <c r="J971" t="n">
        <v>0.23333</v>
      </c>
    </row>
    <row r="972">
      <c r="A972" t="inlineStr">
        <is>
          <t>2034_Czerwiec_W3</t>
        </is>
      </c>
      <c r="B972" t="n">
        <v>2034</v>
      </c>
      <c r="C972" t="inlineStr">
        <is>
          <t>Czerwiec</t>
        </is>
      </c>
      <c r="D972" t="inlineStr">
        <is>
          <t>W3</t>
        </is>
      </c>
      <c r="E972" t="n">
        <v>7</v>
      </c>
      <c r="F972" t="inlineStr">
        <is>
          <t>Pełny (7 dni)</t>
        </is>
      </c>
      <c r="G972" t="inlineStr">
        <is>
          <t>13.06</t>
        </is>
      </c>
      <c r="H972" t="inlineStr">
        <is>
          <t>19.06</t>
        </is>
      </c>
      <c r="I972" t="n">
        <v>272</v>
      </c>
      <c r="J972" t="n">
        <v>0.23333</v>
      </c>
    </row>
    <row r="973">
      <c r="A973" t="inlineStr">
        <is>
          <t>2034_Czerwiec_W4</t>
        </is>
      </c>
      <c r="B973" t="n">
        <v>2034</v>
      </c>
      <c r="C973" t="inlineStr">
        <is>
          <t>Czerwiec</t>
        </is>
      </c>
      <c r="D973" t="inlineStr">
        <is>
          <t>W4</t>
        </is>
      </c>
      <c r="E973" t="n">
        <v>7</v>
      </c>
      <c r="F973" t="inlineStr">
        <is>
          <t>Pełny (7 dni)</t>
        </is>
      </c>
      <c r="G973" t="inlineStr">
        <is>
          <t>20.06</t>
        </is>
      </c>
      <c r="H973" t="inlineStr">
        <is>
          <t>26.06</t>
        </is>
      </c>
      <c r="I973" t="n">
        <v>272</v>
      </c>
      <c r="J973" t="n">
        <v>0.23333</v>
      </c>
    </row>
    <row r="974">
      <c r="A974" t="inlineStr">
        <is>
          <t>2034_Czerwiec_W5</t>
        </is>
      </c>
      <c r="B974" t="n">
        <v>2034</v>
      </c>
      <c r="C974" t="inlineStr">
        <is>
          <t>Czerwiec</t>
        </is>
      </c>
      <c r="D974" t="inlineStr">
        <is>
          <t>W5</t>
        </is>
      </c>
      <c r="E974" t="n">
        <v>4</v>
      </c>
      <c r="F974" t="inlineStr">
        <is>
          <t>Niepełny (4 dni)</t>
        </is>
      </c>
      <c r="G974" t="inlineStr">
        <is>
          <t>27.06</t>
        </is>
      </c>
      <c r="H974" t="inlineStr">
        <is>
          <t>30.06</t>
        </is>
      </c>
      <c r="I974" t="n">
        <v>160</v>
      </c>
      <c r="J974" t="n">
        <v>0.13333</v>
      </c>
    </row>
    <row r="975">
      <c r="A975" t="inlineStr">
        <is>
          <t>2034_Czerwiec_W6</t>
        </is>
      </c>
      <c r="B975" t="n">
        <v>2034</v>
      </c>
      <c r="C975" t="inlineStr">
        <is>
          <t>Czerwiec</t>
        </is>
      </c>
      <c r="D975" t="inlineStr">
        <is>
          <t>W6</t>
        </is>
      </c>
      <c r="E975" t="n">
        <v>0</v>
      </c>
      <c r="F975" t="inlineStr">
        <is>
          <t>Brak w miesiącu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0</v>
      </c>
    </row>
    <row r="976">
      <c r="A976" t="inlineStr">
        <is>
          <t>2034_Lipiec_W1</t>
        </is>
      </c>
      <c r="B976" t="n">
        <v>2034</v>
      </c>
      <c r="C976" t="inlineStr">
        <is>
          <t>Lipiec</t>
        </is>
      </c>
      <c r="D976" t="inlineStr">
        <is>
          <t>W1</t>
        </is>
      </c>
      <c r="E976" t="n">
        <v>3</v>
      </c>
      <c r="F976" t="inlineStr">
        <is>
          <t>Niepełny (3 dni)</t>
        </is>
      </c>
      <c r="G976" t="inlineStr">
        <is>
          <t>01.07</t>
        </is>
      </c>
      <c r="H976" t="inlineStr">
        <is>
          <t>03.07</t>
        </is>
      </c>
      <c r="I976" t="n">
        <v>112</v>
      </c>
      <c r="J976" t="n">
        <v>0.09676999999999999</v>
      </c>
    </row>
    <row r="977">
      <c r="A977" t="inlineStr">
        <is>
          <t>2034_Lipiec_W2</t>
        </is>
      </c>
      <c r="B977" t="n">
        <v>2034</v>
      </c>
      <c r="C977" t="inlineStr">
        <is>
          <t>Lipiec</t>
        </is>
      </c>
      <c r="D977" t="inlineStr">
        <is>
          <t>W2</t>
        </is>
      </c>
      <c r="E977" t="n">
        <v>7</v>
      </c>
      <c r="F977" t="inlineStr">
        <is>
          <t>Pełny (7 dni)</t>
        </is>
      </c>
      <c r="G977" t="inlineStr">
        <is>
          <t>04.07</t>
        </is>
      </c>
      <c r="H977" t="inlineStr">
        <is>
          <t>10.07</t>
        </is>
      </c>
      <c r="I977" t="n">
        <v>272</v>
      </c>
      <c r="J977" t="n">
        <v>0.22581</v>
      </c>
    </row>
    <row r="978">
      <c r="A978" t="inlineStr">
        <is>
          <t>2034_Lipiec_W3</t>
        </is>
      </c>
      <c r="B978" t="n">
        <v>2034</v>
      </c>
      <c r="C978" t="inlineStr">
        <is>
          <t>Lipiec</t>
        </is>
      </c>
      <c r="D978" t="inlineStr">
        <is>
          <t>W3</t>
        </is>
      </c>
      <c r="E978" t="n">
        <v>7</v>
      </c>
      <c r="F978" t="inlineStr">
        <is>
          <t>Pełny (7 dni)</t>
        </is>
      </c>
      <c r="G978" t="inlineStr">
        <is>
          <t>11.07</t>
        </is>
      </c>
      <c r="H978" t="inlineStr">
        <is>
          <t>17.07</t>
        </is>
      </c>
      <c r="I978" t="n">
        <v>272</v>
      </c>
      <c r="J978" t="n">
        <v>0.22581</v>
      </c>
    </row>
    <row r="979">
      <c r="A979" t="inlineStr">
        <is>
          <t>2034_Lipiec_W4</t>
        </is>
      </c>
      <c r="B979" t="n">
        <v>2034</v>
      </c>
      <c r="C979" t="inlineStr">
        <is>
          <t>Lipiec</t>
        </is>
      </c>
      <c r="D979" t="inlineStr">
        <is>
          <t>W4</t>
        </is>
      </c>
      <c r="E979" t="n">
        <v>7</v>
      </c>
      <c r="F979" t="inlineStr">
        <is>
          <t>Pełny (7 dni)</t>
        </is>
      </c>
      <c r="G979" t="inlineStr">
        <is>
          <t>18.07</t>
        </is>
      </c>
      <c r="H979" t="inlineStr">
        <is>
          <t>24.07</t>
        </is>
      </c>
      <c r="I979" t="n">
        <v>272</v>
      </c>
      <c r="J979" t="n">
        <v>0.22581</v>
      </c>
    </row>
    <row r="980">
      <c r="A980" t="inlineStr">
        <is>
          <t>2034_Lipiec_W5</t>
        </is>
      </c>
      <c r="B980" t="n">
        <v>2034</v>
      </c>
      <c r="C980" t="inlineStr">
        <is>
          <t>Lipiec</t>
        </is>
      </c>
      <c r="D980" t="inlineStr">
        <is>
          <t>W5</t>
        </is>
      </c>
      <c r="E980" t="n">
        <v>7</v>
      </c>
      <c r="F980" t="inlineStr">
        <is>
          <t>Pełny (7 dni)</t>
        </is>
      </c>
      <c r="G980" t="inlineStr">
        <is>
          <t>25.07</t>
        </is>
      </c>
      <c r="H980" t="inlineStr">
        <is>
          <t>31.07</t>
        </is>
      </c>
      <c r="I980" t="n">
        <v>272</v>
      </c>
      <c r="J980" t="n">
        <v>0.22581</v>
      </c>
    </row>
    <row r="981">
      <c r="A981" t="inlineStr">
        <is>
          <t>2034_Lipiec_W6</t>
        </is>
      </c>
      <c r="B981" t="n">
        <v>2034</v>
      </c>
      <c r="C981" t="inlineStr">
        <is>
          <t>Lipiec</t>
        </is>
      </c>
      <c r="D981" t="inlineStr">
        <is>
          <t>W6</t>
        </is>
      </c>
      <c r="E981" t="n">
        <v>0</v>
      </c>
      <c r="F981" t="inlineStr">
        <is>
          <t>Brak w miesiącu</t>
        </is>
      </c>
      <c r="G981" t="inlineStr">
        <is>
          <t>-</t>
        </is>
      </c>
      <c r="H981" t="inlineStr">
        <is>
          <t>-</t>
        </is>
      </c>
      <c r="I981" t="n">
        <v>0</v>
      </c>
      <c r="J981" t="n">
        <v>0</v>
      </c>
    </row>
    <row r="982">
      <c r="A982" t="inlineStr">
        <is>
          <t>2034_Sierpień_W1</t>
        </is>
      </c>
      <c r="B982" t="n">
        <v>2034</v>
      </c>
      <c r="C982" t="inlineStr">
        <is>
          <t>Sierpień</t>
        </is>
      </c>
      <c r="D982" t="inlineStr">
        <is>
          <t>W1</t>
        </is>
      </c>
      <c r="E982" t="n">
        <v>7</v>
      </c>
      <c r="F982" t="inlineStr">
        <is>
          <t>Pełny (7 dni)</t>
        </is>
      </c>
      <c r="G982" t="inlineStr">
        <is>
          <t>01.08</t>
        </is>
      </c>
      <c r="H982" t="inlineStr">
        <is>
          <t>07.08</t>
        </is>
      </c>
      <c r="I982" t="n">
        <v>272</v>
      </c>
      <c r="J982" t="n">
        <v>0.22581</v>
      </c>
    </row>
    <row r="983">
      <c r="A983" t="inlineStr">
        <is>
          <t>2034_Sierpień_W2</t>
        </is>
      </c>
      <c r="B983" t="n">
        <v>2034</v>
      </c>
      <c r="C983" t="inlineStr">
        <is>
          <t>Sierpień</t>
        </is>
      </c>
      <c r="D983" t="inlineStr">
        <is>
          <t>W2</t>
        </is>
      </c>
      <c r="E983" t="n">
        <v>7</v>
      </c>
      <c r="F983" t="inlineStr">
        <is>
          <t>Pełny (7 dni)</t>
        </is>
      </c>
      <c r="G983" t="inlineStr">
        <is>
          <t>08.08</t>
        </is>
      </c>
      <c r="H983" t="inlineStr">
        <is>
          <t>14.08</t>
        </is>
      </c>
      <c r="I983" t="n">
        <v>272</v>
      </c>
      <c r="J983" t="n">
        <v>0.22581</v>
      </c>
    </row>
    <row r="984">
      <c r="A984" t="inlineStr">
        <is>
          <t>2034_Sierpień_W3</t>
        </is>
      </c>
      <c r="B984" t="n">
        <v>2034</v>
      </c>
      <c r="C984" t="inlineStr">
        <is>
          <t>Sierpień</t>
        </is>
      </c>
      <c r="D984" t="inlineStr">
        <is>
          <t>W3</t>
        </is>
      </c>
      <c r="E984" t="n">
        <v>7</v>
      </c>
      <c r="F984" t="inlineStr">
        <is>
          <t>Pełny (7 dni)</t>
        </is>
      </c>
      <c r="G984" t="inlineStr">
        <is>
          <t>15.08</t>
        </is>
      </c>
      <c r="H984" t="inlineStr">
        <is>
          <t>21.08</t>
        </is>
      </c>
      <c r="I984" t="n">
        <v>272</v>
      </c>
      <c r="J984" t="n">
        <v>0.22581</v>
      </c>
    </row>
    <row r="985">
      <c r="A985" t="inlineStr">
        <is>
          <t>2034_Sierpień_W4</t>
        </is>
      </c>
      <c r="B985" t="n">
        <v>2034</v>
      </c>
      <c r="C985" t="inlineStr">
        <is>
          <t>Sierpień</t>
        </is>
      </c>
      <c r="D985" t="inlineStr">
        <is>
          <t>W4</t>
        </is>
      </c>
      <c r="E985" t="n">
        <v>7</v>
      </c>
      <c r="F985" t="inlineStr">
        <is>
          <t>Pełny (7 dni)</t>
        </is>
      </c>
      <c r="G985" t="inlineStr">
        <is>
          <t>22.08</t>
        </is>
      </c>
      <c r="H985" t="inlineStr">
        <is>
          <t>28.08</t>
        </is>
      </c>
      <c r="I985" t="n">
        <v>272</v>
      </c>
      <c r="J985" t="n">
        <v>0.22581</v>
      </c>
    </row>
    <row r="986">
      <c r="A986" t="inlineStr">
        <is>
          <t>2034_Sierpień_W5</t>
        </is>
      </c>
      <c r="B986" t="n">
        <v>2034</v>
      </c>
      <c r="C986" t="inlineStr">
        <is>
          <t>Sierpień</t>
        </is>
      </c>
      <c r="D986" t="inlineStr">
        <is>
          <t>W5</t>
        </is>
      </c>
      <c r="E986" t="n">
        <v>3</v>
      </c>
      <c r="F986" t="inlineStr">
        <is>
          <t>Niepełny (3 dni)</t>
        </is>
      </c>
      <c r="G986" t="inlineStr">
        <is>
          <t>29.08</t>
        </is>
      </c>
      <c r="H986" t="inlineStr">
        <is>
          <t>31.08</t>
        </is>
      </c>
      <c r="I986" t="n">
        <v>120</v>
      </c>
      <c r="J986" t="n">
        <v>0.09676999999999999</v>
      </c>
    </row>
    <row r="987">
      <c r="A987" t="inlineStr">
        <is>
          <t>2034_Sierpień_W6</t>
        </is>
      </c>
      <c r="B987" t="n">
        <v>2034</v>
      </c>
      <c r="C987" t="inlineStr">
        <is>
          <t>Sierpień</t>
        </is>
      </c>
      <c r="D987" t="inlineStr">
        <is>
          <t>W6</t>
        </is>
      </c>
      <c r="E987" t="n">
        <v>0</v>
      </c>
      <c r="F987" t="inlineStr">
        <is>
          <t>Brak w miesiącu</t>
        </is>
      </c>
      <c r="G987" t="inlineStr">
        <is>
          <t>-</t>
        </is>
      </c>
      <c r="H987" t="inlineStr">
        <is>
          <t>-</t>
        </is>
      </c>
      <c r="I987" t="n">
        <v>0</v>
      </c>
      <c r="J987" t="n">
        <v>0</v>
      </c>
    </row>
    <row r="988">
      <c r="A988" t="inlineStr">
        <is>
          <t>2034_Wrzesień_W1</t>
        </is>
      </c>
      <c r="B988" t="n">
        <v>2034</v>
      </c>
      <c r="C988" t="inlineStr">
        <is>
          <t>Wrzesień</t>
        </is>
      </c>
      <c r="D988" t="inlineStr">
        <is>
          <t>W1</t>
        </is>
      </c>
      <c r="E988" t="n">
        <v>4</v>
      </c>
      <c r="F988" t="inlineStr">
        <is>
          <t>Niepełny (4 dni)</t>
        </is>
      </c>
      <c r="G988" t="inlineStr">
        <is>
          <t>01.09</t>
        </is>
      </c>
      <c r="H988" t="inlineStr">
        <is>
          <t>04.09</t>
        </is>
      </c>
      <c r="I988" t="n">
        <v>152</v>
      </c>
      <c r="J988" t="n">
        <v>0.13333</v>
      </c>
    </row>
    <row r="989">
      <c r="A989" t="inlineStr">
        <is>
          <t>2034_Wrzesień_W2</t>
        </is>
      </c>
      <c r="B989" t="n">
        <v>2034</v>
      </c>
      <c r="C989" t="inlineStr">
        <is>
          <t>Wrzesień</t>
        </is>
      </c>
      <c r="D989" t="inlineStr">
        <is>
          <t>W2</t>
        </is>
      </c>
      <c r="E989" t="n">
        <v>7</v>
      </c>
      <c r="F989" t="inlineStr">
        <is>
          <t>Pełny (7 dni)</t>
        </is>
      </c>
      <c r="G989" t="inlineStr">
        <is>
          <t>05.09</t>
        </is>
      </c>
      <c r="H989" t="inlineStr">
        <is>
          <t>11.09</t>
        </is>
      </c>
      <c r="I989" t="n">
        <v>272</v>
      </c>
      <c r="J989" t="n">
        <v>0.23333</v>
      </c>
    </row>
    <row r="990">
      <c r="A990" t="inlineStr">
        <is>
          <t>2034_Wrzesień_W3</t>
        </is>
      </c>
      <c r="B990" t="n">
        <v>2034</v>
      </c>
      <c r="C990" t="inlineStr">
        <is>
          <t>Wrzesień</t>
        </is>
      </c>
      <c r="D990" t="inlineStr">
        <is>
          <t>W3</t>
        </is>
      </c>
      <c r="E990" t="n">
        <v>7</v>
      </c>
      <c r="F990" t="inlineStr">
        <is>
          <t>Pełny (7 dni)</t>
        </is>
      </c>
      <c r="G990" t="inlineStr">
        <is>
          <t>12.09</t>
        </is>
      </c>
      <c r="H990" t="inlineStr">
        <is>
          <t>18.09</t>
        </is>
      </c>
      <c r="I990" t="n">
        <v>272</v>
      </c>
      <c r="J990" t="n">
        <v>0.23333</v>
      </c>
    </row>
    <row r="991">
      <c r="A991" t="inlineStr">
        <is>
          <t>2034_Wrzesień_W4</t>
        </is>
      </c>
      <c r="B991" t="n">
        <v>2034</v>
      </c>
      <c r="C991" t="inlineStr">
        <is>
          <t>Wrzesień</t>
        </is>
      </c>
      <c r="D991" t="inlineStr">
        <is>
          <t>W4</t>
        </is>
      </c>
      <c r="E991" t="n">
        <v>7</v>
      </c>
      <c r="F991" t="inlineStr">
        <is>
          <t>Pełny (7 dni)</t>
        </is>
      </c>
      <c r="G991" t="inlineStr">
        <is>
          <t>19.09</t>
        </is>
      </c>
      <c r="H991" t="inlineStr">
        <is>
          <t>25.09</t>
        </is>
      </c>
      <c r="I991" t="n">
        <v>272</v>
      </c>
      <c r="J991" t="n">
        <v>0.23333</v>
      </c>
    </row>
    <row r="992">
      <c r="A992" t="inlineStr">
        <is>
          <t>2034_Wrzesień_W5</t>
        </is>
      </c>
      <c r="B992" t="n">
        <v>2034</v>
      </c>
      <c r="C992" t="inlineStr">
        <is>
          <t>Wrzesień</t>
        </is>
      </c>
      <c r="D992" t="inlineStr">
        <is>
          <t>W5</t>
        </is>
      </c>
      <c r="E992" t="n">
        <v>5</v>
      </c>
      <c r="F992" t="inlineStr">
        <is>
          <t>Niepełny (5 dni)</t>
        </is>
      </c>
      <c r="G992" t="inlineStr">
        <is>
          <t>26.09</t>
        </is>
      </c>
      <c r="H992" t="inlineStr">
        <is>
          <t>30.09</t>
        </is>
      </c>
      <c r="I992" t="n">
        <v>200</v>
      </c>
      <c r="J992" t="n">
        <v>0.16667</v>
      </c>
    </row>
    <row r="993">
      <c r="A993" t="inlineStr">
        <is>
          <t>2034_Wrzesień_W6</t>
        </is>
      </c>
      <c r="B993" t="n">
        <v>2034</v>
      </c>
      <c r="C993" t="inlineStr">
        <is>
          <t>Wrzesień</t>
        </is>
      </c>
      <c r="D993" t="inlineStr">
        <is>
          <t>W6</t>
        </is>
      </c>
      <c r="E993" t="n">
        <v>0</v>
      </c>
      <c r="F993" t="inlineStr">
        <is>
          <t>Brak w miesiącu</t>
        </is>
      </c>
      <c r="G993" t="inlineStr">
        <is>
          <t>-</t>
        </is>
      </c>
      <c r="H993" t="inlineStr">
        <is>
          <t>-</t>
        </is>
      </c>
      <c r="I993" t="n">
        <v>0</v>
      </c>
      <c r="J993" t="n">
        <v>0</v>
      </c>
    </row>
    <row r="994">
      <c r="A994" t="inlineStr">
        <is>
          <t>2034_Październik_W1</t>
        </is>
      </c>
      <c r="B994" t="n">
        <v>2034</v>
      </c>
      <c r="C994" t="inlineStr">
        <is>
          <t>Październik</t>
        </is>
      </c>
      <c r="D994" t="inlineStr">
        <is>
          <t>W1</t>
        </is>
      </c>
      <c r="E994" t="n">
        <v>2</v>
      </c>
      <c r="F994" t="inlineStr">
        <is>
          <t>Niepełny (2 dni)</t>
        </is>
      </c>
      <c r="G994" t="inlineStr">
        <is>
          <t>01.10</t>
        </is>
      </c>
      <c r="H994" t="inlineStr">
        <is>
          <t>02.10</t>
        </is>
      </c>
      <c r="I994" t="n">
        <v>72</v>
      </c>
      <c r="J994" t="n">
        <v>0.06451999999999999</v>
      </c>
    </row>
    <row r="995">
      <c r="A995" t="inlineStr">
        <is>
          <t>2034_Październik_W2</t>
        </is>
      </c>
      <c r="B995" t="n">
        <v>2034</v>
      </c>
      <c r="C995" t="inlineStr">
        <is>
          <t>Październik</t>
        </is>
      </c>
      <c r="D995" t="inlineStr">
        <is>
          <t>W2</t>
        </is>
      </c>
      <c r="E995" t="n">
        <v>7</v>
      </c>
      <c r="F995" t="inlineStr">
        <is>
          <t>Pełny (7 dni)</t>
        </is>
      </c>
      <c r="G995" t="inlineStr">
        <is>
          <t>03.10</t>
        </is>
      </c>
      <c r="H995" t="inlineStr">
        <is>
          <t>09.10</t>
        </is>
      </c>
      <c r="I995" t="n">
        <v>272</v>
      </c>
      <c r="J995" t="n">
        <v>0.22581</v>
      </c>
    </row>
    <row r="996">
      <c r="A996" t="inlineStr">
        <is>
          <t>2034_Październik_W3</t>
        </is>
      </c>
      <c r="B996" t="n">
        <v>2034</v>
      </c>
      <c r="C996" t="inlineStr">
        <is>
          <t>Październik</t>
        </is>
      </c>
      <c r="D996" t="inlineStr">
        <is>
          <t>W3</t>
        </is>
      </c>
      <c r="E996" t="n">
        <v>7</v>
      </c>
      <c r="F996" t="inlineStr">
        <is>
          <t>Pełny (7 dni)</t>
        </is>
      </c>
      <c r="G996" t="inlineStr">
        <is>
          <t>10.10</t>
        </is>
      </c>
      <c r="H996" t="inlineStr">
        <is>
          <t>16.10</t>
        </is>
      </c>
      <c r="I996" t="n">
        <v>272</v>
      </c>
      <c r="J996" t="n">
        <v>0.22581</v>
      </c>
    </row>
    <row r="997">
      <c r="A997" t="inlineStr">
        <is>
          <t>2034_Październik_W4</t>
        </is>
      </c>
      <c r="B997" t="n">
        <v>2034</v>
      </c>
      <c r="C997" t="inlineStr">
        <is>
          <t>Październik</t>
        </is>
      </c>
      <c r="D997" t="inlineStr">
        <is>
          <t>W4</t>
        </is>
      </c>
      <c r="E997" t="n">
        <v>7</v>
      </c>
      <c r="F997" t="inlineStr">
        <is>
          <t>Pełny (7 dni)</t>
        </is>
      </c>
      <c r="G997" t="inlineStr">
        <is>
          <t>17.10</t>
        </is>
      </c>
      <c r="H997" t="inlineStr">
        <is>
          <t>23.10</t>
        </is>
      </c>
      <c r="I997" t="n">
        <v>272</v>
      </c>
      <c r="J997" t="n">
        <v>0.22581</v>
      </c>
    </row>
    <row r="998">
      <c r="A998" t="inlineStr">
        <is>
          <t>2034_Październik_W5</t>
        </is>
      </c>
      <c r="B998" t="n">
        <v>2034</v>
      </c>
      <c r="C998" t="inlineStr">
        <is>
          <t>Październik</t>
        </is>
      </c>
      <c r="D998" t="inlineStr">
        <is>
          <t>W5</t>
        </is>
      </c>
      <c r="E998" t="n">
        <v>7</v>
      </c>
      <c r="F998" t="inlineStr">
        <is>
          <t>Pełny (7 dni)</t>
        </is>
      </c>
      <c r="G998" t="inlineStr">
        <is>
          <t>24.10</t>
        </is>
      </c>
      <c r="H998" t="inlineStr">
        <is>
          <t>30.10</t>
        </is>
      </c>
      <c r="I998" t="n">
        <v>272</v>
      </c>
      <c r="J998" t="n">
        <v>0.22581</v>
      </c>
    </row>
    <row r="999">
      <c r="A999" t="inlineStr">
        <is>
          <t>2034_Październik_W6</t>
        </is>
      </c>
      <c r="B999" t="n">
        <v>2034</v>
      </c>
      <c r="C999" t="inlineStr">
        <is>
          <t>Październik</t>
        </is>
      </c>
      <c r="D999" t="inlineStr">
        <is>
          <t>W6</t>
        </is>
      </c>
      <c r="E999" t="n">
        <v>1</v>
      </c>
      <c r="F999" t="inlineStr">
        <is>
          <t>Niepełny (1 dni)</t>
        </is>
      </c>
      <c r="G999" t="inlineStr">
        <is>
          <t>31.10</t>
        </is>
      </c>
      <c r="H999" t="inlineStr">
        <is>
          <t>31.10</t>
        </is>
      </c>
      <c r="I999" t="n">
        <v>40</v>
      </c>
      <c r="J999" t="n">
        <v>0.03226</v>
      </c>
    </row>
    <row r="1000">
      <c r="A1000" t="inlineStr">
        <is>
          <t>2034_Listopad_W1</t>
        </is>
      </c>
      <c r="B1000" t="n">
        <v>2034</v>
      </c>
      <c r="C1000" t="inlineStr">
        <is>
          <t>Listopad</t>
        </is>
      </c>
      <c r="D1000" t="inlineStr">
        <is>
          <t>W1</t>
        </is>
      </c>
      <c r="E1000" t="n">
        <v>6</v>
      </c>
      <c r="F1000" t="inlineStr">
        <is>
          <t>Niepełny (6 dni)</t>
        </is>
      </c>
      <c r="G1000" t="inlineStr">
        <is>
          <t>01.11</t>
        </is>
      </c>
      <c r="H1000" t="inlineStr">
        <is>
          <t>06.11</t>
        </is>
      </c>
      <c r="I1000" t="n">
        <v>232</v>
      </c>
      <c r="J1000" t="n">
        <v>0.2</v>
      </c>
    </row>
    <row r="1001">
      <c r="A1001" t="inlineStr">
        <is>
          <t>2034_Listopad_W2</t>
        </is>
      </c>
      <c r="B1001" t="n">
        <v>2034</v>
      </c>
      <c r="C1001" t="inlineStr">
        <is>
          <t>Listopad</t>
        </is>
      </c>
      <c r="D1001" t="inlineStr">
        <is>
          <t>W2</t>
        </is>
      </c>
      <c r="E1001" t="n">
        <v>7</v>
      </c>
      <c r="F1001" t="inlineStr">
        <is>
          <t>Pełny (7 dni)</t>
        </is>
      </c>
      <c r="G1001" t="inlineStr">
        <is>
          <t>07.11</t>
        </is>
      </c>
      <c r="H1001" t="inlineStr">
        <is>
          <t>13.11</t>
        </is>
      </c>
      <c r="I1001" t="n">
        <v>272</v>
      </c>
      <c r="J1001" t="n">
        <v>0.23333</v>
      </c>
    </row>
    <row r="1002">
      <c r="A1002" t="inlineStr">
        <is>
          <t>2034_Listopad_W3</t>
        </is>
      </c>
      <c r="B1002" t="n">
        <v>2034</v>
      </c>
      <c r="C1002" t="inlineStr">
        <is>
          <t>Listopad</t>
        </is>
      </c>
      <c r="D1002" t="inlineStr">
        <is>
          <t>W3</t>
        </is>
      </c>
      <c r="E1002" t="n">
        <v>7</v>
      </c>
      <c r="F1002" t="inlineStr">
        <is>
          <t>Pełny (7 dni)</t>
        </is>
      </c>
      <c r="G1002" t="inlineStr">
        <is>
          <t>14.11</t>
        </is>
      </c>
      <c r="H1002" t="inlineStr">
        <is>
          <t>20.11</t>
        </is>
      </c>
      <c r="I1002" t="n">
        <v>272</v>
      </c>
      <c r="J1002" t="n">
        <v>0.23333</v>
      </c>
    </row>
    <row r="1003">
      <c r="A1003" t="inlineStr">
        <is>
          <t>2034_Listopad_W4</t>
        </is>
      </c>
      <c r="B1003" t="n">
        <v>2034</v>
      </c>
      <c r="C1003" t="inlineStr">
        <is>
          <t>Listopad</t>
        </is>
      </c>
      <c r="D1003" t="inlineStr">
        <is>
          <t>W4</t>
        </is>
      </c>
      <c r="E1003" t="n">
        <v>7</v>
      </c>
      <c r="F1003" t="inlineStr">
        <is>
          <t>Pełny (7 dni)</t>
        </is>
      </c>
      <c r="G1003" t="inlineStr">
        <is>
          <t>21.11</t>
        </is>
      </c>
      <c r="H1003" t="inlineStr">
        <is>
          <t>27.11</t>
        </is>
      </c>
      <c r="I1003" t="n">
        <v>272</v>
      </c>
      <c r="J1003" t="n">
        <v>0.23333</v>
      </c>
    </row>
    <row r="1004">
      <c r="A1004" t="inlineStr">
        <is>
          <t>2034_Listopad_W5</t>
        </is>
      </c>
      <c r="B1004" t="n">
        <v>2034</v>
      </c>
      <c r="C1004" t="inlineStr">
        <is>
          <t>Listopad</t>
        </is>
      </c>
      <c r="D1004" t="inlineStr">
        <is>
          <t>W5</t>
        </is>
      </c>
      <c r="E1004" t="n">
        <v>3</v>
      </c>
      <c r="F1004" t="inlineStr">
        <is>
          <t>Niepełny (3 dni)</t>
        </is>
      </c>
      <c r="G1004" t="inlineStr">
        <is>
          <t>28.11</t>
        </is>
      </c>
      <c r="H1004" t="inlineStr">
        <is>
          <t>30.11</t>
        </is>
      </c>
      <c r="I1004" t="n">
        <v>120</v>
      </c>
      <c r="J1004" t="n">
        <v>0.1</v>
      </c>
    </row>
    <row r="1005">
      <c r="A1005" t="inlineStr">
        <is>
          <t>2034_Listopad_W6</t>
        </is>
      </c>
      <c r="B1005" t="n">
        <v>2034</v>
      </c>
      <c r="C1005" t="inlineStr">
        <is>
          <t>Listopad</t>
        </is>
      </c>
      <c r="D1005" t="inlineStr">
        <is>
          <t>W6</t>
        </is>
      </c>
      <c r="E1005" t="n">
        <v>0</v>
      </c>
      <c r="F1005" t="inlineStr">
        <is>
          <t>Brak w miesiącu</t>
        </is>
      </c>
      <c r="G1005" t="inlineStr">
        <is>
          <t>-</t>
        </is>
      </c>
      <c r="H1005" t="inlineStr">
        <is>
          <t>-</t>
        </is>
      </c>
      <c r="I1005" t="n">
        <v>0</v>
      </c>
      <c r="J1005" t="n">
        <v>0</v>
      </c>
    </row>
    <row r="1006">
      <c r="A1006" t="inlineStr">
        <is>
          <t>2034_Grudzień_W1</t>
        </is>
      </c>
      <c r="B1006" t="n">
        <v>2034</v>
      </c>
      <c r="C1006" t="inlineStr">
        <is>
          <t>Grudzień</t>
        </is>
      </c>
      <c r="D1006" t="inlineStr">
        <is>
          <t>W1</t>
        </is>
      </c>
      <c r="E1006" t="n">
        <v>4</v>
      </c>
      <c r="F1006" t="inlineStr">
        <is>
          <t>Niepełny (4 dni)</t>
        </is>
      </c>
      <c r="G1006" t="inlineStr">
        <is>
          <t>01.12</t>
        </is>
      </c>
      <c r="H1006" t="inlineStr">
        <is>
          <t>04.12</t>
        </is>
      </c>
      <c r="I1006" t="n">
        <v>152</v>
      </c>
      <c r="J1006" t="n">
        <v>0.12903</v>
      </c>
    </row>
    <row r="1007">
      <c r="A1007" t="inlineStr">
        <is>
          <t>2034_Grudzień_W2</t>
        </is>
      </c>
      <c r="B1007" t="n">
        <v>2034</v>
      </c>
      <c r="C1007" t="inlineStr">
        <is>
          <t>Grudzień</t>
        </is>
      </c>
      <c r="D1007" t="inlineStr">
        <is>
          <t>W2</t>
        </is>
      </c>
      <c r="E1007" t="n">
        <v>7</v>
      </c>
      <c r="F1007" t="inlineStr">
        <is>
          <t>Pełny (7 dni)</t>
        </is>
      </c>
      <c r="G1007" t="inlineStr">
        <is>
          <t>05.12</t>
        </is>
      </c>
      <c r="H1007" t="inlineStr">
        <is>
          <t>11.12</t>
        </is>
      </c>
      <c r="I1007" t="n">
        <v>272</v>
      </c>
      <c r="J1007" t="n">
        <v>0.22581</v>
      </c>
    </row>
    <row r="1008">
      <c r="A1008" t="inlineStr">
        <is>
          <t>2034_Grudzień_W3</t>
        </is>
      </c>
      <c r="B1008" t="n">
        <v>2034</v>
      </c>
      <c r="C1008" t="inlineStr">
        <is>
          <t>Grudzień</t>
        </is>
      </c>
      <c r="D1008" t="inlineStr">
        <is>
          <t>W3</t>
        </is>
      </c>
      <c r="E1008" t="n">
        <v>7</v>
      </c>
      <c r="F1008" t="inlineStr">
        <is>
          <t>Pełny (7 dni)</t>
        </is>
      </c>
      <c r="G1008" t="inlineStr">
        <is>
          <t>12.12</t>
        </is>
      </c>
      <c r="H1008" t="inlineStr">
        <is>
          <t>18.12</t>
        </is>
      </c>
      <c r="I1008" t="n">
        <v>272</v>
      </c>
      <c r="J1008" t="n">
        <v>0.22581</v>
      </c>
    </row>
    <row r="1009">
      <c r="A1009" t="inlineStr">
        <is>
          <t>2034_Grudzień_W4</t>
        </is>
      </c>
      <c r="B1009" t="n">
        <v>2034</v>
      </c>
      <c r="C1009" t="inlineStr">
        <is>
          <t>Grudzień</t>
        </is>
      </c>
      <c r="D1009" t="inlineStr">
        <is>
          <t>W4</t>
        </is>
      </c>
      <c r="E1009" t="n">
        <v>7</v>
      </c>
      <c r="F1009" t="inlineStr">
        <is>
          <t>Pełny (7 dni)</t>
        </is>
      </c>
      <c r="G1009" t="inlineStr">
        <is>
          <t>19.12</t>
        </is>
      </c>
      <c r="H1009" t="inlineStr">
        <is>
          <t>25.12</t>
        </is>
      </c>
      <c r="I1009" t="n">
        <v>272</v>
      </c>
      <c r="J1009" t="n">
        <v>0.22581</v>
      </c>
    </row>
    <row r="1010">
      <c r="A1010" t="inlineStr">
        <is>
          <t>2034_Grudzień_W5</t>
        </is>
      </c>
      <c r="B1010" t="n">
        <v>2034</v>
      </c>
      <c r="C1010" t="inlineStr">
        <is>
          <t>Grudzień</t>
        </is>
      </c>
      <c r="D1010" t="inlineStr">
        <is>
          <t>W5</t>
        </is>
      </c>
      <c r="E1010" t="n">
        <v>6</v>
      </c>
      <c r="F1010" t="inlineStr">
        <is>
          <t>Niepełny (6 dni)</t>
        </is>
      </c>
      <c r="G1010" t="inlineStr">
        <is>
          <t>26.12</t>
        </is>
      </c>
      <c r="H1010" t="inlineStr">
        <is>
          <t>31.12</t>
        </is>
      </c>
      <c r="I1010" t="n">
        <v>232</v>
      </c>
      <c r="J1010" t="n">
        <v>0.19355</v>
      </c>
    </row>
    <row r="1011">
      <c r="A1011" t="inlineStr">
        <is>
          <t>2034_Grudzień_W6</t>
        </is>
      </c>
      <c r="B1011" t="n">
        <v>2034</v>
      </c>
      <c r="C1011" t="inlineStr">
        <is>
          <t>Grudzień</t>
        </is>
      </c>
      <c r="D1011" t="inlineStr">
        <is>
          <t>W6</t>
        </is>
      </c>
      <c r="E1011" t="n">
        <v>0</v>
      </c>
      <c r="F1011" t="inlineStr">
        <is>
          <t>Brak w miesiącu</t>
        </is>
      </c>
      <c r="G1011" t="inlineStr">
        <is>
          <t>-</t>
        </is>
      </c>
      <c r="H1011" t="inlineStr">
        <is>
          <t>-</t>
        </is>
      </c>
      <c r="I1011" t="n">
        <v>0</v>
      </c>
      <c r="J1011" t="n">
        <v>0</v>
      </c>
    </row>
    <row r="1012">
      <c r="A1012" t="inlineStr">
        <is>
          <t>2035_Styczeń_W1</t>
        </is>
      </c>
      <c r="B1012" t="n">
        <v>2035</v>
      </c>
      <c r="C1012" t="inlineStr">
        <is>
          <t>Styczeń</t>
        </is>
      </c>
      <c r="D1012" t="inlineStr">
        <is>
          <t>W1</t>
        </is>
      </c>
      <c r="E1012" t="n">
        <v>1</v>
      </c>
      <c r="F1012" t="inlineStr">
        <is>
          <t>Niepełny (1 dni)</t>
        </is>
      </c>
      <c r="G1012" t="inlineStr">
        <is>
          <t>01.01</t>
        </is>
      </c>
      <c r="H1012" t="inlineStr">
        <is>
          <t>01.01</t>
        </is>
      </c>
      <c r="I1012" t="n">
        <v>40</v>
      </c>
      <c r="J1012" t="n">
        <v>0.03226</v>
      </c>
    </row>
    <row r="1013">
      <c r="A1013" t="inlineStr">
        <is>
          <t>2035_Styczeń_W2</t>
        </is>
      </c>
      <c r="B1013" t="n">
        <v>2035</v>
      </c>
      <c r="C1013" t="inlineStr">
        <is>
          <t>Styczeń</t>
        </is>
      </c>
      <c r="D1013" t="inlineStr">
        <is>
          <t>W2</t>
        </is>
      </c>
      <c r="E1013" t="n">
        <v>7</v>
      </c>
      <c r="F1013" t="inlineStr">
        <is>
          <t>Pełny (7 dni)</t>
        </is>
      </c>
      <c r="G1013" t="inlineStr">
        <is>
          <t>02.01</t>
        </is>
      </c>
      <c r="H1013" t="inlineStr">
        <is>
          <t>08.01</t>
        </is>
      </c>
      <c r="I1013" t="n">
        <v>272</v>
      </c>
      <c r="J1013" t="n">
        <v>0.22581</v>
      </c>
    </row>
    <row r="1014">
      <c r="A1014" t="inlineStr">
        <is>
          <t>2035_Styczeń_W3</t>
        </is>
      </c>
      <c r="B1014" t="n">
        <v>2035</v>
      </c>
      <c r="C1014" t="inlineStr">
        <is>
          <t>Styczeń</t>
        </is>
      </c>
      <c r="D1014" t="inlineStr">
        <is>
          <t>W3</t>
        </is>
      </c>
      <c r="E1014" t="n">
        <v>7</v>
      </c>
      <c r="F1014" t="inlineStr">
        <is>
          <t>Pełny (7 dni)</t>
        </is>
      </c>
      <c r="G1014" t="inlineStr">
        <is>
          <t>09.01</t>
        </is>
      </c>
      <c r="H1014" t="inlineStr">
        <is>
          <t>15.01</t>
        </is>
      </c>
      <c r="I1014" t="n">
        <v>272</v>
      </c>
      <c r="J1014" t="n">
        <v>0.22581</v>
      </c>
    </row>
    <row r="1015">
      <c r="A1015" t="inlineStr">
        <is>
          <t>2035_Styczeń_W4</t>
        </is>
      </c>
      <c r="B1015" t="n">
        <v>2035</v>
      </c>
      <c r="C1015" t="inlineStr">
        <is>
          <t>Styczeń</t>
        </is>
      </c>
      <c r="D1015" t="inlineStr">
        <is>
          <t>W4</t>
        </is>
      </c>
      <c r="E1015" t="n">
        <v>7</v>
      </c>
      <c r="F1015" t="inlineStr">
        <is>
          <t>Pełny (7 dni)</t>
        </is>
      </c>
      <c r="G1015" t="inlineStr">
        <is>
          <t>16.01</t>
        </is>
      </c>
      <c r="H1015" t="inlineStr">
        <is>
          <t>22.01</t>
        </is>
      </c>
      <c r="I1015" t="n">
        <v>272</v>
      </c>
      <c r="J1015" t="n">
        <v>0.22581</v>
      </c>
    </row>
    <row r="1016">
      <c r="A1016" t="inlineStr">
        <is>
          <t>2035_Styczeń_W5</t>
        </is>
      </c>
      <c r="B1016" t="n">
        <v>2035</v>
      </c>
      <c r="C1016" t="inlineStr">
        <is>
          <t>Styczeń</t>
        </is>
      </c>
      <c r="D1016" t="inlineStr">
        <is>
          <t>W5</t>
        </is>
      </c>
      <c r="E1016" t="n">
        <v>7</v>
      </c>
      <c r="F1016" t="inlineStr">
        <is>
          <t>Pełny (7 dni)</t>
        </is>
      </c>
      <c r="G1016" t="inlineStr">
        <is>
          <t>23.01</t>
        </is>
      </c>
      <c r="H1016" t="inlineStr">
        <is>
          <t>29.01</t>
        </is>
      </c>
      <c r="I1016" t="n">
        <v>272</v>
      </c>
      <c r="J1016" t="n">
        <v>0.22581</v>
      </c>
    </row>
    <row r="1017">
      <c r="A1017" t="inlineStr">
        <is>
          <t>2035_Styczeń_W6</t>
        </is>
      </c>
      <c r="B1017" t="n">
        <v>2035</v>
      </c>
      <c r="C1017" t="inlineStr">
        <is>
          <t>Styczeń</t>
        </is>
      </c>
      <c r="D1017" t="inlineStr">
        <is>
          <t>W6</t>
        </is>
      </c>
      <c r="E1017" t="n">
        <v>2</v>
      </c>
      <c r="F1017" t="inlineStr">
        <is>
          <t>Niepełny (2 dni)</t>
        </is>
      </c>
      <c r="G1017" t="inlineStr">
        <is>
          <t>30.01</t>
        </is>
      </c>
      <c r="H1017" t="inlineStr">
        <is>
          <t>31.01</t>
        </is>
      </c>
      <c r="I1017" t="n">
        <v>80</v>
      </c>
      <c r="J1017" t="n">
        <v>0.06451999999999999</v>
      </c>
    </row>
    <row r="1018">
      <c r="A1018" t="inlineStr">
        <is>
          <t>2035_Luty_W1</t>
        </is>
      </c>
      <c r="B1018" t="n">
        <v>2035</v>
      </c>
      <c r="C1018" t="inlineStr">
        <is>
          <t>Luty</t>
        </is>
      </c>
      <c r="D1018" t="inlineStr">
        <is>
          <t>W1</t>
        </is>
      </c>
      <c r="E1018" t="n">
        <v>5</v>
      </c>
      <c r="F1018" t="inlineStr">
        <is>
          <t>Niepełny (5 dni)</t>
        </is>
      </c>
      <c r="G1018" t="inlineStr">
        <is>
          <t>01.02</t>
        </is>
      </c>
      <c r="H1018" t="inlineStr">
        <is>
          <t>05.02</t>
        </is>
      </c>
      <c r="I1018" t="n">
        <v>192</v>
      </c>
      <c r="J1018" t="n">
        <v>0.17857</v>
      </c>
    </row>
    <row r="1019">
      <c r="A1019" t="inlineStr">
        <is>
          <t>2035_Luty_W2</t>
        </is>
      </c>
      <c r="B1019" t="n">
        <v>2035</v>
      </c>
      <c r="C1019" t="inlineStr">
        <is>
          <t>Luty</t>
        </is>
      </c>
      <c r="D1019" t="inlineStr">
        <is>
          <t>W2</t>
        </is>
      </c>
      <c r="E1019" t="n">
        <v>7</v>
      </c>
      <c r="F1019" t="inlineStr">
        <is>
          <t>Pełny (7 dni)</t>
        </is>
      </c>
      <c r="G1019" t="inlineStr">
        <is>
          <t>06.02</t>
        </is>
      </c>
      <c r="H1019" t="inlineStr">
        <is>
          <t>12.02</t>
        </is>
      </c>
      <c r="I1019" t="n">
        <v>272</v>
      </c>
      <c r="J1019" t="n">
        <v>0.25</v>
      </c>
    </row>
    <row r="1020">
      <c r="A1020" t="inlineStr">
        <is>
          <t>2035_Luty_W3</t>
        </is>
      </c>
      <c r="B1020" t="n">
        <v>2035</v>
      </c>
      <c r="C1020" t="inlineStr">
        <is>
          <t>Luty</t>
        </is>
      </c>
      <c r="D1020" t="inlineStr">
        <is>
          <t>W3</t>
        </is>
      </c>
      <c r="E1020" t="n">
        <v>7</v>
      </c>
      <c r="F1020" t="inlineStr">
        <is>
          <t>Pełny (7 dni)</t>
        </is>
      </c>
      <c r="G1020" t="inlineStr">
        <is>
          <t>13.02</t>
        </is>
      </c>
      <c r="H1020" t="inlineStr">
        <is>
          <t>19.02</t>
        </is>
      </c>
      <c r="I1020" t="n">
        <v>272</v>
      </c>
      <c r="J1020" t="n">
        <v>0.25</v>
      </c>
    </row>
    <row r="1021">
      <c r="A1021" t="inlineStr">
        <is>
          <t>2035_Luty_W4</t>
        </is>
      </c>
      <c r="B1021" t="n">
        <v>2035</v>
      </c>
      <c r="C1021" t="inlineStr">
        <is>
          <t>Luty</t>
        </is>
      </c>
      <c r="D1021" t="inlineStr">
        <is>
          <t>W4</t>
        </is>
      </c>
      <c r="E1021" t="n">
        <v>7</v>
      </c>
      <c r="F1021" t="inlineStr">
        <is>
          <t>Pełny (7 dni)</t>
        </is>
      </c>
      <c r="G1021" t="inlineStr">
        <is>
          <t>20.02</t>
        </is>
      </c>
      <c r="H1021" t="inlineStr">
        <is>
          <t>26.02</t>
        </is>
      </c>
      <c r="I1021" t="n">
        <v>272</v>
      </c>
      <c r="J1021" t="n">
        <v>0.25</v>
      </c>
    </row>
    <row r="1022">
      <c r="A1022" t="inlineStr">
        <is>
          <t>2035_Luty_W5</t>
        </is>
      </c>
      <c r="B1022" t="n">
        <v>2035</v>
      </c>
      <c r="C1022" t="inlineStr">
        <is>
          <t>Luty</t>
        </is>
      </c>
      <c r="D1022" t="inlineStr">
        <is>
          <t>W5</t>
        </is>
      </c>
      <c r="E1022" t="n">
        <v>2</v>
      </c>
      <c r="F1022" t="inlineStr">
        <is>
          <t>Niepełny (2 dni)</t>
        </is>
      </c>
      <c r="G1022" t="inlineStr">
        <is>
          <t>27.02</t>
        </is>
      </c>
      <c r="H1022" t="inlineStr">
        <is>
          <t>28.02</t>
        </is>
      </c>
      <c r="I1022" t="n">
        <v>80</v>
      </c>
      <c r="J1022" t="n">
        <v>0.07142999999999999</v>
      </c>
    </row>
    <row r="1023">
      <c r="A1023" t="inlineStr">
        <is>
          <t>2035_Luty_W6</t>
        </is>
      </c>
      <c r="B1023" t="n">
        <v>2035</v>
      </c>
      <c r="C1023" t="inlineStr">
        <is>
          <t>Luty</t>
        </is>
      </c>
      <c r="D1023" t="inlineStr">
        <is>
          <t>W6</t>
        </is>
      </c>
      <c r="E1023" t="n">
        <v>0</v>
      </c>
      <c r="F1023" t="inlineStr">
        <is>
          <t>Brak w miesiącu</t>
        </is>
      </c>
      <c r="G1023" t="inlineStr">
        <is>
          <t>-</t>
        </is>
      </c>
      <c r="H1023" t="inlineStr">
        <is>
          <t>-</t>
        </is>
      </c>
      <c r="I1023" t="n">
        <v>0</v>
      </c>
      <c r="J1023" t="n">
        <v>0</v>
      </c>
    </row>
    <row r="1024">
      <c r="A1024" t="inlineStr">
        <is>
          <t>2035_Marzec_W1</t>
        </is>
      </c>
      <c r="B1024" t="n">
        <v>2035</v>
      </c>
      <c r="C1024" t="inlineStr">
        <is>
          <t>Marzec</t>
        </is>
      </c>
      <c r="D1024" t="inlineStr">
        <is>
          <t>W1</t>
        </is>
      </c>
      <c r="E1024" t="n">
        <v>5</v>
      </c>
      <c r="F1024" t="inlineStr">
        <is>
          <t>Niepełny (5 dni)</t>
        </is>
      </c>
      <c r="G1024" t="inlineStr">
        <is>
          <t>01.03</t>
        </is>
      </c>
      <c r="H1024" t="inlineStr">
        <is>
          <t>05.03</t>
        </is>
      </c>
      <c r="I1024" t="n">
        <v>192</v>
      </c>
      <c r="J1024" t="n">
        <v>0.16129</v>
      </c>
    </row>
    <row r="1025">
      <c r="A1025" t="inlineStr">
        <is>
          <t>2035_Marzec_W2</t>
        </is>
      </c>
      <c r="B1025" t="n">
        <v>2035</v>
      </c>
      <c r="C1025" t="inlineStr">
        <is>
          <t>Marzec</t>
        </is>
      </c>
      <c r="D1025" t="inlineStr">
        <is>
          <t>W2</t>
        </is>
      </c>
      <c r="E1025" t="n">
        <v>7</v>
      </c>
      <c r="F1025" t="inlineStr">
        <is>
          <t>Pełny (7 dni)</t>
        </is>
      </c>
      <c r="G1025" t="inlineStr">
        <is>
          <t>06.03</t>
        </is>
      </c>
      <c r="H1025" t="inlineStr">
        <is>
          <t>12.03</t>
        </is>
      </c>
      <c r="I1025" t="n">
        <v>272</v>
      </c>
      <c r="J1025" t="n">
        <v>0.22581</v>
      </c>
    </row>
    <row r="1026">
      <c r="A1026" t="inlineStr">
        <is>
          <t>2035_Marzec_W3</t>
        </is>
      </c>
      <c r="B1026" t="n">
        <v>2035</v>
      </c>
      <c r="C1026" t="inlineStr">
        <is>
          <t>Marzec</t>
        </is>
      </c>
      <c r="D1026" t="inlineStr">
        <is>
          <t>W3</t>
        </is>
      </c>
      <c r="E1026" t="n">
        <v>7</v>
      </c>
      <c r="F1026" t="inlineStr">
        <is>
          <t>Pełny (7 dni)</t>
        </is>
      </c>
      <c r="G1026" t="inlineStr">
        <is>
          <t>13.03</t>
        </is>
      </c>
      <c r="H1026" t="inlineStr">
        <is>
          <t>19.03</t>
        </is>
      </c>
      <c r="I1026" t="n">
        <v>272</v>
      </c>
      <c r="J1026" t="n">
        <v>0.22581</v>
      </c>
    </row>
    <row r="1027">
      <c r="A1027" t="inlineStr">
        <is>
          <t>2035_Marzec_W4</t>
        </is>
      </c>
      <c r="B1027" t="n">
        <v>2035</v>
      </c>
      <c r="C1027" t="inlineStr">
        <is>
          <t>Marzec</t>
        </is>
      </c>
      <c r="D1027" t="inlineStr">
        <is>
          <t>W4</t>
        </is>
      </c>
      <c r="E1027" t="n">
        <v>7</v>
      </c>
      <c r="F1027" t="inlineStr">
        <is>
          <t>Pełny (7 dni)</t>
        </is>
      </c>
      <c r="G1027" t="inlineStr">
        <is>
          <t>20.03</t>
        </is>
      </c>
      <c r="H1027" t="inlineStr">
        <is>
          <t>26.03</t>
        </is>
      </c>
      <c r="I1027" t="n">
        <v>272</v>
      </c>
      <c r="J1027" t="n">
        <v>0.22581</v>
      </c>
    </row>
    <row r="1028">
      <c r="A1028" t="inlineStr">
        <is>
          <t>2035_Marzec_W5</t>
        </is>
      </c>
      <c r="B1028" t="n">
        <v>2035</v>
      </c>
      <c r="C1028" t="inlineStr">
        <is>
          <t>Marzec</t>
        </is>
      </c>
      <c r="D1028" t="inlineStr">
        <is>
          <t>W5</t>
        </is>
      </c>
      <c r="E1028" t="n">
        <v>5</v>
      </c>
      <c r="F1028" t="inlineStr">
        <is>
          <t>Niepełny (5 dni)</t>
        </is>
      </c>
      <c r="G1028" t="inlineStr">
        <is>
          <t>27.03</t>
        </is>
      </c>
      <c r="H1028" t="inlineStr">
        <is>
          <t>31.03</t>
        </is>
      </c>
      <c r="I1028" t="n">
        <v>200</v>
      </c>
      <c r="J1028" t="n">
        <v>0.16129</v>
      </c>
    </row>
    <row r="1029">
      <c r="A1029" t="inlineStr">
        <is>
          <t>2035_Marzec_W6</t>
        </is>
      </c>
      <c r="B1029" t="n">
        <v>2035</v>
      </c>
      <c r="C1029" t="inlineStr">
        <is>
          <t>Marzec</t>
        </is>
      </c>
      <c r="D1029" t="inlineStr">
        <is>
          <t>W6</t>
        </is>
      </c>
      <c r="E1029" t="n">
        <v>0</v>
      </c>
      <c r="F1029" t="inlineStr">
        <is>
          <t>Brak w miesiącu</t>
        </is>
      </c>
      <c r="G1029" t="inlineStr">
        <is>
          <t>-</t>
        </is>
      </c>
      <c r="H1029" t="inlineStr">
        <is>
          <t>-</t>
        </is>
      </c>
      <c r="I1029" t="n">
        <v>0</v>
      </c>
      <c r="J1029" t="n">
        <v>0</v>
      </c>
    </row>
    <row r="1030">
      <c r="A1030" t="inlineStr">
        <is>
          <t>2035_Kwiecień_W1</t>
        </is>
      </c>
      <c r="B1030" t="n">
        <v>2035</v>
      </c>
      <c r="C1030" t="inlineStr">
        <is>
          <t>Kwiecień</t>
        </is>
      </c>
      <c r="D1030" t="inlineStr">
        <is>
          <t>W1</t>
        </is>
      </c>
      <c r="E1030" t="n">
        <v>2</v>
      </c>
      <c r="F1030" t="inlineStr">
        <is>
          <t>Niepełny (2 dni)</t>
        </is>
      </c>
      <c r="G1030" t="inlineStr">
        <is>
          <t>01.04</t>
        </is>
      </c>
      <c r="H1030" t="inlineStr">
        <is>
          <t>02.04</t>
        </is>
      </c>
      <c r="I1030" t="n">
        <v>72</v>
      </c>
      <c r="J1030" t="n">
        <v>0.06666999999999999</v>
      </c>
    </row>
    <row r="1031">
      <c r="A1031" t="inlineStr">
        <is>
          <t>2035_Kwiecień_W2</t>
        </is>
      </c>
      <c r="B1031" t="n">
        <v>2035</v>
      </c>
      <c r="C1031" t="inlineStr">
        <is>
          <t>Kwiecień</t>
        </is>
      </c>
      <c r="D1031" t="inlineStr">
        <is>
          <t>W2</t>
        </is>
      </c>
      <c r="E1031" t="n">
        <v>7</v>
      </c>
      <c r="F1031" t="inlineStr">
        <is>
          <t>Pełny (7 dni)</t>
        </is>
      </c>
      <c r="G1031" t="inlineStr">
        <is>
          <t>03.04</t>
        </is>
      </c>
      <c r="H1031" t="inlineStr">
        <is>
          <t>09.04</t>
        </is>
      </c>
      <c r="I1031" t="n">
        <v>272</v>
      </c>
      <c r="J1031" t="n">
        <v>0.23333</v>
      </c>
    </row>
    <row r="1032">
      <c r="A1032" t="inlineStr">
        <is>
          <t>2035_Kwiecień_W3</t>
        </is>
      </c>
      <c r="B1032" t="n">
        <v>2035</v>
      </c>
      <c r="C1032" t="inlineStr">
        <is>
          <t>Kwiecień</t>
        </is>
      </c>
      <c r="D1032" t="inlineStr">
        <is>
          <t>W3</t>
        </is>
      </c>
      <c r="E1032" t="n">
        <v>7</v>
      </c>
      <c r="F1032" t="inlineStr">
        <is>
          <t>Pełny (7 dni)</t>
        </is>
      </c>
      <c r="G1032" t="inlineStr">
        <is>
          <t>10.04</t>
        </is>
      </c>
      <c r="H1032" t="inlineStr">
        <is>
          <t>16.04</t>
        </is>
      </c>
      <c r="I1032" t="n">
        <v>272</v>
      </c>
      <c r="J1032" t="n">
        <v>0.23333</v>
      </c>
    </row>
    <row r="1033">
      <c r="A1033" t="inlineStr">
        <is>
          <t>2035_Kwiecień_W4</t>
        </is>
      </c>
      <c r="B1033" t="n">
        <v>2035</v>
      </c>
      <c r="C1033" t="inlineStr">
        <is>
          <t>Kwiecień</t>
        </is>
      </c>
      <c r="D1033" t="inlineStr">
        <is>
          <t>W4</t>
        </is>
      </c>
      <c r="E1033" t="n">
        <v>7</v>
      </c>
      <c r="F1033" t="inlineStr">
        <is>
          <t>Pełny (7 dni)</t>
        </is>
      </c>
      <c r="G1033" t="inlineStr">
        <is>
          <t>17.04</t>
        </is>
      </c>
      <c r="H1033" t="inlineStr">
        <is>
          <t>23.04</t>
        </is>
      </c>
      <c r="I1033" t="n">
        <v>272</v>
      </c>
      <c r="J1033" t="n">
        <v>0.23333</v>
      </c>
    </row>
    <row r="1034">
      <c r="A1034" t="inlineStr">
        <is>
          <t>2035_Kwiecień_W5</t>
        </is>
      </c>
      <c r="B1034" t="n">
        <v>2035</v>
      </c>
      <c r="C1034" t="inlineStr">
        <is>
          <t>Kwiecień</t>
        </is>
      </c>
      <c r="D1034" t="inlineStr">
        <is>
          <t>W5</t>
        </is>
      </c>
      <c r="E1034" t="n">
        <v>7</v>
      </c>
      <c r="F1034" t="inlineStr">
        <is>
          <t>Pełny (7 dni)</t>
        </is>
      </c>
      <c r="G1034" t="inlineStr">
        <is>
          <t>24.04</t>
        </is>
      </c>
      <c r="H1034" t="inlineStr">
        <is>
          <t>30.04</t>
        </is>
      </c>
      <c r="I1034" t="n">
        <v>272</v>
      </c>
      <c r="J1034" t="n">
        <v>0.23333</v>
      </c>
    </row>
    <row r="1035">
      <c r="A1035" t="inlineStr">
        <is>
          <t>2035_Kwiecień_W6</t>
        </is>
      </c>
      <c r="B1035" t="n">
        <v>2035</v>
      </c>
      <c r="C1035" t="inlineStr">
        <is>
          <t>Kwiecień</t>
        </is>
      </c>
      <c r="D1035" t="inlineStr">
        <is>
          <t>W6</t>
        </is>
      </c>
      <c r="E1035" t="n">
        <v>0</v>
      </c>
      <c r="F1035" t="inlineStr">
        <is>
          <t>Brak w miesiącu</t>
        </is>
      </c>
      <c r="G1035" t="inlineStr">
        <is>
          <t>-</t>
        </is>
      </c>
      <c r="H1035" t="inlineStr">
        <is>
          <t>-</t>
        </is>
      </c>
      <c r="I1035" t="n">
        <v>0</v>
      </c>
      <c r="J1035" t="n">
        <v>0</v>
      </c>
    </row>
    <row r="1036">
      <c r="A1036" t="inlineStr">
        <is>
          <t>2035_Maj_W1</t>
        </is>
      </c>
      <c r="B1036" t="n">
        <v>2035</v>
      </c>
      <c r="C1036" t="inlineStr">
        <is>
          <t>Maj</t>
        </is>
      </c>
      <c r="D1036" t="inlineStr">
        <is>
          <t>W1</t>
        </is>
      </c>
      <c r="E1036" t="n">
        <v>7</v>
      </c>
      <c r="F1036" t="inlineStr">
        <is>
          <t>Pełny (7 dni)</t>
        </is>
      </c>
      <c r="G1036" t="inlineStr">
        <is>
          <t>01.05</t>
        </is>
      </c>
      <c r="H1036" t="inlineStr">
        <is>
          <t>07.05</t>
        </is>
      </c>
      <c r="I1036" t="n">
        <v>272</v>
      </c>
      <c r="J1036" t="n">
        <v>0.22581</v>
      </c>
    </row>
    <row r="1037">
      <c r="A1037" t="inlineStr">
        <is>
          <t>2035_Maj_W2</t>
        </is>
      </c>
      <c r="B1037" t="n">
        <v>2035</v>
      </c>
      <c r="C1037" t="inlineStr">
        <is>
          <t>Maj</t>
        </is>
      </c>
      <c r="D1037" t="inlineStr">
        <is>
          <t>W2</t>
        </is>
      </c>
      <c r="E1037" t="n">
        <v>7</v>
      </c>
      <c r="F1037" t="inlineStr">
        <is>
          <t>Pełny (7 dni)</t>
        </is>
      </c>
      <c r="G1037" t="inlineStr">
        <is>
          <t>08.05</t>
        </is>
      </c>
      <c r="H1037" t="inlineStr">
        <is>
          <t>14.05</t>
        </is>
      </c>
      <c r="I1037" t="n">
        <v>272</v>
      </c>
      <c r="J1037" t="n">
        <v>0.22581</v>
      </c>
    </row>
    <row r="1038">
      <c r="A1038" t="inlineStr">
        <is>
          <t>2035_Maj_W3</t>
        </is>
      </c>
      <c r="B1038" t="n">
        <v>2035</v>
      </c>
      <c r="C1038" t="inlineStr">
        <is>
          <t>Maj</t>
        </is>
      </c>
      <c r="D1038" t="inlineStr">
        <is>
          <t>W3</t>
        </is>
      </c>
      <c r="E1038" t="n">
        <v>7</v>
      </c>
      <c r="F1038" t="inlineStr">
        <is>
          <t>Pełny (7 dni)</t>
        </is>
      </c>
      <c r="G1038" t="inlineStr">
        <is>
          <t>15.05</t>
        </is>
      </c>
      <c r="H1038" t="inlineStr">
        <is>
          <t>21.05</t>
        </is>
      </c>
      <c r="I1038" t="n">
        <v>272</v>
      </c>
      <c r="J1038" t="n">
        <v>0.22581</v>
      </c>
    </row>
    <row r="1039">
      <c r="A1039" t="inlineStr">
        <is>
          <t>2035_Maj_W4</t>
        </is>
      </c>
      <c r="B1039" t="n">
        <v>2035</v>
      </c>
      <c r="C1039" t="inlineStr">
        <is>
          <t>Maj</t>
        </is>
      </c>
      <c r="D1039" t="inlineStr">
        <is>
          <t>W4</t>
        </is>
      </c>
      <c r="E1039" t="n">
        <v>7</v>
      </c>
      <c r="F1039" t="inlineStr">
        <is>
          <t>Pełny (7 dni)</t>
        </is>
      </c>
      <c r="G1039" t="inlineStr">
        <is>
          <t>22.05</t>
        </is>
      </c>
      <c r="H1039" t="inlineStr">
        <is>
          <t>28.05</t>
        </is>
      </c>
      <c r="I1039" t="n">
        <v>272</v>
      </c>
      <c r="J1039" t="n">
        <v>0.22581</v>
      </c>
    </row>
    <row r="1040">
      <c r="A1040" t="inlineStr">
        <is>
          <t>2035_Maj_W5</t>
        </is>
      </c>
      <c r="B1040" t="n">
        <v>2035</v>
      </c>
      <c r="C1040" t="inlineStr">
        <is>
          <t>Maj</t>
        </is>
      </c>
      <c r="D1040" t="inlineStr">
        <is>
          <t>W5</t>
        </is>
      </c>
      <c r="E1040" t="n">
        <v>3</v>
      </c>
      <c r="F1040" t="inlineStr">
        <is>
          <t>Niepełny (3 dni)</t>
        </is>
      </c>
      <c r="G1040" t="inlineStr">
        <is>
          <t>29.05</t>
        </is>
      </c>
      <c r="H1040" t="inlineStr">
        <is>
          <t>31.05</t>
        </is>
      </c>
      <c r="I1040" t="n">
        <v>120</v>
      </c>
      <c r="J1040" t="n">
        <v>0.09676999999999999</v>
      </c>
    </row>
    <row r="1041">
      <c r="A1041" t="inlineStr">
        <is>
          <t>2035_Maj_W6</t>
        </is>
      </c>
      <c r="B1041" t="n">
        <v>2035</v>
      </c>
      <c r="C1041" t="inlineStr">
        <is>
          <t>Maj</t>
        </is>
      </c>
      <c r="D1041" t="inlineStr">
        <is>
          <t>W6</t>
        </is>
      </c>
      <c r="E1041" t="n">
        <v>0</v>
      </c>
      <c r="F1041" t="inlineStr">
        <is>
          <t>Brak w miesiącu</t>
        </is>
      </c>
      <c r="G1041" t="inlineStr">
        <is>
          <t>-</t>
        </is>
      </c>
      <c r="H1041" t="inlineStr">
        <is>
          <t>-</t>
        </is>
      </c>
      <c r="I1041" t="n">
        <v>0</v>
      </c>
      <c r="J1041" t="n">
        <v>0</v>
      </c>
    </row>
    <row r="1042">
      <c r="A1042" t="inlineStr">
        <is>
          <t>2035_Czerwiec_W1</t>
        </is>
      </c>
      <c r="B1042" t="n">
        <v>2035</v>
      </c>
      <c r="C1042" t="inlineStr">
        <is>
          <t>Czerwiec</t>
        </is>
      </c>
      <c r="D1042" t="inlineStr">
        <is>
          <t>W1</t>
        </is>
      </c>
      <c r="E1042" t="n">
        <v>4</v>
      </c>
      <c r="F1042" t="inlineStr">
        <is>
          <t>Niepełny (4 dni)</t>
        </is>
      </c>
      <c r="G1042" t="inlineStr">
        <is>
          <t>01.06</t>
        </is>
      </c>
      <c r="H1042" t="inlineStr">
        <is>
          <t>04.06</t>
        </is>
      </c>
      <c r="I1042" t="n">
        <v>152</v>
      </c>
      <c r="J1042" t="n">
        <v>0.13333</v>
      </c>
    </row>
    <row r="1043">
      <c r="A1043" t="inlineStr">
        <is>
          <t>2035_Czerwiec_W2</t>
        </is>
      </c>
      <c r="B1043" t="n">
        <v>2035</v>
      </c>
      <c r="C1043" t="inlineStr">
        <is>
          <t>Czerwiec</t>
        </is>
      </c>
      <c r="D1043" t="inlineStr">
        <is>
          <t>W2</t>
        </is>
      </c>
      <c r="E1043" t="n">
        <v>7</v>
      </c>
      <c r="F1043" t="inlineStr">
        <is>
          <t>Pełny (7 dni)</t>
        </is>
      </c>
      <c r="G1043" t="inlineStr">
        <is>
          <t>05.06</t>
        </is>
      </c>
      <c r="H1043" t="inlineStr">
        <is>
          <t>11.06</t>
        </is>
      </c>
      <c r="I1043" t="n">
        <v>272</v>
      </c>
      <c r="J1043" t="n">
        <v>0.23333</v>
      </c>
    </row>
    <row r="1044">
      <c r="A1044" t="inlineStr">
        <is>
          <t>2035_Czerwiec_W3</t>
        </is>
      </c>
      <c r="B1044" t="n">
        <v>2035</v>
      </c>
      <c r="C1044" t="inlineStr">
        <is>
          <t>Czerwiec</t>
        </is>
      </c>
      <c r="D1044" t="inlineStr">
        <is>
          <t>W3</t>
        </is>
      </c>
      <c r="E1044" t="n">
        <v>7</v>
      </c>
      <c r="F1044" t="inlineStr">
        <is>
          <t>Pełny (7 dni)</t>
        </is>
      </c>
      <c r="G1044" t="inlineStr">
        <is>
          <t>12.06</t>
        </is>
      </c>
      <c r="H1044" t="inlineStr">
        <is>
          <t>18.06</t>
        </is>
      </c>
      <c r="I1044" t="n">
        <v>272</v>
      </c>
      <c r="J1044" t="n">
        <v>0.23333</v>
      </c>
    </row>
    <row r="1045">
      <c r="A1045" t="inlineStr">
        <is>
          <t>2035_Czerwiec_W4</t>
        </is>
      </c>
      <c r="B1045" t="n">
        <v>2035</v>
      </c>
      <c r="C1045" t="inlineStr">
        <is>
          <t>Czerwiec</t>
        </is>
      </c>
      <c r="D1045" t="inlineStr">
        <is>
          <t>W4</t>
        </is>
      </c>
      <c r="E1045" t="n">
        <v>7</v>
      </c>
      <c r="F1045" t="inlineStr">
        <is>
          <t>Pełny (7 dni)</t>
        </is>
      </c>
      <c r="G1045" t="inlineStr">
        <is>
          <t>19.06</t>
        </is>
      </c>
      <c r="H1045" t="inlineStr">
        <is>
          <t>25.06</t>
        </is>
      </c>
      <c r="I1045" t="n">
        <v>272</v>
      </c>
      <c r="J1045" t="n">
        <v>0.23333</v>
      </c>
    </row>
    <row r="1046">
      <c r="A1046" t="inlineStr">
        <is>
          <t>2035_Czerwiec_W5</t>
        </is>
      </c>
      <c r="B1046" t="n">
        <v>2035</v>
      </c>
      <c r="C1046" t="inlineStr">
        <is>
          <t>Czerwiec</t>
        </is>
      </c>
      <c r="D1046" t="inlineStr">
        <is>
          <t>W5</t>
        </is>
      </c>
      <c r="E1046" t="n">
        <v>5</v>
      </c>
      <c r="F1046" t="inlineStr">
        <is>
          <t>Niepełny (5 dni)</t>
        </is>
      </c>
      <c r="G1046" t="inlineStr">
        <is>
          <t>26.06</t>
        </is>
      </c>
      <c r="H1046" t="inlineStr">
        <is>
          <t>30.06</t>
        </is>
      </c>
      <c r="I1046" t="n">
        <v>200</v>
      </c>
      <c r="J1046" t="n">
        <v>0.16667</v>
      </c>
    </row>
    <row r="1047">
      <c r="A1047" t="inlineStr">
        <is>
          <t>2035_Czerwiec_W6</t>
        </is>
      </c>
      <c r="B1047" t="n">
        <v>2035</v>
      </c>
      <c r="C1047" t="inlineStr">
        <is>
          <t>Czerwiec</t>
        </is>
      </c>
      <c r="D1047" t="inlineStr">
        <is>
          <t>W6</t>
        </is>
      </c>
      <c r="E1047" t="n">
        <v>0</v>
      </c>
      <c r="F1047" t="inlineStr">
        <is>
          <t>Brak w miesiącu</t>
        </is>
      </c>
      <c r="G1047" t="inlineStr">
        <is>
          <t>-</t>
        </is>
      </c>
      <c r="H1047" t="inlineStr">
        <is>
          <t>-</t>
        </is>
      </c>
      <c r="I1047" t="n">
        <v>0</v>
      </c>
      <c r="J1047" t="n">
        <v>0</v>
      </c>
    </row>
    <row r="1048">
      <c r="A1048" t="inlineStr">
        <is>
          <t>2035_Lipiec_W1</t>
        </is>
      </c>
      <c r="B1048" t="n">
        <v>2035</v>
      </c>
      <c r="C1048" t="inlineStr">
        <is>
          <t>Lipiec</t>
        </is>
      </c>
      <c r="D1048" t="inlineStr">
        <is>
          <t>W1</t>
        </is>
      </c>
      <c r="E1048" t="n">
        <v>2</v>
      </c>
      <c r="F1048" t="inlineStr">
        <is>
          <t>Niepełny (2 dni)</t>
        </is>
      </c>
      <c r="G1048" t="inlineStr">
        <is>
          <t>01.07</t>
        </is>
      </c>
      <c r="H1048" t="inlineStr">
        <is>
          <t>02.07</t>
        </is>
      </c>
      <c r="I1048" t="n">
        <v>72</v>
      </c>
      <c r="J1048" t="n">
        <v>0.06451999999999999</v>
      </c>
    </row>
    <row r="1049">
      <c r="A1049" t="inlineStr">
        <is>
          <t>2035_Lipiec_W2</t>
        </is>
      </c>
      <c r="B1049" t="n">
        <v>2035</v>
      </c>
      <c r="C1049" t="inlineStr">
        <is>
          <t>Lipiec</t>
        </is>
      </c>
      <c r="D1049" t="inlineStr">
        <is>
          <t>W2</t>
        </is>
      </c>
      <c r="E1049" t="n">
        <v>7</v>
      </c>
      <c r="F1049" t="inlineStr">
        <is>
          <t>Pełny (7 dni)</t>
        </is>
      </c>
      <c r="G1049" t="inlineStr">
        <is>
          <t>03.07</t>
        </is>
      </c>
      <c r="H1049" t="inlineStr">
        <is>
          <t>09.07</t>
        </is>
      </c>
      <c r="I1049" t="n">
        <v>272</v>
      </c>
      <c r="J1049" t="n">
        <v>0.22581</v>
      </c>
    </row>
    <row r="1050">
      <c r="A1050" t="inlineStr">
        <is>
          <t>2035_Lipiec_W3</t>
        </is>
      </c>
      <c r="B1050" t="n">
        <v>2035</v>
      </c>
      <c r="C1050" t="inlineStr">
        <is>
          <t>Lipiec</t>
        </is>
      </c>
      <c r="D1050" t="inlineStr">
        <is>
          <t>W3</t>
        </is>
      </c>
      <c r="E1050" t="n">
        <v>7</v>
      </c>
      <c r="F1050" t="inlineStr">
        <is>
          <t>Pełny (7 dni)</t>
        </is>
      </c>
      <c r="G1050" t="inlineStr">
        <is>
          <t>10.07</t>
        </is>
      </c>
      <c r="H1050" t="inlineStr">
        <is>
          <t>16.07</t>
        </is>
      </c>
      <c r="I1050" t="n">
        <v>272</v>
      </c>
      <c r="J1050" t="n">
        <v>0.22581</v>
      </c>
    </row>
    <row r="1051">
      <c r="A1051" t="inlineStr">
        <is>
          <t>2035_Lipiec_W4</t>
        </is>
      </c>
      <c r="B1051" t="n">
        <v>2035</v>
      </c>
      <c r="C1051" t="inlineStr">
        <is>
          <t>Lipiec</t>
        </is>
      </c>
      <c r="D1051" t="inlineStr">
        <is>
          <t>W4</t>
        </is>
      </c>
      <c r="E1051" t="n">
        <v>7</v>
      </c>
      <c r="F1051" t="inlineStr">
        <is>
          <t>Pełny (7 dni)</t>
        </is>
      </c>
      <c r="G1051" t="inlineStr">
        <is>
          <t>17.07</t>
        </is>
      </c>
      <c r="H1051" t="inlineStr">
        <is>
          <t>23.07</t>
        </is>
      </c>
      <c r="I1051" t="n">
        <v>272</v>
      </c>
      <c r="J1051" t="n">
        <v>0.22581</v>
      </c>
    </row>
    <row r="1052">
      <c r="A1052" t="inlineStr">
        <is>
          <t>2035_Lipiec_W5</t>
        </is>
      </c>
      <c r="B1052" t="n">
        <v>2035</v>
      </c>
      <c r="C1052" t="inlineStr">
        <is>
          <t>Lipiec</t>
        </is>
      </c>
      <c r="D1052" t="inlineStr">
        <is>
          <t>W5</t>
        </is>
      </c>
      <c r="E1052" t="n">
        <v>7</v>
      </c>
      <c r="F1052" t="inlineStr">
        <is>
          <t>Pełny (7 dni)</t>
        </is>
      </c>
      <c r="G1052" t="inlineStr">
        <is>
          <t>24.07</t>
        </is>
      </c>
      <c r="H1052" t="inlineStr">
        <is>
          <t>30.07</t>
        </is>
      </c>
      <c r="I1052" t="n">
        <v>272</v>
      </c>
      <c r="J1052" t="n">
        <v>0.22581</v>
      </c>
    </row>
    <row r="1053">
      <c r="A1053" t="inlineStr">
        <is>
          <t>2035_Lipiec_W6</t>
        </is>
      </c>
      <c r="B1053" t="n">
        <v>2035</v>
      </c>
      <c r="C1053" t="inlineStr">
        <is>
          <t>Lipiec</t>
        </is>
      </c>
      <c r="D1053" t="inlineStr">
        <is>
          <t>W6</t>
        </is>
      </c>
      <c r="E1053" t="n">
        <v>1</v>
      </c>
      <c r="F1053" t="inlineStr">
        <is>
          <t>Niepełny (1 dni)</t>
        </is>
      </c>
      <c r="G1053" t="inlineStr">
        <is>
          <t>31.07</t>
        </is>
      </c>
      <c r="H1053" t="inlineStr">
        <is>
          <t>31.07</t>
        </is>
      </c>
      <c r="I1053" t="n">
        <v>40</v>
      </c>
      <c r="J1053" t="n">
        <v>0.03226</v>
      </c>
    </row>
    <row r="1054">
      <c r="A1054" t="inlineStr">
        <is>
          <t>2035_Sierpień_W1</t>
        </is>
      </c>
      <c r="B1054" t="n">
        <v>2035</v>
      </c>
      <c r="C1054" t="inlineStr">
        <is>
          <t>Sierpień</t>
        </is>
      </c>
      <c r="D1054" t="inlineStr">
        <is>
          <t>W1</t>
        </is>
      </c>
      <c r="E1054" t="n">
        <v>6</v>
      </c>
      <c r="F1054" t="inlineStr">
        <is>
          <t>Niepełny (6 dni)</t>
        </is>
      </c>
      <c r="G1054" t="inlineStr">
        <is>
          <t>01.08</t>
        </is>
      </c>
      <c r="H1054" t="inlineStr">
        <is>
          <t>06.08</t>
        </is>
      </c>
      <c r="I1054" t="n">
        <v>232</v>
      </c>
      <c r="J1054" t="n">
        <v>0.19355</v>
      </c>
    </row>
    <row r="1055">
      <c r="A1055" t="inlineStr">
        <is>
          <t>2035_Sierpień_W2</t>
        </is>
      </c>
      <c r="B1055" t="n">
        <v>2035</v>
      </c>
      <c r="C1055" t="inlineStr">
        <is>
          <t>Sierpień</t>
        </is>
      </c>
      <c r="D1055" t="inlineStr">
        <is>
          <t>W2</t>
        </is>
      </c>
      <c r="E1055" t="n">
        <v>7</v>
      </c>
      <c r="F1055" t="inlineStr">
        <is>
          <t>Pełny (7 dni)</t>
        </is>
      </c>
      <c r="G1055" t="inlineStr">
        <is>
          <t>07.08</t>
        </is>
      </c>
      <c r="H1055" t="inlineStr">
        <is>
          <t>13.08</t>
        </is>
      </c>
      <c r="I1055" t="n">
        <v>272</v>
      </c>
      <c r="J1055" t="n">
        <v>0.22581</v>
      </c>
    </row>
    <row r="1056">
      <c r="A1056" t="inlineStr">
        <is>
          <t>2035_Sierpień_W3</t>
        </is>
      </c>
      <c r="B1056" t="n">
        <v>2035</v>
      </c>
      <c r="C1056" t="inlineStr">
        <is>
          <t>Sierpień</t>
        </is>
      </c>
      <c r="D1056" t="inlineStr">
        <is>
          <t>W3</t>
        </is>
      </c>
      <c r="E1056" t="n">
        <v>7</v>
      </c>
      <c r="F1056" t="inlineStr">
        <is>
          <t>Pełny (7 dni)</t>
        </is>
      </c>
      <c r="G1056" t="inlineStr">
        <is>
          <t>14.08</t>
        </is>
      </c>
      <c r="H1056" t="inlineStr">
        <is>
          <t>20.08</t>
        </is>
      </c>
      <c r="I1056" t="n">
        <v>272</v>
      </c>
      <c r="J1056" t="n">
        <v>0.22581</v>
      </c>
    </row>
    <row r="1057">
      <c r="A1057" t="inlineStr">
        <is>
          <t>2035_Sierpień_W4</t>
        </is>
      </c>
      <c r="B1057" t="n">
        <v>2035</v>
      </c>
      <c r="C1057" t="inlineStr">
        <is>
          <t>Sierpień</t>
        </is>
      </c>
      <c r="D1057" t="inlineStr">
        <is>
          <t>W4</t>
        </is>
      </c>
      <c r="E1057" t="n">
        <v>7</v>
      </c>
      <c r="F1057" t="inlineStr">
        <is>
          <t>Pełny (7 dni)</t>
        </is>
      </c>
      <c r="G1057" t="inlineStr">
        <is>
          <t>21.08</t>
        </is>
      </c>
      <c r="H1057" t="inlineStr">
        <is>
          <t>27.08</t>
        </is>
      </c>
      <c r="I1057" t="n">
        <v>272</v>
      </c>
      <c r="J1057" t="n">
        <v>0.22581</v>
      </c>
    </row>
    <row r="1058">
      <c r="A1058" t="inlineStr">
        <is>
          <t>2035_Sierpień_W5</t>
        </is>
      </c>
      <c r="B1058" t="n">
        <v>2035</v>
      </c>
      <c r="C1058" t="inlineStr">
        <is>
          <t>Sierpień</t>
        </is>
      </c>
      <c r="D1058" t="inlineStr">
        <is>
          <t>W5</t>
        </is>
      </c>
      <c r="E1058" t="n">
        <v>4</v>
      </c>
      <c r="F1058" t="inlineStr">
        <is>
          <t>Niepełny (4 dni)</t>
        </is>
      </c>
      <c r="G1058" t="inlineStr">
        <is>
          <t>28.08</t>
        </is>
      </c>
      <c r="H1058" t="inlineStr">
        <is>
          <t>31.08</t>
        </is>
      </c>
      <c r="I1058" t="n">
        <v>160</v>
      </c>
      <c r="J1058" t="n">
        <v>0.12903</v>
      </c>
    </row>
    <row r="1059">
      <c r="A1059" t="inlineStr">
        <is>
          <t>2035_Sierpień_W6</t>
        </is>
      </c>
      <c r="B1059" t="n">
        <v>2035</v>
      </c>
      <c r="C1059" t="inlineStr">
        <is>
          <t>Sierpień</t>
        </is>
      </c>
      <c r="D1059" t="inlineStr">
        <is>
          <t>W6</t>
        </is>
      </c>
      <c r="E1059" t="n">
        <v>0</v>
      </c>
      <c r="F1059" t="inlineStr">
        <is>
          <t>Brak w miesiącu</t>
        </is>
      </c>
      <c r="G1059" t="inlineStr">
        <is>
          <t>-</t>
        </is>
      </c>
      <c r="H1059" t="inlineStr">
        <is>
          <t>-</t>
        </is>
      </c>
      <c r="I1059" t="n">
        <v>0</v>
      </c>
      <c r="J1059" t="n">
        <v>0</v>
      </c>
    </row>
    <row r="1060">
      <c r="A1060" t="inlineStr">
        <is>
          <t>2035_Wrzesień_W1</t>
        </is>
      </c>
      <c r="B1060" t="n">
        <v>2035</v>
      </c>
      <c r="C1060" t="inlineStr">
        <is>
          <t>Wrzesień</t>
        </is>
      </c>
      <c r="D1060" t="inlineStr">
        <is>
          <t>W1</t>
        </is>
      </c>
      <c r="E1060" t="n">
        <v>3</v>
      </c>
      <c r="F1060" t="inlineStr">
        <is>
          <t>Niepełny (3 dni)</t>
        </is>
      </c>
      <c r="G1060" t="inlineStr">
        <is>
          <t>01.09</t>
        </is>
      </c>
      <c r="H1060" t="inlineStr">
        <is>
          <t>03.09</t>
        </is>
      </c>
      <c r="I1060" t="n">
        <v>112</v>
      </c>
      <c r="J1060" t="n">
        <v>0.1</v>
      </c>
    </row>
    <row r="1061">
      <c r="A1061" t="inlineStr">
        <is>
          <t>2035_Wrzesień_W2</t>
        </is>
      </c>
      <c r="B1061" t="n">
        <v>2035</v>
      </c>
      <c r="C1061" t="inlineStr">
        <is>
          <t>Wrzesień</t>
        </is>
      </c>
      <c r="D1061" t="inlineStr">
        <is>
          <t>W2</t>
        </is>
      </c>
      <c r="E1061" t="n">
        <v>7</v>
      </c>
      <c r="F1061" t="inlineStr">
        <is>
          <t>Pełny (7 dni)</t>
        </is>
      </c>
      <c r="G1061" t="inlineStr">
        <is>
          <t>04.09</t>
        </is>
      </c>
      <c r="H1061" t="inlineStr">
        <is>
          <t>10.09</t>
        </is>
      </c>
      <c r="I1061" t="n">
        <v>272</v>
      </c>
      <c r="J1061" t="n">
        <v>0.23333</v>
      </c>
    </row>
    <row r="1062">
      <c r="A1062" t="inlineStr">
        <is>
          <t>2035_Wrzesień_W3</t>
        </is>
      </c>
      <c r="B1062" t="n">
        <v>2035</v>
      </c>
      <c r="C1062" t="inlineStr">
        <is>
          <t>Wrzesień</t>
        </is>
      </c>
      <c r="D1062" t="inlineStr">
        <is>
          <t>W3</t>
        </is>
      </c>
      <c r="E1062" t="n">
        <v>7</v>
      </c>
      <c r="F1062" t="inlineStr">
        <is>
          <t>Pełny (7 dni)</t>
        </is>
      </c>
      <c r="G1062" t="inlineStr">
        <is>
          <t>11.09</t>
        </is>
      </c>
      <c r="H1062" t="inlineStr">
        <is>
          <t>17.09</t>
        </is>
      </c>
      <c r="I1062" t="n">
        <v>272</v>
      </c>
      <c r="J1062" t="n">
        <v>0.23333</v>
      </c>
    </row>
    <row r="1063">
      <c r="A1063" t="inlineStr">
        <is>
          <t>2035_Wrzesień_W4</t>
        </is>
      </c>
      <c r="B1063" t="n">
        <v>2035</v>
      </c>
      <c r="C1063" t="inlineStr">
        <is>
          <t>Wrzesień</t>
        </is>
      </c>
      <c r="D1063" t="inlineStr">
        <is>
          <t>W4</t>
        </is>
      </c>
      <c r="E1063" t="n">
        <v>7</v>
      </c>
      <c r="F1063" t="inlineStr">
        <is>
          <t>Pełny (7 dni)</t>
        </is>
      </c>
      <c r="G1063" t="inlineStr">
        <is>
          <t>18.09</t>
        </is>
      </c>
      <c r="H1063" t="inlineStr">
        <is>
          <t>24.09</t>
        </is>
      </c>
      <c r="I1063" t="n">
        <v>272</v>
      </c>
      <c r="J1063" t="n">
        <v>0.23333</v>
      </c>
    </row>
    <row r="1064">
      <c r="A1064" t="inlineStr">
        <is>
          <t>2035_Wrzesień_W5</t>
        </is>
      </c>
      <c r="B1064" t="n">
        <v>2035</v>
      </c>
      <c r="C1064" t="inlineStr">
        <is>
          <t>Wrzesień</t>
        </is>
      </c>
      <c r="D1064" t="inlineStr">
        <is>
          <t>W5</t>
        </is>
      </c>
      <c r="E1064" t="n">
        <v>6</v>
      </c>
      <c r="F1064" t="inlineStr">
        <is>
          <t>Niepełny (6 dni)</t>
        </is>
      </c>
      <c r="G1064" t="inlineStr">
        <is>
          <t>25.09</t>
        </is>
      </c>
      <c r="H1064" t="inlineStr">
        <is>
          <t>30.09</t>
        </is>
      </c>
      <c r="I1064" t="n">
        <v>232</v>
      </c>
      <c r="J1064" t="n">
        <v>0.2</v>
      </c>
    </row>
    <row r="1065">
      <c r="A1065" t="inlineStr">
        <is>
          <t>2035_Wrzesień_W6</t>
        </is>
      </c>
      <c r="B1065" t="n">
        <v>2035</v>
      </c>
      <c r="C1065" t="inlineStr">
        <is>
          <t>Wrzesień</t>
        </is>
      </c>
      <c r="D1065" t="inlineStr">
        <is>
          <t>W6</t>
        </is>
      </c>
      <c r="E1065" t="n">
        <v>0</v>
      </c>
      <c r="F1065" t="inlineStr">
        <is>
          <t>Brak w miesiącu</t>
        </is>
      </c>
      <c r="G1065" t="inlineStr">
        <is>
          <t>-</t>
        </is>
      </c>
      <c r="H1065" t="inlineStr">
        <is>
          <t>-</t>
        </is>
      </c>
      <c r="I1065" t="n">
        <v>0</v>
      </c>
      <c r="J1065" t="n">
        <v>0</v>
      </c>
    </row>
    <row r="1066">
      <c r="A1066" t="inlineStr">
        <is>
          <t>2035_Październik_W1</t>
        </is>
      </c>
      <c r="B1066" t="n">
        <v>2035</v>
      </c>
      <c r="C1066" t="inlineStr">
        <is>
          <t>Październik</t>
        </is>
      </c>
      <c r="D1066" t="inlineStr">
        <is>
          <t>W1</t>
        </is>
      </c>
      <c r="E1066" t="n">
        <v>1</v>
      </c>
      <c r="F1066" t="inlineStr">
        <is>
          <t>Niepełny (1 dni)</t>
        </is>
      </c>
      <c r="G1066" t="inlineStr">
        <is>
          <t>01.10</t>
        </is>
      </c>
      <c r="H1066" t="inlineStr">
        <is>
          <t>01.10</t>
        </is>
      </c>
      <c r="I1066" t="n">
        <v>40</v>
      </c>
      <c r="J1066" t="n">
        <v>0.03226</v>
      </c>
    </row>
    <row r="1067">
      <c r="A1067" t="inlineStr">
        <is>
          <t>2035_Październik_W2</t>
        </is>
      </c>
      <c r="B1067" t="n">
        <v>2035</v>
      </c>
      <c r="C1067" t="inlineStr">
        <is>
          <t>Październik</t>
        </is>
      </c>
      <c r="D1067" t="inlineStr">
        <is>
          <t>W2</t>
        </is>
      </c>
      <c r="E1067" t="n">
        <v>7</v>
      </c>
      <c r="F1067" t="inlineStr">
        <is>
          <t>Pełny (7 dni)</t>
        </is>
      </c>
      <c r="G1067" t="inlineStr">
        <is>
          <t>02.10</t>
        </is>
      </c>
      <c r="H1067" t="inlineStr">
        <is>
          <t>08.10</t>
        </is>
      </c>
      <c r="I1067" t="n">
        <v>272</v>
      </c>
      <c r="J1067" t="n">
        <v>0.22581</v>
      </c>
    </row>
    <row r="1068">
      <c r="A1068" t="inlineStr">
        <is>
          <t>2035_Październik_W3</t>
        </is>
      </c>
      <c r="B1068" t="n">
        <v>2035</v>
      </c>
      <c r="C1068" t="inlineStr">
        <is>
          <t>Październik</t>
        </is>
      </c>
      <c r="D1068" t="inlineStr">
        <is>
          <t>W3</t>
        </is>
      </c>
      <c r="E1068" t="n">
        <v>7</v>
      </c>
      <c r="F1068" t="inlineStr">
        <is>
          <t>Pełny (7 dni)</t>
        </is>
      </c>
      <c r="G1068" t="inlineStr">
        <is>
          <t>09.10</t>
        </is>
      </c>
      <c r="H1068" t="inlineStr">
        <is>
          <t>15.10</t>
        </is>
      </c>
      <c r="I1068" t="n">
        <v>272</v>
      </c>
      <c r="J1068" t="n">
        <v>0.22581</v>
      </c>
    </row>
    <row r="1069">
      <c r="A1069" t="inlineStr">
        <is>
          <t>2035_Październik_W4</t>
        </is>
      </c>
      <c r="B1069" t="n">
        <v>2035</v>
      </c>
      <c r="C1069" t="inlineStr">
        <is>
          <t>Październik</t>
        </is>
      </c>
      <c r="D1069" t="inlineStr">
        <is>
          <t>W4</t>
        </is>
      </c>
      <c r="E1069" t="n">
        <v>7</v>
      </c>
      <c r="F1069" t="inlineStr">
        <is>
          <t>Pełny (7 dni)</t>
        </is>
      </c>
      <c r="G1069" t="inlineStr">
        <is>
          <t>16.10</t>
        </is>
      </c>
      <c r="H1069" t="inlineStr">
        <is>
          <t>22.10</t>
        </is>
      </c>
      <c r="I1069" t="n">
        <v>272</v>
      </c>
      <c r="J1069" t="n">
        <v>0.22581</v>
      </c>
    </row>
    <row r="1070">
      <c r="A1070" t="inlineStr">
        <is>
          <t>2035_Październik_W5</t>
        </is>
      </c>
      <c r="B1070" t="n">
        <v>2035</v>
      </c>
      <c r="C1070" t="inlineStr">
        <is>
          <t>Październik</t>
        </is>
      </c>
      <c r="D1070" t="inlineStr">
        <is>
          <t>W5</t>
        </is>
      </c>
      <c r="E1070" t="n">
        <v>7</v>
      </c>
      <c r="F1070" t="inlineStr">
        <is>
          <t>Pełny (7 dni)</t>
        </is>
      </c>
      <c r="G1070" t="inlineStr">
        <is>
          <t>23.10</t>
        </is>
      </c>
      <c r="H1070" t="inlineStr">
        <is>
          <t>29.10</t>
        </is>
      </c>
      <c r="I1070" t="n">
        <v>272</v>
      </c>
      <c r="J1070" t="n">
        <v>0.22581</v>
      </c>
    </row>
    <row r="1071">
      <c r="A1071" t="inlineStr">
        <is>
          <t>2035_Październik_W6</t>
        </is>
      </c>
      <c r="B1071" t="n">
        <v>2035</v>
      </c>
      <c r="C1071" t="inlineStr">
        <is>
          <t>Październik</t>
        </is>
      </c>
      <c r="D1071" t="inlineStr">
        <is>
          <t>W6</t>
        </is>
      </c>
      <c r="E1071" t="n">
        <v>2</v>
      </c>
      <c r="F1071" t="inlineStr">
        <is>
          <t>Niepełny (2 dni)</t>
        </is>
      </c>
      <c r="G1071" t="inlineStr">
        <is>
          <t>30.10</t>
        </is>
      </c>
      <c r="H1071" t="inlineStr">
        <is>
          <t>31.10</t>
        </is>
      </c>
      <c r="I1071" t="n">
        <v>80</v>
      </c>
      <c r="J1071" t="n">
        <v>0.06451999999999999</v>
      </c>
    </row>
    <row r="1072">
      <c r="A1072" t="inlineStr">
        <is>
          <t>2035_Listopad_W1</t>
        </is>
      </c>
      <c r="B1072" t="n">
        <v>2035</v>
      </c>
      <c r="C1072" t="inlineStr">
        <is>
          <t>Listopad</t>
        </is>
      </c>
      <c r="D1072" t="inlineStr">
        <is>
          <t>W1</t>
        </is>
      </c>
      <c r="E1072" t="n">
        <v>5</v>
      </c>
      <c r="F1072" t="inlineStr">
        <is>
          <t>Niepełny (5 dni)</t>
        </is>
      </c>
      <c r="G1072" t="inlineStr">
        <is>
          <t>01.11</t>
        </is>
      </c>
      <c r="H1072" t="inlineStr">
        <is>
          <t>05.11</t>
        </is>
      </c>
      <c r="I1072" t="n">
        <v>192</v>
      </c>
      <c r="J1072" t="n">
        <v>0.16667</v>
      </c>
    </row>
    <row r="1073">
      <c r="A1073" t="inlineStr">
        <is>
          <t>2035_Listopad_W2</t>
        </is>
      </c>
      <c r="B1073" t="n">
        <v>2035</v>
      </c>
      <c r="C1073" t="inlineStr">
        <is>
          <t>Listopad</t>
        </is>
      </c>
      <c r="D1073" t="inlineStr">
        <is>
          <t>W2</t>
        </is>
      </c>
      <c r="E1073" t="n">
        <v>7</v>
      </c>
      <c r="F1073" t="inlineStr">
        <is>
          <t>Pełny (7 dni)</t>
        </is>
      </c>
      <c r="G1073" t="inlineStr">
        <is>
          <t>06.11</t>
        </is>
      </c>
      <c r="H1073" t="inlineStr">
        <is>
          <t>12.11</t>
        </is>
      </c>
      <c r="I1073" t="n">
        <v>272</v>
      </c>
      <c r="J1073" t="n">
        <v>0.23333</v>
      </c>
    </row>
    <row r="1074">
      <c r="A1074" t="inlineStr">
        <is>
          <t>2035_Listopad_W3</t>
        </is>
      </c>
      <c r="B1074" t="n">
        <v>2035</v>
      </c>
      <c r="C1074" t="inlineStr">
        <is>
          <t>Listopad</t>
        </is>
      </c>
      <c r="D1074" t="inlineStr">
        <is>
          <t>W3</t>
        </is>
      </c>
      <c r="E1074" t="n">
        <v>7</v>
      </c>
      <c r="F1074" t="inlineStr">
        <is>
          <t>Pełny (7 dni)</t>
        </is>
      </c>
      <c r="G1074" t="inlineStr">
        <is>
          <t>13.11</t>
        </is>
      </c>
      <c r="H1074" t="inlineStr">
        <is>
          <t>19.11</t>
        </is>
      </c>
      <c r="I1074" t="n">
        <v>272</v>
      </c>
      <c r="J1074" t="n">
        <v>0.23333</v>
      </c>
    </row>
    <row r="1075">
      <c r="A1075" t="inlineStr">
        <is>
          <t>2035_Listopad_W4</t>
        </is>
      </c>
      <c r="B1075" t="n">
        <v>2035</v>
      </c>
      <c r="C1075" t="inlineStr">
        <is>
          <t>Listopad</t>
        </is>
      </c>
      <c r="D1075" t="inlineStr">
        <is>
          <t>W4</t>
        </is>
      </c>
      <c r="E1075" t="n">
        <v>7</v>
      </c>
      <c r="F1075" t="inlineStr">
        <is>
          <t>Pełny (7 dni)</t>
        </is>
      </c>
      <c r="G1075" t="inlineStr">
        <is>
          <t>20.11</t>
        </is>
      </c>
      <c r="H1075" t="inlineStr">
        <is>
          <t>26.11</t>
        </is>
      </c>
      <c r="I1075" t="n">
        <v>272</v>
      </c>
      <c r="J1075" t="n">
        <v>0.23333</v>
      </c>
    </row>
    <row r="1076">
      <c r="A1076" t="inlineStr">
        <is>
          <t>2035_Listopad_W5</t>
        </is>
      </c>
      <c r="B1076" t="n">
        <v>2035</v>
      </c>
      <c r="C1076" t="inlineStr">
        <is>
          <t>Listopad</t>
        </is>
      </c>
      <c r="D1076" t="inlineStr">
        <is>
          <t>W5</t>
        </is>
      </c>
      <c r="E1076" t="n">
        <v>4</v>
      </c>
      <c r="F1076" t="inlineStr">
        <is>
          <t>Niepełny (4 dni)</t>
        </is>
      </c>
      <c r="G1076" t="inlineStr">
        <is>
          <t>27.11</t>
        </is>
      </c>
      <c r="H1076" t="inlineStr">
        <is>
          <t>30.11</t>
        </is>
      </c>
      <c r="I1076" t="n">
        <v>160</v>
      </c>
      <c r="J1076" t="n">
        <v>0.13333</v>
      </c>
    </row>
    <row r="1077">
      <c r="A1077" t="inlineStr">
        <is>
          <t>2035_Listopad_W6</t>
        </is>
      </c>
      <c r="B1077" t="n">
        <v>2035</v>
      </c>
      <c r="C1077" t="inlineStr">
        <is>
          <t>Listopad</t>
        </is>
      </c>
      <c r="D1077" t="inlineStr">
        <is>
          <t>W6</t>
        </is>
      </c>
      <c r="E1077" t="n">
        <v>0</v>
      </c>
      <c r="F1077" t="inlineStr">
        <is>
          <t>Brak w miesiącu</t>
        </is>
      </c>
      <c r="G1077" t="inlineStr">
        <is>
          <t>-</t>
        </is>
      </c>
      <c r="H1077" t="inlineStr">
        <is>
          <t>-</t>
        </is>
      </c>
      <c r="I1077" t="n">
        <v>0</v>
      </c>
      <c r="J1077" t="n">
        <v>0</v>
      </c>
    </row>
    <row r="1078">
      <c r="A1078" t="inlineStr">
        <is>
          <t>2035_Grudzień_W1</t>
        </is>
      </c>
      <c r="B1078" t="n">
        <v>2035</v>
      </c>
      <c r="C1078" t="inlineStr">
        <is>
          <t>Grudzień</t>
        </is>
      </c>
      <c r="D1078" t="inlineStr">
        <is>
          <t>W1</t>
        </is>
      </c>
      <c r="E1078" t="n">
        <v>3</v>
      </c>
      <c r="F1078" t="inlineStr">
        <is>
          <t>Niepełny (3 dni)</t>
        </is>
      </c>
      <c r="G1078" t="inlineStr">
        <is>
          <t>01.12</t>
        </is>
      </c>
      <c r="H1078" t="inlineStr">
        <is>
          <t>03.12</t>
        </is>
      </c>
      <c r="I1078" t="n">
        <v>112</v>
      </c>
      <c r="J1078" t="n">
        <v>0.09676999999999999</v>
      </c>
    </row>
    <row r="1079">
      <c r="A1079" t="inlineStr">
        <is>
          <t>2035_Grudzień_W2</t>
        </is>
      </c>
      <c r="B1079" t="n">
        <v>2035</v>
      </c>
      <c r="C1079" t="inlineStr">
        <is>
          <t>Grudzień</t>
        </is>
      </c>
      <c r="D1079" t="inlineStr">
        <is>
          <t>W2</t>
        </is>
      </c>
      <c r="E1079" t="n">
        <v>7</v>
      </c>
      <c r="F1079" t="inlineStr">
        <is>
          <t>Pełny (7 dni)</t>
        </is>
      </c>
      <c r="G1079" t="inlineStr">
        <is>
          <t>04.12</t>
        </is>
      </c>
      <c r="H1079" t="inlineStr">
        <is>
          <t>10.12</t>
        </is>
      </c>
      <c r="I1079" t="n">
        <v>272</v>
      </c>
      <c r="J1079" t="n">
        <v>0.22581</v>
      </c>
    </row>
    <row r="1080">
      <c r="A1080" t="inlineStr">
        <is>
          <t>2035_Grudzień_W3</t>
        </is>
      </c>
      <c r="B1080" t="n">
        <v>2035</v>
      </c>
      <c r="C1080" t="inlineStr">
        <is>
          <t>Grudzień</t>
        </is>
      </c>
      <c r="D1080" t="inlineStr">
        <is>
          <t>W3</t>
        </is>
      </c>
      <c r="E1080" t="n">
        <v>7</v>
      </c>
      <c r="F1080" t="inlineStr">
        <is>
          <t>Pełny (7 dni)</t>
        </is>
      </c>
      <c r="G1080" t="inlineStr">
        <is>
          <t>11.12</t>
        </is>
      </c>
      <c r="H1080" t="inlineStr">
        <is>
          <t>17.12</t>
        </is>
      </c>
      <c r="I1080" t="n">
        <v>272</v>
      </c>
      <c r="J1080" t="n">
        <v>0.22581</v>
      </c>
    </row>
    <row r="1081">
      <c r="A1081" t="inlineStr">
        <is>
          <t>2035_Grudzień_W4</t>
        </is>
      </c>
      <c r="B1081" t="n">
        <v>2035</v>
      </c>
      <c r="C1081" t="inlineStr">
        <is>
          <t>Grudzień</t>
        </is>
      </c>
      <c r="D1081" t="inlineStr">
        <is>
          <t>W4</t>
        </is>
      </c>
      <c r="E1081" t="n">
        <v>7</v>
      </c>
      <c r="F1081" t="inlineStr">
        <is>
          <t>Pełny (7 dni)</t>
        </is>
      </c>
      <c r="G1081" t="inlineStr">
        <is>
          <t>18.12</t>
        </is>
      </c>
      <c r="H1081" t="inlineStr">
        <is>
          <t>24.12</t>
        </is>
      </c>
      <c r="I1081" t="n">
        <v>272</v>
      </c>
      <c r="J1081" t="n">
        <v>0.22581</v>
      </c>
    </row>
    <row r="1082">
      <c r="A1082" t="inlineStr">
        <is>
          <t>2035_Grudzień_W5</t>
        </is>
      </c>
      <c r="B1082" t="n">
        <v>2035</v>
      </c>
      <c r="C1082" t="inlineStr">
        <is>
          <t>Grudzień</t>
        </is>
      </c>
      <c r="D1082" t="inlineStr">
        <is>
          <t>W5</t>
        </is>
      </c>
      <c r="E1082" t="n">
        <v>7</v>
      </c>
      <c r="F1082" t="inlineStr">
        <is>
          <t>Pełny (7 dni)</t>
        </is>
      </c>
      <c r="G1082" t="inlineStr">
        <is>
          <t>25.12</t>
        </is>
      </c>
      <c r="H1082" t="inlineStr">
        <is>
          <t>31.12</t>
        </is>
      </c>
      <c r="I1082" t="n">
        <v>272</v>
      </c>
      <c r="J1082" t="n">
        <v>0.22581</v>
      </c>
    </row>
    <row r="1083">
      <c r="A1083" t="inlineStr">
        <is>
          <t>2035_Grudzień_W6</t>
        </is>
      </c>
      <c r="B1083" t="n">
        <v>2035</v>
      </c>
      <c r="C1083" t="inlineStr">
        <is>
          <t>Grudzień</t>
        </is>
      </c>
      <c r="D1083" t="inlineStr">
        <is>
          <t>W6</t>
        </is>
      </c>
      <c r="E1083" t="n">
        <v>0</v>
      </c>
      <c r="F1083" t="inlineStr">
        <is>
          <t>Brak w miesiącu</t>
        </is>
      </c>
      <c r="G1083" t="inlineStr">
        <is>
          <t>-</t>
        </is>
      </c>
      <c r="H1083" t="inlineStr">
        <is>
          <t>-</t>
        </is>
      </c>
      <c r="I1083" t="n">
        <v>0</v>
      </c>
      <c r="J1083" t="n">
        <v>0</v>
      </c>
    </row>
    <row r="1084">
      <c r="A1084" t="inlineStr">
        <is>
          <t>2036_Styczeń_W1</t>
        </is>
      </c>
      <c r="B1084" t="n">
        <v>2036</v>
      </c>
      <c r="C1084" t="inlineStr">
        <is>
          <t>Styczeń</t>
        </is>
      </c>
      <c r="D1084" t="inlineStr">
        <is>
          <t>W1</t>
        </is>
      </c>
      <c r="E1084" t="n">
        <v>7</v>
      </c>
      <c r="F1084" t="inlineStr">
        <is>
          <t>Pełny (7 dni)</t>
        </is>
      </c>
      <c r="G1084" t="inlineStr">
        <is>
          <t>01.01</t>
        </is>
      </c>
      <c r="H1084" t="inlineStr">
        <is>
          <t>07.01</t>
        </is>
      </c>
      <c r="I1084" t="n">
        <v>272</v>
      </c>
      <c r="J1084" t="n">
        <v>0.22581</v>
      </c>
    </row>
    <row r="1085">
      <c r="A1085" t="inlineStr">
        <is>
          <t>2036_Styczeń_W2</t>
        </is>
      </c>
      <c r="B1085" t="n">
        <v>2036</v>
      </c>
      <c r="C1085" t="inlineStr">
        <is>
          <t>Styczeń</t>
        </is>
      </c>
      <c r="D1085" t="inlineStr">
        <is>
          <t>W2</t>
        </is>
      </c>
      <c r="E1085" t="n">
        <v>7</v>
      </c>
      <c r="F1085" t="inlineStr">
        <is>
          <t>Pełny (7 dni)</t>
        </is>
      </c>
      <c r="G1085" t="inlineStr">
        <is>
          <t>08.01</t>
        </is>
      </c>
      <c r="H1085" t="inlineStr">
        <is>
          <t>14.01</t>
        </is>
      </c>
      <c r="I1085" t="n">
        <v>272</v>
      </c>
      <c r="J1085" t="n">
        <v>0.22581</v>
      </c>
    </row>
    <row r="1086">
      <c r="A1086" t="inlineStr">
        <is>
          <t>2036_Styczeń_W3</t>
        </is>
      </c>
      <c r="B1086" t="n">
        <v>2036</v>
      </c>
      <c r="C1086" t="inlineStr">
        <is>
          <t>Styczeń</t>
        </is>
      </c>
      <c r="D1086" t="inlineStr">
        <is>
          <t>W3</t>
        </is>
      </c>
      <c r="E1086" t="n">
        <v>7</v>
      </c>
      <c r="F1086" t="inlineStr">
        <is>
          <t>Pełny (7 dni)</t>
        </is>
      </c>
      <c r="G1086" t="inlineStr">
        <is>
          <t>15.01</t>
        </is>
      </c>
      <c r="H1086" t="inlineStr">
        <is>
          <t>21.01</t>
        </is>
      </c>
      <c r="I1086" t="n">
        <v>272</v>
      </c>
      <c r="J1086" t="n">
        <v>0.22581</v>
      </c>
    </row>
    <row r="1087">
      <c r="A1087" t="inlineStr">
        <is>
          <t>2036_Styczeń_W4</t>
        </is>
      </c>
      <c r="B1087" t="n">
        <v>2036</v>
      </c>
      <c r="C1087" t="inlineStr">
        <is>
          <t>Styczeń</t>
        </is>
      </c>
      <c r="D1087" t="inlineStr">
        <is>
          <t>W4</t>
        </is>
      </c>
      <c r="E1087" t="n">
        <v>7</v>
      </c>
      <c r="F1087" t="inlineStr">
        <is>
          <t>Pełny (7 dni)</t>
        </is>
      </c>
      <c r="G1087" t="inlineStr">
        <is>
          <t>22.01</t>
        </is>
      </c>
      <c r="H1087" t="inlineStr">
        <is>
          <t>28.01</t>
        </is>
      </c>
      <c r="I1087" t="n">
        <v>272</v>
      </c>
      <c r="J1087" t="n">
        <v>0.22581</v>
      </c>
    </row>
    <row r="1088">
      <c r="A1088" t="inlineStr">
        <is>
          <t>2036_Styczeń_W5</t>
        </is>
      </c>
      <c r="B1088" t="n">
        <v>2036</v>
      </c>
      <c r="C1088" t="inlineStr">
        <is>
          <t>Styczeń</t>
        </is>
      </c>
      <c r="D1088" t="inlineStr">
        <is>
          <t>W5</t>
        </is>
      </c>
      <c r="E1088" t="n">
        <v>3</v>
      </c>
      <c r="F1088" t="inlineStr">
        <is>
          <t>Niepełny (3 dni)</t>
        </is>
      </c>
      <c r="G1088" t="inlineStr">
        <is>
          <t>29.01</t>
        </is>
      </c>
      <c r="H1088" t="inlineStr">
        <is>
          <t>31.01</t>
        </is>
      </c>
      <c r="I1088" t="n">
        <v>120</v>
      </c>
      <c r="J1088" t="n">
        <v>0.09676999999999999</v>
      </c>
    </row>
    <row r="1089">
      <c r="A1089" t="inlineStr">
        <is>
          <t>2036_Styczeń_W6</t>
        </is>
      </c>
      <c r="B1089" t="n">
        <v>2036</v>
      </c>
      <c r="C1089" t="inlineStr">
        <is>
          <t>Styczeń</t>
        </is>
      </c>
      <c r="D1089" t="inlineStr">
        <is>
          <t>W6</t>
        </is>
      </c>
      <c r="E1089" t="n">
        <v>0</v>
      </c>
      <c r="F1089" t="inlineStr">
        <is>
          <t>Brak w miesiącu</t>
        </is>
      </c>
      <c r="G1089" t="inlineStr">
        <is>
          <t>-</t>
        </is>
      </c>
      <c r="H1089" t="inlineStr">
        <is>
          <t>-</t>
        </is>
      </c>
      <c r="I1089" t="n">
        <v>0</v>
      </c>
      <c r="J1089" t="n">
        <v>0</v>
      </c>
    </row>
    <row r="1090">
      <c r="A1090" t="inlineStr">
        <is>
          <t>2036_Luty_W1</t>
        </is>
      </c>
      <c r="B1090" t="n">
        <v>2036</v>
      </c>
      <c r="C1090" t="inlineStr">
        <is>
          <t>Luty</t>
        </is>
      </c>
      <c r="D1090" t="inlineStr">
        <is>
          <t>W1</t>
        </is>
      </c>
      <c r="E1090" t="n">
        <v>4</v>
      </c>
      <c r="F1090" t="inlineStr">
        <is>
          <t>Niepełny (4 dni)</t>
        </is>
      </c>
      <c r="G1090" t="inlineStr">
        <is>
          <t>01.02</t>
        </is>
      </c>
      <c r="H1090" t="inlineStr">
        <is>
          <t>04.02</t>
        </is>
      </c>
      <c r="I1090" t="n">
        <v>152</v>
      </c>
      <c r="J1090" t="n">
        <v>0.13793</v>
      </c>
    </row>
    <row r="1091">
      <c r="A1091" t="inlineStr">
        <is>
          <t>2036_Luty_W2</t>
        </is>
      </c>
      <c r="B1091" t="n">
        <v>2036</v>
      </c>
      <c r="C1091" t="inlineStr">
        <is>
          <t>Luty</t>
        </is>
      </c>
      <c r="D1091" t="inlineStr">
        <is>
          <t>W2</t>
        </is>
      </c>
      <c r="E1091" t="n">
        <v>7</v>
      </c>
      <c r="F1091" t="inlineStr">
        <is>
          <t>Pełny (7 dni)</t>
        </is>
      </c>
      <c r="G1091" t="inlineStr">
        <is>
          <t>05.02</t>
        </is>
      </c>
      <c r="H1091" t="inlineStr">
        <is>
          <t>11.02</t>
        </is>
      </c>
      <c r="I1091" t="n">
        <v>272</v>
      </c>
      <c r="J1091" t="n">
        <v>0.24138</v>
      </c>
    </row>
    <row r="1092">
      <c r="A1092" t="inlineStr">
        <is>
          <t>2036_Luty_W3</t>
        </is>
      </c>
      <c r="B1092" t="n">
        <v>2036</v>
      </c>
      <c r="C1092" t="inlineStr">
        <is>
          <t>Luty</t>
        </is>
      </c>
      <c r="D1092" t="inlineStr">
        <is>
          <t>W3</t>
        </is>
      </c>
      <c r="E1092" t="n">
        <v>7</v>
      </c>
      <c r="F1092" t="inlineStr">
        <is>
          <t>Pełny (7 dni)</t>
        </is>
      </c>
      <c r="G1092" t="inlineStr">
        <is>
          <t>12.02</t>
        </is>
      </c>
      <c r="H1092" t="inlineStr">
        <is>
          <t>18.02</t>
        </is>
      </c>
      <c r="I1092" t="n">
        <v>272</v>
      </c>
      <c r="J1092" t="n">
        <v>0.24138</v>
      </c>
    </row>
    <row r="1093">
      <c r="A1093" t="inlineStr">
        <is>
          <t>2036_Luty_W4</t>
        </is>
      </c>
      <c r="B1093" t="n">
        <v>2036</v>
      </c>
      <c r="C1093" t="inlineStr">
        <is>
          <t>Luty</t>
        </is>
      </c>
      <c r="D1093" t="inlineStr">
        <is>
          <t>W4</t>
        </is>
      </c>
      <c r="E1093" t="n">
        <v>7</v>
      </c>
      <c r="F1093" t="inlineStr">
        <is>
          <t>Pełny (7 dni)</t>
        </is>
      </c>
      <c r="G1093" t="inlineStr">
        <is>
          <t>19.02</t>
        </is>
      </c>
      <c r="H1093" t="inlineStr">
        <is>
          <t>25.02</t>
        </is>
      </c>
      <c r="I1093" t="n">
        <v>272</v>
      </c>
      <c r="J1093" t="n">
        <v>0.24138</v>
      </c>
    </row>
    <row r="1094">
      <c r="A1094" t="inlineStr">
        <is>
          <t>2036_Luty_W5</t>
        </is>
      </c>
      <c r="B1094" t="n">
        <v>2036</v>
      </c>
      <c r="C1094" t="inlineStr">
        <is>
          <t>Luty</t>
        </is>
      </c>
      <c r="D1094" t="inlineStr">
        <is>
          <t>W5</t>
        </is>
      </c>
      <c r="E1094" t="n">
        <v>4</v>
      </c>
      <c r="F1094" t="inlineStr">
        <is>
          <t>Niepełny (4 dni)</t>
        </is>
      </c>
      <c r="G1094" t="inlineStr">
        <is>
          <t>26.02</t>
        </is>
      </c>
      <c r="H1094" t="inlineStr">
        <is>
          <t>29.02</t>
        </is>
      </c>
      <c r="I1094" t="n">
        <v>160</v>
      </c>
      <c r="J1094" t="n">
        <v>0.13793</v>
      </c>
    </row>
    <row r="1095">
      <c r="A1095" t="inlineStr">
        <is>
          <t>2036_Luty_W6</t>
        </is>
      </c>
      <c r="B1095" t="n">
        <v>2036</v>
      </c>
      <c r="C1095" t="inlineStr">
        <is>
          <t>Luty</t>
        </is>
      </c>
      <c r="D1095" t="inlineStr">
        <is>
          <t>W6</t>
        </is>
      </c>
      <c r="E1095" t="n">
        <v>0</v>
      </c>
      <c r="F1095" t="inlineStr">
        <is>
          <t>Brak w miesiącu</t>
        </is>
      </c>
      <c r="G1095" t="inlineStr">
        <is>
          <t>-</t>
        </is>
      </c>
      <c r="H1095" t="inlineStr">
        <is>
          <t>-</t>
        </is>
      </c>
      <c r="I1095" t="n">
        <v>0</v>
      </c>
      <c r="J1095" t="n">
        <v>0</v>
      </c>
    </row>
    <row r="1096">
      <c r="A1096" t="inlineStr">
        <is>
          <t>2036_Marzec_W1</t>
        </is>
      </c>
      <c r="B1096" t="n">
        <v>2036</v>
      </c>
      <c r="C1096" t="inlineStr">
        <is>
          <t>Marzec</t>
        </is>
      </c>
      <c r="D1096" t="inlineStr">
        <is>
          <t>W1</t>
        </is>
      </c>
      <c r="E1096" t="n">
        <v>3</v>
      </c>
      <c r="F1096" t="inlineStr">
        <is>
          <t>Niepełny (3 dni)</t>
        </is>
      </c>
      <c r="G1096" t="inlineStr">
        <is>
          <t>01.03</t>
        </is>
      </c>
      <c r="H1096" t="inlineStr">
        <is>
          <t>03.03</t>
        </is>
      </c>
      <c r="I1096" t="n">
        <v>112</v>
      </c>
      <c r="J1096" t="n">
        <v>0.09676999999999999</v>
      </c>
    </row>
    <row r="1097">
      <c r="A1097" t="inlineStr">
        <is>
          <t>2036_Marzec_W2</t>
        </is>
      </c>
      <c r="B1097" t="n">
        <v>2036</v>
      </c>
      <c r="C1097" t="inlineStr">
        <is>
          <t>Marzec</t>
        </is>
      </c>
      <c r="D1097" t="inlineStr">
        <is>
          <t>W2</t>
        </is>
      </c>
      <c r="E1097" t="n">
        <v>7</v>
      </c>
      <c r="F1097" t="inlineStr">
        <is>
          <t>Pełny (7 dni)</t>
        </is>
      </c>
      <c r="G1097" t="inlineStr">
        <is>
          <t>04.03</t>
        </is>
      </c>
      <c r="H1097" t="inlineStr">
        <is>
          <t>10.03</t>
        </is>
      </c>
      <c r="I1097" t="n">
        <v>272</v>
      </c>
      <c r="J1097" t="n">
        <v>0.22581</v>
      </c>
    </row>
    <row r="1098">
      <c r="A1098" t="inlineStr">
        <is>
          <t>2036_Marzec_W3</t>
        </is>
      </c>
      <c r="B1098" t="n">
        <v>2036</v>
      </c>
      <c r="C1098" t="inlineStr">
        <is>
          <t>Marzec</t>
        </is>
      </c>
      <c r="D1098" t="inlineStr">
        <is>
          <t>W3</t>
        </is>
      </c>
      <c r="E1098" t="n">
        <v>7</v>
      </c>
      <c r="F1098" t="inlineStr">
        <is>
          <t>Pełny (7 dni)</t>
        </is>
      </c>
      <c r="G1098" t="inlineStr">
        <is>
          <t>11.03</t>
        </is>
      </c>
      <c r="H1098" t="inlineStr">
        <is>
          <t>17.03</t>
        </is>
      </c>
      <c r="I1098" t="n">
        <v>272</v>
      </c>
      <c r="J1098" t="n">
        <v>0.22581</v>
      </c>
    </row>
    <row r="1099">
      <c r="A1099" t="inlineStr">
        <is>
          <t>2036_Marzec_W4</t>
        </is>
      </c>
      <c r="B1099" t="n">
        <v>2036</v>
      </c>
      <c r="C1099" t="inlineStr">
        <is>
          <t>Marzec</t>
        </is>
      </c>
      <c r="D1099" t="inlineStr">
        <is>
          <t>W4</t>
        </is>
      </c>
      <c r="E1099" t="n">
        <v>7</v>
      </c>
      <c r="F1099" t="inlineStr">
        <is>
          <t>Pełny (7 dni)</t>
        </is>
      </c>
      <c r="G1099" t="inlineStr">
        <is>
          <t>18.03</t>
        </is>
      </c>
      <c r="H1099" t="inlineStr">
        <is>
          <t>24.03</t>
        </is>
      </c>
      <c r="I1099" t="n">
        <v>272</v>
      </c>
      <c r="J1099" t="n">
        <v>0.22581</v>
      </c>
    </row>
    <row r="1100">
      <c r="A1100" t="inlineStr">
        <is>
          <t>2036_Marzec_W5</t>
        </is>
      </c>
      <c r="B1100" t="n">
        <v>2036</v>
      </c>
      <c r="C1100" t="inlineStr">
        <is>
          <t>Marzec</t>
        </is>
      </c>
      <c r="D1100" t="inlineStr">
        <is>
          <t>W5</t>
        </is>
      </c>
      <c r="E1100" t="n">
        <v>7</v>
      </c>
      <c r="F1100" t="inlineStr">
        <is>
          <t>Pełny (7 dni)</t>
        </is>
      </c>
      <c r="G1100" t="inlineStr">
        <is>
          <t>25.03</t>
        </is>
      </c>
      <c r="H1100" t="inlineStr">
        <is>
          <t>31.03</t>
        </is>
      </c>
      <c r="I1100" t="n">
        <v>272</v>
      </c>
      <c r="J1100" t="n">
        <v>0.22581</v>
      </c>
    </row>
    <row r="1101">
      <c r="A1101" t="inlineStr">
        <is>
          <t>2036_Marzec_W6</t>
        </is>
      </c>
      <c r="B1101" t="n">
        <v>2036</v>
      </c>
      <c r="C1101" t="inlineStr">
        <is>
          <t>Marzec</t>
        </is>
      </c>
      <c r="D1101" t="inlineStr">
        <is>
          <t>W6</t>
        </is>
      </c>
      <c r="E1101" t="n">
        <v>0</v>
      </c>
      <c r="F1101" t="inlineStr">
        <is>
          <t>Brak w miesiącu</t>
        </is>
      </c>
      <c r="G1101" t="inlineStr">
        <is>
          <t>-</t>
        </is>
      </c>
      <c r="H1101" t="inlineStr">
        <is>
          <t>-</t>
        </is>
      </c>
      <c r="I1101" t="n">
        <v>0</v>
      </c>
      <c r="J1101" t="n">
        <v>0</v>
      </c>
    </row>
    <row r="1102">
      <c r="A1102" t="inlineStr">
        <is>
          <t>2036_Kwiecień_W1</t>
        </is>
      </c>
      <c r="B1102" t="n">
        <v>2036</v>
      </c>
      <c r="C1102" t="inlineStr">
        <is>
          <t>Kwiecień</t>
        </is>
      </c>
      <c r="D1102" t="inlineStr">
        <is>
          <t>W1</t>
        </is>
      </c>
      <c r="E1102" t="n">
        <v>7</v>
      </c>
      <c r="F1102" t="inlineStr">
        <is>
          <t>Pełny (7 dni)</t>
        </is>
      </c>
      <c r="G1102" t="inlineStr">
        <is>
          <t>01.04</t>
        </is>
      </c>
      <c r="H1102" t="inlineStr">
        <is>
          <t>07.04</t>
        </is>
      </c>
      <c r="I1102" t="n">
        <v>272</v>
      </c>
      <c r="J1102" t="n">
        <v>0.23333</v>
      </c>
    </row>
    <row r="1103">
      <c r="A1103" t="inlineStr">
        <is>
          <t>2036_Kwiecień_W2</t>
        </is>
      </c>
      <c r="B1103" t="n">
        <v>2036</v>
      </c>
      <c r="C1103" t="inlineStr">
        <is>
          <t>Kwiecień</t>
        </is>
      </c>
      <c r="D1103" t="inlineStr">
        <is>
          <t>W2</t>
        </is>
      </c>
      <c r="E1103" t="n">
        <v>7</v>
      </c>
      <c r="F1103" t="inlineStr">
        <is>
          <t>Pełny (7 dni)</t>
        </is>
      </c>
      <c r="G1103" t="inlineStr">
        <is>
          <t>08.04</t>
        </is>
      </c>
      <c r="H1103" t="inlineStr">
        <is>
          <t>14.04</t>
        </is>
      </c>
      <c r="I1103" t="n">
        <v>272</v>
      </c>
      <c r="J1103" t="n">
        <v>0.23333</v>
      </c>
    </row>
    <row r="1104">
      <c r="A1104" t="inlineStr">
        <is>
          <t>2036_Kwiecień_W3</t>
        </is>
      </c>
      <c r="B1104" t="n">
        <v>2036</v>
      </c>
      <c r="C1104" t="inlineStr">
        <is>
          <t>Kwiecień</t>
        </is>
      </c>
      <c r="D1104" t="inlineStr">
        <is>
          <t>W3</t>
        </is>
      </c>
      <c r="E1104" t="n">
        <v>7</v>
      </c>
      <c r="F1104" t="inlineStr">
        <is>
          <t>Pełny (7 dni)</t>
        </is>
      </c>
      <c r="G1104" t="inlineStr">
        <is>
          <t>15.04</t>
        </is>
      </c>
      <c r="H1104" t="inlineStr">
        <is>
          <t>21.04</t>
        </is>
      </c>
      <c r="I1104" t="n">
        <v>272</v>
      </c>
      <c r="J1104" t="n">
        <v>0.23333</v>
      </c>
    </row>
    <row r="1105">
      <c r="A1105" t="inlineStr">
        <is>
          <t>2036_Kwiecień_W4</t>
        </is>
      </c>
      <c r="B1105" t="n">
        <v>2036</v>
      </c>
      <c r="C1105" t="inlineStr">
        <is>
          <t>Kwiecień</t>
        </is>
      </c>
      <c r="D1105" t="inlineStr">
        <is>
          <t>W4</t>
        </is>
      </c>
      <c r="E1105" t="n">
        <v>7</v>
      </c>
      <c r="F1105" t="inlineStr">
        <is>
          <t>Pełny (7 dni)</t>
        </is>
      </c>
      <c r="G1105" t="inlineStr">
        <is>
          <t>22.04</t>
        </is>
      </c>
      <c r="H1105" t="inlineStr">
        <is>
          <t>28.04</t>
        </is>
      </c>
      <c r="I1105" t="n">
        <v>272</v>
      </c>
      <c r="J1105" t="n">
        <v>0.23333</v>
      </c>
    </row>
    <row r="1106">
      <c r="A1106" t="inlineStr">
        <is>
          <t>2036_Kwiecień_W5</t>
        </is>
      </c>
      <c r="B1106" t="n">
        <v>2036</v>
      </c>
      <c r="C1106" t="inlineStr">
        <is>
          <t>Kwiecień</t>
        </is>
      </c>
      <c r="D1106" t="inlineStr">
        <is>
          <t>W5</t>
        </is>
      </c>
      <c r="E1106" t="n">
        <v>2</v>
      </c>
      <c r="F1106" t="inlineStr">
        <is>
          <t>Niepełny (2 dni)</t>
        </is>
      </c>
      <c r="G1106" t="inlineStr">
        <is>
          <t>29.04</t>
        </is>
      </c>
      <c r="H1106" t="inlineStr">
        <is>
          <t>30.04</t>
        </is>
      </c>
      <c r="I1106" t="n">
        <v>80</v>
      </c>
      <c r="J1106" t="n">
        <v>0.06666999999999999</v>
      </c>
    </row>
    <row r="1107">
      <c r="A1107" t="inlineStr">
        <is>
          <t>2036_Kwiecień_W6</t>
        </is>
      </c>
      <c r="B1107" t="n">
        <v>2036</v>
      </c>
      <c r="C1107" t="inlineStr">
        <is>
          <t>Kwiecień</t>
        </is>
      </c>
      <c r="D1107" t="inlineStr">
        <is>
          <t>W6</t>
        </is>
      </c>
      <c r="E1107" t="n">
        <v>0</v>
      </c>
      <c r="F1107" t="inlineStr">
        <is>
          <t>Brak w miesiącu</t>
        </is>
      </c>
      <c r="G1107" t="inlineStr">
        <is>
          <t>-</t>
        </is>
      </c>
      <c r="H1107" t="inlineStr">
        <is>
          <t>-</t>
        </is>
      </c>
      <c r="I1107" t="n">
        <v>0</v>
      </c>
      <c r="J1107" t="n">
        <v>0</v>
      </c>
    </row>
    <row r="1108">
      <c r="A1108" t="inlineStr">
        <is>
          <t>2036_Maj_W1</t>
        </is>
      </c>
      <c r="B1108" t="n">
        <v>2036</v>
      </c>
      <c r="C1108" t="inlineStr">
        <is>
          <t>Maj</t>
        </is>
      </c>
      <c r="D1108" t="inlineStr">
        <is>
          <t>W1</t>
        </is>
      </c>
      <c r="E1108" t="n">
        <v>5</v>
      </c>
      <c r="F1108" t="inlineStr">
        <is>
          <t>Niepełny (5 dni)</t>
        </is>
      </c>
      <c r="G1108" t="inlineStr">
        <is>
          <t>01.05</t>
        </is>
      </c>
      <c r="H1108" t="inlineStr">
        <is>
          <t>05.05</t>
        </is>
      </c>
      <c r="I1108" t="n">
        <v>192</v>
      </c>
      <c r="J1108" t="n">
        <v>0.16129</v>
      </c>
    </row>
    <row r="1109">
      <c r="A1109" t="inlineStr">
        <is>
          <t>2036_Maj_W2</t>
        </is>
      </c>
      <c r="B1109" t="n">
        <v>2036</v>
      </c>
      <c r="C1109" t="inlineStr">
        <is>
          <t>Maj</t>
        </is>
      </c>
      <c r="D1109" t="inlineStr">
        <is>
          <t>W2</t>
        </is>
      </c>
      <c r="E1109" t="n">
        <v>7</v>
      </c>
      <c r="F1109" t="inlineStr">
        <is>
          <t>Pełny (7 dni)</t>
        </is>
      </c>
      <c r="G1109" t="inlineStr">
        <is>
          <t>06.05</t>
        </is>
      </c>
      <c r="H1109" t="inlineStr">
        <is>
          <t>12.05</t>
        </is>
      </c>
      <c r="I1109" t="n">
        <v>272</v>
      </c>
      <c r="J1109" t="n">
        <v>0.22581</v>
      </c>
    </row>
    <row r="1110">
      <c r="A1110" t="inlineStr">
        <is>
          <t>2036_Maj_W3</t>
        </is>
      </c>
      <c r="B1110" t="n">
        <v>2036</v>
      </c>
      <c r="C1110" t="inlineStr">
        <is>
          <t>Maj</t>
        </is>
      </c>
      <c r="D1110" t="inlineStr">
        <is>
          <t>W3</t>
        </is>
      </c>
      <c r="E1110" t="n">
        <v>7</v>
      </c>
      <c r="F1110" t="inlineStr">
        <is>
          <t>Pełny (7 dni)</t>
        </is>
      </c>
      <c r="G1110" t="inlineStr">
        <is>
          <t>13.05</t>
        </is>
      </c>
      <c r="H1110" t="inlineStr">
        <is>
          <t>19.05</t>
        </is>
      </c>
      <c r="I1110" t="n">
        <v>272</v>
      </c>
      <c r="J1110" t="n">
        <v>0.22581</v>
      </c>
    </row>
    <row r="1111">
      <c r="A1111" t="inlineStr">
        <is>
          <t>2036_Maj_W4</t>
        </is>
      </c>
      <c r="B1111" t="n">
        <v>2036</v>
      </c>
      <c r="C1111" t="inlineStr">
        <is>
          <t>Maj</t>
        </is>
      </c>
      <c r="D1111" t="inlineStr">
        <is>
          <t>W4</t>
        </is>
      </c>
      <c r="E1111" t="n">
        <v>7</v>
      </c>
      <c r="F1111" t="inlineStr">
        <is>
          <t>Pełny (7 dni)</t>
        </is>
      </c>
      <c r="G1111" t="inlineStr">
        <is>
          <t>20.05</t>
        </is>
      </c>
      <c r="H1111" t="inlineStr">
        <is>
          <t>26.05</t>
        </is>
      </c>
      <c r="I1111" t="n">
        <v>272</v>
      </c>
      <c r="J1111" t="n">
        <v>0.22581</v>
      </c>
    </row>
    <row r="1112">
      <c r="A1112" t="inlineStr">
        <is>
          <t>2036_Maj_W5</t>
        </is>
      </c>
      <c r="B1112" t="n">
        <v>2036</v>
      </c>
      <c r="C1112" t="inlineStr">
        <is>
          <t>Maj</t>
        </is>
      </c>
      <c r="D1112" t="inlineStr">
        <is>
          <t>W5</t>
        </is>
      </c>
      <c r="E1112" t="n">
        <v>5</v>
      </c>
      <c r="F1112" t="inlineStr">
        <is>
          <t>Niepełny (5 dni)</t>
        </is>
      </c>
      <c r="G1112" t="inlineStr">
        <is>
          <t>27.05</t>
        </is>
      </c>
      <c r="H1112" t="inlineStr">
        <is>
          <t>31.05</t>
        </is>
      </c>
      <c r="I1112" t="n">
        <v>200</v>
      </c>
      <c r="J1112" t="n">
        <v>0.16129</v>
      </c>
    </row>
    <row r="1113">
      <c r="A1113" t="inlineStr">
        <is>
          <t>2036_Maj_W6</t>
        </is>
      </c>
      <c r="B1113" t="n">
        <v>2036</v>
      </c>
      <c r="C1113" t="inlineStr">
        <is>
          <t>Maj</t>
        </is>
      </c>
      <c r="D1113" t="inlineStr">
        <is>
          <t>W6</t>
        </is>
      </c>
      <c r="E1113" t="n">
        <v>0</v>
      </c>
      <c r="F1113" t="inlineStr">
        <is>
          <t>Brak w miesiącu</t>
        </is>
      </c>
      <c r="G1113" t="inlineStr">
        <is>
          <t>-</t>
        </is>
      </c>
      <c r="H1113" t="inlineStr">
        <is>
          <t>-</t>
        </is>
      </c>
      <c r="I1113" t="n">
        <v>0</v>
      </c>
      <c r="J1113" t="n">
        <v>0</v>
      </c>
    </row>
    <row r="1114">
      <c r="A1114" t="inlineStr">
        <is>
          <t>2036_Czerwiec_W1</t>
        </is>
      </c>
      <c r="B1114" t="n">
        <v>2036</v>
      </c>
      <c r="C1114" t="inlineStr">
        <is>
          <t>Czerwiec</t>
        </is>
      </c>
      <c r="D1114" t="inlineStr">
        <is>
          <t>W1</t>
        </is>
      </c>
      <c r="E1114" t="n">
        <v>2</v>
      </c>
      <c r="F1114" t="inlineStr">
        <is>
          <t>Niepełny (2 dni)</t>
        </is>
      </c>
      <c r="G1114" t="inlineStr">
        <is>
          <t>01.06</t>
        </is>
      </c>
      <c r="H1114" t="inlineStr">
        <is>
          <t>02.06</t>
        </is>
      </c>
      <c r="I1114" t="n">
        <v>72</v>
      </c>
      <c r="J1114" t="n">
        <v>0.06666999999999999</v>
      </c>
    </row>
    <row r="1115">
      <c r="A1115" t="inlineStr">
        <is>
          <t>2036_Czerwiec_W2</t>
        </is>
      </c>
      <c r="B1115" t="n">
        <v>2036</v>
      </c>
      <c r="C1115" t="inlineStr">
        <is>
          <t>Czerwiec</t>
        </is>
      </c>
      <c r="D1115" t="inlineStr">
        <is>
          <t>W2</t>
        </is>
      </c>
      <c r="E1115" t="n">
        <v>7</v>
      </c>
      <c r="F1115" t="inlineStr">
        <is>
          <t>Pełny (7 dni)</t>
        </is>
      </c>
      <c r="G1115" t="inlineStr">
        <is>
          <t>03.06</t>
        </is>
      </c>
      <c r="H1115" t="inlineStr">
        <is>
          <t>09.06</t>
        </is>
      </c>
      <c r="I1115" t="n">
        <v>272</v>
      </c>
      <c r="J1115" t="n">
        <v>0.23333</v>
      </c>
    </row>
    <row r="1116">
      <c r="A1116" t="inlineStr">
        <is>
          <t>2036_Czerwiec_W3</t>
        </is>
      </c>
      <c r="B1116" t="n">
        <v>2036</v>
      </c>
      <c r="C1116" t="inlineStr">
        <is>
          <t>Czerwiec</t>
        </is>
      </c>
      <c r="D1116" t="inlineStr">
        <is>
          <t>W3</t>
        </is>
      </c>
      <c r="E1116" t="n">
        <v>7</v>
      </c>
      <c r="F1116" t="inlineStr">
        <is>
          <t>Pełny (7 dni)</t>
        </is>
      </c>
      <c r="G1116" t="inlineStr">
        <is>
          <t>10.06</t>
        </is>
      </c>
      <c r="H1116" t="inlineStr">
        <is>
          <t>16.06</t>
        </is>
      </c>
      <c r="I1116" t="n">
        <v>272</v>
      </c>
      <c r="J1116" t="n">
        <v>0.23333</v>
      </c>
    </row>
    <row r="1117">
      <c r="A1117" t="inlineStr">
        <is>
          <t>2036_Czerwiec_W4</t>
        </is>
      </c>
      <c r="B1117" t="n">
        <v>2036</v>
      </c>
      <c r="C1117" t="inlineStr">
        <is>
          <t>Czerwiec</t>
        </is>
      </c>
      <c r="D1117" t="inlineStr">
        <is>
          <t>W4</t>
        </is>
      </c>
      <c r="E1117" t="n">
        <v>7</v>
      </c>
      <c r="F1117" t="inlineStr">
        <is>
          <t>Pełny (7 dni)</t>
        </is>
      </c>
      <c r="G1117" t="inlineStr">
        <is>
          <t>17.06</t>
        </is>
      </c>
      <c r="H1117" t="inlineStr">
        <is>
          <t>23.06</t>
        </is>
      </c>
      <c r="I1117" t="n">
        <v>272</v>
      </c>
      <c r="J1117" t="n">
        <v>0.23333</v>
      </c>
    </row>
    <row r="1118">
      <c r="A1118" t="inlineStr">
        <is>
          <t>2036_Czerwiec_W5</t>
        </is>
      </c>
      <c r="B1118" t="n">
        <v>2036</v>
      </c>
      <c r="C1118" t="inlineStr">
        <is>
          <t>Czerwiec</t>
        </is>
      </c>
      <c r="D1118" t="inlineStr">
        <is>
          <t>W5</t>
        </is>
      </c>
      <c r="E1118" t="n">
        <v>7</v>
      </c>
      <c r="F1118" t="inlineStr">
        <is>
          <t>Pełny (7 dni)</t>
        </is>
      </c>
      <c r="G1118" t="inlineStr">
        <is>
          <t>24.06</t>
        </is>
      </c>
      <c r="H1118" t="inlineStr">
        <is>
          <t>30.06</t>
        </is>
      </c>
      <c r="I1118" t="n">
        <v>272</v>
      </c>
      <c r="J1118" t="n">
        <v>0.23333</v>
      </c>
    </row>
    <row r="1119">
      <c r="A1119" t="inlineStr">
        <is>
          <t>2036_Czerwiec_W6</t>
        </is>
      </c>
      <c r="B1119" t="n">
        <v>2036</v>
      </c>
      <c r="C1119" t="inlineStr">
        <is>
          <t>Czerwiec</t>
        </is>
      </c>
      <c r="D1119" t="inlineStr">
        <is>
          <t>W6</t>
        </is>
      </c>
      <c r="E1119" t="n">
        <v>0</v>
      </c>
      <c r="F1119" t="inlineStr">
        <is>
          <t>Brak w miesiącu</t>
        </is>
      </c>
      <c r="G1119" t="inlineStr">
        <is>
          <t>-</t>
        </is>
      </c>
      <c r="H1119" t="inlineStr">
        <is>
          <t>-</t>
        </is>
      </c>
      <c r="I1119" t="n">
        <v>0</v>
      </c>
      <c r="J1119" t="n">
        <v>0</v>
      </c>
    </row>
    <row r="1120">
      <c r="A1120" t="inlineStr">
        <is>
          <t>2036_Lipiec_W1</t>
        </is>
      </c>
      <c r="B1120" t="n">
        <v>2036</v>
      </c>
      <c r="C1120" t="inlineStr">
        <is>
          <t>Lipiec</t>
        </is>
      </c>
      <c r="D1120" t="inlineStr">
        <is>
          <t>W1</t>
        </is>
      </c>
      <c r="E1120" t="n">
        <v>7</v>
      </c>
      <c r="F1120" t="inlineStr">
        <is>
          <t>Pełny (7 dni)</t>
        </is>
      </c>
      <c r="G1120" t="inlineStr">
        <is>
          <t>01.07</t>
        </is>
      </c>
      <c r="H1120" t="inlineStr">
        <is>
          <t>07.07</t>
        </is>
      </c>
      <c r="I1120" t="n">
        <v>272</v>
      </c>
      <c r="J1120" t="n">
        <v>0.22581</v>
      </c>
    </row>
    <row r="1121">
      <c r="A1121" t="inlineStr">
        <is>
          <t>2036_Lipiec_W2</t>
        </is>
      </c>
      <c r="B1121" t="n">
        <v>2036</v>
      </c>
      <c r="C1121" t="inlineStr">
        <is>
          <t>Lipiec</t>
        </is>
      </c>
      <c r="D1121" t="inlineStr">
        <is>
          <t>W2</t>
        </is>
      </c>
      <c r="E1121" t="n">
        <v>7</v>
      </c>
      <c r="F1121" t="inlineStr">
        <is>
          <t>Pełny (7 dni)</t>
        </is>
      </c>
      <c r="G1121" t="inlineStr">
        <is>
          <t>08.07</t>
        </is>
      </c>
      <c r="H1121" t="inlineStr">
        <is>
          <t>14.07</t>
        </is>
      </c>
      <c r="I1121" t="n">
        <v>272</v>
      </c>
      <c r="J1121" t="n">
        <v>0.22581</v>
      </c>
    </row>
    <row r="1122">
      <c r="A1122" t="inlineStr">
        <is>
          <t>2036_Lipiec_W3</t>
        </is>
      </c>
      <c r="B1122" t="n">
        <v>2036</v>
      </c>
      <c r="C1122" t="inlineStr">
        <is>
          <t>Lipiec</t>
        </is>
      </c>
      <c r="D1122" t="inlineStr">
        <is>
          <t>W3</t>
        </is>
      </c>
      <c r="E1122" t="n">
        <v>7</v>
      </c>
      <c r="F1122" t="inlineStr">
        <is>
          <t>Pełny (7 dni)</t>
        </is>
      </c>
      <c r="G1122" t="inlineStr">
        <is>
          <t>15.07</t>
        </is>
      </c>
      <c r="H1122" t="inlineStr">
        <is>
          <t>21.07</t>
        </is>
      </c>
      <c r="I1122" t="n">
        <v>272</v>
      </c>
      <c r="J1122" t="n">
        <v>0.22581</v>
      </c>
    </row>
    <row r="1123">
      <c r="A1123" t="inlineStr">
        <is>
          <t>2036_Lipiec_W4</t>
        </is>
      </c>
      <c r="B1123" t="n">
        <v>2036</v>
      </c>
      <c r="C1123" t="inlineStr">
        <is>
          <t>Lipiec</t>
        </is>
      </c>
      <c r="D1123" t="inlineStr">
        <is>
          <t>W4</t>
        </is>
      </c>
      <c r="E1123" t="n">
        <v>7</v>
      </c>
      <c r="F1123" t="inlineStr">
        <is>
          <t>Pełny (7 dni)</t>
        </is>
      </c>
      <c r="G1123" t="inlineStr">
        <is>
          <t>22.07</t>
        </is>
      </c>
      <c r="H1123" t="inlineStr">
        <is>
          <t>28.07</t>
        </is>
      </c>
      <c r="I1123" t="n">
        <v>272</v>
      </c>
      <c r="J1123" t="n">
        <v>0.22581</v>
      </c>
    </row>
    <row r="1124">
      <c r="A1124" t="inlineStr">
        <is>
          <t>2036_Lipiec_W5</t>
        </is>
      </c>
      <c r="B1124" t="n">
        <v>2036</v>
      </c>
      <c r="C1124" t="inlineStr">
        <is>
          <t>Lipiec</t>
        </is>
      </c>
      <c r="D1124" t="inlineStr">
        <is>
          <t>W5</t>
        </is>
      </c>
      <c r="E1124" t="n">
        <v>3</v>
      </c>
      <c r="F1124" t="inlineStr">
        <is>
          <t>Niepełny (3 dni)</t>
        </is>
      </c>
      <c r="G1124" t="inlineStr">
        <is>
          <t>29.07</t>
        </is>
      </c>
      <c r="H1124" t="inlineStr">
        <is>
          <t>31.07</t>
        </is>
      </c>
      <c r="I1124" t="n">
        <v>120</v>
      </c>
      <c r="J1124" t="n">
        <v>0.09676999999999999</v>
      </c>
    </row>
    <row r="1125">
      <c r="A1125" t="inlineStr">
        <is>
          <t>2036_Lipiec_W6</t>
        </is>
      </c>
      <c r="B1125" t="n">
        <v>2036</v>
      </c>
      <c r="C1125" t="inlineStr">
        <is>
          <t>Lipiec</t>
        </is>
      </c>
      <c r="D1125" t="inlineStr">
        <is>
          <t>W6</t>
        </is>
      </c>
      <c r="E1125" t="n">
        <v>0</v>
      </c>
      <c r="F1125" t="inlineStr">
        <is>
          <t>Brak w miesiącu</t>
        </is>
      </c>
      <c r="G1125" t="inlineStr">
        <is>
          <t>-</t>
        </is>
      </c>
      <c r="H1125" t="inlineStr">
        <is>
          <t>-</t>
        </is>
      </c>
      <c r="I1125" t="n">
        <v>0</v>
      </c>
      <c r="J1125" t="n">
        <v>0</v>
      </c>
    </row>
    <row r="1126">
      <c r="A1126" t="inlineStr">
        <is>
          <t>2036_Sierpień_W1</t>
        </is>
      </c>
      <c r="B1126" t="n">
        <v>2036</v>
      </c>
      <c r="C1126" t="inlineStr">
        <is>
          <t>Sierpień</t>
        </is>
      </c>
      <c r="D1126" t="inlineStr">
        <is>
          <t>W1</t>
        </is>
      </c>
      <c r="E1126" t="n">
        <v>4</v>
      </c>
      <c r="F1126" t="inlineStr">
        <is>
          <t>Niepełny (4 dni)</t>
        </is>
      </c>
      <c r="G1126" t="inlineStr">
        <is>
          <t>01.08</t>
        </is>
      </c>
      <c r="H1126" t="inlineStr">
        <is>
          <t>04.08</t>
        </is>
      </c>
      <c r="I1126" t="n">
        <v>152</v>
      </c>
      <c r="J1126" t="n">
        <v>0.12903</v>
      </c>
    </row>
    <row r="1127">
      <c r="A1127" t="inlineStr">
        <is>
          <t>2036_Sierpień_W2</t>
        </is>
      </c>
      <c r="B1127" t="n">
        <v>2036</v>
      </c>
      <c r="C1127" t="inlineStr">
        <is>
          <t>Sierpień</t>
        </is>
      </c>
      <c r="D1127" t="inlineStr">
        <is>
          <t>W2</t>
        </is>
      </c>
      <c r="E1127" t="n">
        <v>7</v>
      </c>
      <c r="F1127" t="inlineStr">
        <is>
          <t>Pełny (7 dni)</t>
        </is>
      </c>
      <c r="G1127" t="inlineStr">
        <is>
          <t>05.08</t>
        </is>
      </c>
      <c r="H1127" t="inlineStr">
        <is>
          <t>11.08</t>
        </is>
      </c>
      <c r="I1127" t="n">
        <v>272</v>
      </c>
      <c r="J1127" t="n">
        <v>0.22581</v>
      </c>
    </row>
    <row r="1128">
      <c r="A1128" t="inlineStr">
        <is>
          <t>2036_Sierpień_W3</t>
        </is>
      </c>
      <c r="B1128" t="n">
        <v>2036</v>
      </c>
      <c r="C1128" t="inlineStr">
        <is>
          <t>Sierpień</t>
        </is>
      </c>
      <c r="D1128" t="inlineStr">
        <is>
          <t>W3</t>
        </is>
      </c>
      <c r="E1128" t="n">
        <v>7</v>
      </c>
      <c r="F1128" t="inlineStr">
        <is>
          <t>Pełny (7 dni)</t>
        </is>
      </c>
      <c r="G1128" t="inlineStr">
        <is>
          <t>12.08</t>
        </is>
      </c>
      <c r="H1128" t="inlineStr">
        <is>
          <t>18.08</t>
        </is>
      </c>
      <c r="I1128" t="n">
        <v>272</v>
      </c>
      <c r="J1128" t="n">
        <v>0.22581</v>
      </c>
    </row>
    <row r="1129">
      <c r="A1129" t="inlineStr">
        <is>
          <t>2036_Sierpień_W4</t>
        </is>
      </c>
      <c r="B1129" t="n">
        <v>2036</v>
      </c>
      <c r="C1129" t="inlineStr">
        <is>
          <t>Sierpień</t>
        </is>
      </c>
      <c r="D1129" t="inlineStr">
        <is>
          <t>W4</t>
        </is>
      </c>
      <c r="E1129" t="n">
        <v>7</v>
      </c>
      <c r="F1129" t="inlineStr">
        <is>
          <t>Pełny (7 dni)</t>
        </is>
      </c>
      <c r="G1129" t="inlineStr">
        <is>
          <t>19.08</t>
        </is>
      </c>
      <c r="H1129" t="inlineStr">
        <is>
          <t>25.08</t>
        </is>
      </c>
      <c r="I1129" t="n">
        <v>272</v>
      </c>
      <c r="J1129" t="n">
        <v>0.22581</v>
      </c>
    </row>
    <row r="1130">
      <c r="A1130" t="inlineStr">
        <is>
          <t>2036_Sierpień_W5</t>
        </is>
      </c>
      <c r="B1130" t="n">
        <v>2036</v>
      </c>
      <c r="C1130" t="inlineStr">
        <is>
          <t>Sierpień</t>
        </is>
      </c>
      <c r="D1130" t="inlineStr">
        <is>
          <t>W5</t>
        </is>
      </c>
      <c r="E1130" t="n">
        <v>6</v>
      </c>
      <c r="F1130" t="inlineStr">
        <is>
          <t>Niepełny (6 dni)</t>
        </is>
      </c>
      <c r="G1130" t="inlineStr">
        <is>
          <t>26.08</t>
        </is>
      </c>
      <c r="H1130" t="inlineStr">
        <is>
          <t>31.08</t>
        </is>
      </c>
      <c r="I1130" t="n">
        <v>232</v>
      </c>
      <c r="J1130" t="n">
        <v>0.19355</v>
      </c>
    </row>
    <row r="1131">
      <c r="A1131" t="inlineStr">
        <is>
          <t>2036_Sierpień_W6</t>
        </is>
      </c>
      <c r="B1131" t="n">
        <v>2036</v>
      </c>
      <c r="C1131" t="inlineStr">
        <is>
          <t>Sierpień</t>
        </is>
      </c>
      <c r="D1131" t="inlineStr">
        <is>
          <t>W6</t>
        </is>
      </c>
      <c r="E1131" t="n">
        <v>0</v>
      </c>
      <c r="F1131" t="inlineStr">
        <is>
          <t>Brak w miesiącu</t>
        </is>
      </c>
      <c r="G1131" t="inlineStr">
        <is>
          <t>-</t>
        </is>
      </c>
      <c r="H1131" t="inlineStr">
        <is>
          <t>-</t>
        </is>
      </c>
      <c r="I1131" t="n">
        <v>0</v>
      </c>
      <c r="J1131" t="n">
        <v>0</v>
      </c>
    </row>
    <row r="1132">
      <c r="A1132" t="inlineStr">
        <is>
          <t>2036_Wrzesień_W1</t>
        </is>
      </c>
      <c r="B1132" t="n">
        <v>2036</v>
      </c>
      <c r="C1132" t="inlineStr">
        <is>
          <t>Wrzesień</t>
        </is>
      </c>
      <c r="D1132" t="inlineStr">
        <is>
          <t>W1</t>
        </is>
      </c>
      <c r="E1132" t="n">
        <v>1</v>
      </c>
      <c r="F1132" t="inlineStr">
        <is>
          <t>Niepełny (1 dni)</t>
        </is>
      </c>
      <c r="G1132" t="inlineStr">
        <is>
          <t>01.09</t>
        </is>
      </c>
      <c r="H1132" t="inlineStr">
        <is>
          <t>01.09</t>
        </is>
      </c>
      <c r="I1132" t="n">
        <v>40</v>
      </c>
      <c r="J1132" t="n">
        <v>0.03333</v>
      </c>
    </row>
    <row r="1133">
      <c r="A1133" t="inlineStr">
        <is>
          <t>2036_Wrzesień_W2</t>
        </is>
      </c>
      <c r="B1133" t="n">
        <v>2036</v>
      </c>
      <c r="C1133" t="inlineStr">
        <is>
          <t>Wrzesień</t>
        </is>
      </c>
      <c r="D1133" t="inlineStr">
        <is>
          <t>W2</t>
        </is>
      </c>
      <c r="E1133" t="n">
        <v>7</v>
      </c>
      <c r="F1133" t="inlineStr">
        <is>
          <t>Pełny (7 dni)</t>
        </is>
      </c>
      <c r="G1133" t="inlineStr">
        <is>
          <t>02.09</t>
        </is>
      </c>
      <c r="H1133" t="inlineStr">
        <is>
          <t>08.09</t>
        </is>
      </c>
      <c r="I1133" t="n">
        <v>272</v>
      </c>
      <c r="J1133" t="n">
        <v>0.23333</v>
      </c>
    </row>
    <row r="1134">
      <c r="A1134" t="inlineStr">
        <is>
          <t>2036_Wrzesień_W3</t>
        </is>
      </c>
      <c r="B1134" t="n">
        <v>2036</v>
      </c>
      <c r="C1134" t="inlineStr">
        <is>
          <t>Wrzesień</t>
        </is>
      </c>
      <c r="D1134" t="inlineStr">
        <is>
          <t>W3</t>
        </is>
      </c>
      <c r="E1134" t="n">
        <v>7</v>
      </c>
      <c r="F1134" t="inlineStr">
        <is>
          <t>Pełny (7 dni)</t>
        </is>
      </c>
      <c r="G1134" t="inlineStr">
        <is>
          <t>09.09</t>
        </is>
      </c>
      <c r="H1134" t="inlineStr">
        <is>
          <t>15.09</t>
        </is>
      </c>
      <c r="I1134" t="n">
        <v>272</v>
      </c>
      <c r="J1134" t="n">
        <v>0.23333</v>
      </c>
    </row>
    <row r="1135">
      <c r="A1135" t="inlineStr">
        <is>
          <t>2036_Wrzesień_W4</t>
        </is>
      </c>
      <c r="B1135" t="n">
        <v>2036</v>
      </c>
      <c r="C1135" t="inlineStr">
        <is>
          <t>Wrzesień</t>
        </is>
      </c>
      <c r="D1135" t="inlineStr">
        <is>
          <t>W4</t>
        </is>
      </c>
      <c r="E1135" t="n">
        <v>7</v>
      </c>
      <c r="F1135" t="inlineStr">
        <is>
          <t>Pełny (7 dni)</t>
        </is>
      </c>
      <c r="G1135" t="inlineStr">
        <is>
          <t>16.09</t>
        </is>
      </c>
      <c r="H1135" t="inlineStr">
        <is>
          <t>22.09</t>
        </is>
      </c>
      <c r="I1135" t="n">
        <v>272</v>
      </c>
      <c r="J1135" t="n">
        <v>0.23333</v>
      </c>
    </row>
    <row r="1136">
      <c r="A1136" t="inlineStr">
        <is>
          <t>2036_Wrzesień_W5</t>
        </is>
      </c>
      <c r="B1136" t="n">
        <v>2036</v>
      </c>
      <c r="C1136" t="inlineStr">
        <is>
          <t>Wrzesień</t>
        </is>
      </c>
      <c r="D1136" t="inlineStr">
        <is>
          <t>W5</t>
        </is>
      </c>
      <c r="E1136" t="n">
        <v>7</v>
      </c>
      <c r="F1136" t="inlineStr">
        <is>
          <t>Pełny (7 dni)</t>
        </is>
      </c>
      <c r="G1136" t="inlineStr">
        <is>
          <t>23.09</t>
        </is>
      </c>
      <c r="H1136" t="inlineStr">
        <is>
          <t>29.09</t>
        </is>
      </c>
      <c r="I1136" t="n">
        <v>272</v>
      </c>
      <c r="J1136" t="n">
        <v>0.23333</v>
      </c>
    </row>
    <row r="1137">
      <c r="A1137" t="inlineStr">
        <is>
          <t>2036_Wrzesień_W6</t>
        </is>
      </c>
      <c r="B1137" t="n">
        <v>2036</v>
      </c>
      <c r="C1137" t="inlineStr">
        <is>
          <t>Wrzesień</t>
        </is>
      </c>
      <c r="D1137" t="inlineStr">
        <is>
          <t>W6</t>
        </is>
      </c>
      <c r="E1137" t="n">
        <v>1</v>
      </c>
      <c r="F1137" t="inlineStr">
        <is>
          <t>Niepełny (1 dni)</t>
        </is>
      </c>
      <c r="G1137" t="inlineStr">
        <is>
          <t>30.09</t>
        </is>
      </c>
      <c r="H1137" t="inlineStr">
        <is>
          <t>30.09</t>
        </is>
      </c>
      <c r="I1137" t="n">
        <v>40</v>
      </c>
      <c r="J1137" t="n">
        <v>0.03333</v>
      </c>
    </row>
    <row r="1138">
      <c r="A1138" t="inlineStr">
        <is>
          <t>2036_Październik_W1</t>
        </is>
      </c>
      <c r="B1138" t="n">
        <v>2036</v>
      </c>
      <c r="C1138" t="inlineStr">
        <is>
          <t>Październik</t>
        </is>
      </c>
      <c r="D1138" t="inlineStr">
        <is>
          <t>W1</t>
        </is>
      </c>
      <c r="E1138" t="n">
        <v>6</v>
      </c>
      <c r="F1138" t="inlineStr">
        <is>
          <t>Niepełny (6 dni)</t>
        </is>
      </c>
      <c r="G1138" t="inlineStr">
        <is>
          <t>01.10</t>
        </is>
      </c>
      <c r="H1138" t="inlineStr">
        <is>
          <t>06.10</t>
        </is>
      </c>
      <c r="I1138" t="n">
        <v>232</v>
      </c>
      <c r="J1138" t="n">
        <v>0.19355</v>
      </c>
    </row>
    <row r="1139">
      <c r="A1139" t="inlineStr">
        <is>
          <t>2036_Październik_W2</t>
        </is>
      </c>
      <c r="B1139" t="n">
        <v>2036</v>
      </c>
      <c r="C1139" t="inlineStr">
        <is>
          <t>Październik</t>
        </is>
      </c>
      <c r="D1139" t="inlineStr">
        <is>
          <t>W2</t>
        </is>
      </c>
      <c r="E1139" t="n">
        <v>7</v>
      </c>
      <c r="F1139" t="inlineStr">
        <is>
          <t>Pełny (7 dni)</t>
        </is>
      </c>
      <c r="G1139" t="inlineStr">
        <is>
          <t>07.10</t>
        </is>
      </c>
      <c r="H1139" t="inlineStr">
        <is>
          <t>13.10</t>
        </is>
      </c>
      <c r="I1139" t="n">
        <v>272</v>
      </c>
      <c r="J1139" t="n">
        <v>0.22581</v>
      </c>
    </row>
    <row r="1140">
      <c r="A1140" t="inlineStr">
        <is>
          <t>2036_Październik_W3</t>
        </is>
      </c>
      <c r="B1140" t="n">
        <v>2036</v>
      </c>
      <c r="C1140" t="inlineStr">
        <is>
          <t>Październik</t>
        </is>
      </c>
      <c r="D1140" t="inlineStr">
        <is>
          <t>W3</t>
        </is>
      </c>
      <c r="E1140" t="n">
        <v>7</v>
      </c>
      <c r="F1140" t="inlineStr">
        <is>
          <t>Pełny (7 dni)</t>
        </is>
      </c>
      <c r="G1140" t="inlineStr">
        <is>
          <t>14.10</t>
        </is>
      </c>
      <c r="H1140" t="inlineStr">
        <is>
          <t>20.10</t>
        </is>
      </c>
      <c r="I1140" t="n">
        <v>272</v>
      </c>
      <c r="J1140" t="n">
        <v>0.22581</v>
      </c>
    </row>
    <row r="1141">
      <c r="A1141" t="inlineStr">
        <is>
          <t>2036_Październik_W4</t>
        </is>
      </c>
      <c r="B1141" t="n">
        <v>2036</v>
      </c>
      <c r="C1141" t="inlineStr">
        <is>
          <t>Październik</t>
        </is>
      </c>
      <c r="D1141" t="inlineStr">
        <is>
          <t>W4</t>
        </is>
      </c>
      <c r="E1141" t="n">
        <v>7</v>
      </c>
      <c r="F1141" t="inlineStr">
        <is>
          <t>Pełny (7 dni)</t>
        </is>
      </c>
      <c r="G1141" t="inlineStr">
        <is>
          <t>21.10</t>
        </is>
      </c>
      <c r="H1141" t="inlineStr">
        <is>
          <t>27.10</t>
        </is>
      </c>
      <c r="I1141" t="n">
        <v>272</v>
      </c>
      <c r="J1141" t="n">
        <v>0.22581</v>
      </c>
    </row>
    <row r="1142">
      <c r="A1142" t="inlineStr">
        <is>
          <t>2036_Październik_W5</t>
        </is>
      </c>
      <c r="B1142" t="n">
        <v>2036</v>
      </c>
      <c r="C1142" t="inlineStr">
        <is>
          <t>Październik</t>
        </is>
      </c>
      <c r="D1142" t="inlineStr">
        <is>
          <t>W5</t>
        </is>
      </c>
      <c r="E1142" t="n">
        <v>4</v>
      </c>
      <c r="F1142" t="inlineStr">
        <is>
          <t>Niepełny (4 dni)</t>
        </is>
      </c>
      <c r="G1142" t="inlineStr">
        <is>
          <t>28.10</t>
        </is>
      </c>
      <c r="H1142" t="inlineStr">
        <is>
          <t>31.10</t>
        </is>
      </c>
      <c r="I1142" t="n">
        <v>160</v>
      </c>
      <c r="J1142" t="n">
        <v>0.12903</v>
      </c>
    </row>
    <row r="1143">
      <c r="A1143" t="inlineStr">
        <is>
          <t>2036_Październik_W6</t>
        </is>
      </c>
      <c r="B1143" t="n">
        <v>2036</v>
      </c>
      <c r="C1143" t="inlineStr">
        <is>
          <t>Październik</t>
        </is>
      </c>
      <c r="D1143" t="inlineStr">
        <is>
          <t>W6</t>
        </is>
      </c>
      <c r="E1143" t="n">
        <v>0</v>
      </c>
      <c r="F1143" t="inlineStr">
        <is>
          <t>Brak w miesiącu</t>
        </is>
      </c>
      <c r="G1143" t="inlineStr">
        <is>
          <t>-</t>
        </is>
      </c>
      <c r="H1143" t="inlineStr">
        <is>
          <t>-</t>
        </is>
      </c>
      <c r="I1143" t="n">
        <v>0</v>
      </c>
      <c r="J1143" t="n">
        <v>0</v>
      </c>
    </row>
    <row r="1144">
      <c r="A1144" t="inlineStr">
        <is>
          <t>2036_Listopad_W1</t>
        </is>
      </c>
      <c r="B1144" t="n">
        <v>2036</v>
      </c>
      <c r="C1144" t="inlineStr">
        <is>
          <t>Listopad</t>
        </is>
      </c>
      <c r="D1144" t="inlineStr">
        <is>
          <t>W1</t>
        </is>
      </c>
      <c r="E1144" t="n">
        <v>3</v>
      </c>
      <c r="F1144" t="inlineStr">
        <is>
          <t>Niepełny (3 dni)</t>
        </is>
      </c>
      <c r="G1144" t="inlineStr">
        <is>
          <t>01.11</t>
        </is>
      </c>
      <c r="H1144" t="inlineStr">
        <is>
          <t>03.11</t>
        </is>
      </c>
      <c r="I1144" t="n">
        <v>112</v>
      </c>
      <c r="J1144" t="n">
        <v>0.1</v>
      </c>
    </row>
    <row r="1145">
      <c r="A1145" t="inlineStr">
        <is>
          <t>2036_Listopad_W2</t>
        </is>
      </c>
      <c r="B1145" t="n">
        <v>2036</v>
      </c>
      <c r="C1145" t="inlineStr">
        <is>
          <t>Listopad</t>
        </is>
      </c>
      <c r="D1145" t="inlineStr">
        <is>
          <t>W2</t>
        </is>
      </c>
      <c r="E1145" t="n">
        <v>7</v>
      </c>
      <c r="F1145" t="inlineStr">
        <is>
          <t>Pełny (7 dni)</t>
        </is>
      </c>
      <c r="G1145" t="inlineStr">
        <is>
          <t>04.11</t>
        </is>
      </c>
      <c r="H1145" t="inlineStr">
        <is>
          <t>10.11</t>
        </is>
      </c>
      <c r="I1145" t="n">
        <v>272</v>
      </c>
      <c r="J1145" t="n">
        <v>0.23333</v>
      </c>
    </row>
    <row r="1146">
      <c r="A1146" t="inlineStr">
        <is>
          <t>2036_Listopad_W3</t>
        </is>
      </c>
      <c r="B1146" t="n">
        <v>2036</v>
      </c>
      <c r="C1146" t="inlineStr">
        <is>
          <t>Listopad</t>
        </is>
      </c>
      <c r="D1146" t="inlineStr">
        <is>
          <t>W3</t>
        </is>
      </c>
      <c r="E1146" t="n">
        <v>7</v>
      </c>
      <c r="F1146" t="inlineStr">
        <is>
          <t>Pełny (7 dni)</t>
        </is>
      </c>
      <c r="G1146" t="inlineStr">
        <is>
          <t>11.11</t>
        </is>
      </c>
      <c r="H1146" t="inlineStr">
        <is>
          <t>17.11</t>
        </is>
      </c>
      <c r="I1146" t="n">
        <v>272</v>
      </c>
      <c r="J1146" t="n">
        <v>0.23333</v>
      </c>
    </row>
    <row r="1147">
      <c r="A1147" t="inlineStr">
        <is>
          <t>2036_Listopad_W4</t>
        </is>
      </c>
      <c r="B1147" t="n">
        <v>2036</v>
      </c>
      <c r="C1147" t="inlineStr">
        <is>
          <t>Listopad</t>
        </is>
      </c>
      <c r="D1147" t="inlineStr">
        <is>
          <t>W4</t>
        </is>
      </c>
      <c r="E1147" t="n">
        <v>7</v>
      </c>
      <c r="F1147" t="inlineStr">
        <is>
          <t>Pełny (7 dni)</t>
        </is>
      </c>
      <c r="G1147" t="inlineStr">
        <is>
          <t>18.11</t>
        </is>
      </c>
      <c r="H1147" t="inlineStr">
        <is>
          <t>24.11</t>
        </is>
      </c>
      <c r="I1147" t="n">
        <v>272</v>
      </c>
      <c r="J1147" t="n">
        <v>0.23333</v>
      </c>
    </row>
    <row r="1148">
      <c r="A1148" t="inlineStr">
        <is>
          <t>2036_Listopad_W5</t>
        </is>
      </c>
      <c r="B1148" t="n">
        <v>2036</v>
      </c>
      <c r="C1148" t="inlineStr">
        <is>
          <t>Listopad</t>
        </is>
      </c>
      <c r="D1148" t="inlineStr">
        <is>
          <t>W5</t>
        </is>
      </c>
      <c r="E1148" t="n">
        <v>6</v>
      </c>
      <c r="F1148" t="inlineStr">
        <is>
          <t>Niepełny (6 dni)</t>
        </is>
      </c>
      <c r="G1148" t="inlineStr">
        <is>
          <t>25.11</t>
        </is>
      </c>
      <c r="H1148" t="inlineStr">
        <is>
          <t>30.11</t>
        </is>
      </c>
      <c r="I1148" t="n">
        <v>232</v>
      </c>
      <c r="J1148" t="n">
        <v>0.2</v>
      </c>
    </row>
    <row r="1149">
      <c r="A1149" t="inlineStr">
        <is>
          <t>2036_Listopad_W6</t>
        </is>
      </c>
      <c r="B1149" t="n">
        <v>2036</v>
      </c>
      <c r="C1149" t="inlineStr">
        <is>
          <t>Listopad</t>
        </is>
      </c>
      <c r="D1149" t="inlineStr">
        <is>
          <t>W6</t>
        </is>
      </c>
      <c r="E1149" t="n">
        <v>0</v>
      </c>
      <c r="F1149" t="inlineStr">
        <is>
          <t>Brak w miesiącu</t>
        </is>
      </c>
      <c r="G1149" t="inlineStr">
        <is>
          <t>-</t>
        </is>
      </c>
      <c r="H1149" t="inlineStr">
        <is>
          <t>-</t>
        </is>
      </c>
      <c r="I1149" t="n">
        <v>0</v>
      </c>
      <c r="J1149" t="n">
        <v>0</v>
      </c>
    </row>
    <row r="1150">
      <c r="A1150" t="inlineStr">
        <is>
          <t>2036_Grudzień_W1</t>
        </is>
      </c>
      <c r="B1150" t="n">
        <v>2036</v>
      </c>
      <c r="C1150" t="inlineStr">
        <is>
          <t>Grudzień</t>
        </is>
      </c>
      <c r="D1150" t="inlineStr">
        <is>
          <t>W1</t>
        </is>
      </c>
      <c r="E1150" t="n">
        <v>1</v>
      </c>
      <c r="F1150" t="inlineStr">
        <is>
          <t>Niepełny (1 dni)</t>
        </is>
      </c>
      <c r="G1150" t="inlineStr">
        <is>
          <t>01.12</t>
        </is>
      </c>
      <c r="H1150" t="inlineStr">
        <is>
          <t>01.12</t>
        </is>
      </c>
      <c r="I1150" t="n">
        <v>40</v>
      </c>
      <c r="J1150" t="n">
        <v>0.03226</v>
      </c>
    </row>
    <row r="1151">
      <c r="A1151" t="inlineStr">
        <is>
          <t>2036_Grudzień_W2</t>
        </is>
      </c>
      <c r="B1151" t="n">
        <v>2036</v>
      </c>
      <c r="C1151" t="inlineStr">
        <is>
          <t>Grudzień</t>
        </is>
      </c>
      <c r="D1151" t="inlineStr">
        <is>
          <t>W2</t>
        </is>
      </c>
      <c r="E1151" t="n">
        <v>7</v>
      </c>
      <c r="F1151" t="inlineStr">
        <is>
          <t>Pełny (7 dni)</t>
        </is>
      </c>
      <c r="G1151" t="inlineStr">
        <is>
          <t>02.12</t>
        </is>
      </c>
      <c r="H1151" t="inlineStr">
        <is>
          <t>08.12</t>
        </is>
      </c>
      <c r="I1151" t="n">
        <v>272</v>
      </c>
      <c r="J1151" t="n">
        <v>0.22581</v>
      </c>
    </row>
    <row r="1152">
      <c r="A1152" t="inlineStr">
        <is>
          <t>2036_Grudzień_W3</t>
        </is>
      </c>
      <c r="B1152" t="n">
        <v>2036</v>
      </c>
      <c r="C1152" t="inlineStr">
        <is>
          <t>Grudzień</t>
        </is>
      </c>
      <c r="D1152" t="inlineStr">
        <is>
          <t>W3</t>
        </is>
      </c>
      <c r="E1152" t="n">
        <v>7</v>
      </c>
      <c r="F1152" t="inlineStr">
        <is>
          <t>Pełny (7 dni)</t>
        </is>
      </c>
      <c r="G1152" t="inlineStr">
        <is>
          <t>09.12</t>
        </is>
      </c>
      <c r="H1152" t="inlineStr">
        <is>
          <t>15.12</t>
        </is>
      </c>
      <c r="I1152" t="n">
        <v>272</v>
      </c>
      <c r="J1152" t="n">
        <v>0.22581</v>
      </c>
    </row>
    <row r="1153">
      <c r="A1153" t="inlineStr">
        <is>
          <t>2036_Grudzień_W4</t>
        </is>
      </c>
      <c r="B1153" t="n">
        <v>2036</v>
      </c>
      <c r="C1153" t="inlineStr">
        <is>
          <t>Grudzień</t>
        </is>
      </c>
      <c r="D1153" t="inlineStr">
        <is>
          <t>W4</t>
        </is>
      </c>
      <c r="E1153" t="n">
        <v>7</v>
      </c>
      <c r="F1153" t="inlineStr">
        <is>
          <t>Pełny (7 dni)</t>
        </is>
      </c>
      <c r="G1153" t="inlineStr">
        <is>
          <t>16.12</t>
        </is>
      </c>
      <c r="H1153" t="inlineStr">
        <is>
          <t>22.12</t>
        </is>
      </c>
      <c r="I1153" t="n">
        <v>272</v>
      </c>
      <c r="J1153" t="n">
        <v>0.22581</v>
      </c>
    </row>
    <row r="1154">
      <c r="A1154" t="inlineStr">
        <is>
          <t>2036_Grudzień_W5</t>
        </is>
      </c>
      <c r="B1154" t="n">
        <v>2036</v>
      </c>
      <c r="C1154" t="inlineStr">
        <is>
          <t>Grudzień</t>
        </is>
      </c>
      <c r="D1154" t="inlineStr">
        <is>
          <t>W5</t>
        </is>
      </c>
      <c r="E1154" t="n">
        <v>7</v>
      </c>
      <c r="F1154" t="inlineStr">
        <is>
          <t>Pełny (7 dni)</t>
        </is>
      </c>
      <c r="G1154" t="inlineStr">
        <is>
          <t>23.12</t>
        </is>
      </c>
      <c r="H1154" t="inlineStr">
        <is>
          <t>29.12</t>
        </is>
      </c>
      <c r="I1154" t="n">
        <v>272</v>
      </c>
      <c r="J1154" t="n">
        <v>0.22581</v>
      </c>
    </row>
    <row r="1155">
      <c r="A1155" t="inlineStr">
        <is>
          <t>2036_Grudzień_W6</t>
        </is>
      </c>
      <c r="B1155" t="n">
        <v>2036</v>
      </c>
      <c r="C1155" t="inlineStr">
        <is>
          <t>Grudzień</t>
        </is>
      </c>
      <c r="D1155" t="inlineStr">
        <is>
          <t>W6</t>
        </is>
      </c>
      <c r="E1155" t="n">
        <v>2</v>
      </c>
      <c r="F1155" t="inlineStr">
        <is>
          <t>Niepełny (2 dni)</t>
        </is>
      </c>
      <c r="G1155" t="inlineStr">
        <is>
          <t>30.12</t>
        </is>
      </c>
      <c r="H1155" t="inlineStr">
        <is>
          <t>31.12</t>
        </is>
      </c>
      <c r="I1155" t="n">
        <v>80</v>
      </c>
      <c r="J1155" t="n">
        <v>0.06451999999999999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88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1" customWidth="1" min="5" max="5"/>
    <col width="19" customWidth="1" min="6" max="6"/>
    <col width="11" customWidth="1" min="7" max="7"/>
    <col width="24" customWidth="1" min="8" max="8"/>
    <col width="27" customWidth="1" min="9" max="9"/>
    <col width="20" customWidth="1" min="10" max="10"/>
    <col width="11" customWidth="1" min="11" max="11"/>
    <col width="16" customWidth="1" min="12" max="12"/>
    <col width="28" customWidth="1" min="13" max="13"/>
    <col width="19" customWidth="1" min="14" max="14"/>
  </cols>
  <sheetData>
    <row r="1">
      <c r="A1" s="191" t="inlineStr">
        <is>
          <t>ID</t>
        </is>
      </c>
      <c r="B1" s="191" t="inlineStr">
        <is>
          <t>Data</t>
        </is>
      </c>
      <c r="C1" s="191" t="inlineStr">
        <is>
          <t>Rok</t>
        </is>
      </c>
      <c r="D1" s="191" t="inlineStr">
        <is>
          <t>Miesiąc</t>
        </is>
      </c>
      <c r="E1" s="191" t="inlineStr">
        <is>
          <t>Tydzień</t>
        </is>
      </c>
      <c r="F1" s="191" t="inlineStr">
        <is>
          <t>Klucz_Tygodnia</t>
        </is>
      </c>
      <c r="G1" s="191" t="inlineStr">
        <is>
          <t>Dzień</t>
        </is>
      </c>
      <c r="H1" s="191" t="inlineStr">
        <is>
          <t>Pracownik</t>
        </is>
      </c>
      <c r="I1" s="191" t="inlineStr">
        <is>
          <t>Stanowisko</t>
        </is>
      </c>
      <c r="J1" s="191" t="inlineStr">
        <is>
          <t>Wymiar_Etatu</t>
        </is>
      </c>
      <c r="K1" s="191" t="inlineStr">
        <is>
          <t>Godziny</t>
        </is>
      </c>
      <c r="L1" s="191" t="inlineStr">
        <is>
          <t>Kawiarnia_Kod</t>
        </is>
      </c>
      <c r="M1" s="191" t="inlineStr">
        <is>
          <t>Kawiarnia_Nazwa</t>
        </is>
      </c>
      <c r="N1" s="191" t="inlineStr">
        <is>
          <t>Data_Importu</t>
        </is>
      </c>
      <c r="O1" s="196" t="inlineStr">
        <is>
          <t>⬅️ POWRÓT DO DASHBOARDU</t>
        </is>
      </c>
      <c r="P1" s="196" t="n"/>
    </row>
    <row r="2">
      <c r="A2" t="n">
        <v>1</v>
      </c>
      <c r="B2" t="inlineStr">
        <is>
          <t>2026-06-01</t>
        </is>
      </c>
      <c r="C2" t="n">
        <v>2026</v>
      </c>
      <c r="D2" t="inlineStr">
        <is>
          <t>Czerwiec</t>
        </is>
      </c>
      <c r="E2" t="inlineStr">
        <is>
          <t>W1</t>
        </is>
      </c>
      <c r="F2" t="inlineStr">
        <is>
          <t>2026_Czerwiec_W1</t>
        </is>
      </c>
      <c r="G2" t="inlineStr">
        <is>
          <t>Pn</t>
        </is>
      </c>
      <c r="H2" t="inlineStr">
        <is>
          <t>APEL, DAWID</t>
        </is>
      </c>
      <c r="I2" t="inlineStr">
        <is>
          <t>Assistant Manager</t>
        </is>
      </c>
      <c r="J2" t="inlineStr">
        <is>
          <t>Standard 1,0|40h</t>
        </is>
      </c>
      <c r="K2" t="n">
        <v>8</v>
      </c>
      <c r="L2" t="inlineStr">
        <is>
          <t>384</t>
        </is>
      </c>
      <c r="M2" t="inlineStr">
        <is>
          <t>108120 SBX Warszawa Janki</t>
        </is>
      </c>
      <c r="N2" t="inlineStr">
        <is>
          <t>2026-09-11 19:06</t>
        </is>
      </c>
    </row>
    <row r="3">
      <c r="A3" t="n">
        <v>2</v>
      </c>
      <c r="B3" t="inlineStr">
        <is>
          <t>2026-06-02</t>
        </is>
      </c>
      <c r="C3" t="n">
        <v>2026</v>
      </c>
      <c r="D3" t="inlineStr">
        <is>
          <t>Czerwiec</t>
        </is>
      </c>
      <c r="E3" t="inlineStr">
        <is>
          <t>W2</t>
        </is>
      </c>
      <c r="F3" t="inlineStr">
        <is>
          <t>2026_Czerwiec_W2</t>
        </is>
      </c>
      <c r="G3" t="inlineStr">
        <is>
          <t>Wt</t>
        </is>
      </c>
      <c r="H3" t="inlineStr">
        <is>
          <t>APEL, DAWID</t>
        </is>
      </c>
      <c r="I3" t="inlineStr">
        <is>
          <t>Assistant Manager</t>
        </is>
      </c>
      <c r="J3" t="inlineStr">
        <is>
          <t>Standard 1,0|40h</t>
        </is>
      </c>
      <c r="K3" t="n">
        <v>7.75</v>
      </c>
      <c r="L3" t="inlineStr">
        <is>
          <t>384</t>
        </is>
      </c>
      <c r="M3" t="inlineStr">
        <is>
          <t>108120 SBX Warszawa Janki</t>
        </is>
      </c>
      <c r="N3" t="inlineStr">
        <is>
          <t>2026-09-11 19:06</t>
        </is>
      </c>
    </row>
    <row r="4">
      <c r="A4" t="n">
        <v>3</v>
      </c>
      <c r="B4" t="inlineStr">
        <is>
          <t>2026-06-03</t>
        </is>
      </c>
      <c r="C4" t="n">
        <v>2026</v>
      </c>
      <c r="D4" t="inlineStr">
        <is>
          <t>Czerwiec</t>
        </is>
      </c>
      <c r="E4" t="inlineStr">
        <is>
          <t>W2</t>
        </is>
      </c>
      <c r="F4" t="inlineStr">
        <is>
          <t>2026_Czerwiec_W2</t>
        </is>
      </c>
      <c r="G4" t="inlineStr">
        <is>
          <t>Śr</t>
        </is>
      </c>
      <c r="H4" t="inlineStr">
        <is>
          <t>APEL, DAWID</t>
        </is>
      </c>
      <c r="I4" t="inlineStr">
        <is>
          <t>Assistant Manager</t>
        </is>
      </c>
      <c r="J4" t="inlineStr">
        <is>
          <t>Standard 1,0|40h</t>
        </is>
      </c>
      <c r="K4" t="n">
        <v>7.81</v>
      </c>
      <c r="L4" t="inlineStr">
        <is>
          <t>384</t>
        </is>
      </c>
      <c r="M4" t="inlineStr">
        <is>
          <t>108120 SBX Warszawa Janki</t>
        </is>
      </c>
      <c r="N4" t="inlineStr">
        <is>
          <t>2026-09-11 19:06</t>
        </is>
      </c>
    </row>
    <row r="5">
      <c r="A5" t="n">
        <v>4</v>
      </c>
      <c r="B5" t="inlineStr">
        <is>
          <t>2026-06-04</t>
        </is>
      </c>
      <c r="C5" t="n">
        <v>2026</v>
      </c>
      <c r="D5" t="inlineStr">
        <is>
          <t>Czerwiec</t>
        </is>
      </c>
      <c r="E5" t="inlineStr">
        <is>
          <t>W2</t>
        </is>
      </c>
      <c r="F5" t="inlineStr">
        <is>
          <t>2026_Czerwiec_W2</t>
        </is>
      </c>
      <c r="G5" t="inlineStr">
        <is>
          <t>Czw</t>
        </is>
      </c>
      <c r="H5" t="inlineStr">
        <is>
          <t>APEL, DAWID</t>
        </is>
      </c>
      <c r="I5" t="inlineStr">
        <is>
          <t>Assistant Manager</t>
        </is>
      </c>
      <c r="J5" t="inlineStr">
        <is>
          <t>Standard 1,0|40h</t>
        </is>
      </c>
      <c r="K5" t="n">
        <v>4.63</v>
      </c>
      <c r="L5" t="inlineStr">
        <is>
          <t>384</t>
        </is>
      </c>
      <c r="M5" t="inlineStr">
        <is>
          <t>108120 SBX Warszawa Janki</t>
        </is>
      </c>
      <c r="N5" t="inlineStr">
        <is>
          <t>2026-09-11 19:06</t>
        </is>
      </c>
    </row>
    <row r="6">
      <c r="A6" t="n">
        <v>5</v>
      </c>
      <c r="B6" t="inlineStr">
        <is>
          <t>2026-06-05</t>
        </is>
      </c>
      <c r="C6" t="n">
        <v>2026</v>
      </c>
      <c r="D6" t="inlineStr">
        <is>
          <t>Czerwiec</t>
        </is>
      </c>
      <c r="E6" t="inlineStr">
        <is>
          <t>W2</t>
        </is>
      </c>
      <c r="F6" t="inlineStr">
        <is>
          <t>2026_Czerwiec_W2</t>
        </is>
      </c>
      <c r="G6" t="inlineStr">
        <is>
          <t>Pt</t>
        </is>
      </c>
      <c r="H6" t="inlineStr">
        <is>
          <t>APEL, DAWID</t>
        </is>
      </c>
      <c r="I6" t="inlineStr">
        <is>
          <t>Assistant Manager</t>
        </is>
      </c>
      <c r="J6" t="inlineStr">
        <is>
          <t>Standard 1,0|40h</t>
        </is>
      </c>
      <c r="K6" t="n">
        <v>7.9</v>
      </c>
      <c r="L6" t="inlineStr">
        <is>
          <t>384</t>
        </is>
      </c>
      <c r="M6" t="inlineStr">
        <is>
          <t>108120 SBX Warszawa Janki</t>
        </is>
      </c>
      <c r="N6" t="inlineStr">
        <is>
          <t>2026-09-11 19:06</t>
        </is>
      </c>
    </row>
    <row r="7">
      <c r="A7" t="n">
        <v>6</v>
      </c>
      <c r="B7" t="inlineStr">
        <is>
          <t>2026-06-09</t>
        </is>
      </c>
      <c r="C7" t="n">
        <v>2026</v>
      </c>
      <c r="D7" t="inlineStr">
        <is>
          <t>Czerwiec</t>
        </is>
      </c>
      <c r="E7" t="inlineStr">
        <is>
          <t>W3</t>
        </is>
      </c>
      <c r="F7" t="inlineStr">
        <is>
          <t>2026_Czerwiec_W3</t>
        </is>
      </c>
      <c r="G7" t="inlineStr">
        <is>
          <t>Wt</t>
        </is>
      </c>
      <c r="H7" t="inlineStr">
        <is>
          <t>APEL, DAWID</t>
        </is>
      </c>
      <c r="I7" t="inlineStr">
        <is>
          <t>Assistant Manager</t>
        </is>
      </c>
      <c r="J7" t="inlineStr">
        <is>
          <t>Standard 1,0|40h</t>
        </is>
      </c>
      <c r="K7" t="n">
        <v>8</v>
      </c>
      <c r="L7" t="inlineStr">
        <is>
          <t>384</t>
        </is>
      </c>
      <c r="M7" t="inlineStr">
        <is>
          <t>108120 SBX Warszawa Janki</t>
        </is>
      </c>
      <c r="N7" t="inlineStr">
        <is>
          <t>2026-09-11 19:06</t>
        </is>
      </c>
    </row>
    <row r="8">
      <c r="A8" t="n">
        <v>7</v>
      </c>
      <c r="B8" t="inlineStr">
        <is>
          <t>2026-06-11</t>
        </is>
      </c>
      <c r="C8" t="n">
        <v>2026</v>
      </c>
      <c r="D8" t="inlineStr">
        <is>
          <t>Czerwiec</t>
        </is>
      </c>
      <c r="E8" t="inlineStr">
        <is>
          <t>W3</t>
        </is>
      </c>
      <c r="F8" t="inlineStr">
        <is>
          <t>2026_Czerwiec_W3</t>
        </is>
      </c>
      <c r="G8" t="inlineStr">
        <is>
          <t>Czw</t>
        </is>
      </c>
      <c r="H8" t="inlineStr">
        <is>
          <t>APEL, DAWID</t>
        </is>
      </c>
      <c r="I8" t="inlineStr">
        <is>
          <t>Assistant Manager</t>
        </is>
      </c>
      <c r="J8" t="inlineStr">
        <is>
          <t>Standard 1,0|40h</t>
        </is>
      </c>
      <c r="K8" t="n">
        <v>8</v>
      </c>
      <c r="L8" t="inlineStr">
        <is>
          <t>384</t>
        </is>
      </c>
      <c r="M8" t="inlineStr">
        <is>
          <t>108120 SBX Warszawa Janki</t>
        </is>
      </c>
      <c r="N8" t="inlineStr">
        <is>
          <t>2026-09-11 19:06</t>
        </is>
      </c>
    </row>
    <row r="9">
      <c r="A9" t="n">
        <v>8</v>
      </c>
      <c r="B9" t="inlineStr">
        <is>
          <t>2026-06-15</t>
        </is>
      </c>
      <c r="C9" t="n">
        <v>2026</v>
      </c>
      <c r="D9" t="inlineStr">
        <is>
          <t>Czerwiec</t>
        </is>
      </c>
      <c r="E9" t="inlineStr">
        <is>
          <t>W3</t>
        </is>
      </c>
      <c r="F9" t="inlineStr">
        <is>
          <t>2026_Czerwiec_W3</t>
        </is>
      </c>
      <c r="G9" t="inlineStr">
        <is>
          <t>Pn</t>
        </is>
      </c>
      <c r="H9" t="inlineStr">
        <is>
          <t>APEL, DAWID</t>
        </is>
      </c>
      <c r="I9" t="inlineStr">
        <is>
          <t>Assistant Manager</t>
        </is>
      </c>
      <c r="J9" t="inlineStr">
        <is>
          <t>Standard 1,0|40h</t>
        </is>
      </c>
      <c r="K9" t="n">
        <v>8</v>
      </c>
      <c r="L9" t="inlineStr">
        <is>
          <t>384</t>
        </is>
      </c>
      <c r="M9" t="inlineStr">
        <is>
          <t>108120 SBX Warszawa Janki</t>
        </is>
      </c>
      <c r="N9" t="inlineStr">
        <is>
          <t>2026-09-11 19:06</t>
        </is>
      </c>
    </row>
    <row r="10">
      <c r="A10" t="n">
        <v>9</v>
      </c>
      <c r="B10" t="inlineStr">
        <is>
          <t>2026-06-16</t>
        </is>
      </c>
      <c r="C10" t="n">
        <v>2026</v>
      </c>
      <c r="D10" t="inlineStr">
        <is>
          <t>Czerwiec</t>
        </is>
      </c>
      <c r="E10" t="inlineStr">
        <is>
          <t>W4</t>
        </is>
      </c>
      <c r="F10" t="inlineStr">
        <is>
          <t>2026_Czerwiec_W4</t>
        </is>
      </c>
      <c r="G10" t="inlineStr">
        <is>
          <t>Wt</t>
        </is>
      </c>
      <c r="H10" t="inlineStr">
        <is>
          <t>APEL, DAWID</t>
        </is>
      </c>
      <c r="I10" t="inlineStr">
        <is>
          <t>Assistant Manager</t>
        </is>
      </c>
      <c r="J10" t="inlineStr">
        <is>
          <t>Standard 1,0|40h</t>
        </is>
      </c>
      <c r="K10" t="n">
        <v>8</v>
      </c>
      <c r="L10" t="inlineStr">
        <is>
          <t>384</t>
        </is>
      </c>
      <c r="M10" t="inlineStr">
        <is>
          <t>108120 SBX Warszawa Janki</t>
        </is>
      </c>
      <c r="N10" t="inlineStr">
        <is>
          <t>2026-09-11 19:06</t>
        </is>
      </c>
    </row>
    <row r="11">
      <c r="A11" t="n">
        <v>10</v>
      </c>
      <c r="B11" t="inlineStr">
        <is>
          <t>2026-06-19</t>
        </is>
      </c>
      <c r="C11" t="n">
        <v>2026</v>
      </c>
      <c r="D11" t="inlineStr">
        <is>
          <t>Czerwiec</t>
        </is>
      </c>
      <c r="E11" t="inlineStr">
        <is>
          <t>W4</t>
        </is>
      </c>
      <c r="F11" t="inlineStr">
        <is>
          <t>2026_Czerwiec_W4</t>
        </is>
      </c>
      <c r="G11" t="inlineStr">
        <is>
          <t>Pt</t>
        </is>
      </c>
      <c r="H11" t="inlineStr">
        <is>
          <t>APEL, DAWID</t>
        </is>
      </c>
      <c r="I11" t="inlineStr">
        <is>
          <t>Assistant Manager</t>
        </is>
      </c>
      <c r="J11" t="inlineStr">
        <is>
          <t>Standard 1,0|40h</t>
        </is>
      </c>
      <c r="K11" t="n">
        <v>8.050000000000001</v>
      </c>
      <c r="L11" t="inlineStr">
        <is>
          <t>384</t>
        </is>
      </c>
      <c r="M11" t="inlineStr">
        <is>
          <t>108120 SBX Warszawa Janki</t>
        </is>
      </c>
      <c r="N11" t="inlineStr">
        <is>
          <t>2026-09-11 19:06</t>
        </is>
      </c>
    </row>
    <row r="12">
      <c r="A12" t="n">
        <v>11</v>
      </c>
      <c r="B12" t="inlineStr">
        <is>
          <t>2026-06-22</t>
        </is>
      </c>
      <c r="C12" t="n">
        <v>2026</v>
      </c>
      <c r="D12" t="inlineStr">
        <is>
          <t>Czerwiec</t>
        </is>
      </c>
      <c r="E12" t="inlineStr">
        <is>
          <t>W4</t>
        </is>
      </c>
      <c r="F12" t="inlineStr">
        <is>
          <t>2026_Czerwiec_W4</t>
        </is>
      </c>
      <c r="G12" t="inlineStr">
        <is>
          <t>Pn</t>
        </is>
      </c>
      <c r="H12" t="inlineStr">
        <is>
          <t>APEL, DAWID</t>
        </is>
      </c>
      <c r="I12" t="inlineStr">
        <is>
          <t>Assistant Manager</t>
        </is>
      </c>
      <c r="J12" t="inlineStr">
        <is>
          <t>Standard 1,0|40h</t>
        </is>
      </c>
      <c r="K12" t="n">
        <v>9.17</v>
      </c>
      <c r="L12" t="inlineStr">
        <is>
          <t>384</t>
        </is>
      </c>
      <c r="M12" t="inlineStr">
        <is>
          <t>108120 SBX Warszawa Janki</t>
        </is>
      </c>
      <c r="N12" t="inlineStr">
        <is>
          <t>2026-09-11 19:06</t>
        </is>
      </c>
    </row>
    <row r="13">
      <c r="A13" t="n">
        <v>12</v>
      </c>
      <c r="B13" t="inlineStr">
        <is>
          <t>2026-06-23</t>
        </is>
      </c>
      <c r="C13" t="n">
        <v>2026</v>
      </c>
      <c r="D13" t="inlineStr">
        <is>
          <t>Czerwiec</t>
        </is>
      </c>
      <c r="E13" t="inlineStr">
        <is>
          <t>W5</t>
        </is>
      </c>
      <c r="F13" t="inlineStr">
        <is>
          <t>2026_Czerwiec_W5</t>
        </is>
      </c>
      <c r="G13" t="inlineStr">
        <is>
          <t>Wt</t>
        </is>
      </c>
      <c r="H13" t="inlineStr">
        <is>
          <t>APEL, DAWID</t>
        </is>
      </c>
      <c r="I13" t="inlineStr">
        <is>
          <t>Assistant Manager</t>
        </is>
      </c>
      <c r="J13" t="inlineStr">
        <is>
          <t>Standard 1,0|40h</t>
        </is>
      </c>
      <c r="K13" t="n">
        <v>8</v>
      </c>
      <c r="L13" t="inlineStr">
        <is>
          <t>384</t>
        </is>
      </c>
      <c r="M13" t="inlineStr">
        <is>
          <t>108120 SBX Warszawa Janki</t>
        </is>
      </c>
      <c r="N13" t="inlineStr">
        <is>
          <t>2026-09-11 19:06</t>
        </is>
      </c>
    </row>
    <row r="14">
      <c r="A14" t="n">
        <v>13</v>
      </c>
      <c r="B14" t="inlineStr">
        <is>
          <t>2026-06-24</t>
        </is>
      </c>
      <c r="C14" t="n">
        <v>2026</v>
      </c>
      <c r="D14" t="inlineStr">
        <is>
          <t>Czerwiec</t>
        </is>
      </c>
      <c r="E14" t="inlineStr">
        <is>
          <t>W5</t>
        </is>
      </c>
      <c r="F14" t="inlineStr">
        <is>
          <t>2026_Czerwiec_W5</t>
        </is>
      </c>
      <c r="G14" t="inlineStr">
        <is>
          <t>Śr</t>
        </is>
      </c>
      <c r="H14" t="inlineStr">
        <is>
          <t>APEL, DAWID</t>
        </is>
      </c>
      <c r="I14" t="inlineStr">
        <is>
          <t>Assistant Manager</t>
        </is>
      </c>
      <c r="J14" t="inlineStr">
        <is>
          <t>Standard 1,0|40h</t>
        </is>
      </c>
      <c r="K14" t="n">
        <v>8</v>
      </c>
      <c r="L14" t="inlineStr">
        <is>
          <t>384</t>
        </is>
      </c>
      <c r="M14" t="inlineStr">
        <is>
          <t>108120 SBX Warszawa Janki</t>
        </is>
      </c>
      <c r="N14" t="inlineStr">
        <is>
          <t>2026-09-11 19:06</t>
        </is>
      </c>
    </row>
    <row r="15">
      <c r="A15" t="n">
        <v>14</v>
      </c>
      <c r="B15" t="inlineStr">
        <is>
          <t>2026-07-08</t>
        </is>
      </c>
      <c r="C15" t="n">
        <v>2026</v>
      </c>
      <c r="D15" t="inlineStr">
        <is>
          <t>Lipiec</t>
        </is>
      </c>
      <c r="E15" t="inlineStr">
        <is>
          <t>W2</t>
        </is>
      </c>
      <c r="F15" t="inlineStr">
        <is>
          <t>2026_Lipiec_W2</t>
        </is>
      </c>
      <c r="G15" t="inlineStr">
        <is>
          <t>Śr</t>
        </is>
      </c>
      <c r="H15" t="inlineStr">
        <is>
          <t>APEL, DAWID</t>
        </is>
      </c>
      <c r="I15" t="inlineStr">
        <is>
          <t>Assistant Manager</t>
        </is>
      </c>
      <c r="J15" t="inlineStr">
        <is>
          <t>Standard 1,0|40h</t>
        </is>
      </c>
      <c r="K15" t="n">
        <v>8</v>
      </c>
      <c r="L15" t="inlineStr">
        <is>
          <t>384</t>
        </is>
      </c>
      <c r="M15" t="inlineStr">
        <is>
          <t>108120 SBX Warszawa Janki</t>
        </is>
      </c>
      <c r="N15" t="inlineStr">
        <is>
          <t>2026-09-11 19:06</t>
        </is>
      </c>
    </row>
    <row r="16">
      <c r="A16" t="n">
        <v>15</v>
      </c>
      <c r="B16" t="inlineStr">
        <is>
          <t>2026-07-13</t>
        </is>
      </c>
      <c r="C16" t="n">
        <v>2026</v>
      </c>
      <c r="D16" t="inlineStr">
        <is>
          <t>Lipiec</t>
        </is>
      </c>
      <c r="E16" t="inlineStr">
        <is>
          <t>W2</t>
        </is>
      </c>
      <c r="F16" t="inlineStr">
        <is>
          <t>2026_Lipiec_W2</t>
        </is>
      </c>
      <c r="G16" t="inlineStr">
        <is>
          <t>Pn</t>
        </is>
      </c>
      <c r="H16" t="inlineStr">
        <is>
          <t>APEL, DAWID</t>
        </is>
      </c>
      <c r="I16" t="inlineStr">
        <is>
          <t>Assistant Manager</t>
        </is>
      </c>
      <c r="J16" t="inlineStr">
        <is>
          <t>Standard 1,0|40h</t>
        </is>
      </c>
      <c r="K16" t="n">
        <v>8</v>
      </c>
      <c r="L16" t="inlineStr">
        <is>
          <t>384</t>
        </is>
      </c>
      <c r="M16" t="inlineStr">
        <is>
          <t>108120 SBX Warszawa Janki</t>
        </is>
      </c>
      <c r="N16" t="inlineStr">
        <is>
          <t>2026-09-11 19:06</t>
        </is>
      </c>
    </row>
    <row r="17">
      <c r="A17" t="n">
        <v>16</v>
      </c>
      <c r="B17" t="inlineStr">
        <is>
          <t>2026-07-14</t>
        </is>
      </c>
      <c r="C17" t="n">
        <v>2026</v>
      </c>
      <c r="D17" t="inlineStr">
        <is>
          <t>Lipiec</t>
        </is>
      </c>
      <c r="E17" t="inlineStr">
        <is>
          <t>W3</t>
        </is>
      </c>
      <c r="F17" t="inlineStr">
        <is>
          <t>2026_Lipiec_W3</t>
        </is>
      </c>
      <c r="G17" t="inlineStr">
        <is>
          <t>Wt</t>
        </is>
      </c>
      <c r="H17" t="inlineStr">
        <is>
          <t>APEL, DAWID</t>
        </is>
      </c>
      <c r="I17" t="inlineStr">
        <is>
          <t>Assistant Manager</t>
        </is>
      </c>
      <c r="J17" t="inlineStr">
        <is>
          <t>Standard 1,0|40h</t>
        </is>
      </c>
      <c r="K17" t="n">
        <v>8</v>
      </c>
      <c r="L17" t="inlineStr">
        <is>
          <t>384</t>
        </is>
      </c>
      <c r="M17" t="inlineStr">
        <is>
          <t>108120 SBX Warszawa Janki</t>
        </is>
      </c>
      <c r="N17" t="inlineStr">
        <is>
          <t>2026-09-11 19:06</t>
        </is>
      </c>
    </row>
    <row r="18">
      <c r="A18" t="n">
        <v>17</v>
      </c>
      <c r="B18" t="inlineStr">
        <is>
          <t>2026-07-15</t>
        </is>
      </c>
      <c r="C18" t="n">
        <v>2026</v>
      </c>
      <c r="D18" t="inlineStr">
        <is>
          <t>Lipiec</t>
        </is>
      </c>
      <c r="E18" t="inlineStr">
        <is>
          <t>W3</t>
        </is>
      </c>
      <c r="F18" t="inlineStr">
        <is>
          <t>2026_Lipiec_W3</t>
        </is>
      </c>
      <c r="G18" t="inlineStr">
        <is>
          <t>Śr</t>
        </is>
      </c>
      <c r="H18" t="inlineStr">
        <is>
          <t>APEL, DAWID</t>
        </is>
      </c>
      <c r="I18" t="inlineStr">
        <is>
          <t>Assistant Manager</t>
        </is>
      </c>
      <c r="J18" t="inlineStr">
        <is>
          <t>Standard 1,0|40h</t>
        </is>
      </c>
      <c r="K18" t="n">
        <v>8</v>
      </c>
      <c r="L18" t="inlineStr">
        <is>
          <t>384</t>
        </is>
      </c>
      <c r="M18" t="inlineStr">
        <is>
          <t>108120 SBX Warszawa Janki</t>
        </is>
      </c>
      <c r="N18" t="inlineStr">
        <is>
          <t>2026-09-11 19:06</t>
        </is>
      </c>
    </row>
    <row r="19">
      <c r="A19" t="n">
        <v>18</v>
      </c>
      <c r="B19" t="inlineStr">
        <is>
          <t>2026-07-16</t>
        </is>
      </c>
      <c r="C19" t="n">
        <v>2026</v>
      </c>
      <c r="D19" t="inlineStr">
        <is>
          <t>Lipiec</t>
        </is>
      </c>
      <c r="E19" t="inlineStr">
        <is>
          <t>W3</t>
        </is>
      </c>
      <c r="F19" t="inlineStr">
        <is>
          <t>2026_Lipiec_W3</t>
        </is>
      </c>
      <c r="G19" t="inlineStr">
        <is>
          <t>Czw</t>
        </is>
      </c>
      <c r="H19" t="inlineStr">
        <is>
          <t>APEL, DAWID</t>
        </is>
      </c>
      <c r="I19" t="inlineStr">
        <is>
          <t>Assistant Manager</t>
        </is>
      </c>
      <c r="J19" t="inlineStr">
        <is>
          <t>Standard 1,0|40h</t>
        </is>
      </c>
      <c r="K19" t="n">
        <v>8.26</v>
      </c>
      <c r="L19" t="inlineStr">
        <is>
          <t>384</t>
        </is>
      </c>
      <c r="M19" t="inlineStr">
        <is>
          <t>108120 SBX Warszawa Janki</t>
        </is>
      </c>
      <c r="N19" t="inlineStr">
        <is>
          <t>2026-09-11 19:06</t>
        </is>
      </c>
    </row>
    <row r="20">
      <c r="A20" t="n">
        <v>19</v>
      </c>
      <c r="B20" t="inlineStr">
        <is>
          <t>2026-07-17</t>
        </is>
      </c>
      <c r="C20" t="n">
        <v>2026</v>
      </c>
      <c r="D20" t="inlineStr">
        <is>
          <t>Lipiec</t>
        </is>
      </c>
      <c r="E20" t="inlineStr">
        <is>
          <t>W3</t>
        </is>
      </c>
      <c r="F20" t="inlineStr">
        <is>
          <t>2026_Lipiec_W3</t>
        </is>
      </c>
      <c r="G20" t="inlineStr">
        <is>
          <t>Pt</t>
        </is>
      </c>
      <c r="H20" t="inlineStr">
        <is>
          <t>APEL, DAWID</t>
        </is>
      </c>
      <c r="I20" t="inlineStr">
        <is>
          <t>Assistant Manager</t>
        </is>
      </c>
      <c r="J20" t="inlineStr">
        <is>
          <t>Standard 1,0|40h</t>
        </is>
      </c>
      <c r="K20" t="n">
        <v>6.73</v>
      </c>
      <c r="L20" t="inlineStr">
        <is>
          <t>384</t>
        </is>
      </c>
      <c r="M20" t="inlineStr">
        <is>
          <t>108120 SBX Warszawa Janki</t>
        </is>
      </c>
      <c r="N20" t="inlineStr">
        <is>
          <t>2026-09-11 19:06</t>
        </is>
      </c>
    </row>
    <row r="21">
      <c r="A21" t="n">
        <v>20</v>
      </c>
      <c r="B21" t="inlineStr">
        <is>
          <t>2026-07-19</t>
        </is>
      </c>
      <c r="C21" t="n">
        <v>2026</v>
      </c>
      <c r="D21" t="inlineStr">
        <is>
          <t>Lipiec</t>
        </is>
      </c>
      <c r="E21" t="inlineStr">
        <is>
          <t>W3</t>
        </is>
      </c>
      <c r="F21" t="inlineStr">
        <is>
          <t>2026_Lipiec_W3</t>
        </is>
      </c>
      <c r="G21" t="inlineStr">
        <is>
          <t>Nd</t>
        </is>
      </c>
      <c r="H21" t="inlineStr">
        <is>
          <t>APEL, DAWID</t>
        </is>
      </c>
      <c r="I21" t="inlineStr">
        <is>
          <t>Assistant Manager</t>
        </is>
      </c>
      <c r="J21" t="inlineStr">
        <is>
          <t>Standard 1,0|40h</t>
        </is>
      </c>
      <c r="K21" t="n">
        <v>8</v>
      </c>
      <c r="L21" t="inlineStr">
        <is>
          <t>384</t>
        </is>
      </c>
      <c r="M21" t="inlineStr">
        <is>
          <t>108120 SBX Warszawa Janki</t>
        </is>
      </c>
      <c r="N21" t="inlineStr">
        <is>
          <t>2026-09-11 19:06</t>
        </is>
      </c>
    </row>
    <row r="22">
      <c r="A22" t="n">
        <v>21</v>
      </c>
      <c r="B22" t="inlineStr">
        <is>
          <t>2026-07-20</t>
        </is>
      </c>
      <c r="C22" t="n">
        <v>2026</v>
      </c>
      <c r="D22" t="inlineStr">
        <is>
          <t>Lipiec</t>
        </is>
      </c>
      <c r="E22" t="inlineStr">
        <is>
          <t>W3</t>
        </is>
      </c>
      <c r="F22" t="inlineStr">
        <is>
          <t>2026_Lipiec_W3</t>
        </is>
      </c>
      <c r="G22" t="inlineStr">
        <is>
          <t>Pn</t>
        </is>
      </c>
      <c r="H22" t="inlineStr">
        <is>
          <t>APEL, DAWID</t>
        </is>
      </c>
      <c r="I22" t="inlineStr">
        <is>
          <t>Assistant Manager</t>
        </is>
      </c>
      <c r="J22" t="inlineStr">
        <is>
          <t>Standard 1,0|40h</t>
        </is>
      </c>
      <c r="K22" t="n">
        <v>8</v>
      </c>
      <c r="L22" t="inlineStr">
        <is>
          <t>384</t>
        </is>
      </c>
      <c r="M22" t="inlineStr">
        <is>
          <t>108120 SBX Warszawa Janki</t>
        </is>
      </c>
      <c r="N22" t="inlineStr">
        <is>
          <t>2026-09-11 19:06</t>
        </is>
      </c>
    </row>
    <row r="23">
      <c r="A23" t="n">
        <v>22</v>
      </c>
      <c r="B23" t="inlineStr">
        <is>
          <t>2026-07-21</t>
        </is>
      </c>
      <c r="C23" t="n">
        <v>2026</v>
      </c>
      <c r="D23" t="inlineStr">
        <is>
          <t>Lipiec</t>
        </is>
      </c>
      <c r="E23" t="inlineStr">
        <is>
          <t>W4</t>
        </is>
      </c>
      <c r="F23" t="inlineStr">
        <is>
          <t>2026_Lipiec_W4</t>
        </is>
      </c>
      <c r="G23" t="inlineStr">
        <is>
          <t>Wt</t>
        </is>
      </c>
      <c r="H23" t="inlineStr">
        <is>
          <t>APEL, DAWID</t>
        </is>
      </c>
      <c r="I23" t="inlineStr">
        <is>
          <t>Assistant Manager</t>
        </is>
      </c>
      <c r="J23" t="inlineStr">
        <is>
          <t>Standard 1,0|40h</t>
        </is>
      </c>
      <c r="K23" t="n">
        <v>8</v>
      </c>
      <c r="L23" t="inlineStr">
        <is>
          <t>384</t>
        </is>
      </c>
      <c r="M23" t="inlineStr">
        <is>
          <t>108120 SBX Warszawa Janki</t>
        </is>
      </c>
      <c r="N23" t="inlineStr">
        <is>
          <t>2026-09-11 19:06</t>
        </is>
      </c>
    </row>
    <row r="24">
      <c r="A24" t="n">
        <v>23</v>
      </c>
      <c r="B24" t="inlineStr">
        <is>
          <t>2026-07-22</t>
        </is>
      </c>
      <c r="C24" t="n">
        <v>2026</v>
      </c>
      <c r="D24" t="inlineStr">
        <is>
          <t>Lipiec</t>
        </is>
      </c>
      <c r="E24" t="inlineStr">
        <is>
          <t>W4</t>
        </is>
      </c>
      <c r="F24" t="inlineStr">
        <is>
          <t>2026_Lipiec_W4</t>
        </is>
      </c>
      <c r="G24" t="inlineStr">
        <is>
          <t>Śr</t>
        </is>
      </c>
      <c r="H24" t="inlineStr">
        <is>
          <t>APEL, DAWID</t>
        </is>
      </c>
      <c r="I24" t="inlineStr">
        <is>
          <t>Assistant Manager</t>
        </is>
      </c>
      <c r="J24" t="inlineStr">
        <is>
          <t>Standard 1,0|40h</t>
        </is>
      </c>
      <c r="K24" t="n">
        <v>8.25</v>
      </c>
      <c r="L24" t="inlineStr">
        <is>
          <t>384</t>
        </is>
      </c>
      <c r="M24" t="inlineStr">
        <is>
          <t>108120 SBX Warszawa Janki</t>
        </is>
      </c>
      <c r="N24" t="inlineStr">
        <is>
          <t>2026-09-11 19:06</t>
        </is>
      </c>
    </row>
    <row r="25">
      <c r="A25" t="n">
        <v>24</v>
      </c>
      <c r="B25" t="inlineStr">
        <is>
          <t>2026-07-23</t>
        </is>
      </c>
      <c r="C25" t="n">
        <v>2026</v>
      </c>
      <c r="D25" t="inlineStr">
        <is>
          <t>Lipiec</t>
        </is>
      </c>
      <c r="E25" t="inlineStr">
        <is>
          <t>W4</t>
        </is>
      </c>
      <c r="F25" t="inlineStr">
        <is>
          <t>2026_Lipiec_W4</t>
        </is>
      </c>
      <c r="G25" t="inlineStr">
        <is>
          <t>Czw</t>
        </is>
      </c>
      <c r="H25" t="inlineStr">
        <is>
          <t>APEL, DAWID</t>
        </is>
      </c>
      <c r="I25" t="inlineStr">
        <is>
          <t>Assistant Manager</t>
        </is>
      </c>
      <c r="J25" t="inlineStr">
        <is>
          <t>Standard 1,0|40h</t>
        </is>
      </c>
      <c r="K25" t="n">
        <v>9.27</v>
      </c>
      <c r="L25" t="inlineStr">
        <is>
          <t>384</t>
        </is>
      </c>
      <c r="M25" t="inlineStr">
        <is>
          <t>108120 SBX Warszawa Janki</t>
        </is>
      </c>
      <c r="N25" t="inlineStr">
        <is>
          <t>2026-09-11 19:06</t>
        </is>
      </c>
    </row>
    <row r="26">
      <c r="A26" t="n">
        <v>25</v>
      </c>
      <c r="B26" t="inlineStr">
        <is>
          <t>2026-07-27</t>
        </is>
      </c>
      <c r="C26" t="n">
        <v>2026</v>
      </c>
      <c r="D26" t="inlineStr">
        <is>
          <t>Lipiec</t>
        </is>
      </c>
      <c r="E26" t="inlineStr">
        <is>
          <t>W4</t>
        </is>
      </c>
      <c r="F26" t="inlineStr">
        <is>
          <t>2026_Lipiec_W4</t>
        </is>
      </c>
      <c r="G26" t="inlineStr">
        <is>
          <t>Pn</t>
        </is>
      </c>
      <c r="H26" t="inlineStr">
        <is>
          <t>APEL, DAWID</t>
        </is>
      </c>
      <c r="I26" t="inlineStr">
        <is>
          <t>Assistant Manager</t>
        </is>
      </c>
      <c r="J26" t="inlineStr">
        <is>
          <t>Standard 1,0|40h</t>
        </is>
      </c>
      <c r="K26" t="n">
        <v>8.25</v>
      </c>
      <c r="L26" t="inlineStr">
        <is>
          <t>384</t>
        </is>
      </c>
      <c r="M26" t="inlineStr">
        <is>
          <t>108120 SBX Warszawa Janki</t>
        </is>
      </c>
      <c r="N26" t="inlineStr">
        <is>
          <t>2026-09-11 19:06</t>
        </is>
      </c>
    </row>
    <row r="27">
      <c r="A27" t="n">
        <v>26</v>
      </c>
      <c r="B27" t="inlineStr">
        <is>
          <t>2026-07-28</t>
        </is>
      </c>
      <c r="C27" t="n">
        <v>2026</v>
      </c>
      <c r="D27" t="inlineStr">
        <is>
          <t>Lipiec</t>
        </is>
      </c>
      <c r="E27" t="inlineStr">
        <is>
          <t>W5</t>
        </is>
      </c>
      <c r="F27" t="inlineStr">
        <is>
          <t>2026_Lipiec_W5</t>
        </is>
      </c>
      <c r="G27" t="inlineStr">
        <is>
          <t>Wt</t>
        </is>
      </c>
      <c r="H27" t="inlineStr">
        <is>
          <t>APEL, DAWID</t>
        </is>
      </c>
      <c r="I27" t="inlineStr">
        <is>
          <t>Assistant Manager</t>
        </is>
      </c>
      <c r="J27" t="inlineStr">
        <is>
          <t>Standard 1,0|40h</t>
        </is>
      </c>
      <c r="K27" t="n">
        <v>9.1</v>
      </c>
      <c r="L27" t="inlineStr">
        <is>
          <t>384</t>
        </is>
      </c>
      <c r="M27" t="inlineStr">
        <is>
          <t>108120 SBX Warszawa Janki</t>
        </is>
      </c>
      <c r="N27" t="inlineStr">
        <is>
          <t>2026-09-11 19:06</t>
        </is>
      </c>
    </row>
    <row r="28">
      <c r="A28" t="n">
        <v>27</v>
      </c>
      <c r="B28" t="inlineStr">
        <is>
          <t>2026-07-29</t>
        </is>
      </c>
      <c r="C28" t="n">
        <v>2026</v>
      </c>
      <c r="D28" t="inlineStr">
        <is>
          <t>Lipiec</t>
        </is>
      </c>
      <c r="E28" t="inlineStr">
        <is>
          <t>W5</t>
        </is>
      </c>
      <c r="F28" t="inlineStr">
        <is>
          <t>2026_Lipiec_W5</t>
        </is>
      </c>
      <c r="G28" t="inlineStr">
        <is>
          <t>Śr</t>
        </is>
      </c>
      <c r="H28" t="inlineStr">
        <is>
          <t>APEL, DAWID</t>
        </is>
      </c>
      <c r="I28" t="inlineStr">
        <is>
          <t>Assistant Manager</t>
        </is>
      </c>
      <c r="J28" t="inlineStr">
        <is>
          <t>Standard 1,0|40h</t>
        </is>
      </c>
      <c r="K28" t="n">
        <v>7.42</v>
      </c>
      <c r="L28" t="inlineStr">
        <is>
          <t>384</t>
        </is>
      </c>
      <c r="M28" t="inlineStr">
        <is>
          <t>108120 SBX Warszawa Janki</t>
        </is>
      </c>
      <c r="N28" t="inlineStr">
        <is>
          <t>2026-09-11 19:06</t>
        </is>
      </c>
    </row>
    <row r="29">
      <c r="A29" t="n">
        <v>28</v>
      </c>
      <c r="B29" t="inlineStr">
        <is>
          <t>2026-07-30</t>
        </is>
      </c>
      <c r="C29" t="n">
        <v>2026</v>
      </c>
      <c r="D29" t="inlineStr">
        <is>
          <t>Lipiec</t>
        </is>
      </c>
      <c r="E29" t="inlineStr">
        <is>
          <t>W5</t>
        </is>
      </c>
      <c r="F29" t="inlineStr">
        <is>
          <t>2026_Lipiec_W5</t>
        </is>
      </c>
      <c r="G29" t="inlineStr">
        <is>
          <t>Czw</t>
        </is>
      </c>
      <c r="H29" t="inlineStr">
        <is>
          <t>APEL, DAWID</t>
        </is>
      </c>
      <c r="I29" t="inlineStr">
        <is>
          <t>Assistant Manager</t>
        </is>
      </c>
      <c r="J29" t="inlineStr">
        <is>
          <t>Standard 1,0|40h</t>
        </is>
      </c>
      <c r="K29" t="n">
        <v>8.369999999999999</v>
      </c>
      <c r="L29" t="inlineStr">
        <is>
          <t>384</t>
        </is>
      </c>
      <c r="M29" t="inlineStr">
        <is>
          <t>108120 SBX Warszawa Janki</t>
        </is>
      </c>
      <c r="N29" t="inlineStr">
        <is>
          <t>2026-09-11 19:06</t>
        </is>
      </c>
    </row>
    <row r="30">
      <c r="A30" t="n">
        <v>29</v>
      </c>
      <c r="B30" t="inlineStr">
        <is>
          <t>2026-07-31</t>
        </is>
      </c>
      <c r="C30" t="n">
        <v>2026</v>
      </c>
      <c r="D30" t="inlineStr">
        <is>
          <t>Lipiec</t>
        </is>
      </c>
      <c r="E30" t="inlineStr">
        <is>
          <t>W5</t>
        </is>
      </c>
      <c r="F30" t="inlineStr">
        <is>
          <t>2026_Lipiec_W5</t>
        </is>
      </c>
      <c r="G30" t="inlineStr">
        <is>
          <t>Pt</t>
        </is>
      </c>
      <c r="H30" t="inlineStr">
        <is>
          <t>APEL, DAWID</t>
        </is>
      </c>
      <c r="I30" t="inlineStr">
        <is>
          <t>Assistant Manager</t>
        </is>
      </c>
      <c r="J30" t="inlineStr">
        <is>
          <t>Standard 1,0|40h</t>
        </is>
      </c>
      <c r="K30" t="n">
        <v>8</v>
      </c>
      <c r="L30" t="inlineStr">
        <is>
          <t>384</t>
        </is>
      </c>
      <c r="M30" t="inlineStr">
        <is>
          <t>108120 SBX Warszawa Janki</t>
        </is>
      </c>
      <c r="N30" t="inlineStr">
        <is>
          <t>2026-09-11 19:06</t>
        </is>
      </c>
    </row>
    <row r="31">
      <c r="A31" t="n">
        <v>30</v>
      </c>
      <c r="B31" t="inlineStr">
        <is>
          <t>2026-08-03</t>
        </is>
      </c>
      <c r="C31" t="n">
        <v>2026</v>
      </c>
      <c r="D31" t="inlineStr">
        <is>
          <t>Sierpień</t>
        </is>
      </c>
      <c r="E31" t="inlineStr">
        <is>
          <t>W1</t>
        </is>
      </c>
      <c r="F31" t="inlineStr">
        <is>
          <t>2026_Sierpień_W1</t>
        </is>
      </c>
      <c r="G31" t="inlineStr">
        <is>
          <t>Pn</t>
        </is>
      </c>
      <c r="H31" t="inlineStr">
        <is>
          <t>APEL, DAWID</t>
        </is>
      </c>
      <c r="I31" t="inlineStr">
        <is>
          <t>Assistant Manager</t>
        </is>
      </c>
      <c r="J31" t="inlineStr">
        <is>
          <t>Standard 1,0|40h</t>
        </is>
      </c>
      <c r="K31" t="n">
        <v>6</v>
      </c>
      <c r="L31" t="inlineStr">
        <is>
          <t>384</t>
        </is>
      </c>
      <c r="M31" t="inlineStr">
        <is>
          <t>108120 SBX Warszawa Janki</t>
        </is>
      </c>
      <c r="N31" t="inlineStr">
        <is>
          <t>2026-09-11 19:06</t>
        </is>
      </c>
    </row>
    <row r="32">
      <c r="A32" t="n">
        <v>31</v>
      </c>
      <c r="B32" t="inlineStr">
        <is>
          <t>2026-08-04</t>
        </is>
      </c>
      <c r="C32" t="n">
        <v>2026</v>
      </c>
      <c r="D32" t="inlineStr">
        <is>
          <t>Sierpień</t>
        </is>
      </c>
      <c r="E32" t="inlineStr">
        <is>
          <t>W2</t>
        </is>
      </c>
      <c r="F32" t="inlineStr">
        <is>
          <t>2026_Sierpień_W2</t>
        </is>
      </c>
      <c r="G32" t="inlineStr">
        <is>
          <t>Wt</t>
        </is>
      </c>
      <c r="H32" t="inlineStr">
        <is>
          <t>APEL, DAWID</t>
        </is>
      </c>
      <c r="I32" t="inlineStr">
        <is>
          <t>Assistant Manager</t>
        </is>
      </c>
      <c r="J32" t="inlineStr">
        <is>
          <t>Standard 1,0|40h</t>
        </is>
      </c>
      <c r="K32" t="n">
        <v>7.62</v>
      </c>
      <c r="L32" t="inlineStr">
        <is>
          <t>384</t>
        </is>
      </c>
      <c r="M32" t="inlineStr">
        <is>
          <t>108120 SBX Warszawa Janki</t>
        </is>
      </c>
      <c r="N32" t="inlineStr">
        <is>
          <t>2026-09-11 19:06</t>
        </is>
      </c>
    </row>
    <row r="33">
      <c r="A33" t="n">
        <v>32</v>
      </c>
      <c r="B33" t="inlineStr">
        <is>
          <t>2026-08-06</t>
        </is>
      </c>
      <c r="C33" t="n">
        <v>2026</v>
      </c>
      <c r="D33" t="inlineStr">
        <is>
          <t>Sierpień</t>
        </is>
      </c>
      <c r="E33" t="inlineStr">
        <is>
          <t>W2</t>
        </is>
      </c>
      <c r="F33" t="inlineStr">
        <is>
          <t>2026_Sierpień_W2</t>
        </is>
      </c>
      <c r="G33" t="inlineStr">
        <is>
          <t>Czw</t>
        </is>
      </c>
      <c r="H33" t="inlineStr">
        <is>
          <t>APEL, DAWID</t>
        </is>
      </c>
      <c r="I33" t="inlineStr">
        <is>
          <t>Assistant Manager</t>
        </is>
      </c>
      <c r="J33" t="inlineStr">
        <is>
          <t>Standard 1,0|40h</t>
        </is>
      </c>
      <c r="K33" t="n">
        <v>8.32</v>
      </c>
      <c r="L33" t="inlineStr">
        <is>
          <t>384</t>
        </is>
      </c>
      <c r="M33" t="inlineStr">
        <is>
          <t>108120 SBX Warszawa Janki</t>
        </is>
      </c>
      <c r="N33" t="inlineStr">
        <is>
          <t>2026-09-11 19:06</t>
        </is>
      </c>
    </row>
    <row r="34">
      <c r="A34" t="n">
        <v>33</v>
      </c>
      <c r="B34" t="inlineStr">
        <is>
          <t>2026-08-10</t>
        </is>
      </c>
      <c r="C34" t="n">
        <v>2026</v>
      </c>
      <c r="D34" t="inlineStr">
        <is>
          <t>Sierpień</t>
        </is>
      </c>
      <c r="E34" t="inlineStr">
        <is>
          <t>W2</t>
        </is>
      </c>
      <c r="F34" t="inlineStr">
        <is>
          <t>2026_Sierpień_W2</t>
        </is>
      </c>
      <c r="G34" t="inlineStr">
        <is>
          <t>Pn</t>
        </is>
      </c>
      <c r="H34" t="inlineStr">
        <is>
          <t>APEL, DAWID</t>
        </is>
      </c>
      <c r="I34" t="inlineStr">
        <is>
          <t>Assistant Manager</t>
        </is>
      </c>
      <c r="J34" t="inlineStr">
        <is>
          <t>Standard 1,0|40h</t>
        </is>
      </c>
      <c r="K34" t="n">
        <v>0</v>
      </c>
      <c r="L34" t="inlineStr">
        <is>
          <t>384</t>
        </is>
      </c>
      <c r="M34" t="inlineStr">
        <is>
          <t>108120 SBX Warszawa Janki</t>
        </is>
      </c>
      <c r="N34" t="inlineStr">
        <is>
          <t>2026-09-11 19:06</t>
        </is>
      </c>
    </row>
    <row r="35">
      <c r="A35" t="n">
        <v>34</v>
      </c>
      <c r="B35" t="inlineStr">
        <is>
          <t>2026-08-11</t>
        </is>
      </c>
      <c r="C35" t="n">
        <v>2026</v>
      </c>
      <c r="D35" t="inlineStr">
        <is>
          <t>Sierpień</t>
        </is>
      </c>
      <c r="E35" t="inlineStr">
        <is>
          <t>W3</t>
        </is>
      </c>
      <c r="F35" t="inlineStr">
        <is>
          <t>2026_Sierpień_W3</t>
        </is>
      </c>
      <c r="G35" t="inlineStr">
        <is>
          <t>Wt</t>
        </is>
      </c>
      <c r="H35" t="inlineStr">
        <is>
          <t>APEL, DAWID</t>
        </is>
      </c>
      <c r="I35" t="inlineStr">
        <is>
          <t>Assistant Manager</t>
        </is>
      </c>
      <c r="J35" t="inlineStr">
        <is>
          <t>Standard 1,0|40h</t>
        </is>
      </c>
      <c r="K35" t="n">
        <v>8</v>
      </c>
      <c r="L35" t="inlineStr">
        <is>
          <t>384</t>
        </is>
      </c>
      <c r="M35" t="inlineStr">
        <is>
          <t>108120 SBX Warszawa Janki</t>
        </is>
      </c>
      <c r="N35" t="inlineStr">
        <is>
          <t>2026-09-11 19:06</t>
        </is>
      </c>
    </row>
    <row r="36">
      <c r="A36" t="n">
        <v>35</v>
      </c>
      <c r="B36" t="inlineStr">
        <is>
          <t>2026-08-17</t>
        </is>
      </c>
      <c r="C36" t="n">
        <v>2026</v>
      </c>
      <c r="D36" t="inlineStr">
        <is>
          <t>Sierpień</t>
        </is>
      </c>
      <c r="E36" t="inlineStr">
        <is>
          <t>W3</t>
        </is>
      </c>
      <c r="F36" t="inlineStr">
        <is>
          <t>2026_Sierpień_W3</t>
        </is>
      </c>
      <c r="G36" t="inlineStr">
        <is>
          <t>Pn</t>
        </is>
      </c>
      <c r="H36" t="inlineStr">
        <is>
          <t>APEL, DAWID</t>
        </is>
      </c>
      <c r="I36" t="inlineStr">
        <is>
          <t>Assistant Manager</t>
        </is>
      </c>
      <c r="J36" t="inlineStr">
        <is>
          <t>Standard 1,0|40h</t>
        </is>
      </c>
      <c r="K36" t="n">
        <v>7.89</v>
      </c>
      <c r="L36" t="inlineStr">
        <is>
          <t>384</t>
        </is>
      </c>
      <c r="M36" t="inlineStr">
        <is>
          <t>108120 SBX Warszawa Janki</t>
        </is>
      </c>
      <c r="N36" t="inlineStr">
        <is>
          <t>2026-09-11 19:06</t>
        </is>
      </c>
    </row>
    <row r="37">
      <c r="A37" t="n">
        <v>36</v>
      </c>
      <c r="B37" t="inlineStr">
        <is>
          <t>2026-08-21</t>
        </is>
      </c>
      <c r="C37" t="n">
        <v>2026</v>
      </c>
      <c r="D37" t="inlineStr">
        <is>
          <t>Sierpień</t>
        </is>
      </c>
      <c r="E37" t="inlineStr">
        <is>
          <t>W4</t>
        </is>
      </c>
      <c r="F37" t="inlineStr">
        <is>
          <t>2026_Sierpień_W4</t>
        </is>
      </c>
      <c r="G37" t="inlineStr">
        <is>
          <t>Pt</t>
        </is>
      </c>
      <c r="H37" t="inlineStr">
        <is>
          <t>APEL, DAWID</t>
        </is>
      </c>
      <c r="I37" t="inlineStr">
        <is>
          <t>Assistant Manager</t>
        </is>
      </c>
      <c r="J37" t="inlineStr">
        <is>
          <t>Standard 1,0|40h</t>
        </is>
      </c>
      <c r="K37" t="n">
        <v>8.76</v>
      </c>
      <c r="L37" t="inlineStr">
        <is>
          <t>384</t>
        </is>
      </c>
      <c r="M37" t="inlineStr">
        <is>
          <t>108120 SBX Warszawa Janki</t>
        </is>
      </c>
      <c r="N37" t="inlineStr">
        <is>
          <t>2026-09-11 19:06</t>
        </is>
      </c>
    </row>
    <row r="38">
      <c r="A38" t="n">
        <v>37</v>
      </c>
      <c r="B38" t="inlineStr">
        <is>
          <t>2026-08-22</t>
        </is>
      </c>
      <c r="C38" t="n">
        <v>2026</v>
      </c>
      <c r="D38" t="inlineStr">
        <is>
          <t>Sierpień</t>
        </is>
      </c>
      <c r="E38" t="inlineStr">
        <is>
          <t>W4</t>
        </is>
      </c>
      <c r="F38" t="inlineStr">
        <is>
          <t>2026_Sierpień_W4</t>
        </is>
      </c>
      <c r="G38" t="inlineStr">
        <is>
          <t>Sob</t>
        </is>
      </c>
      <c r="H38" t="inlineStr">
        <is>
          <t>APEL, DAWID</t>
        </is>
      </c>
      <c r="I38" t="inlineStr">
        <is>
          <t>Assistant Manager</t>
        </is>
      </c>
      <c r="J38" t="inlineStr">
        <is>
          <t>Standard 1,0|40h</t>
        </is>
      </c>
      <c r="K38" t="n">
        <v>8.119999999999999</v>
      </c>
      <c r="L38" t="inlineStr">
        <is>
          <t>384</t>
        </is>
      </c>
      <c r="M38" t="inlineStr">
        <is>
          <t>108120 SBX Warszawa Janki</t>
        </is>
      </c>
      <c r="N38" t="inlineStr">
        <is>
          <t>2026-09-11 19:06</t>
        </is>
      </c>
    </row>
    <row r="39">
      <c r="A39" t="n">
        <v>38</v>
      </c>
      <c r="B39" t="inlineStr">
        <is>
          <t>2026-08-23</t>
        </is>
      </c>
      <c r="C39" t="n">
        <v>2026</v>
      </c>
      <c r="D39" t="inlineStr">
        <is>
          <t>Sierpień</t>
        </is>
      </c>
      <c r="E39" t="inlineStr">
        <is>
          <t>W4</t>
        </is>
      </c>
      <c r="F39" t="inlineStr">
        <is>
          <t>2026_Sierpień_W4</t>
        </is>
      </c>
      <c r="G39" t="inlineStr">
        <is>
          <t>Nd</t>
        </is>
      </c>
      <c r="H39" t="inlineStr">
        <is>
          <t>APEL, DAWID</t>
        </is>
      </c>
      <c r="I39" t="inlineStr">
        <is>
          <t>Assistant Manager</t>
        </is>
      </c>
      <c r="J39" t="inlineStr">
        <is>
          <t>Standard 1,0|40h</t>
        </is>
      </c>
      <c r="K39" t="n">
        <v>1.73</v>
      </c>
      <c r="L39" t="inlineStr">
        <is>
          <t>384</t>
        </is>
      </c>
      <c r="M39" t="inlineStr">
        <is>
          <t>108120 SBX Warszawa Janki</t>
        </is>
      </c>
      <c r="N39" t="inlineStr">
        <is>
          <t>2026-09-11 19:06</t>
        </is>
      </c>
    </row>
    <row r="40">
      <c r="A40" t="n">
        <v>39</v>
      </c>
      <c r="B40" t="inlineStr">
        <is>
          <t>2026-08-24</t>
        </is>
      </c>
      <c r="C40" t="n">
        <v>2026</v>
      </c>
      <c r="D40" t="inlineStr">
        <is>
          <t>Sierpień</t>
        </is>
      </c>
      <c r="E40" t="inlineStr">
        <is>
          <t>W4</t>
        </is>
      </c>
      <c r="F40" t="inlineStr">
        <is>
          <t>2026_Sierpień_W4</t>
        </is>
      </c>
      <c r="G40" t="inlineStr">
        <is>
          <t>Pn</t>
        </is>
      </c>
      <c r="H40" t="inlineStr">
        <is>
          <t>APEL, DAWID</t>
        </is>
      </c>
      <c r="I40" t="inlineStr">
        <is>
          <t>Assistant Manager</t>
        </is>
      </c>
      <c r="J40" t="inlineStr">
        <is>
          <t>Standard 1,0|40h</t>
        </is>
      </c>
      <c r="K40" t="n">
        <v>8</v>
      </c>
      <c r="L40" t="inlineStr">
        <is>
          <t>384</t>
        </is>
      </c>
      <c r="M40" t="inlineStr">
        <is>
          <t>108120 SBX Warszawa Janki</t>
        </is>
      </c>
      <c r="N40" t="inlineStr">
        <is>
          <t>2026-09-11 19:06</t>
        </is>
      </c>
    </row>
    <row r="41">
      <c r="A41" t="n">
        <v>40</v>
      </c>
      <c r="B41" t="inlineStr">
        <is>
          <t>2026-08-25</t>
        </is>
      </c>
      <c r="C41" t="n">
        <v>2026</v>
      </c>
      <c r="D41" t="inlineStr">
        <is>
          <t>Sierpień</t>
        </is>
      </c>
      <c r="E41" t="inlineStr">
        <is>
          <t>W5</t>
        </is>
      </c>
      <c r="F41" t="inlineStr">
        <is>
          <t>2026_Sierpień_W5</t>
        </is>
      </c>
      <c r="G41" t="inlineStr">
        <is>
          <t>Wt</t>
        </is>
      </c>
      <c r="H41" t="inlineStr">
        <is>
          <t>APEL, DAWID</t>
        </is>
      </c>
      <c r="I41" t="inlineStr">
        <is>
          <t>Assistant Manager</t>
        </is>
      </c>
      <c r="J41" t="inlineStr">
        <is>
          <t>Standard 1,0|40h</t>
        </is>
      </c>
      <c r="K41" t="n">
        <v>9.550000000000001</v>
      </c>
      <c r="L41" t="inlineStr">
        <is>
          <t>384</t>
        </is>
      </c>
      <c r="M41" t="inlineStr">
        <is>
          <t>108120 SBX Warszawa Janki</t>
        </is>
      </c>
      <c r="N41" t="inlineStr">
        <is>
          <t>2026-09-11 19:06</t>
        </is>
      </c>
    </row>
    <row r="42">
      <c r="A42" t="n">
        <v>41</v>
      </c>
      <c r="B42" t="inlineStr">
        <is>
          <t>2026-09-01</t>
        </is>
      </c>
      <c r="C42" t="n">
        <v>2026</v>
      </c>
      <c r="D42" t="inlineStr">
        <is>
          <t>Wrzesień</t>
        </is>
      </c>
      <c r="E42" t="inlineStr">
        <is>
          <t>W1</t>
        </is>
      </c>
      <c r="F42" t="inlineStr">
        <is>
          <t>2026_Wrzesień_W1</t>
        </is>
      </c>
      <c r="G42" t="inlineStr">
        <is>
          <t>Wt</t>
        </is>
      </c>
      <c r="H42" t="inlineStr">
        <is>
          <t>APEL, DAWID</t>
        </is>
      </c>
      <c r="I42" t="inlineStr">
        <is>
          <t>Assistant Manager</t>
        </is>
      </c>
      <c r="J42" t="inlineStr">
        <is>
          <t>Standard 1,0|40h</t>
        </is>
      </c>
      <c r="K42" t="n">
        <v>8.050000000000001</v>
      </c>
      <c r="L42" t="inlineStr">
        <is>
          <t>384</t>
        </is>
      </c>
      <c r="M42" t="inlineStr">
        <is>
          <t>108120 SBX Warszawa Janki</t>
        </is>
      </c>
      <c r="N42" t="inlineStr">
        <is>
          <t>2026-09-11 19:06</t>
        </is>
      </c>
    </row>
    <row r="43">
      <c r="A43" t="n">
        <v>42</v>
      </c>
      <c r="B43" t="inlineStr">
        <is>
          <t>2026-09-04</t>
        </is>
      </c>
      <c r="C43" t="n">
        <v>2026</v>
      </c>
      <c r="D43" t="inlineStr">
        <is>
          <t>Wrzesień</t>
        </is>
      </c>
      <c r="E43" t="inlineStr">
        <is>
          <t>W1</t>
        </is>
      </c>
      <c r="F43" t="inlineStr">
        <is>
          <t>2026_Wrzesień_W1</t>
        </is>
      </c>
      <c r="G43" t="inlineStr">
        <is>
          <t>Pt</t>
        </is>
      </c>
      <c r="H43" t="inlineStr">
        <is>
          <t>APEL, DAWID</t>
        </is>
      </c>
      <c r="I43" t="inlineStr">
        <is>
          <t>Assistant Manager</t>
        </is>
      </c>
      <c r="J43" t="inlineStr">
        <is>
          <t>Standard 1,0|40h</t>
        </is>
      </c>
      <c r="K43" t="n">
        <v>8.58</v>
      </c>
      <c r="L43" t="inlineStr">
        <is>
          <t>384</t>
        </is>
      </c>
      <c r="M43" t="inlineStr">
        <is>
          <t>108120 SBX Warszawa Janki</t>
        </is>
      </c>
      <c r="N43" t="inlineStr">
        <is>
          <t>2026-09-11 19:06</t>
        </is>
      </c>
    </row>
    <row r="44">
      <c r="A44" t="n">
        <v>43</v>
      </c>
      <c r="B44" t="inlineStr">
        <is>
          <t>2026-09-05</t>
        </is>
      </c>
      <c r="C44" t="n">
        <v>2026</v>
      </c>
      <c r="D44" t="inlineStr">
        <is>
          <t>Wrzesień</t>
        </is>
      </c>
      <c r="E44" t="inlineStr">
        <is>
          <t>W1</t>
        </is>
      </c>
      <c r="F44" t="inlineStr">
        <is>
          <t>2026_Wrzesień_W1</t>
        </is>
      </c>
      <c r="G44" t="inlineStr">
        <is>
          <t>Sob</t>
        </is>
      </c>
      <c r="H44" t="inlineStr">
        <is>
          <t>APEL, DAWID</t>
        </is>
      </c>
      <c r="I44" t="inlineStr">
        <is>
          <t>Assistant Manager</t>
        </is>
      </c>
      <c r="J44" t="inlineStr">
        <is>
          <t>Standard 1,0|40h</t>
        </is>
      </c>
      <c r="K44" t="n">
        <v>8.4</v>
      </c>
      <c r="L44" t="inlineStr">
        <is>
          <t>384</t>
        </is>
      </c>
      <c r="M44" t="inlineStr">
        <is>
          <t>108120 SBX Warszawa Janki</t>
        </is>
      </c>
      <c r="N44" t="inlineStr">
        <is>
          <t>2026-09-11 19:06</t>
        </is>
      </c>
    </row>
    <row r="45">
      <c r="A45" t="n">
        <v>44</v>
      </c>
      <c r="B45" t="inlineStr">
        <is>
          <t>2026-09-07</t>
        </is>
      </c>
      <c r="C45" t="n">
        <v>2026</v>
      </c>
      <c r="D45" t="inlineStr">
        <is>
          <t>Wrzesień</t>
        </is>
      </c>
      <c r="E45" t="inlineStr">
        <is>
          <t>W1</t>
        </is>
      </c>
      <c r="F45" t="inlineStr">
        <is>
          <t>2026_Wrzesień_W1</t>
        </is>
      </c>
      <c r="G45" t="inlineStr">
        <is>
          <t>Pn</t>
        </is>
      </c>
      <c r="H45" t="inlineStr">
        <is>
          <t>APEL, DAWID</t>
        </is>
      </c>
      <c r="I45" t="inlineStr">
        <is>
          <t>Assistant Manager</t>
        </is>
      </c>
      <c r="J45" t="inlineStr">
        <is>
          <t>Standard 1,0|40h</t>
        </is>
      </c>
      <c r="K45" t="n">
        <v>7.55</v>
      </c>
      <c r="L45" t="inlineStr">
        <is>
          <t>384</t>
        </is>
      </c>
      <c r="M45" t="inlineStr">
        <is>
          <t>108120 SBX Warszawa Janki</t>
        </is>
      </c>
      <c r="N45" t="inlineStr">
        <is>
          <t>2026-09-11 19:06</t>
        </is>
      </c>
    </row>
    <row r="46">
      <c r="A46" t="n">
        <v>45</v>
      </c>
      <c r="B46" t="inlineStr">
        <is>
          <t>2026-09-08</t>
        </is>
      </c>
      <c r="C46" t="n">
        <v>2026</v>
      </c>
      <c r="D46" t="inlineStr">
        <is>
          <t>Wrzesień</t>
        </is>
      </c>
      <c r="E46" t="inlineStr">
        <is>
          <t>W2</t>
        </is>
      </c>
      <c r="F46" t="inlineStr">
        <is>
          <t>2026_Wrzesień_W2</t>
        </is>
      </c>
      <c r="G46" t="inlineStr">
        <is>
          <t>Wt</t>
        </is>
      </c>
      <c r="H46" t="inlineStr">
        <is>
          <t>APEL, DAWID</t>
        </is>
      </c>
      <c r="I46" t="inlineStr">
        <is>
          <t>Assistant Manager</t>
        </is>
      </c>
      <c r="J46" t="inlineStr">
        <is>
          <t>Standard 1,0|40h</t>
        </is>
      </c>
      <c r="K46" t="n">
        <v>8.119999999999999</v>
      </c>
      <c r="L46" t="inlineStr">
        <is>
          <t>384</t>
        </is>
      </c>
      <c r="M46" t="inlineStr">
        <is>
          <t>108120 SBX Warszawa Janki</t>
        </is>
      </c>
      <c r="N46" t="inlineStr">
        <is>
          <t>2026-09-11 19:06</t>
        </is>
      </c>
    </row>
    <row r="47">
      <c r="A47" t="n">
        <v>46</v>
      </c>
      <c r="B47" t="inlineStr">
        <is>
          <t>2026-01-23</t>
        </is>
      </c>
      <c r="C47" t="n">
        <v>2026</v>
      </c>
      <c r="D47" t="inlineStr">
        <is>
          <t>Styczeń</t>
        </is>
      </c>
      <c r="E47" t="inlineStr">
        <is>
          <t>W4</t>
        </is>
      </c>
      <c r="F47" t="inlineStr">
        <is>
          <t>2026_Styczeń_W4</t>
        </is>
      </c>
      <c r="G47" t="inlineStr">
        <is>
          <t>Pt</t>
        </is>
      </c>
      <c r="H47" t="inlineStr">
        <is>
          <t>BĄBIK, MARTYNA</t>
        </is>
      </c>
      <c r="I47" t="inlineStr">
        <is>
          <t>Crew Civil</t>
        </is>
      </c>
      <c r="J47" t="inlineStr">
        <is>
          <t>Zlecenie</t>
        </is>
      </c>
      <c r="K47" t="n">
        <v>6</v>
      </c>
      <c r="L47" t="inlineStr">
        <is>
          <t>384</t>
        </is>
      </c>
      <c r="M47" t="inlineStr">
        <is>
          <t>108120 SBX Warszawa Janki</t>
        </is>
      </c>
      <c r="N47" t="inlineStr">
        <is>
          <t>2026-09-11 19:06</t>
        </is>
      </c>
    </row>
    <row r="48">
      <c r="A48" t="n">
        <v>47</v>
      </c>
      <c r="B48" t="inlineStr">
        <is>
          <t>2026-01-30</t>
        </is>
      </c>
      <c r="C48" t="n">
        <v>2026</v>
      </c>
      <c r="D48" t="inlineStr">
        <is>
          <t>Styczeń</t>
        </is>
      </c>
      <c r="E48" t="inlineStr">
        <is>
          <t>W5</t>
        </is>
      </c>
      <c r="F48" t="inlineStr">
        <is>
          <t>2026_Styczeń_W5</t>
        </is>
      </c>
      <c r="G48" t="inlineStr">
        <is>
          <t>Pt</t>
        </is>
      </c>
      <c r="H48" t="inlineStr">
        <is>
          <t>BĄBIK, MARTYNA</t>
        </is>
      </c>
      <c r="I48" t="inlineStr">
        <is>
          <t>Crew Civil</t>
        </is>
      </c>
      <c r="J48" t="inlineStr">
        <is>
          <t>Zlecenie</t>
        </is>
      </c>
      <c r="K48" t="n">
        <v>6.82</v>
      </c>
      <c r="L48" t="inlineStr">
        <is>
          <t>384</t>
        </is>
      </c>
      <c r="M48" t="inlineStr">
        <is>
          <t>108120 SBX Warszawa Janki</t>
        </is>
      </c>
      <c r="N48" t="inlineStr">
        <is>
          <t>2026-09-11 19:06</t>
        </is>
      </c>
    </row>
    <row r="49">
      <c r="A49" t="n">
        <v>48</v>
      </c>
      <c r="B49" t="inlineStr">
        <is>
          <t>2026-02-07</t>
        </is>
      </c>
      <c r="C49" t="n">
        <v>2026</v>
      </c>
      <c r="D49" t="inlineStr">
        <is>
          <t>Luty</t>
        </is>
      </c>
      <c r="E49" t="inlineStr">
        <is>
          <t>W2</t>
        </is>
      </c>
      <c r="F49" t="inlineStr">
        <is>
          <t>2026_Luty_W2</t>
        </is>
      </c>
      <c r="G49" t="inlineStr">
        <is>
          <t>Sob</t>
        </is>
      </c>
      <c r="H49" t="inlineStr">
        <is>
          <t>BĄBIK, MARTYNA</t>
        </is>
      </c>
      <c r="I49" t="inlineStr">
        <is>
          <t>Crew Civil</t>
        </is>
      </c>
      <c r="J49" t="inlineStr">
        <is>
          <t>Zlecenie</t>
        </is>
      </c>
      <c r="K49" t="n">
        <v>6.1</v>
      </c>
      <c r="L49" t="inlineStr">
        <is>
          <t>384</t>
        </is>
      </c>
      <c r="M49" t="inlineStr">
        <is>
          <t>108120 SBX Warszawa Janki</t>
        </is>
      </c>
      <c r="N49" t="inlineStr">
        <is>
          <t>2026-09-11 19:06</t>
        </is>
      </c>
    </row>
    <row r="50">
      <c r="A50" t="n">
        <v>49</v>
      </c>
      <c r="B50" t="inlineStr">
        <is>
          <t>2026-02-13</t>
        </is>
      </c>
      <c r="C50" t="n">
        <v>2026</v>
      </c>
      <c r="D50" t="inlineStr">
        <is>
          <t>Luty</t>
        </is>
      </c>
      <c r="E50" t="inlineStr">
        <is>
          <t>W3</t>
        </is>
      </c>
      <c r="F50" t="inlineStr">
        <is>
          <t>2026_Luty_W3</t>
        </is>
      </c>
      <c r="G50" t="inlineStr">
        <is>
          <t>Pt</t>
        </is>
      </c>
      <c r="H50" t="inlineStr">
        <is>
          <t>BĄBIK, MARTYNA</t>
        </is>
      </c>
      <c r="I50" t="inlineStr">
        <is>
          <t>Crew Civil</t>
        </is>
      </c>
      <c r="J50" t="inlineStr">
        <is>
          <t>Zlecenie</t>
        </is>
      </c>
      <c r="K50" t="n">
        <v>5.48</v>
      </c>
      <c r="L50" t="inlineStr">
        <is>
          <t>384</t>
        </is>
      </c>
      <c r="M50" t="inlineStr">
        <is>
          <t>108120 SBX Warszawa Janki</t>
        </is>
      </c>
      <c r="N50" t="inlineStr">
        <is>
          <t>2026-09-11 19:06</t>
        </is>
      </c>
    </row>
    <row r="51">
      <c r="A51" t="n">
        <v>50</v>
      </c>
      <c r="B51" t="inlineStr">
        <is>
          <t>2026-02-27</t>
        </is>
      </c>
      <c r="C51" t="n">
        <v>2026</v>
      </c>
      <c r="D51" t="inlineStr">
        <is>
          <t>Luty</t>
        </is>
      </c>
      <c r="E51" t="inlineStr">
        <is>
          <t>W5</t>
        </is>
      </c>
      <c r="F51" t="inlineStr">
        <is>
          <t>2026_Luty_W5</t>
        </is>
      </c>
      <c r="G51" t="inlineStr">
        <is>
          <t>Pt</t>
        </is>
      </c>
      <c r="H51" t="inlineStr">
        <is>
          <t>BĄBIK, MARTYNA</t>
        </is>
      </c>
      <c r="I51" t="inlineStr">
        <is>
          <t>Crew Civil</t>
        </is>
      </c>
      <c r="J51" t="inlineStr">
        <is>
          <t>Zlecenie</t>
        </is>
      </c>
      <c r="K51" t="n">
        <v>7.63</v>
      </c>
      <c r="L51" t="inlineStr">
        <is>
          <t>384</t>
        </is>
      </c>
      <c r="M51" t="inlineStr">
        <is>
          <t>108120 SBX Warszawa Janki</t>
        </is>
      </c>
      <c r="N51" t="inlineStr">
        <is>
          <t>2026-09-11 19:06</t>
        </is>
      </c>
    </row>
    <row r="52">
      <c r="A52" t="n">
        <v>51</v>
      </c>
      <c r="B52" t="inlineStr">
        <is>
          <t>2026-03-01</t>
        </is>
      </c>
      <c r="C52" t="n">
        <v>2026</v>
      </c>
      <c r="D52" t="inlineStr">
        <is>
          <t>Marzec</t>
        </is>
      </c>
      <c r="E52" t="inlineStr">
        <is>
          <t>W1</t>
        </is>
      </c>
      <c r="F52" t="inlineStr">
        <is>
          <t>2026_Marzec_W1</t>
        </is>
      </c>
      <c r="G52" t="inlineStr">
        <is>
          <t>Nd</t>
        </is>
      </c>
      <c r="H52" t="inlineStr">
        <is>
          <t>BĄBIK, MARTYNA</t>
        </is>
      </c>
      <c r="I52" t="inlineStr">
        <is>
          <t>Crew Civil</t>
        </is>
      </c>
      <c r="J52" t="inlineStr">
        <is>
          <t>Zlecenie</t>
        </is>
      </c>
      <c r="K52" t="n">
        <v>1.5</v>
      </c>
      <c r="L52" t="inlineStr">
        <is>
          <t>384</t>
        </is>
      </c>
      <c r="M52" t="inlineStr">
        <is>
          <t>108120 SBX Warszawa Janki</t>
        </is>
      </c>
      <c r="N52" t="inlineStr">
        <is>
          <t>2026-09-11 19:06</t>
        </is>
      </c>
    </row>
    <row r="53">
      <c r="A53" t="n">
        <v>52</v>
      </c>
      <c r="B53" t="inlineStr">
        <is>
          <t>2026-03-09</t>
        </is>
      </c>
      <c r="C53" t="n">
        <v>2026</v>
      </c>
      <c r="D53" t="inlineStr">
        <is>
          <t>Marzec</t>
        </is>
      </c>
      <c r="E53" t="inlineStr">
        <is>
          <t>W2</t>
        </is>
      </c>
      <c r="F53" t="inlineStr">
        <is>
          <t>2026_Marzec_W2</t>
        </is>
      </c>
      <c r="G53" t="inlineStr">
        <is>
          <t>Pn</t>
        </is>
      </c>
      <c r="H53" t="inlineStr">
        <is>
          <t>BĄBIK, MARTYNA</t>
        </is>
      </c>
      <c r="I53" t="inlineStr">
        <is>
          <t>Crew Civil</t>
        </is>
      </c>
      <c r="J53" t="inlineStr">
        <is>
          <t>Zlecenie</t>
        </is>
      </c>
      <c r="K53" t="n">
        <v>1.5</v>
      </c>
      <c r="L53" t="inlineStr">
        <is>
          <t>384</t>
        </is>
      </c>
      <c r="M53" t="inlineStr">
        <is>
          <t>108120 SBX Warszawa Janki</t>
        </is>
      </c>
      <c r="N53" t="inlineStr">
        <is>
          <t>2026-09-11 19:06</t>
        </is>
      </c>
    </row>
    <row r="54">
      <c r="A54" t="n">
        <v>53</v>
      </c>
      <c r="B54" t="inlineStr">
        <is>
          <t>2026-03-13</t>
        </is>
      </c>
      <c r="C54" t="n">
        <v>2026</v>
      </c>
      <c r="D54" t="inlineStr">
        <is>
          <t>Marzec</t>
        </is>
      </c>
      <c r="E54" t="inlineStr">
        <is>
          <t>W3</t>
        </is>
      </c>
      <c r="F54" t="inlineStr">
        <is>
          <t>2026_Marzec_W3</t>
        </is>
      </c>
      <c r="G54" t="inlineStr">
        <is>
          <t>Pt</t>
        </is>
      </c>
      <c r="H54" t="inlineStr">
        <is>
          <t>BĄBIK, MARTYNA</t>
        </is>
      </c>
      <c r="I54" t="inlineStr">
        <is>
          <t>Crew Civil</t>
        </is>
      </c>
      <c r="J54" t="inlineStr">
        <is>
          <t>Zlecenie</t>
        </is>
      </c>
      <c r="K54" t="n">
        <v>6.73</v>
      </c>
      <c r="L54" t="inlineStr">
        <is>
          <t>384</t>
        </is>
      </c>
      <c r="M54" t="inlineStr">
        <is>
          <t>108120 SBX Warszawa Janki</t>
        </is>
      </c>
      <c r="N54" t="inlineStr">
        <is>
          <t>2026-09-11 19:06</t>
        </is>
      </c>
    </row>
    <row r="55">
      <c r="A55" t="n">
        <v>54</v>
      </c>
      <c r="B55" t="inlineStr">
        <is>
          <t>2026-03-21</t>
        </is>
      </c>
      <c r="C55" t="n">
        <v>2026</v>
      </c>
      <c r="D55" t="inlineStr">
        <is>
          <t>Marzec</t>
        </is>
      </c>
      <c r="E55" t="inlineStr">
        <is>
          <t>W4</t>
        </is>
      </c>
      <c r="F55" t="inlineStr">
        <is>
          <t>2026_Marzec_W4</t>
        </is>
      </c>
      <c r="G55" t="inlineStr">
        <is>
          <t>Sob</t>
        </is>
      </c>
      <c r="H55" t="inlineStr">
        <is>
          <t>BĄBIK, MARTYNA</t>
        </is>
      </c>
      <c r="I55" t="inlineStr">
        <is>
          <t>Crew Civil</t>
        </is>
      </c>
      <c r="J55" t="inlineStr">
        <is>
          <t>Zlecenie</t>
        </is>
      </c>
      <c r="K55" t="n">
        <v>4.2</v>
      </c>
      <c r="L55" t="inlineStr">
        <is>
          <t>384</t>
        </is>
      </c>
      <c r="M55" t="inlineStr">
        <is>
          <t>108120 SBX Warszawa Janki</t>
        </is>
      </c>
      <c r="N55" t="inlineStr">
        <is>
          <t>2026-09-11 19:06</t>
        </is>
      </c>
    </row>
    <row r="56">
      <c r="A56" t="n">
        <v>55</v>
      </c>
      <c r="B56" t="inlineStr">
        <is>
          <t>2026-03-27</t>
        </is>
      </c>
      <c r="C56" t="n">
        <v>2026</v>
      </c>
      <c r="D56" t="inlineStr">
        <is>
          <t>Marzec</t>
        </is>
      </c>
      <c r="E56" t="inlineStr">
        <is>
          <t>W5</t>
        </is>
      </c>
      <c r="F56" t="inlineStr">
        <is>
          <t>2026_Marzec_W5</t>
        </is>
      </c>
      <c r="G56" t="inlineStr">
        <is>
          <t>Pt</t>
        </is>
      </c>
      <c r="H56" t="inlineStr">
        <is>
          <t>BĄBIK, MARTYNA</t>
        </is>
      </c>
      <c r="I56" t="inlineStr">
        <is>
          <t>Crew Civil</t>
        </is>
      </c>
      <c r="J56" t="inlineStr">
        <is>
          <t>Zlecenie</t>
        </is>
      </c>
      <c r="K56" t="n">
        <v>5.41</v>
      </c>
      <c r="L56" t="inlineStr">
        <is>
          <t>384</t>
        </is>
      </c>
      <c r="M56" t="inlineStr">
        <is>
          <t>108120 SBX Warszawa Janki</t>
        </is>
      </c>
      <c r="N56" t="inlineStr">
        <is>
          <t>2026-09-11 19:06</t>
        </is>
      </c>
    </row>
    <row r="57">
      <c r="A57" t="n">
        <v>56</v>
      </c>
      <c r="B57" t="inlineStr">
        <is>
          <t>2026-03-28</t>
        </is>
      </c>
      <c r="C57" t="n">
        <v>2026</v>
      </c>
      <c r="D57" t="inlineStr">
        <is>
          <t>Marzec</t>
        </is>
      </c>
      <c r="E57" t="inlineStr">
        <is>
          <t>W5</t>
        </is>
      </c>
      <c r="F57" t="inlineStr">
        <is>
          <t>2026_Marzec_W5</t>
        </is>
      </c>
      <c r="G57" t="inlineStr">
        <is>
          <t>Sob</t>
        </is>
      </c>
      <c r="H57" t="inlineStr">
        <is>
          <t>BĄBIK, MARTYNA</t>
        </is>
      </c>
      <c r="I57" t="inlineStr">
        <is>
          <t>Crew Civil</t>
        </is>
      </c>
      <c r="J57" t="inlineStr">
        <is>
          <t>Zlecenie</t>
        </is>
      </c>
      <c r="K57" t="n">
        <v>7.56</v>
      </c>
      <c r="L57" t="inlineStr">
        <is>
          <t>384</t>
        </is>
      </c>
      <c r="M57" t="inlineStr">
        <is>
          <t>108120 SBX Warszawa Janki</t>
        </is>
      </c>
      <c r="N57" t="inlineStr">
        <is>
          <t>2026-09-11 19:06</t>
        </is>
      </c>
    </row>
    <row r="58">
      <c r="A58" t="n">
        <v>57</v>
      </c>
      <c r="B58" t="inlineStr">
        <is>
          <t>2026-03-29</t>
        </is>
      </c>
      <c r="C58" t="n">
        <v>2026</v>
      </c>
      <c r="D58" t="inlineStr">
        <is>
          <t>Marzec</t>
        </is>
      </c>
      <c r="E58" t="inlineStr">
        <is>
          <t>W5</t>
        </is>
      </c>
      <c r="F58" t="inlineStr">
        <is>
          <t>2026_Marzec_W5</t>
        </is>
      </c>
      <c r="G58" t="inlineStr">
        <is>
          <t>Nd</t>
        </is>
      </c>
      <c r="H58" t="inlineStr">
        <is>
          <t>BĄBIK, MARTYNA</t>
        </is>
      </c>
      <c r="I58" t="inlineStr">
        <is>
          <t>Crew Civil</t>
        </is>
      </c>
      <c r="J58" t="inlineStr">
        <is>
          <t>Zlecenie</t>
        </is>
      </c>
      <c r="K58" t="n">
        <v>9.109999999999999</v>
      </c>
      <c r="L58" t="inlineStr">
        <is>
          <t>384</t>
        </is>
      </c>
      <c r="M58" t="inlineStr">
        <is>
          <t>108120 SBX Warszawa Janki</t>
        </is>
      </c>
      <c r="N58" t="inlineStr">
        <is>
          <t>2026-09-11 19:06</t>
        </is>
      </c>
    </row>
    <row r="59">
      <c r="A59" t="n">
        <v>58</v>
      </c>
      <c r="B59" t="inlineStr">
        <is>
          <t>2026-04-01</t>
        </is>
      </c>
      <c r="C59" t="n">
        <v>2026</v>
      </c>
      <c r="D59" t="inlineStr">
        <is>
          <t>Kwiecień</t>
        </is>
      </c>
      <c r="E59" t="inlineStr">
        <is>
          <t>W1</t>
        </is>
      </c>
      <c r="F59" t="inlineStr">
        <is>
          <t>2026_Kwiecień_W1</t>
        </is>
      </c>
      <c r="G59" t="inlineStr">
        <is>
          <t>Śr</t>
        </is>
      </c>
      <c r="H59" t="inlineStr">
        <is>
          <t>BĄBIK, MARTYNA</t>
        </is>
      </c>
      <c r="I59" t="inlineStr">
        <is>
          <t>Crew Civil</t>
        </is>
      </c>
      <c r="J59" t="inlineStr">
        <is>
          <t>Zlecenie</t>
        </is>
      </c>
      <c r="K59" t="n">
        <v>4.01</v>
      </c>
      <c r="L59" t="inlineStr">
        <is>
          <t>384</t>
        </is>
      </c>
      <c r="M59" t="inlineStr">
        <is>
          <t>108120 SBX Warszawa Janki</t>
        </is>
      </c>
      <c r="N59" t="inlineStr">
        <is>
          <t>2026-09-11 19:06</t>
        </is>
      </c>
    </row>
    <row r="60">
      <c r="A60" t="n">
        <v>59</v>
      </c>
      <c r="B60" t="inlineStr">
        <is>
          <t>2026-04-28</t>
        </is>
      </c>
      <c r="C60" t="n">
        <v>2026</v>
      </c>
      <c r="D60" t="inlineStr">
        <is>
          <t>Kwiecień</t>
        </is>
      </c>
      <c r="E60" t="inlineStr">
        <is>
          <t>W5</t>
        </is>
      </c>
      <c r="F60" t="inlineStr">
        <is>
          <t>2026_Kwiecień_W5</t>
        </is>
      </c>
      <c r="G60" t="inlineStr">
        <is>
          <t>Wt</t>
        </is>
      </c>
      <c r="H60" t="inlineStr">
        <is>
          <t>BĄBIK, MARTYNA</t>
        </is>
      </c>
      <c r="I60" t="inlineStr">
        <is>
          <t>Crew Civil</t>
        </is>
      </c>
      <c r="J60" t="inlineStr">
        <is>
          <t>Zlecenie</t>
        </is>
      </c>
      <c r="K60" t="n">
        <v>2.37</v>
      </c>
      <c r="L60" t="inlineStr">
        <is>
          <t>384</t>
        </is>
      </c>
      <c r="M60" t="inlineStr">
        <is>
          <t>108120 SBX Warszawa Janki</t>
        </is>
      </c>
      <c r="N60" t="inlineStr">
        <is>
          <t>2026-09-11 19:06</t>
        </is>
      </c>
    </row>
    <row r="61">
      <c r="A61" t="n">
        <v>60</v>
      </c>
      <c r="B61" t="inlineStr">
        <is>
          <t>2026-05-18</t>
        </is>
      </c>
      <c r="C61" t="n">
        <v>2026</v>
      </c>
      <c r="D61" t="inlineStr">
        <is>
          <t>Maj</t>
        </is>
      </c>
      <c r="E61" t="inlineStr">
        <is>
          <t>W3</t>
        </is>
      </c>
      <c r="F61" t="inlineStr">
        <is>
          <t>2026_Maj_W3</t>
        </is>
      </c>
      <c r="G61" t="inlineStr">
        <is>
          <t>Pn</t>
        </is>
      </c>
      <c r="H61" t="inlineStr">
        <is>
          <t>BĄBIK, MARTYNA</t>
        </is>
      </c>
      <c r="I61" t="inlineStr">
        <is>
          <t>Crew Civil</t>
        </is>
      </c>
      <c r="J61" t="inlineStr">
        <is>
          <t>Zlecenie</t>
        </is>
      </c>
      <c r="K61" t="n">
        <v>1.5</v>
      </c>
      <c r="L61" t="inlineStr">
        <is>
          <t>384</t>
        </is>
      </c>
      <c r="M61" t="inlineStr">
        <is>
          <t>108120 SBX Warszawa Janki</t>
        </is>
      </c>
      <c r="N61" t="inlineStr">
        <is>
          <t>2026-09-11 19:06</t>
        </is>
      </c>
    </row>
    <row r="62">
      <c r="A62" t="n">
        <v>61</v>
      </c>
      <c r="B62" t="inlineStr">
        <is>
          <t>2026-05-20</t>
        </is>
      </c>
      <c r="C62" t="n">
        <v>2026</v>
      </c>
      <c r="D62" t="inlineStr">
        <is>
          <t>Maj</t>
        </is>
      </c>
      <c r="E62" t="inlineStr">
        <is>
          <t>W4</t>
        </is>
      </c>
      <c r="F62" t="inlineStr">
        <is>
          <t>2026_Maj_W4</t>
        </is>
      </c>
      <c r="G62" t="inlineStr">
        <is>
          <t>Śr</t>
        </is>
      </c>
      <c r="H62" t="inlineStr">
        <is>
          <t>BĄBIK, MARTYNA</t>
        </is>
      </c>
      <c r="I62" t="inlineStr">
        <is>
          <t>Crew Civil</t>
        </is>
      </c>
      <c r="J62" t="inlineStr">
        <is>
          <t>Zlecenie</t>
        </is>
      </c>
      <c r="K62" t="n">
        <v>6.12</v>
      </c>
      <c r="L62" t="inlineStr">
        <is>
          <t>384</t>
        </is>
      </c>
      <c r="M62" t="inlineStr">
        <is>
          <t>108120 SBX Warszawa Janki</t>
        </is>
      </c>
      <c r="N62" t="inlineStr">
        <is>
          <t>2026-09-11 19:06</t>
        </is>
      </c>
    </row>
    <row r="63">
      <c r="A63" t="n">
        <v>62</v>
      </c>
      <c r="B63" t="inlineStr">
        <is>
          <t>2026-05-23</t>
        </is>
      </c>
      <c r="C63" t="n">
        <v>2026</v>
      </c>
      <c r="D63" t="inlineStr">
        <is>
          <t>Maj</t>
        </is>
      </c>
      <c r="E63" t="inlineStr">
        <is>
          <t>W4</t>
        </is>
      </c>
      <c r="F63" t="inlineStr">
        <is>
          <t>2026_Maj_W4</t>
        </is>
      </c>
      <c r="G63" t="inlineStr">
        <is>
          <t>Sob</t>
        </is>
      </c>
      <c r="H63" t="inlineStr">
        <is>
          <t>BĄBIK, MARTYNA</t>
        </is>
      </c>
      <c r="I63" t="inlineStr">
        <is>
          <t>Crew Civil</t>
        </is>
      </c>
      <c r="J63" t="inlineStr">
        <is>
          <t>Zlecenie</t>
        </is>
      </c>
      <c r="K63" t="n">
        <v>7.11</v>
      </c>
      <c r="L63" t="inlineStr">
        <is>
          <t>384</t>
        </is>
      </c>
      <c r="M63" t="inlineStr">
        <is>
          <t>108120 SBX Warszawa Janki</t>
        </is>
      </c>
      <c r="N63" t="inlineStr">
        <is>
          <t>2026-09-11 19:06</t>
        </is>
      </c>
    </row>
    <row r="64">
      <c r="A64" t="n">
        <v>63</v>
      </c>
      <c r="B64" t="inlineStr">
        <is>
          <t>2026-05-30</t>
        </is>
      </c>
      <c r="C64" t="n">
        <v>2026</v>
      </c>
      <c r="D64" t="inlineStr">
        <is>
          <t>Maj</t>
        </is>
      </c>
      <c r="E64" t="inlineStr">
        <is>
          <t>W5</t>
        </is>
      </c>
      <c r="F64" t="inlineStr">
        <is>
          <t>2026_Maj_W5</t>
        </is>
      </c>
      <c r="G64" t="inlineStr">
        <is>
          <t>Sob</t>
        </is>
      </c>
      <c r="H64" t="inlineStr">
        <is>
          <t>BĄBIK, MARTYNA</t>
        </is>
      </c>
      <c r="I64" t="inlineStr">
        <is>
          <t>Crew Civil</t>
        </is>
      </c>
      <c r="J64" t="inlineStr">
        <is>
          <t>Zlecenie</t>
        </is>
      </c>
      <c r="K64" t="n">
        <v>6.57</v>
      </c>
      <c r="L64" t="inlineStr">
        <is>
          <t>384</t>
        </is>
      </c>
      <c r="M64" t="inlineStr">
        <is>
          <t>108120 SBX Warszawa Janki</t>
        </is>
      </c>
      <c r="N64" t="inlineStr">
        <is>
          <t>2026-09-11 19:06</t>
        </is>
      </c>
    </row>
    <row r="65">
      <c r="A65" t="n">
        <v>64</v>
      </c>
      <c r="B65" t="inlineStr">
        <is>
          <t>2026-05-31</t>
        </is>
      </c>
      <c r="C65" t="n">
        <v>2026</v>
      </c>
      <c r="D65" t="inlineStr">
        <is>
          <t>Maj</t>
        </is>
      </c>
      <c r="E65" t="inlineStr">
        <is>
          <t>W5</t>
        </is>
      </c>
      <c r="F65" t="inlineStr">
        <is>
          <t>2026_Maj_W5</t>
        </is>
      </c>
      <c r="G65" t="inlineStr">
        <is>
          <t>Nd</t>
        </is>
      </c>
      <c r="H65" t="inlineStr">
        <is>
          <t>BĄBIK, MARTYNA</t>
        </is>
      </c>
      <c r="I65" t="inlineStr">
        <is>
          <t>Crew Civil</t>
        </is>
      </c>
      <c r="J65" t="inlineStr">
        <is>
          <t>Zlecenie</t>
        </is>
      </c>
      <c r="K65" t="n">
        <v>8.25</v>
      </c>
      <c r="L65" t="inlineStr">
        <is>
          <t>384</t>
        </is>
      </c>
      <c r="M65" t="inlineStr">
        <is>
          <t>108120 SBX Warszawa Janki</t>
        </is>
      </c>
      <c r="N65" t="inlineStr">
        <is>
          <t>2026-09-11 19:06</t>
        </is>
      </c>
    </row>
    <row r="66">
      <c r="A66" t="n">
        <v>65</v>
      </c>
      <c r="B66" t="inlineStr">
        <is>
          <t>2026-06-01</t>
        </is>
      </c>
      <c r="C66" t="n">
        <v>2026</v>
      </c>
      <c r="D66" t="inlineStr">
        <is>
          <t>Czerwiec</t>
        </is>
      </c>
      <c r="E66" t="inlineStr">
        <is>
          <t>W1</t>
        </is>
      </c>
      <c r="F66" t="inlineStr">
        <is>
          <t>2026_Czerwiec_W1</t>
        </is>
      </c>
      <c r="G66" t="inlineStr">
        <is>
          <t>Pn</t>
        </is>
      </c>
      <c r="H66" t="inlineStr">
        <is>
          <t>BĄBIK, MARTYNA</t>
        </is>
      </c>
      <c r="I66" t="inlineStr">
        <is>
          <t>Crew Civil</t>
        </is>
      </c>
      <c r="J66" t="inlineStr">
        <is>
          <t>Zlecenie</t>
        </is>
      </c>
      <c r="K66" t="n">
        <v>8.6</v>
      </c>
      <c r="L66" t="inlineStr">
        <is>
          <t>384</t>
        </is>
      </c>
      <c r="M66" t="inlineStr">
        <is>
          <t>108120 SBX Warszawa Janki</t>
        </is>
      </c>
      <c r="N66" t="inlineStr">
        <is>
          <t>2026-09-11 19:06</t>
        </is>
      </c>
    </row>
    <row r="67">
      <c r="A67" t="n">
        <v>66</v>
      </c>
      <c r="B67" t="inlineStr">
        <is>
          <t>2026-06-03</t>
        </is>
      </c>
      <c r="C67" t="n">
        <v>2026</v>
      </c>
      <c r="D67" t="inlineStr">
        <is>
          <t>Czerwiec</t>
        </is>
      </c>
      <c r="E67" t="inlineStr">
        <is>
          <t>W2</t>
        </is>
      </c>
      <c r="F67" t="inlineStr">
        <is>
          <t>2026_Czerwiec_W2</t>
        </is>
      </c>
      <c r="G67" t="inlineStr">
        <is>
          <t>Śr</t>
        </is>
      </c>
      <c r="H67" t="inlineStr">
        <is>
          <t>BĄBIK, MARTYNA</t>
        </is>
      </c>
      <c r="I67" t="inlineStr">
        <is>
          <t>Crew Civil</t>
        </is>
      </c>
      <c r="J67" t="inlineStr">
        <is>
          <t>Zlecenie</t>
        </is>
      </c>
      <c r="K67" t="n">
        <v>7.98</v>
      </c>
      <c r="L67" t="inlineStr">
        <is>
          <t>384</t>
        </is>
      </c>
      <c r="M67" t="inlineStr">
        <is>
          <t>108120 SBX Warszawa Janki</t>
        </is>
      </c>
      <c r="N67" t="inlineStr">
        <is>
          <t>2026-09-11 19:06</t>
        </is>
      </c>
    </row>
    <row r="68">
      <c r="A68" t="n">
        <v>67</v>
      </c>
      <c r="B68" t="inlineStr">
        <is>
          <t>2026-06-05</t>
        </is>
      </c>
      <c r="C68" t="n">
        <v>2026</v>
      </c>
      <c r="D68" t="inlineStr">
        <is>
          <t>Czerwiec</t>
        </is>
      </c>
      <c r="E68" t="inlineStr">
        <is>
          <t>W2</t>
        </is>
      </c>
      <c r="F68" t="inlineStr">
        <is>
          <t>2026_Czerwiec_W2</t>
        </is>
      </c>
      <c r="G68" t="inlineStr">
        <is>
          <t>Pt</t>
        </is>
      </c>
      <c r="H68" t="inlineStr">
        <is>
          <t>BĄBIK, MARTYNA</t>
        </is>
      </c>
      <c r="I68" t="inlineStr">
        <is>
          <t>Crew Civil</t>
        </is>
      </c>
      <c r="J68" t="inlineStr">
        <is>
          <t>Zlecenie</t>
        </is>
      </c>
      <c r="K68" t="n">
        <v>7.97</v>
      </c>
      <c r="L68" t="inlineStr">
        <is>
          <t>384</t>
        </is>
      </c>
      <c r="M68" t="inlineStr">
        <is>
          <t>108120 SBX Warszawa Janki</t>
        </is>
      </c>
      <c r="N68" t="inlineStr">
        <is>
          <t>2026-09-11 19:06</t>
        </is>
      </c>
    </row>
    <row r="69">
      <c r="A69" t="n">
        <v>68</v>
      </c>
      <c r="B69" t="inlineStr">
        <is>
          <t>2026-06-06</t>
        </is>
      </c>
      <c r="C69" t="n">
        <v>2026</v>
      </c>
      <c r="D69" t="inlineStr">
        <is>
          <t>Czerwiec</t>
        </is>
      </c>
      <c r="E69" t="inlineStr">
        <is>
          <t>W2</t>
        </is>
      </c>
      <c r="F69" t="inlineStr">
        <is>
          <t>2026_Czerwiec_W2</t>
        </is>
      </c>
      <c r="G69" t="inlineStr">
        <is>
          <t>Sob</t>
        </is>
      </c>
      <c r="H69" t="inlineStr">
        <is>
          <t>BĄBIK, MARTYNA</t>
        </is>
      </c>
      <c r="I69" t="inlineStr">
        <is>
          <t>Crew Civil</t>
        </is>
      </c>
      <c r="J69" t="inlineStr">
        <is>
          <t>Zlecenie</t>
        </is>
      </c>
      <c r="K69" t="n">
        <v>7.32</v>
      </c>
      <c r="L69" t="inlineStr">
        <is>
          <t>384</t>
        </is>
      </c>
      <c r="M69" t="inlineStr">
        <is>
          <t>108120 SBX Warszawa Janki</t>
        </is>
      </c>
      <c r="N69" t="inlineStr">
        <is>
          <t>2026-09-11 19:06</t>
        </is>
      </c>
    </row>
    <row r="70">
      <c r="A70" t="n">
        <v>69</v>
      </c>
      <c r="B70" t="inlineStr">
        <is>
          <t>2026-06-07</t>
        </is>
      </c>
      <c r="C70" t="n">
        <v>2026</v>
      </c>
      <c r="D70" t="inlineStr">
        <is>
          <t>Czerwiec</t>
        </is>
      </c>
      <c r="E70" t="inlineStr">
        <is>
          <t>W2</t>
        </is>
      </c>
      <c r="F70" t="inlineStr">
        <is>
          <t>2026_Czerwiec_W2</t>
        </is>
      </c>
      <c r="G70" t="inlineStr">
        <is>
          <t>Nd</t>
        </is>
      </c>
      <c r="H70" t="inlineStr">
        <is>
          <t>BĄBIK, MARTYNA</t>
        </is>
      </c>
      <c r="I70" t="inlineStr">
        <is>
          <t>Crew Civil</t>
        </is>
      </c>
      <c r="J70" t="inlineStr">
        <is>
          <t>Zlecenie</t>
        </is>
      </c>
      <c r="K70" t="n">
        <v>6.71</v>
      </c>
      <c r="L70" t="inlineStr">
        <is>
          <t>384</t>
        </is>
      </c>
      <c r="M70" t="inlineStr">
        <is>
          <t>108120 SBX Warszawa Janki</t>
        </is>
      </c>
      <c r="N70" t="inlineStr">
        <is>
          <t>2026-09-11 19:06</t>
        </is>
      </c>
    </row>
    <row r="71">
      <c r="A71" t="n">
        <v>70</v>
      </c>
      <c r="B71" t="inlineStr">
        <is>
          <t>2026-06-08</t>
        </is>
      </c>
      <c r="C71" t="n">
        <v>2026</v>
      </c>
      <c r="D71" t="inlineStr">
        <is>
          <t>Czerwiec</t>
        </is>
      </c>
      <c r="E71" t="inlineStr">
        <is>
          <t>W2</t>
        </is>
      </c>
      <c r="F71" t="inlineStr">
        <is>
          <t>2026_Czerwiec_W2</t>
        </is>
      </c>
      <c r="G71" t="inlineStr">
        <is>
          <t>Pn</t>
        </is>
      </c>
      <c r="H71" t="inlineStr">
        <is>
          <t>BĄBIK, MARTYNA</t>
        </is>
      </c>
      <c r="I71" t="inlineStr">
        <is>
          <t>Crew Civil</t>
        </is>
      </c>
      <c r="J71" t="inlineStr">
        <is>
          <t>Zlecenie</t>
        </is>
      </c>
      <c r="K71" t="n">
        <v>7.34</v>
      </c>
      <c r="L71" t="inlineStr">
        <is>
          <t>384</t>
        </is>
      </c>
      <c r="M71" t="inlineStr">
        <is>
          <t>108120 SBX Warszawa Janki</t>
        </is>
      </c>
      <c r="N71" t="inlineStr">
        <is>
          <t>2026-09-11 19:06</t>
        </is>
      </c>
    </row>
    <row r="72">
      <c r="A72" t="n">
        <v>71</v>
      </c>
      <c r="B72" t="inlineStr">
        <is>
          <t>2026-06-11</t>
        </is>
      </c>
      <c r="C72" t="n">
        <v>2026</v>
      </c>
      <c r="D72" t="inlineStr">
        <is>
          <t>Czerwiec</t>
        </is>
      </c>
      <c r="E72" t="inlineStr">
        <is>
          <t>W3</t>
        </is>
      </c>
      <c r="F72" t="inlineStr">
        <is>
          <t>2026_Czerwiec_W3</t>
        </is>
      </c>
      <c r="G72" t="inlineStr">
        <is>
          <t>Czw</t>
        </is>
      </c>
      <c r="H72" t="inlineStr">
        <is>
          <t>BĄBIK, MARTYNA</t>
        </is>
      </c>
      <c r="I72" t="inlineStr">
        <is>
          <t>Crew Civil</t>
        </is>
      </c>
      <c r="J72" t="inlineStr">
        <is>
          <t>Zlecenie</t>
        </is>
      </c>
      <c r="K72" t="n">
        <v>8.67</v>
      </c>
      <c r="L72" t="inlineStr">
        <is>
          <t>384</t>
        </is>
      </c>
      <c r="M72" t="inlineStr">
        <is>
          <t>108120 SBX Warszawa Janki</t>
        </is>
      </c>
      <c r="N72" t="inlineStr">
        <is>
          <t>2026-09-11 19:06</t>
        </is>
      </c>
    </row>
    <row r="73">
      <c r="A73" t="n">
        <v>72</v>
      </c>
      <c r="B73" t="inlineStr">
        <is>
          <t>2026-06-12</t>
        </is>
      </c>
      <c r="C73" t="n">
        <v>2026</v>
      </c>
      <c r="D73" t="inlineStr">
        <is>
          <t>Czerwiec</t>
        </is>
      </c>
      <c r="E73" t="inlineStr">
        <is>
          <t>W3</t>
        </is>
      </c>
      <c r="F73" t="inlineStr">
        <is>
          <t>2026_Czerwiec_W3</t>
        </is>
      </c>
      <c r="G73" t="inlineStr">
        <is>
          <t>Pt</t>
        </is>
      </c>
      <c r="H73" t="inlineStr">
        <is>
          <t>BĄBIK, MARTYNA</t>
        </is>
      </c>
      <c r="I73" t="inlineStr">
        <is>
          <t>Crew Civil</t>
        </is>
      </c>
      <c r="J73" t="inlineStr">
        <is>
          <t>Zlecenie</t>
        </is>
      </c>
      <c r="K73" t="n">
        <v>7.05</v>
      </c>
      <c r="L73" t="inlineStr">
        <is>
          <t>384</t>
        </is>
      </c>
      <c r="M73" t="inlineStr">
        <is>
          <t>108120 SBX Warszawa Janki</t>
        </is>
      </c>
      <c r="N73" t="inlineStr">
        <is>
          <t>2026-09-11 19:06</t>
        </is>
      </c>
    </row>
    <row r="74">
      <c r="A74" t="n">
        <v>73</v>
      </c>
      <c r="B74" t="inlineStr">
        <is>
          <t>2026-06-14</t>
        </is>
      </c>
      <c r="C74" t="n">
        <v>2026</v>
      </c>
      <c r="D74" t="inlineStr">
        <is>
          <t>Czerwiec</t>
        </is>
      </c>
      <c r="E74" t="inlineStr">
        <is>
          <t>W3</t>
        </is>
      </c>
      <c r="F74" t="inlineStr">
        <is>
          <t>2026_Czerwiec_W3</t>
        </is>
      </c>
      <c r="G74" t="inlineStr">
        <is>
          <t>Nd</t>
        </is>
      </c>
      <c r="H74" t="inlineStr">
        <is>
          <t>BĄBIK, MARTYNA</t>
        </is>
      </c>
      <c r="I74" t="inlineStr">
        <is>
          <t>Crew Civil</t>
        </is>
      </c>
      <c r="J74" t="inlineStr">
        <is>
          <t>Zlecenie</t>
        </is>
      </c>
      <c r="K74" t="n">
        <v>7.87</v>
      </c>
      <c r="L74" t="inlineStr">
        <is>
          <t>384</t>
        </is>
      </c>
      <c r="M74" t="inlineStr">
        <is>
          <t>108120 SBX Warszawa Janki</t>
        </is>
      </c>
      <c r="N74" t="inlineStr">
        <is>
          <t>2026-09-11 19:06</t>
        </is>
      </c>
    </row>
    <row r="75">
      <c r="A75" t="n">
        <v>74</v>
      </c>
      <c r="B75" t="inlineStr">
        <is>
          <t>2026-06-20</t>
        </is>
      </c>
      <c r="C75" t="n">
        <v>2026</v>
      </c>
      <c r="D75" t="inlineStr">
        <is>
          <t>Czerwiec</t>
        </is>
      </c>
      <c r="E75" t="inlineStr">
        <is>
          <t>W4</t>
        </is>
      </c>
      <c r="F75" t="inlineStr">
        <is>
          <t>2026_Czerwiec_W4</t>
        </is>
      </c>
      <c r="G75" t="inlineStr">
        <is>
          <t>Sob</t>
        </is>
      </c>
      <c r="H75" t="inlineStr">
        <is>
          <t>BĄBIK, MARTYNA</t>
        </is>
      </c>
      <c r="I75" t="inlineStr">
        <is>
          <t>Crew Civil</t>
        </is>
      </c>
      <c r="J75" t="inlineStr">
        <is>
          <t>Zlecenie</t>
        </is>
      </c>
      <c r="K75" t="n">
        <v>8.08</v>
      </c>
      <c r="L75" t="inlineStr">
        <is>
          <t>384</t>
        </is>
      </c>
      <c r="M75" t="inlineStr">
        <is>
          <t>108120 SBX Warszawa Janki</t>
        </is>
      </c>
      <c r="N75" t="inlineStr">
        <is>
          <t>2026-09-11 19:06</t>
        </is>
      </c>
    </row>
    <row r="76">
      <c r="A76" t="n">
        <v>75</v>
      </c>
      <c r="B76" t="inlineStr">
        <is>
          <t>2026-06-21</t>
        </is>
      </c>
      <c r="C76" t="n">
        <v>2026</v>
      </c>
      <c r="D76" t="inlineStr">
        <is>
          <t>Czerwiec</t>
        </is>
      </c>
      <c r="E76" t="inlineStr">
        <is>
          <t>W4</t>
        </is>
      </c>
      <c r="F76" t="inlineStr">
        <is>
          <t>2026_Czerwiec_W4</t>
        </is>
      </c>
      <c r="G76" t="inlineStr">
        <is>
          <t>Nd</t>
        </is>
      </c>
      <c r="H76" t="inlineStr">
        <is>
          <t>BĄBIK, MARTYNA</t>
        </is>
      </c>
      <c r="I76" t="inlineStr">
        <is>
          <t>Crew Civil</t>
        </is>
      </c>
      <c r="J76" t="inlineStr">
        <is>
          <t>Zlecenie</t>
        </is>
      </c>
      <c r="K76" t="n">
        <v>5.57</v>
      </c>
      <c r="L76" t="inlineStr">
        <is>
          <t>384</t>
        </is>
      </c>
      <c r="M76" t="inlineStr">
        <is>
          <t>108120 SBX Warszawa Janki</t>
        </is>
      </c>
      <c r="N76" t="inlineStr">
        <is>
          <t>2026-09-11 19:06</t>
        </is>
      </c>
    </row>
    <row r="77">
      <c r="A77" t="n">
        <v>76</v>
      </c>
      <c r="B77" t="inlineStr">
        <is>
          <t>2026-06-22</t>
        </is>
      </c>
      <c r="C77" t="n">
        <v>2026</v>
      </c>
      <c r="D77" t="inlineStr">
        <is>
          <t>Czerwiec</t>
        </is>
      </c>
      <c r="E77" t="inlineStr">
        <is>
          <t>W4</t>
        </is>
      </c>
      <c r="F77" t="inlineStr">
        <is>
          <t>2026_Czerwiec_W4</t>
        </is>
      </c>
      <c r="G77" t="inlineStr">
        <is>
          <t>Pn</t>
        </is>
      </c>
      <c r="H77" t="inlineStr">
        <is>
          <t>BĄBIK, MARTYNA</t>
        </is>
      </c>
      <c r="I77" t="inlineStr">
        <is>
          <t>Crew Civil</t>
        </is>
      </c>
      <c r="J77" t="inlineStr">
        <is>
          <t>Zlecenie</t>
        </is>
      </c>
      <c r="K77" t="n">
        <v>6.64</v>
      </c>
      <c r="L77" t="inlineStr">
        <is>
          <t>384</t>
        </is>
      </c>
      <c r="M77" t="inlineStr">
        <is>
          <t>108120 SBX Warszawa Janki</t>
        </is>
      </c>
      <c r="N77" t="inlineStr">
        <is>
          <t>2026-09-11 19:06</t>
        </is>
      </c>
    </row>
    <row r="78">
      <c r="A78" t="n">
        <v>77</v>
      </c>
      <c r="B78" t="inlineStr">
        <is>
          <t>2026-06-23</t>
        </is>
      </c>
      <c r="C78" t="n">
        <v>2026</v>
      </c>
      <c r="D78" t="inlineStr">
        <is>
          <t>Czerwiec</t>
        </is>
      </c>
      <c r="E78" t="inlineStr">
        <is>
          <t>W5</t>
        </is>
      </c>
      <c r="F78" t="inlineStr">
        <is>
          <t>2026_Czerwiec_W5</t>
        </is>
      </c>
      <c r="G78" t="inlineStr">
        <is>
          <t>Wt</t>
        </is>
      </c>
      <c r="H78" t="inlineStr">
        <is>
          <t>BĄBIK, MARTYNA</t>
        </is>
      </c>
      <c r="I78" t="inlineStr">
        <is>
          <t>Crew Civil</t>
        </is>
      </c>
      <c r="J78" t="inlineStr">
        <is>
          <t>Zlecenie</t>
        </is>
      </c>
      <c r="K78" t="n">
        <v>7.64</v>
      </c>
      <c r="L78" t="inlineStr">
        <is>
          <t>384</t>
        </is>
      </c>
      <c r="M78" t="inlineStr">
        <is>
          <t>108120 SBX Warszawa Janki</t>
        </is>
      </c>
      <c r="N78" t="inlineStr">
        <is>
          <t>2026-09-11 19:06</t>
        </is>
      </c>
    </row>
    <row r="79">
      <c r="A79" t="n">
        <v>78</v>
      </c>
      <c r="B79" t="inlineStr">
        <is>
          <t>2026-06-24</t>
        </is>
      </c>
      <c r="C79" t="n">
        <v>2026</v>
      </c>
      <c r="D79" t="inlineStr">
        <is>
          <t>Czerwiec</t>
        </is>
      </c>
      <c r="E79" t="inlineStr">
        <is>
          <t>W5</t>
        </is>
      </c>
      <c r="F79" t="inlineStr">
        <is>
          <t>2026_Czerwiec_W5</t>
        </is>
      </c>
      <c r="G79" t="inlineStr">
        <is>
          <t>Śr</t>
        </is>
      </c>
      <c r="H79" t="inlineStr">
        <is>
          <t>BĄBIK, MARTYNA</t>
        </is>
      </c>
      <c r="I79" t="inlineStr">
        <is>
          <t>Crew Civil</t>
        </is>
      </c>
      <c r="J79" t="inlineStr">
        <is>
          <t>Zlecenie</t>
        </is>
      </c>
      <c r="K79" t="n">
        <v>8</v>
      </c>
      <c r="L79" t="inlineStr">
        <is>
          <t>384</t>
        </is>
      </c>
      <c r="M79" t="inlineStr">
        <is>
          <t>108120 SBX Warszawa Janki</t>
        </is>
      </c>
      <c r="N79" t="inlineStr">
        <is>
          <t>2026-09-11 19:06</t>
        </is>
      </c>
    </row>
    <row r="80">
      <c r="A80" t="n">
        <v>79</v>
      </c>
      <c r="B80" t="inlineStr">
        <is>
          <t>2026-06-25</t>
        </is>
      </c>
      <c r="C80" t="n">
        <v>2026</v>
      </c>
      <c r="D80" t="inlineStr">
        <is>
          <t>Czerwiec</t>
        </is>
      </c>
      <c r="E80" t="inlineStr">
        <is>
          <t>W5</t>
        </is>
      </c>
      <c r="F80" t="inlineStr">
        <is>
          <t>2026_Czerwiec_W5</t>
        </is>
      </c>
      <c r="G80" t="inlineStr">
        <is>
          <t>Czw</t>
        </is>
      </c>
      <c r="H80" t="inlineStr">
        <is>
          <t>BĄBIK, MARTYNA</t>
        </is>
      </c>
      <c r="I80" t="inlineStr">
        <is>
          <t>Crew Civil</t>
        </is>
      </c>
      <c r="J80" t="inlineStr">
        <is>
          <t>Zlecenie</t>
        </is>
      </c>
      <c r="K80" t="n">
        <v>4.76</v>
      </c>
      <c r="L80" t="inlineStr">
        <is>
          <t>384</t>
        </is>
      </c>
      <c r="M80" t="inlineStr">
        <is>
          <t>108120 SBX Warszawa Janki</t>
        </is>
      </c>
      <c r="N80" t="inlineStr">
        <is>
          <t>2026-09-11 19:06</t>
        </is>
      </c>
    </row>
    <row r="81">
      <c r="A81" t="n">
        <v>80</v>
      </c>
      <c r="B81" t="inlineStr">
        <is>
          <t>2026-06-26</t>
        </is>
      </c>
      <c r="C81" t="n">
        <v>2026</v>
      </c>
      <c r="D81" t="inlineStr">
        <is>
          <t>Czerwiec</t>
        </is>
      </c>
      <c r="E81" t="inlineStr">
        <is>
          <t>W5</t>
        </is>
      </c>
      <c r="F81" t="inlineStr">
        <is>
          <t>2026_Czerwiec_W5</t>
        </is>
      </c>
      <c r="G81" t="inlineStr">
        <is>
          <t>Pt</t>
        </is>
      </c>
      <c r="H81" t="inlineStr">
        <is>
          <t>BĄBIK, MARTYNA</t>
        </is>
      </c>
      <c r="I81" t="inlineStr">
        <is>
          <t>Crew Civil</t>
        </is>
      </c>
      <c r="J81" t="inlineStr">
        <is>
          <t>Zlecenie</t>
        </is>
      </c>
      <c r="K81" t="n">
        <v>7.08</v>
      </c>
      <c r="L81" t="inlineStr">
        <is>
          <t>384</t>
        </is>
      </c>
      <c r="M81" t="inlineStr">
        <is>
          <t>108120 SBX Warszawa Janki</t>
        </is>
      </c>
      <c r="N81" t="inlineStr">
        <is>
          <t>2026-09-11 19:06</t>
        </is>
      </c>
    </row>
    <row r="82">
      <c r="A82" t="n">
        <v>81</v>
      </c>
      <c r="B82" t="inlineStr">
        <is>
          <t>2026-06-27</t>
        </is>
      </c>
      <c r="C82" t="n">
        <v>2026</v>
      </c>
      <c r="D82" t="inlineStr">
        <is>
          <t>Czerwiec</t>
        </is>
      </c>
      <c r="E82" t="inlineStr">
        <is>
          <t>W5</t>
        </is>
      </c>
      <c r="F82" t="inlineStr">
        <is>
          <t>2026_Czerwiec_W5</t>
        </is>
      </c>
      <c r="G82" t="inlineStr">
        <is>
          <t>Sob</t>
        </is>
      </c>
      <c r="H82" t="inlineStr">
        <is>
          <t>BĄBIK, MARTYNA</t>
        </is>
      </c>
      <c r="I82" t="inlineStr">
        <is>
          <t>Crew Civil</t>
        </is>
      </c>
      <c r="J82" t="inlineStr">
        <is>
          <t>Zlecenie</t>
        </is>
      </c>
      <c r="K82" t="n">
        <v>7.74</v>
      </c>
      <c r="L82" t="inlineStr">
        <is>
          <t>384</t>
        </is>
      </c>
      <c r="M82" t="inlineStr">
        <is>
          <t>108120 SBX Warszawa Janki</t>
        </is>
      </c>
      <c r="N82" t="inlineStr">
        <is>
          <t>2026-09-11 19:06</t>
        </is>
      </c>
    </row>
    <row r="83">
      <c r="A83" t="n">
        <v>82</v>
      </c>
      <c r="B83" t="inlineStr">
        <is>
          <t>2026-06-28</t>
        </is>
      </c>
      <c r="C83" t="n">
        <v>2026</v>
      </c>
      <c r="D83" t="inlineStr">
        <is>
          <t>Czerwiec</t>
        </is>
      </c>
      <c r="E83" t="inlineStr">
        <is>
          <t>W5</t>
        </is>
      </c>
      <c r="F83" t="inlineStr">
        <is>
          <t>2026_Czerwiec_W5</t>
        </is>
      </c>
      <c r="G83" t="inlineStr">
        <is>
          <t>Nd</t>
        </is>
      </c>
      <c r="H83" t="inlineStr">
        <is>
          <t>BĄBIK, MARTYNA</t>
        </is>
      </c>
      <c r="I83" t="inlineStr">
        <is>
          <t>Crew Civil</t>
        </is>
      </c>
      <c r="J83" t="inlineStr">
        <is>
          <t>Zlecenie</t>
        </is>
      </c>
      <c r="K83" t="n">
        <v>9.18</v>
      </c>
      <c r="L83" t="inlineStr">
        <is>
          <t>384</t>
        </is>
      </c>
      <c r="M83" t="inlineStr">
        <is>
          <t>108120 SBX Warszawa Janki</t>
        </is>
      </c>
      <c r="N83" t="inlineStr">
        <is>
          <t>2026-09-11 19:06</t>
        </is>
      </c>
    </row>
    <row r="84">
      <c r="A84" t="n">
        <v>83</v>
      </c>
      <c r="B84" t="inlineStr">
        <is>
          <t>2026-07-02</t>
        </is>
      </c>
      <c r="C84" t="n">
        <v>2026</v>
      </c>
      <c r="D84" t="inlineStr">
        <is>
          <t>Lipiec</t>
        </is>
      </c>
      <c r="E84" t="inlineStr">
        <is>
          <t>W1</t>
        </is>
      </c>
      <c r="F84" t="inlineStr">
        <is>
          <t>2026_Lipiec_W1</t>
        </is>
      </c>
      <c r="G84" t="inlineStr">
        <is>
          <t>Czw</t>
        </is>
      </c>
      <c r="H84" t="inlineStr">
        <is>
          <t>BĄBIK, MARTYNA</t>
        </is>
      </c>
      <c r="I84" t="inlineStr">
        <is>
          <t>Crew Civil</t>
        </is>
      </c>
      <c r="J84" t="inlineStr">
        <is>
          <t>Zlecenie</t>
        </is>
      </c>
      <c r="K84" t="n">
        <v>7.96</v>
      </c>
      <c r="L84" t="inlineStr">
        <is>
          <t>384</t>
        </is>
      </c>
      <c r="M84" t="inlineStr">
        <is>
          <t>108120 SBX Warszawa Janki</t>
        </is>
      </c>
      <c r="N84" t="inlineStr">
        <is>
          <t>2026-09-11 19:06</t>
        </is>
      </c>
    </row>
    <row r="85">
      <c r="A85" t="n">
        <v>84</v>
      </c>
      <c r="B85" t="inlineStr">
        <is>
          <t>2026-07-04</t>
        </is>
      </c>
      <c r="C85" t="n">
        <v>2026</v>
      </c>
      <c r="D85" t="inlineStr">
        <is>
          <t>Lipiec</t>
        </is>
      </c>
      <c r="E85" t="inlineStr">
        <is>
          <t>W1</t>
        </is>
      </c>
      <c r="F85" t="inlineStr">
        <is>
          <t>2026_Lipiec_W1</t>
        </is>
      </c>
      <c r="G85" t="inlineStr">
        <is>
          <t>Sob</t>
        </is>
      </c>
      <c r="H85" t="inlineStr">
        <is>
          <t>BĄBIK, MARTYNA</t>
        </is>
      </c>
      <c r="I85" t="inlineStr">
        <is>
          <t>Crew Civil</t>
        </is>
      </c>
      <c r="J85" t="inlineStr">
        <is>
          <t>Zlecenie</t>
        </is>
      </c>
      <c r="K85" t="n">
        <v>8</v>
      </c>
      <c r="L85" t="inlineStr">
        <is>
          <t>384</t>
        </is>
      </c>
      <c r="M85" t="inlineStr">
        <is>
          <t>108120 SBX Warszawa Janki</t>
        </is>
      </c>
      <c r="N85" t="inlineStr">
        <is>
          <t>2026-09-11 19:06</t>
        </is>
      </c>
    </row>
    <row r="86">
      <c r="A86" t="n">
        <v>85</v>
      </c>
      <c r="B86" t="inlineStr">
        <is>
          <t>2026-07-05</t>
        </is>
      </c>
      <c r="C86" t="n">
        <v>2026</v>
      </c>
      <c r="D86" t="inlineStr">
        <is>
          <t>Lipiec</t>
        </is>
      </c>
      <c r="E86" t="inlineStr">
        <is>
          <t>W1</t>
        </is>
      </c>
      <c r="F86" t="inlineStr">
        <is>
          <t>2026_Lipiec_W1</t>
        </is>
      </c>
      <c r="G86" t="inlineStr">
        <is>
          <t>Nd</t>
        </is>
      </c>
      <c r="H86" t="inlineStr">
        <is>
          <t>BĄBIK, MARTYNA</t>
        </is>
      </c>
      <c r="I86" t="inlineStr">
        <is>
          <t>Crew Civil</t>
        </is>
      </c>
      <c r="J86" t="inlineStr">
        <is>
          <t>Zlecenie</t>
        </is>
      </c>
      <c r="K86" t="n">
        <v>5.9</v>
      </c>
      <c r="L86" t="inlineStr">
        <is>
          <t>384</t>
        </is>
      </c>
      <c r="M86" t="inlineStr">
        <is>
          <t>108120 SBX Warszawa Janki</t>
        </is>
      </c>
      <c r="N86" t="inlineStr">
        <is>
          <t>2026-09-11 19:06</t>
        </is>
      </c>
    </row>
    <row r="87">
      <c r="A87" t="n">
        <v>86</v>
      </c>
      <c r="B87" t="inlineStr">
        <is>
          <t>2026-07-16</t>
        </is>
      </c>
      <c r="C87" t="n">
        <v>2026</v>
      </c>
      <c r="D87" t="inlineStr">
        <is>
          <t>Lipiec</t>
        </is>
      </c>
      <c r="E87" t="inlineStr">
        <is>
          <t>W3</t>
        </is>
      </c>
      <c r="F87" t="inlineStr">
        <is>
          <t>2026_Lipiec_W3</t>
        </is>
      </c>
      <c r="G87" t="inlineStr">
        <is>
          <t>Czw</t>
        </is>
      </c>
      <c r="H87" t="inlineStr">
        <is>
          <t>BĄBIK, MARTYNA</t>
        </is>
      </c>
      <c r="I87" t="inlineStr">
        <is>
          <t>Crew Civil</t>
        </is>
      </c>
      <c r="J87" t="inlineStr">
        <is>
          <t>Zlecenie</t>
        </is>
      </c>
      <c r="K87" t="n">
        <v>5.08</v>
      </c>
      <c r="L87" t="inlineStr">
        <is>
          <t>384</t>
        </is>
      </c>
      <c r="M87" t="inlineStr">
        <is>
          <t>108120 SBX Warszawa Janki</t>
        </is>
      </c>
      <c r="N87" t="inlineStr">
        <is>
          <t>2026-09-11 19:06</t>
        </is>
      </c>
    </row>
    <row r="88">
      <c r="A88" t="n">
        <v>87</v>
      </c>
      <c r="B88" t="inlineStr">
        <is>
          <t>2026-07-17</t>
        </is>
      </c>
      <c r="C88" t="n">
        <v>2026</v>
      </c>
      <c r="D88" t="inlineStr">
        <is>
          <t>Lipiec</t>
        </is>
      </c>
      <c r="E88" t="inlineStr">
        <is>
          <t>W3</t>
        </is>
      </c>
      <c r="F88" t="inlineStr">
        <is>
          <t>2026_Lipiec_W3</t>
        </is>
      </c>
      <c r="G88" t="inlineStr">
        <is>
          <t>Pt</t>
        </is>
      </c>
      <c r="H88" t="inlineStr">
        <is>
          <t>BĄBIK, MARTYNA</t>
        </is>
      </c>
      <c r="I88" t="inlineStr">
        <is>
          <t>Crew Civil</t>
        </is>
      </c>
      <c r="J88" t="inlineStr">
        <is>
          <t>Zlecenie</t>
        </is>
      </c>
      <c r="K88" t="n">
        <v>7.03</v>
      </c>
      <c r="L88" t="inlineStr">
        <is>
          <t>384</t>
        </is>
      </c>
      <c r="M88" t="inlineStr">
        <is>
          <t>108120 SBX Warszawa Janki</t>
        </is>
      </c>
      <c r="N88" t="inlineStr">
        <is>
          <t>2026-09-11 19:06</t>
        </is>
      </c>
    </row>
    <row r="89">
      <c r="A89" t="n">
        <v>88</v>
      </c>
      <c r="B89" t="inlineStr">
        <is>
          <t>2026-07-20</t>
        </is>
      </c>
      <c r="C89" t="n">
        <v>2026</v>
      </c>
      <c r="D89" t="inlineStr">
        <is>
          <t>Lipiec</t>
        </is>
      </c>
      <c r="E89" t="inlineStr">
        <is>
          <t>W3</t>
        </is>
      </c>
      <c r="F89" t="inlineStr">
        <is>
          <t>2026_Lipiec_W3</t>
        </is>
      </c>
      <c r="G89" t="inlineStr">
        <is>
          <t>Pn</t>
        </is>
      </c>
      <c r="H89" t="inlineStr">
        <is>
          <t>BĄBIK, MARTYNA</t>
        </is>
      </c>
      <c r="I89" t="inlineStr">
        <is>
          <t>Crew Civil</t>
        </is>
      </c>
      <c r="J89" t="inlineStr">
        <is>
          <t>Zlecenie</t>
        </is>
      </c>
      <c r="K89" t="n">
        <v>8.92</v>
      </c>
      <c r="L89" t="inlineStr">
        <is>
          <t>384</t>
        </is>
      </c>
      <c r="M89" t="inlineStr">
        <is>
          <t>108120 SBX Warszawa Janki</t>
        </is>
      </c>
      <c r="N89" t="inlineStr">
        <is>
          <t>2026-09-11 19:06</t>
        </is>
      </c>
    </row>
    <row r="90">
      <c r="A90" t="n">
        <v>89</v>
      </c>
      <c r="B90" t="inlineStr">
        <is>
          <t>2026-07-24</t>
        </is>
      </c>
      <c r="C90" t="n">
        <v>2026</v>
      </c>
      <c r="D90" t="inlineStr">
        <is>
          <t>Lipiec</t>
        </is>
      </c>
      <c r="E90" t="inlineStr">
        <is>
          <t>W4</t>
        </is>
      </c>
      <c r="F90" t="inlineStr">
        <is>
          <t>2026_Lipiec_W4</t>
        </is>
      </c>
      <c r="G90" t="inlineStr">
        <is>
          <t>Pt</t>
        </is>
      </c>
      <c r="H90" t="inlineStr">
        <is>
          <t>BĄBIK, MARTYNA</t>
        </is>
      </c>
      <c r="I90" t="inlineStr">
        <is>
          <t>Crew Civil</t>
        </is>
      </c>
      <c r="J90" t="inlineStr">
        <is>
          <t>Zlecenie</t>
        </is>
      </c>
      <c r="K90" t="n">
        <v>7.1</v>
      </c>
      <c r="L90" t="inlineStr">
        <is>
          <t>384</t>
        </is>
      </c>
      <c r="M90" t="inlineStr">
        <is>
          <t>108120 SBX Warszawa Janki</t>
        </is>
      </c>
      <c r="N90" t="inlineStr">
        <is>
          <t>2026-09-11 19:06</t>
        </is>
      </c>
    </row>
    <row r="91">
      <c r="A91" t="n">
        <v>90</v>
      </c>
      <c r="B91" t="inlineStr">
        <is>
          <t>2026-07-25</t>
        </is>
      </c>
      <c r="C91" t="n">
        <v>2026</v>
      </c>
      <c r="D91" t="inlineStr">
        <is>
          <t>Lipiec</t>
        </is>
      </c>
      <c r="E91" t="inlineStr">
        <is>
          <t>W4</t>
        </is>
      </c>
      <c r="F91" t="inlineStr">
        <is>
          <t>2026_Lipiec_W4</t>
        </is>
      </c>
      <c r="G91" t="inlineStr">
        <is>
          <t>Sob</t>
        </is>
      </c>
      <c r="H91" t="inlineStr">
        <is>
          <t>BĄBIK, MARTYNA</t>
        </is>
      </c>
      <c r="I91" t="inlineStr">
        <is>
          <t>Crew Civil</t>
        </is>
      </c>
      <c r="J91" t="inlineStr">
        <is>
          <t>Zlecenie</t>
        </is>
      </c>
      <c r="K91" t="n">
        <v>6.12</v>
      </c>
      <c r="L91" t="inlineStr">
        <is>
          <t>384</t>
        </is>
      </c>
      <c r="M91" t="inlineStr">
        <is>
          <t>108120 SBX Warszawa Janki</t>
        </is>
      </c>
      <c r="N91" t="inlineStr">
        <is>
          <t>2026-09-11 19:06</t>
        </is>
      </c>
    </row>
    <row r="92">
      <c r="A92" t="n">
        <v>91</v>
      </c>
      <c r="B92" t="inlineStr">
        <is>
          <t>2026-07-26</t>
        </is>
      </c>
      <c r="C92" t="n">
        <v>2026</v>
      </c>
      <c r="D92" t="inlineStr">
        <is>
          <t>Lipiec</t>
        </is>
      </c>
      <c r="E92" t="inlineStr">
        <is>
          <t>W4</t>
        </is>
      </c>
      <c r="F92" t="inlineStr">
        <is>
          <t>2026_Lipiec_W4</t>
        </is>
      </c>
      <c r="G92" t="inlineStr">
        <is>
          <t>Nd</t>
        </is>
      </c>
      <c r="H92" t="inlineStr">
        <is>
          <t>BĄBIK, MARTYNA</t>
        </is>
      </c>
      <c r="I92" t="inlineStr">
        <is>
          <t>Crew Civil</t>
        </is>
      </c>
      <c r="J92" t="inlineStr">
        <is>
          <t>Zlecenie</t>
        </is>
      </c>
      <c r="K92" t="n">
        <v>5.58</v>
      </c>
      <c r="L92" t="inlineStr">
        <is>
          <t>384</t>
        </is>
      </c>
      <c r="M92" t="inlineStr">
        <is>
          <t>108120 SBX Warszawa Janki</t>
        </is>
      </c>
      <c r="N92" t="inlineStr">
        <is>
          <t>2026-09-11 19:06</t>
        </is>
      </c>
    </row>
    <row r="93">
      <c r="A93" t="n">
        <v>92</v>
      </c>
      <c r="B93" t="inlineStr">
        <is>
          <t>2026-07-31</t>
        </is>
      </c>
      <c r="C93" t="n">
        <v>2026</v>
      </c>
      <c r="D93" t="inlineStr">
        <is>
          <t>Lipiec</t>
        </is>
      </c>
      <c r="E93" t="inlineStr">
        <is>
          <t>W5</t>
        </is>
      </c>
      <c r="F93" t="inlineStr">
        <is>
          <t>2026_Lipiec_W5</t>
        </is>
      </c>
      <c r="G93" t="inlineStr">
        <is>
          <t>Pt</t>
        </is>
      </c>
      <c r="H93" t="inlineStr">
        <is>
          <t>BĄBIK, MARTYNA</t>
        </is>
      </c>
      <c r="I93" t="inlineStr">
        <is>
          <t>Crew Civil</t>
        </is>
      </c>
      <c r="J93" t="inlineStr">
        <is>
          <t>Zlecenie</t>
        </is>
      </c>
      <c r="K93" t="n">
        <v>8.19</v>
      </c>
      <c r="L93" t="inlineStr">
        <is>
          <t>384</t>
        </is>
      </c>
      <c r="M93" t="inlineStr">
        <is>
          <t>108120 SBX Warszawa Janki</t>
        </is>
      </c>
      <c r="N93" t="inlineStr">
        <is>
          <t>2026-09-11 19:06</t>
        </is>
      </c>
    </row>
    <row r="94">
      <c r="A94" t="n">
        <v>93</v>
      </c>
      <c r="B94" t="inlineStr">
        <is>
          <t>2026-08-01</t>
        </is>
      </c>
      <c r="C94" t="n">
        <v>2026</v>
      </c>
      <c r="D94" t="inlineStr">
        <is>
          <t>Sierpień</t>
        </is>
      </c>
      <c r="E94" t="inlineStr">
        <is>
          <t>W1</t>
        </is>
      </c>
      <c r="F94" t="inlineStr">
        <is>
          <t>2026_Sierpień_W1</t>
        </is>
      </c>
      <c r="G94" t="inlineStr">
        <is>
          <t>Sob</t>
        </is>
      </c>
      <c r="H94" t="inlineStr">
        <is>
          <t>BĄBIK, MARTYNA</t>
        </is>
      </c>
      <c r="I94" t="inlineStr">
        <is>
          <t>Crew Civil</t>
        </is>
      </c>
      <c r="J94" t="inlineStr">
        <is>
          <t>Zlecenie</t>
        </is>
      </c>
      <c r="K94" t="n">
        <v>8.09</v>
      </c>
      <c r="L94" t="inlineStr">
        <is>
          <t>384</t>
        </is>
      </c>
      <c r="M94" t="inlineStr">
        <is>
          <t>108120 SBX Warszawa Janki</t>
        </is>
      </c>
      <c r="N94" t="inlineStr">
        <is>
          <t>2026-09-11 19:06</t>
        </is>
      </c>
    </row>
    <row r="95">
      <c r="A95" t="n">
        <v>94</v>
      </c>
      <c r="B95" t="inlineStr">
        <is>
          <t>2026-08-02</t>
        </is>
      </c>
      <c r="C95" t="n">
        <v>2026</v>
      </c>
      <c r="D95" t="inlineStr">
        <is>
          <t>Sierpień</t>
        </is>
      </c>
      <c r="E95" t="inlineStr">
        <is>
          <t>W1</t>
        </is>
      </c>
      <c r="F95" t="inlineStr">
        <is>
          <t>2026_Sierpień_W1</t>
        </is>
      </c>
      <c r="G95" t="inlineStr">
        <is>
          <t>Nd</t>
        </is>
      </c>
      <c r="H95" t="inlineStr">
        <is>
          <t>BĄBIK, MARTYNA</t>
        </is>
      </c>
      <c r="I95" t="inlineStr">
        <is>
          <t>Crew Civil</t>
        </is>
      </c>
      <c r="J95" t="inlineStr">
        <is>
          <t>Zlecenie</t>
        </is>
      </c>
      <c r="K95" t="n">
        <v>5.5</v>
      </c>
      <c r="L95" t="inlineStr">
        <is>
          <t>384</t>
        </is>
      </c>
      <c r="M95" t="inlineStr">
        <is>
          <t>108120 SBX Warszawa Janki</t>
        </is>
      </c>
      <c r="N95" t="inlineStr">
        <is>
          <t>2026-09-11 19:06</t>
        </is>
      </c>
    </row>
    <row r="96">
      <c r="A96" t="n">
        <v>95</v>
      </c>
      <c r="B96" t="inlineStr">
        <is>
          <t>2026-08-04</t>
        </is>
      </c>
      <c r="C96" t="n">
        <v>2026</v>
      </c>
      <c r="D96" t="inlineStr">
        <is>
          <t>Sierpień</t>
        </is>
      </c>
      <c r="E96" t="inlineStr">
        <is>
          <t>W2</t>
        </is>
      </c>
      <c r="F96" t="inlineStr">
        <is>
          <t>2026_Sierpień_W2</t>
        </is>
      </c>
      <c r="G96" t="inlineStr">
        <is>
          <t>Wt</t>
        </is>
      </c>
      <c r="H96" t="inlineStr">
        <is>
          <t>BĄBIK, MARTYNA</t>
        </is>
      </c>
      <c r="I96" t="inlineStr">
        <is>
          <t>Crew Civil</t>
        </is>
      </c>
      <c r="J96" t="inlineStr">
        <is>
          <t>Zlecenie</t>
        </is>
      </c>
      <c r="K96" t="n">
        <v>6.81</v>
      </c>
      <c r="L96" t="inlineStr">
        <is>
          <t>384</t>
        </is>
      </c>
      <c r="M96" t="inlineStr">
        <is>
          <t>108120 SBX Warszawa Janki</t>
        </is>
      </c>
      <c r="N96" t="inlineStr">
        <is>
          <t>2026-09-11 19:06</t>
        </is>
      </c>
    </row>
    <row r="97">
      <c r="A97" t="n">
        <v>96</v>
      </c>
      <c r="B97" t="inlineStr">
        <is>
          <t>2026-08-08</t>
        </is>
      </c>
      <c r="C97" t="n">
        <v>2026</v>
      </c>
      <c r="D97" t="inlineStr">
        <is>
          <t>Sierpień</t>
        </is>
      </c>
      <c r="E97" t="inlineStr">
        <is>
          <t>W2</t>
        </is>
      </c>
      <c r="F97" t="inlineStr">
        <is>
          <t>2026_Sierpień_W2</t>
        </is>
      </c>
      <c r="G97" t="inlineStr">
        <is>
          <t>Sob</t>
        </is>
      </c>
      <c r="H97" t="inlineStr">
        <is>
          <t>BĄBIK, MARTYNA</t>
        </is>
      </c>
      <c r="I97" t="inlineStr">
        <is>
          <t>Crew Civil</t>
        </is>
      </c>
      <c r="J97" t="inlineStr">
        <is>
          <t>Zlecenie</t>
        </is>
      </c>
      <c r="K97" t="n">
        <v>8.109999999999999</v>
      </c>
      <c r="L97" t="inlineStr">
        <is>
          <t>384</t>
        </is>
      </c>
      <c r="M97" t="inlineStr">
        <is>
          <t>108120 SBX Warszawa Janki</t>
        </is>
      </c>
      <c r="N97" t="inlineStr">
        <is>
          <t>2026-09-11 19:06</t>
        </is>
      </c>
    </row>
    <row r="98">
      <c r="A98" t="n">
        <v>97</v>
      </c>
      <c r="B98" t="inlineStr">
        <is>
          <t>2026-08-09</t>
        </is>
      </c>
      <c r="C98" t="n">
        <v>2026</v>
      </c>
      <c r="D98" t="inlineStr">
        <is>
          <t>Sierpień</t>
        </is>
      </c>
      <c r="E98" t="inlineStr">
        <is>
          <t>W2</t>
        </is>
      </c>
      <c r="F98" t="inlineStr">
        <is>
          <t>2026_Sierpień_W2</t>
        </is>
      </c>
      <c r="G98" t="inlineStr">
        <is>
          <t>Nd</t>
        </is>
      </c>
      <c r="H98" t="inlineStr">
        <is>
          <t>BĄBIK, MARTYNA</t>
        </is>
      </c>
      <c r="I98" t="inlineStr">
        <is>
          <t>Crew Civil</t>
        </is>
      </c>
      <c r="J98" t="inlineStr">
        <is>
          <t>Zlecenie</t>
        </is>
      </c>
      <c r="K98" t="n">
        <v>7.18</v>
      </c>
      <c r="L98" t="inlineStr">
        <is>
          <t>384</t>
        </is>
      </c>
      <c r="M98" t="inlineStr">
        <is>
          <t>108120 SBX Warszawa Janki</t>
        </is>
      </c>
      <c r="N98" t="inlineStr">
        <is>
          <t>2026-09-11 19:06</t>
        </is>
      </c>
    </row>
    <row r="99">
      <c r="A99" t="n">
        <v>98</v>
      </c>
      <c r="B99" t="inlineStr">
        <is>
          <t>2026-08-11</t>
        </is>
      </c>
      <c r="C99" t="n">
        <v>2026</v>
      </c>
      <c r="D99" t="inlineStr">
        <is>
          <t>Sierpień</t>
        </is>
      </c>
      <c r="E99" t="inlineStr">
        <is>
          <t>W3</t>
        </is>
      </c>
      <c r="F99" t="inlineStr">
        <is>
          <t>2026_Sierpień_W3</t>
        </is>
      </c>
      <c r="G99" t="inlineStr">
        <is>
          <t>Wt</t>
        </is>
      </c>
      <c r="H99" t="inlineStr">
        <is>
          <t>BĄBIK, MARTYNA</t>
        </is>
      </c>
      <c r="I99" t="inlineStr">
        <is>
          <t>Crew Civil</t>
        </is>
      </c>
      <c r="J99" t="inlineStr">
        <is>
          <t>Zlecenie</t>
        </is>
      </c>
      <c r="K99" t="n">
        <v>8.199999999999999</v>
      </c>
      <c r="L99" t="inlineStr">
        <is>
          <t>384</t>
        </is>
      </c>
      <c r="M99" t="inlineStr">
        <is>
          <t>108120 SBX Warszawa Janki</t>
        </is>
      </c>
      <c r="N99" t="inlineStr">
        <is>
          <t>2026-09-11 19:06</t>
        </is>
      </c>
    </row>
    <row r="100">
      <c r="A100" t="n">
        <v>99</v>
      </c>
      <c r="B100" t="inlineStr">
        <is>
          <t>2026-08-12</t>
        </is>
      </c>
      <c r="C100" t="n">
        <v>2026</v>
      </c>
      <c r="D100" t="inlineStr">
        <is>
          <t>Sierpień</t>
        </is>
      </c>
      <c r="E100" t="inlineStr">
        <is>
          <t>W3</t>
        </is>
      </c>
      <c r="F100" t="inlineStr">
        <is>
          <t>2026_Sierpień_W3</t>
        </is>
      </c>
      <c r="G100" t="inlineStr">
        <is>
          <t>Śr</t>
        </is>
      </c>
      <c r="H100" t="inlineStr">
        <is>
          <t>BĄBIK, MARTYNA</t>
        </is>
      </c>
      <c r="I100" t="inlineStr">
        <is>
          <t>Crew Civil</t>
        </is>
      </c>
      <c r="J100" t="inlineStr">
        <is>
          <t>Zlecenie</t>
        </is>
      </c>
      <c r="K100" t="n">
        <v>5.72</v>
      </c>
      <c r="L100" t="inlineStr">
        <is>
          <t>384</t>
        </is>
      </c>
      <c r="M100" t="inlineStr">
        <is>
          <t>108120 SBX Warszawa Janki</t>
        </is>
      </c>
      <c r="N100" t="inlineStr">
        <is>
          <t>2026-09-11 19:06</t>
        </is>
      </c>
    </row>
    <row r="101">
      <c r="A101" t="n">
        <v>100</v>
      </c>
      <c r="B101" t="inlineStr">
        <is>
          <t>2026-08-15</t>
        </is>
      </c>
      <c r="C101" t="n">
        <v>2026</v>
      </c>
      <c r="D101" t="inlineStr">
        <is>
          <t>Sierpień</t>
        </is>
      </c>
      <c r="E101" t="inlineStr">
        <is>
          <t>W3</t>
        </is>
      </c>
      <c r="F101" t="inlineStr">
        <is>
          <t>2026_Sierpień_W3</t>
        </is>
      </c>
      <c r="G101" t="inlineStr">
        <is>
          <t>Sob</t>
        </is>
      </c>
      <c r="H101" t="inlineStr">
        <is>
          <t>BĄBIK, MARTYNA</t>
        </is>
      </c>
      <c r="I101" t="inlineStr">
        <is>
          <t>Crew Civil</t>
        </is>
      </c>
      <c r="J101" t="inlineStr">
        <is>
          <t>Zlecenie</t>
        </is>
      </c>
      <c r="K101" t="n">
        <v>6.85</v>
      </c>
      <c r="L101" t="inlineStr">
        <is>
          <t>384</t>
        </is>
      </c>
      <c r="M101" t="inlineStr">
        <is>
          <t>108120 SBX Warszawa Janki</t>
        </is>
      </c>
      <c r="N101" t="inlineStr">
        <is>
          <t>2026-09-11 19:06</t>
        </is>
      </c>
    </row>
    <row r="102">
      <c r="A102" t="n">
        <v>101</v>
      </c>
      <c r="B102" t="inlineStr">
        <is>
          <t>2026-08-17</t>
        </is>
      </c>
      <c r="C102" t="n">
        <v>2026</v>
      </c>
      <c r="D102" t="inlineStr">
        <is>
          <t>Sierpień</t>
        </is>
      </c>
      <c r="E102" t="inlineStr">
        <is>
          <t>W3</t>
        </is>
      </c>
      <c r="F102" t="inlineStr">
        <is>
          <t>2026_Sierpień_W3</t>
        </is>
      </c>
      <c r="G102" t="inlineStr">
        <is>
          <t>Pn</t>
        </is>
      </c>
      <c r="H102" t="inlineStr">
        <is>
          <t>BĄBIK, MARTYNA</t>
        </is>
      </c>
      <c r="I102" t="inlineStr">
        <is>
          <t>Crew Civil</t>
        </is>
      </c>
      <c r="J102" t="inlineStr">
        <is>
          <t>Zlecenie</t>
        </is>
      </c>
      <c r="K102" t="n">
        <v>6.2</v>
      </c>
      <c r="L102" t="inlineStr">
        <is>
          <t>384</t>
        </is>
      </c>
      <c r="M102" t="inlineStr">
        <is>
          <t>108120 SBX Warszawa Janki</t>
        </is>
      </c>
      <c r="N102" t="inlineStr">
        <is>
          <t>2026-09-11 19:06</t>
        </is>
      </c>
    </row>
    <row r="103">
      <c r="A103" t="n">
        <v>102</v>
      </c>
      <c r="B103" t="inlineStr">
        <is>
          <t>2026-08-18</t>
        </is>
      </c>
      <c r="C103" t="n">
        <v>2026</v>
      </c>
      <c r="D103" t="inlineStr">
        <is>
          <t>Sierpień</t>
        </is>
      </c>
      <c r="E103" t="inlineStr">
        <is>
          <t>W4</t>
        </is>
      </c>
      <c r="F103" t="inlineStr">
        <is>
          <t>2026_Sierpień_W4</t>
        </is>
      </c>
      <c r="G103" t="inlineStr">
        <is>
          <t>Wt</t>
        </is>
      </c>
      <c r="H103" t="inlineStr">
        <is>
          <t>BĄBIK, MARTYNA</t>
        </is>
      </c>
      <c r="I103" t="inlineStr">
        <is>
          <t>Crew Civil</t>
        </is>
      </c>
      <c r="J103" t="inlineStr">
        <is>
          <t>Zlecenie</t>
        </is>
      </c>
      <c r="K103" t="n">
        <v>7.91</v>
      </c>
      <c r="L103" t="inlineStr">
        <is>
          <t>384</t>
        </is>
      </c>
      <c r="M103" t="inlineStr">
        <is>
          <t>108120 SBX Warszawa Janki</t>
        </is>
      </c>
      <c r="N103" t="inlineStr">
        <is>
          <t>2026-09-11 19:06</t>
        </is>
      </c>
    </row>
    <row r="104">
      <c r="A104" t="n">
        <v>103</v>
      </c>
      <c r="B104" t="inlineStr">
        <is>
          <t>2026-08-21</t>
        </is>
      </c>
      <c r="C104" t="n">
        <v>2026</v>
      </c>
      <c r="D104" t="inlineStr">
        <is>
          <t>Sierpień</t>
        </is>
      </c>
      <c r="E104" t="inlineStr">
        <is>
          <t>W4</t>
        </is>
      </c>
      <c r="F104" t="inlineStr">
        <is>
          <t>2026_Sierpień_W4</t>
        </is>
      </c>
      <c r="G104" t="inlineStr">
        <is>
          <t>Pt</t>
        </is>
      </c>
      <c r="H104" t="inlineStr">
        <is>
          <t>BĄBIK, MARTYNA</t>
        </is>
      </c>
      <c r="I104" t="inlineStr">
        <is>
          <t>Crew Civil</t>
        </is>
      </c>
      <c r="J104" t="inlineStr">
        <is>
          <t>Zlecenie</t>
        </is>
      </c>
      <c r="K104" t="n">
        <v>7.6</v>
      </c>
      <c r="L104" t="inlineStr">
        <is>
          <t>384</t>
        </is>
      </c>
      <c r="M104" t="inlineStr">
        <is>
          <t>108120 SBX Warszawa Janki</t>
        </is>
      </c>
      <c r="N104" t="inlineStr">
        <is>
          <t>2026-09-11 19:06</t>
        </is>
      </c>
    </row>
    <row r="105">
      <c r="A105" t="n">
        <v>104</v>
      </c>
      <c r="B105" t="inlineStr">
        <is>
          <t>2026-08-22</t>
        </is>
      </c>
      <c r="C105" t="n">
        <v>2026</v>
      </c>
      <c r="D105" t="inlineStr">
        <is>
          <t>Sierpień</t>
        </is>
      </c>
      <c r="E105" t="inlineStr">
        <is>
          <t>W4</t>
        </is>
      </c>
      <c r="F105" t="inlineStr">
        <is>
          <t>2026_Sierpień_W4</t>
        </is>
      </c>
      <c r="G105" t="inlineStr">
        <is>
          <t>Sob</t>
        </is>
      </c>
      <c r="H105" t="inlineStr">
        <is>
          <t>BĄBIK, MARTYNA</t>
        </is>
      </c>
      <c r="I105" t="inlineStr">
        <is>
          <t>Crew Civil</t>
        </is>
      </c>
      <c r="J105" t="inlineStr">
        <is>
          <t>Zlecenie</t>
        </is>
      </c>
      <c r="K105" t="n">
        <v>8.5</v>
      </c>
      <c r="L105" t="inlineStr">
        <is>
          <t>384</t>
        </is>
      </c>
      <c r="M105" t="inlineStr">
        <is>
          <t>108120 SBX Warszawa Janki</t>
        </is>
      </c>
      <c r="N105" t="inlineStr">
        <is>
          <t>2026-09-11 19:06</t>
        </is>
      </c>
    </row>
    <row r="106">
      <c r="A106" t="n">
        <v>105</v>
      </c>
      <c r="B106" t="inlineStr">
        <is>
          <t>2026-08-23</t>
        </is>
      </c>
      <c r="C106" t="n">
        <v>2026</v>
      </c>
      <c r="D106" t="inlineStr">
        <is>
          <t>Sierpień</t>
        </is>
      </c>
      <c r="E106" t="inlineStr">
        <is>
          <t>W4</t>
        </is>
      </c>
      <c r="F106" t="inlineStr">
        <is>
          <t>2026_Sierpień_W4</t>
        </is>
      </c>
      <c r="G106" t="inlineStr">
        <is>
          <t>Nd</t>
        </is>
      </c>
      <c r="H106" t="inlineStr">
        <is>
          <t>BĄBIK, MARTYNA</t>
        </is>
      </c>
      <c r="I106" t="inlineStr">
        <is>
          <t>Crew Civil</t>
        </is>
      </c>
      <c r="J106" t="inlineStr">
        <is>
          <t>Zlecenie</t>
        </is>
      </c>
      <c r="K106" t="n">
        <v>6.04</v>
      </c>
      <c r="L106" t="inlineStr">
        <is>
          <t>384</t>
        </is>
      </c>
      <c r="M106" t="inlineStr">
        <is>
          <t>108120 SBX Warszawa Janki</t>
        </is>
      </c>
      <c r="N106" t="inlineStr">
        <is>
          <t>2026-09-11 19:06</t>
        </is>
      </c>
    </row>
    <row r="107">
      <c r="A107" t="n">
        <v>106</v>
      </c>
      <c r="B107" t="inlineStr">
        <is>
          <t>2026-08-23</t>
        </is>
      </c>
      <c r="C107" t="n">
        <v>2026</v>
      </c>
      <c r="D107" t="inlineStr">
        <is>
          <t>Sierpień</t>
        </is>
      </c>
      <c r="E107" t="inlineStr">
        <is>
          <t>W4</t>
        </is>
      </c>
      <c r="F107" t="inlineStr">
        <is>
          <t>2026_Sierpień_W4</t>
        </is>
      </c>
      <c r="G107" t="inlineStr">
        <is>
          <t>Nd</t>
        </is>
      </c>
      <c r="H107" t="inlineStr">
        <is>
          <t>BĄBIK, MARTYNA</t>
        </is>
      </c>
      <c r="I107" t="inlineStr">
        <is>
          <t>Crew Civil</t>
        </is>
      </c>
      <c r="J107" t="inlineStr">
        <is>
          <t>Zlecenie</t>
        </is>
      </c>
      <c r="K107" t="n">
        <v>1.91</v>
      </c>
      <c r="L107" t="inlineStr">
        <is>
          <t>384</t>
        </is>
      </c>
      <c r="M107" t="inlineStr">
        <is>
          <t>108120 SBX Warszawa Janki</t>
        </is>
      </c>
      <c r="N107" t="inlineStr">
        <is>
          <t>2026-09-11 19:06</t>
        </is>
      </c>
    </row>
    <row r="108">
      <c r="A108" t="n">
        <v>107</v>
      </c>
      <c r="B108" t="inlineStr">
        <is>
          <t>2026-08-27</t>
        </is>
      </c>
      <c r="C108" t="n">
        <v>2026</v>
      </c>
      <c r="D108" t="inlineStr">
        <is>
          <t>Sierpień</t>
        </is>
      </c>
      <c r="E108" t="inlineStr">
        <is>
          <t>W5</t>
        </is>
      </c>
      <c r="F108" t="inlineStr">
        <is>
          <t>2026_Sierpień_W5</t>
        </is>
      </c>
      <c r="G108" t="inlineStr">
        <is>
          <t>Czw</t>
        </is>
      </c>
      <c r="H108" t="inlineStr">
        <is>
          <t>BĄBIK, MARTYNA</t>
        </is>
      </c>
      <c r="I108" t="inlineStr">
        <is>
          <t>Crew Civil</t>
        </is>
      </c>
      <c r="J108" t="inlineStr">
        <is>
          <t>Zlecenie</t>
        </is>
      </c>
      <c r="K108" t="n">
        <v>5.13</v>
      </c>
      <c r="L108" t="inlineStr">
        <is>
          <t>384</t>
        </is>
      </c>
      <c r="M108" t="inlineStr">
        <is>
          <t>108120 SBX Warszawa Janki</t>
        </is>
      </c>
      <c r="N108" t="inlineStr">
        <is>
          <t>2026-09-11 19:06</t>
        </is>
      </c>
    </row>
    <row r="109">
      <c r="A109" t="n">
        <v>108</v>
      </c>
      <c r="B109" t="inlineStr">
        <is>
          <t>2026-08-30</t>
        </is>
      </c>
      <c r="C109" t="n">
        <v>2026</v>
      </c>
      <c r="D109" t="inlineStr">
        <is>
          <t>Sierpień</t>
        </is>
      </c>
      <c r="E109" t="inlineStr">
        <is>
          <t>W5</t>
        </is>
      </c>
      <c r="F109" t="inlineStr">
        <is>
          <t>2026_Sierpień_W5</t>
        </is>
      </c>
      <c r="G109" t="inlineStr">
        <is>
          <t>Nd</t>
        </is>
      </c>
      <c r="H109" t="inlineStr">
        <is>
          <t>BĄBIK, MARTYNA</t>
        </is>
      </c>
      <c r="I109" t="inlineStr">
        <is>
          <t>Crew Civil</t>
        </is>
      </c>
      <c r="J109" t="inlineStr">
        <is>
          <t>Zlecenie</t>
        </is>
      </c>
      <c r="K109" t="n">
        <v>7.43</v>
      </c>
      <c r="L109" t="inlineStr">
        <is>
          <t>384</t>
        </is>
      </c>
      <c r="M109" t="inlineStr">
        <is>
          <t>108120 SBX Warszawa Janki</t>
        </is>
      </c>
      <c r="N109" t="inlineStr">
        <is>
          <t>2026-09-11 19:06</t>
        </is>
      </c>
    </row>
    <row r="110">
      <c r="A110" t="n">
        <v>109</v>
      </c>
      <c r="B110" t="inlineStr">
        <is>
          <t>2026-09-02</t>
        </is>
      </c>
      <c r="C110" t="n">
        <v>2026</v>
      </c>
      <c r="D110" t="inlineStr">
        <is>
          <t>Wrzesień</t>
        </is>
      </c>
      <c r="E110" t="inlineStr">
        <is>
          <t>W1</t>
        </is>
      </c>
      <c r="F110" t="inlineStr">
        <is>
          <t>2026_Wrzesień_W1</t>
        </is>
      </c>
      <c r="G110" t="inlineStr">
        <is>
          <t>Śr</t>
        </is>
      </c>
      <c r="H110" t="inlineStr">
        <is>
          <t>BĄBIK, MARTYNA</t>
        </is>
      </c>
      <c r="I110" t="inlineStr">
        <is>
          <t>Crew Civil</t>
        </is>
      </c>
      <c r="J110" t="inlineStr">
        <is>
          <t>Zlecenie</t>
        </is>
      </c>
      <c r="K110" t="n">
        <v>7.37</v>
      </c>
      <c r="L110" t="inlineStr">
        <is>
          <t>384</t>
        </is>
      </c>
      <c r="M110" t="inlineStr">
        <is>
          <t>108120 SBX Warszawa Janki</t>
        </is>
      </c>
      <c r="N110" t="inlineStr">
        <is>
          <t>2026-09-11 19:06</t>
        </is>
      </c>
    </row>
    <row r="111">
      <c r="A111" t="n">
        <v>110</v>
      </c>
      <c r="B111" t="inlineStr">
        <is>
          <t>2026-09-07</t>
        </is>
      </c>
      <c r="C111" t="n">
        <v>2026</v>
      </c>
      <c r="D111" t="inlineStr">
        <is>
          <t>Wrzesień</t>
        </is>
      </c>
      <c r="E111" t="inlineStr">
        <is>
          <t>W1</t>
        </is>
      </c>
      <c r="F111" t="inlineStr">
        <is>
          <t>2026_Wrzesień_W1</t>
        </is>
      </c>
      <c r="G111" t="inlineStr">
        <is>
          <t>Pn</t>
        </is>
      </c>
      <c r="H111" t="inlineStr">
        <is>
          <t>BĄBIK, MARTYNA</t>
        </is>
      </c>
      <c r="I111" t="inlineStr">
        <is>
          <t>Crew Civil</t>
        </is>
      </c>
      <c r="J111" t="inlineStr">
        <is>
          <t>Zlecenie</t>
        </is>
      </c>
      <c r="K111" t="n">
        <v>5.6</v>
      </c>
      <c r="L111" t="inlineStr">
        <is>
          <t>384</t>
        </is>
      </c>
      <c r="M111" t="inlineStr">
        <is>
          <t>108120 SBX Warszawa Janki</t>
        </is>
      </c>
      <c r="N111" t="inlineStr">
        <is>
          <t>2026-09-11 19:06</t>
        </is>
      </c>
    </row>
    <row r="112">
      <c r="A112" t="n">
        <v>111</v>
      </c>
      <c r="B112" t="inlineStr">
        <is>
          <t>2026-09-08</t>
        </is>
      </c>
      <c r="C112" t="n">
        <v>2026</v>
      </c>
      <c r="D112" t="inlineStr">
        <is>
          <t>Wrzesień</t>
        </is>
      </c>
      <c r="E112" t="inlineStr">
        <is>
          <t>W2</t>
        </is>
      </c>
      <c r="F112" t="inlineStr">
        <is>
          <t>2026_Wrzesień_W2</t>
        </is>
      </c>
      <c r="G112" t="inlineStr">
        <is>
          <t>Wt</t>
        </is>
      </c>
      <c r="H112" t="inlineStr">
        <is>
          <t>BĄBIK, MARTYNA</t>
        </is>
      </c>
      <c r="I112" t="inlineStr">
        <is>
          <t>Crew Civil</t>
        </is>
      </c>
      <c r="J112" t="inlineStr">
        <is>
          <t>Zlecenie</t>
        </is>
      </c>
      <c r="K112" t="n">
        <v>6.78</v>
      </c>
      <c r="L112" t="inlineStr">
        <is>
          <t>384</t>
        </is>
      </c>
      <c r="M112" t="inlineStr">
        <is>
          <t>108120 SBX Warszawa Janki</t>
        </is>
      </c>
      <c r="N112" t="inlineStr">
        <is>
          <t>2026-09-11 19:06</t>
        </is>
      </c>
    </row>
    <row r="113">
      <c r="A113" t="n">
        <v>112</v>
      </c>
      <c r="B113" t="inlineStr">
        <is>
          <t>2026-01-02</t>
        </is>
      </c>
      <c r="C113" t="n">
        <v>2026</v>
      </c>
      <c r="D113" t="inlineStr">
        <is>
          <t>Styczeń</t>
        </is>
      </c>
      <c r="E113" t="inlineStr">
        <is>
          <t>W1</t>
        </is>
      </c>
      <c r="F113" t="inlineStr">
        <is>
          <t>2026_Styczeń_W1</t>
        </is>
      </c>
      <c r="G113" t="inlineStr">
        <is>
          <t>Pt</t>
        </is>
      </c>
      <c r="H113" t="inlineStr">
        <is>
          <t>BIEŃKOWSKA, WERONIKA</t>
        </is>
      </c>
      <c r="I113" t="inlineStr">
        <is>
          <t>Shift manager/Supervisor</t>
        </is>
      </c>
      <c r="J113" t="inlineStr">
        <is>
          <t>Standard 0,5|20h</t>
        </is>
      </c>
      <c r="K113" t="n">
        <v>7.87</v>
      </c>
      <c r="L113" t="inlineStr">
        <is>
          <t>384</t>
        </is>
      </c>
      <c r="M113" t="inlineStr">
        <is>
          <t>108120 SBX Warszawa Janki</t>
        </is>
      </c>
      <c r="N113" t="inlineStr">
        <is>
          <t>2026-09-11 19:06</t>
        </is>
      </c>
    </row>
    <row r="114">
      <c r="A114" t="n">
        <v>113</v>
      </c>
      <c r="B114" t="inlineStr">
        <is>
          <t>2026-01-03</t>
        </is>
      </c>
      <c r="C114" t="n">
        <v>2026</v>
      </c>
      <c r="D114" t="inlineStr">
        <is>
          <t>Styczeń</t>
        </is>
      </c>
      <c r="E114" t="inlineStr">
        <is>
          <t>W1</t>
        </is>
      </c>
      <c r="F114" t="inlineStr">
        <is>
          <t>2026_Styczeń_W1</t>
        </is>
      </c>
      <c r="G114" t="inlineStr">
        <is>
          <t>Sob</t>
        </is>
      </c>
      <c r="H114" t="inlineStr">
        <is>
          <t>BIEŃKOWSKA, WERONIKA</t>
        </is>
      </c>
      <c r="I114" t="inlineStr">
        <is>
          <t>Shift manager/Supervisor</t>
        </is>
      </c>
      <c r="J114" t="inlineStr">
        <is>
          <t>Standard 0,5|20h</t>
        </is>
      </c>
      <c r="K114" t="n">
        <v>7.37</v>
      </c>
      <c r="L114" t="inlineStr">
        <is>
          <t>384</t>
        </is>
      </c>
      <c r="M114" t="inlineStr">
        <is>
          <t>108120 SBX Warszawa Janki</t>
        </is>
      </c>
      <c r="N114" t="inlineStr">
        <is>
          <t>2026-09-11 19:06</t>
        </is>
      </c>
    </row>
    <row r="115">
      <c r="A115" t="n">
        <v>114</v>
      </c>
      <c r="B115" t="inlineStr">
        <is>
          <t>2026-01-09</t>
        </is>
      </c>
      <c r="C115" t="n">
        <v>2026</v>
      </c>
      <c r="D115" t="inlineStr">
        <is>
          <t>Styczeń</t>
        </is>
      </c>
      <c r="E115" t="inlineStr">
        <is>
          <t>W2</t>
        </is>
      </c>
      <c r="F115" t="inlineStr">
        <is>
          <t>2026_Styczeń_W2</t>
        </is>
      </c>
      <c r="G115" t="inlineStr">
        <is>
          <t>Pt</t>
        </is>
      </c>
      <c r="H115" t="inlineStr">
        <is>
          <t>BIEŃKOWSKA, WERONIKA</t>
        </is>
      </c>
      <c r="I115" t="inlineStr">
        <is>
          <t>Shift manager/Supervisor</t>
        </is>
      </c>
      <c r="J115" t="inlineStr">
        <is>
          <t>Standard 0,5|20h</t>
        </is>
      </c>
      <c r="K115" t="n">
        <v>7.82</v>
      </c>
      <c r="L115" t="inlineStr">
        <is>
          <t>384</t>
        </is>
      </c>
      <c r="M115" t="inlineStr">
        <is>
          <t>108120 SBX Warszawa Janki</t>
        </is>
      </c>
      <c r="N115" t="inlineStr">
        <is>
          <t>2026-09-11 19:06</t>
        </is>
      </c>
    </row>
    <row r="116">
      <c r="A116" t="n">
        <v>115</v>
      </c>
      <c r="B116" t="inlineStr">
        <is>
          <t>2026-01-10</t>
        </is>
      </c>
      <c r="C116" t="n">
        <v>2026</v>
      </c>
      <c r="D116" t="inlineStr">
        <is>
          <t>Styczeń</t>
        </is>
      </c>
      <c r="E116" t="inlineStr">
        <is>
          <t>W2</t>
        </is>
      </c>
      <c r="F116" t="inlineStr">
        <is>
          <t>2026_Styczeń_W2</t>
        </is>
      </c>
      <c r="G116" t="inlineStr">
        <is>
          <t>Sob</t>
        </is>
      </c>
      <c r="H116" t="inlineStr">
        <is>
          <t>BIEŃKOWSKA, WERONIKA</t>
        </is>
      </c>
      <c r="I116" t="inlineStr">
        <is>
          <t>Shift manager/Supervisor</t>
        </is>
      </c>
      <c r="J116" t="inlineStr">
        <is>
          <t>Standard 0,5|20h</t>
        </is>
      </c>
      <c r="K116" t="n">
        <v>7.8</v>
      </c>
      <c r="L116" t="inlineStr">
        <is>
          <t>384</t>
        </is>
      </c>
      <c r="M116" t="inlineStr">
        <is>
          <t>108120 SBX Warszawa Janki</t>
        </is>
      </c>
      <c r="N116" t="inlineStr">
        <is>
          <t>2026-09-11 19:06</t>
        </is>
      </c>
    </row>
    <row r="117">
      <c r="A117" t="n">
        <v>116</v>
      </c>
      <c r="B117" t="inlineStr">
        <is>
          <t>2026-01-11</t>
        </is>
      </c>
      <c r="C117" t="n">
        <v>2026</v>
      </c>
      <c r="D117" t="inlineStr">
        <is>
          <t>Styczeń</t>
        </is>
      </c>
      <c r="E117" t="inlineStr">
        <is>
          <t>W2</t>
        </is>
      </c>
      <c r="F117" t="inlineStr">
        <is>
          <t>2026_Styczeń_W2</t>
        </is>
      </c>
      <c r="G117" t="inlineStr">
        <is>
          <t>Nd</t>
        </is>
      </c>
      <c r="H117" t="inlineStr">
        <is>
          <t>BIEŃKOWSKA, WERONIKA</t>
        </is>
      </c>
      <c r="I117" t="inlineStr">
        <is>
          <t>Shift manager/Supervisor</t>
        </is>
      </c>
      <c r="J117" t="inlineStr">
        <is>
          <t>Standard 0,5|20h</t>
        </is>
      </c>
      <c r="K117" t="n">
        <v>7.6</v>
      </c>
      <c r="L117" t="inlineStr">
        <is>
          <t>384</t>
        </is>
      </c>
      <c r="M117" t="inlineStr">
        <is>
          <t>108120 SBX Warszawa Janki</t>
        </is>
      </c>
      <c r="N117" t="inlineStr">
        <is>
          <t>2026-09-11 19:06</t>
        </is>
      </c>
    </row>
    <row r="118">
      <c r="A118" t="n">
        <v>117</v>
      </c>
      <c r="B118" t="inlineStr">
        <is>
          <t>2026-01-17</t>
        </is>
      </c>
      <c r="C118" t="n">
        <v>2026</v>
      </c>
      <c r="D118" t="inlineStr">
        <is>
          <t>Styczeń</t>
        </is>
      </c>
      <c r="E118" t="inlineStr">
        <is>
          <t>W3</t>
        </is>
      </c>
      <c r="F118" t="inlineStr">
        <is>
          <t>2026_Styczeń_W3</t>
        </is>
      </c>
      <c r="G118" t="inlineStr">
        <is>
          <t>Sob</t>
        </is>
      </c>
      <c r="H118" t="inlineStr">
        <is>
          <t>BIEŃKOWSKA, WERONIKA</t>
        </is>
      </c>
      <c r="I118" t="inlineStr">
        <is>
          <t>Shift manager/Supervisor</t>
        </is>
      </c>
      <c r="J118" t="inlineStr">
        <is>
          <t>Standard 0,5|20h</t>
        </is>
      </c>
      <c r="K118" t="n">
        <v>7.67</v>
      </c>
      <c r="L118" t="inlineStr">
        <is>
          <t>384</t>
        </is>
      </c>
      <c r="M118" t="inlineStr">
        <is>
          <t>108120 SBX Warszawa Janki</t>
        </is>
      </c>
      <c r="N118" t="inlineStr">
        <is>
          <t>2026-09-11 19:06</t>
        </is>
      </c>
    </row>
    <row r="119">
      <c r="A119" t="n">
        <v>118</v>
      </c>
      <c r="B119" t="inlineStr">
        <is>
          <t>2026-01-18</t>
        </is>
      </c>
      <c r="C119" t="n">
        <v>2026</v>
      </c>
      <c r="D119" t="inlineStr">
        <is>
          <t>Styczeń</t>
        </is>
      </c>
      <c r="E119" t="inlineStr">
        <is>
          <t>W3</t>
        </is>
      </c>
      <c r="F119" t="inlineStr">
        <is>
          <t>2026_Styczeń_W3</t>
        </is>
      </c>
      <c r="G119" t="inlineStr">
        <is>
          <t>Nd</t>
        </is>
      </c>
      <c r="H119" t="inlineStr">
        <is>
          <t>BIEŃKOWSKA, WERONIKA</t>
        </is>
      </c>
      <c r="I119" t="inlineStr">
        <is>
          <t>Shift manager/Supervisor</t>
        </is>
      </c>
      <c r="J119" t="inlineStr">
        <is>
          <t>Standard 0,5|20h</t>
        </is>
      </c>
      <c r="K119" t="n">
        <v>7.12</v>
      </c>
      <c r="L119" t="inlineStr">
        <is>
          <t>384</t>
        </is>
      </c>
      <c r="M119" t="inlineStr">
        <is>
          <t>108120 SBX Warszawa Janki</t>
        </is>
      </c>
      <c r="N119" t="inlineStr">
        <is>
          <t>2026-09-11 19:06</t>
        </is>
      </c>
    </row>
    <row r="120">
      <c r="A120" t="n">
        <v>119</v>
      </c>
      <c r="B120" t="inlineStr">
        <is>
          <t>2026-01-25</t>
        </is>
      </c>
      <c r="C120" t="n">
        <v>2026</v>
      </c>
      <c r="D120" t="inlineStr">
        <is>
          <t>Styczeń</t>
        </is>
      </c>
      <c r="E120" t="inlineStr">
        <is>
          <t>W4</t>
        </is>
      </c>
      <c r="F120" t="inlineStr">
        <is>
          <t>2026_Styczeń_W4</t>
        </is>
      </c>
      <c r="G120" t="inlineStr">
        <is>
          <t>Nd</t>
        </is>
      </c>
      <c r="H120" t="inlineStr">
        <is>
          <t>BIEŃKOWSKA, WERONIKA</t>
        </is>
      </c>
      <c r="I120" t="inlineStr">
        <is>
          <t>Shift manager/Supervisor</t>
        </is>
      </c>
      <c r="J120" t="inlineStr">
        <is>
          <t>Standard 0,5|20h</t>
        </is>
      </c>
      <c r="K120" t="n">
        <v>8.109999999999999</v>
      </c>
      <c r="L120" t="inlineStr">
        <is>
          <t>384</t>
        </is>
      </c>
      <c r="M120" t="inlineStr">
        <is>
          <t>108120 SBX Warszawa Janki</t>
        </is>
      </c>
      <c r="N120" t="inlineStr">
        <is>
          <t>2026-09-11 19:06</t>
        </is>
      </c>
    </row>
    <row r="121">
      <c r="A121" t="n">
        <v>120</v>
      </c>
      <c r="B121" t="inlineStr">
        <is>
          <t>2026-01-27</t>
        </is>
      </c>
      <c r="C121" t="n">
        <v>2026</v>
      </c>
      <c r="D121" t="inlineStr">
        <is>
          <t>Styczeń</t>
        </is>
      </c>
      <c r="E121" t="inlineStr">
        <is>
          <t>W5</t>
        </is>
      </c>
      <c r="F121" t="inlineStr">
        <is>
          <t>2026_Styczeń_W5</t>
        </is>
      </c>
      <c r="G121" t="inlineStr">
        <is>
          <t>Wt</t>
        </is>
      </c>
      <c r="H121" t="inlineStr">
        <is>
          <t>BIEŃKOWSKA, WERONIKA</t>
        </is>
      </c>
      <c r="I121" t="inlineStr">
        <is>
          <t>Shift manager/Supervisor</t>
        </is>
      </c>
      <c r="J121" t="inlineStr">
        <is>
          <t>Standard 0,5|20h</t>
        </is>
      </c>
      <c r="K121" t="n">
        <v>8.58</v>
      </c>
      <c r="L121" t="inlineStr">
        <is>
          <t>384</t>
        </is>
      </c>
      <c r="M121" t="inlineStr">
        <is>
          <t>108120 SBX Warszawa Janki</t>
        </is>
      </c>
      <c r="N121" t="inlineStr">
        <is>
          <t>2026-09-11 19:06</t>
        </is>
      </c>
    </row>
    <row r="122">
      <c r="A122" t="n">
        <v>121</v>
      </c>
      <c r="B122" t="inlineStr">
        <is>
          <t>2026-01-28</t>
        </is>
      </c>
      <c r="C122" t="n">
        <v>2026</v>
      </c>
      <c r="D122" t="inlineStr">
        <is>
          <t>Styczeń</t>
        </is>
      </c>
      <c r="E122" t="inlineStr">
        <is>
          <t>W5</t>
        </is>
      </c>
      <c r="F122" t="inlineStr">
        <is>
          <t>2026_Styczeń_W5</t>
        </is>
      </c>
      <c r="G122" t="inlineStr">
        <is>
          <t>Śr</t>
        </is>
      </c>
      <c r="H122" t="inlineStr">
        <is>
          <t>BIEŃKOWSKA, WERONIKA</t>
        </is>
      </c>
      <c r="I122" t="inlineStr">
        <is>
          <t>Shift manager/Supervisor</t>
        </is>
      </c>
      <c r="J122" t="inlineStr">
        <is>
          <t>Standard 0,5|20h</t>
        </is>
      </c>
      <c r="K122" t="n">
        <v>7.99</v>
      </c>
      <c r="L122" t="inlineStr">
        <is>
          <t>384</t>
        </is>
      </c>
      <c r="M122" t="inlineStr">
        <is>
          <t>108120 SBX Warszawa Janki</t>
        </is>
      </c>
      <c r="N122" t="inlineStr">
        <is>
          <t>2026-09-11 19:06</t>
        </is>
      </c>
    </row>
    <row r="123">
      <c r="A123" t="n">
        <v>122</v>
      </c>
      <c r="B123" t="inlineStr">
        <is>
          <t>2026-02-01</t>
        </is>
      </c>
      <c r="C123" t="n">
        <v>2026</v>
      </c>
      <c r="D123" t="inlineStr">
        <is>
          <t>Luty</t>
        </is>
      </c>
      <c r="E123" t="inlineStr">
        <is>
          <t>W1</t>
        </is>
      </c>
      <c r="F123" t="inlineStr">
        <is>
          <t>2026_Luty_W1</t>
        </is>
      </c>
      <c r="G123" t="inlineStr">
        <is>
          <t>Nd</t>
        </is>
      </c>
      <c r="H123" t="inlineStr">
        <is>
          <t>BIEŃKOWSKA, WERONIKA</t>
        </is>
      </c>
      <c r="I123" t="inlineStr">
        <is>
          <t>Shift manager/Supervisor</t>
        </is>
      </c>
      <c r="J123" t="inlineStr">
        <is>
          <t>Standard 0,5|20h</t>
        </is>
      </c>
      <c r="K123" t="n">
        <v>5.98</v>
      </c>
      <c r="L123" t="inlineStr">
        <is>
          <t>384</t>
        </is>
      </c>
      <c r="M123" t="inlineStr">
        <is>
          <t>108120 SBX Warszawa Janki</t>
        </is>
      </c>
      <c r="N123" t="inlineStr">
        <is>
          <t>2026-09-11 19:06</t>
        </is>
      </c>
    </row>
    <row r="124">
      <c r="A124" t="n">
        <v>123</v>
      </c>
      <c r="B124" t="inlineStr">
        <is>
          <t>2026-02-03</t>
        </is>
      </c>
      <c r="C124" t="n">
        <v>2026</v>
      </c>
      <c r="D124" t="inlineStr">
        <is>
          <t>Luty</t>
        </is>
      </c>
      <c r="E124" t="inlineStr">
        <is>
          <t>W2</t>
        </is>
      </c>
      <c r="F124" t="inlineStr">
        <is>
          <t>2026_Luty_W2</t>
        </is>
      </c>
      <c r="G124" t="inlineStr">
        <is>
          <t>Wt</t>
        </is>
      </c>
      <c r="H124" t="inlineStr">
        <is>
          <t>BIEŃKOWSKA, WERONIKA</t>
        </is>
      </c>
      <c r="I124" t="inlineStr">
        <is>
          <t>Shift manager/Supervisor</t>
        </is>
      </c>
      <c r="J124" t="inlineStr">
        <is>
          <t>Standard 0,5|20h</t>
        </is>
      </c>
      <c r="K124" t="n">
        <v>7.76</v>
      </c>
      <c r="L124" t="inlineStr">
        <is>
          <t>384</t>
        </is>
      </c>
      <c r="M124" t="inlineStr">
        <is>
          <t>108120 SBX Warszawa Janki</t>
        </is>
      </c>
      <c r="N124" t="inlineStr">
        <is>
          <t>2026-09-11 19:06</t>
        </is>
      </c>
    </row>
    <row r="125">
      <c r="A125" t="n">
        <v>124</v>
      </c>
      <c r="B125" t="inlineStr">
        <is>
          <t>2026-02-07</t>
        </is>
      </c>
      <c r="C125" t="n">
        <v>2026</v>
      </c>
      <c r="D125" t="inlineStr">
        <is>
          <t>Luty</t>
        </is>
      </c>
      <c r="E125" t="inlineStr">
        <is>
          <t>W2</t>
        </is>
      </c>
      <c r="F125" t="inlineStr">
        <is>
          <t>2026_Luty_W2</t>
        </is>
      </c>
      <c r="G125" t="inlineStr">
        <is>
          <t>Sob</t>
        </is>
      </c>
      <c r="H125" t="inlineStr">
        <is>
          <t>BIEŃKOWSKA, WERONIKA</t>
        </is>
      </c>
      <c r="I125" t="inlineStr">
        <is>
          <t>Shift manager/Supervisor</t>
        </is>
      </c>
      <c r="J125" t="inlineStr">
        <is>
          <t>Standard 0,5|20h</t>
        </is>
      </c>
      <c r="K125" t="n">
        <v>8.02</v>
      </c>
      <c r="L125" t="inlineStr">
        <is>
          <t>384</t>
        </is>
      </c>
      <c r="M125" t="inlineStr">
        <is>
          <t>108120 SBX Warszawa Janki</t>
        </is>
      </c>
      <c r="N125" t="inlineStr">
        <is>
          <t>2026-09-11 19:06</t>
        </is>
      </c>
    </row>
    <row r="126">
      <c r="A126" t="n">
        <v>125</v>
      </c>
      <c r="B126" t="inlineStr">
        <is>
          <t>2026-02-08</t>
        </is>
      </c>
      <c r="C126" t="n">
        <v>2026</v>
      </c>
      <c r="D126" t="inlineStr">
        <is>
          <t>Luty</t>
        </is>
      </c>
      <c r="E126" t="inlineStr">
        <is>
          <t>W2</t>
        </is>
      </c>
      <c r="F126" t="inlineStr">
        <is>
          <t>2026_Luty_W2</t>
        </is>
      </c>
      <c r="G126" t="inlineStr">
        <is>
          <t>Nd</t>
        </is>
      </c>
      <c r="H126" t="inlineStr">
        <is>
          <t>BIEŃKOWSKA, WERONIKA</t>
        </is>
      </c>
      <c r="I126" t="inlineStr">
        <is>
          <t>Shift manager/Supervisor</t>
        </is>
      </c>
      <c r="J126" t="inlineStr">
        <is>
          <t>Standard 0,5|20h</t>
        </is>
      </c>
      <c r="K126" t="n">
        <v>7.05</v>
      </c>
      <c r="L126" t="inlineStr">
        <is>
          <t>384</t>
        </is>
      </c>
      <c r="M126" t="inlineStr">
        <is>
          <t>108120 SBX Warszawa Janki</t>
        </is>
      </c>
      <c r="N126" t="inlineStr">
        <is>
          <t>2026-09-11 19:06</t>
        </is>
      </c>
    </row>
    <row r="127">
      <c r="A127" t="n">
        <v>126</v>
      </c>
      <c r="B127" t="inlineStr">
        <is>
          <t>2026-02-11</t>
        </is>
      </c>
      <c r="C127" t="n">
        <v>2026</v>
      </c>
      <c r="D127" t="inlineStr">
        <is>
          <t>Luty</t>
        </is>
      </c>
      <c r="E127" t="inlineStr">
        <is>
          <t>W3</t>
        </is>
      </c>
      <c r="F127" t="inlineStr">
        <is>
          <t>2026_Luty_W3</t>
        </is>
      </c>
      <c r="G127" t="inlineStr">
        <is>
          <t>Śr</t>
        </is>
      </c>
      <c r="H127" t="inlineStr">
        <is>
          <t>BIEŃKOWSKA, WERONIKA</t>
        </is>
      </c>
      <c r="I127" t="inlineStr">
        <is>
          <t>Shift manager/Supervisor</t>
        </is>
      </c>
      <c r="J127" t="inlineStr">
        <is>
          <t>Standard 0,5|20h</t>
        </is>
      </c>
      <c r="K127" t="n">
        <v>1</v>
      </c>
      <c r="L127" t="inlineStr">
        <is>
          <t>384</t>
        </is>
      </c>
      <c r="M127" t="inlineStr">
        <is>
          <t>108120 SBX Warszawa Janki</t>
        </is>
      </c>
      <c r="N127" t="inlineStr">
        <is>
          <t>2026-09-11 19:06</t>
        </is>
      </c>
    </row>
    <row r="128">
      <c r="A128" t="n">
        <v>127</v>
      </c>
      <c r="B128" t="inlineStr">
        <is>
          <t>2026-02-28</t>
        </is>
      </c>
      <c r="C128" t="n">
        <v>2026</v>
      </c>
      <c r="D128" t="inlineStr">
        <is>
          <t>Luty</t>
        </is>
      </c>
      <c r="E128" t="inlineStr">
        <is>
          <t>W5</t>
        </is>
      </c>
      <c r="F128" t="inlineStr">
        <is>
          <t>2026_Luty_W5</t>
        </is>
      </c>
      <c r="G128" t="inlineStr">
        <is>
          <t>Sob</t>
        </is>
      </c>
      <c r="H128" t="inlineStr">
        <is>
          <t>BIEŃKOWSKA, WERONIKA</t>
        </is>
      </c>
      <c r="I128" t="inlineStr">
        <is>
          <t>Shift manager/Supervisor</t>
        </is>
      </c>
      <c r="J128" t="inlineStr">
        <is>
          <t>Standard 0,5|20h</t>
        </is>
      </c>
      <c r="K128" t="n">
        <v>8.41</v>
      </c>
      <c r="L128" t="inlineStr">
        <is>
          <t>384</t>
        </is>
      </c>
      <c r="M128" t="inlineStr">
        <is>
          <t>108120 SBX Warszawa Janki</t>
        </is>
      </c>
      <c r="N128" t="inlineStr">
        <is>
          <t>2026-09-11 19:06</t>
        </is>
      </c>
    </row>
    <row r="129">
      <c r="A129" t="n">
        <v>128</v>
      </c>
      <c r="B129" t="inlineStr">
        <is>
          <t>2026-03-01</t>
        </is>
      </c>
      <c r="C129" t="n">
        <v>2026</v>
      </c>
      <c r="D129" t="inlineStr">
        <is>
          <t>Marzec</t>
        </is>
      </c>
      <c r="E129" t="inlineStr">
        <is>
          <t>W1</t>
        </is>
      </c>
      <c r="F129" t="inlineStr">
        <is>
          <t>2026_Marzec_W1</t>
        </is>
      </c>
      <c r="G129" t="inlineStr">
        <is>
          <t>Nd</t>
        </is>
      </c>
      <c r="H129" t="inlineStr">
        <is>
          <t>BIEŃKOWSKA, WERONIKA</t>
        </is>
      </c>
      <c r="I129" t="inlineStr">
        <is>
          <t>Shift manager/Supervisor</t>
        </is>
      </c>
      <c r="J129" t="inlineStr">
        <is>
          <t>Standard 0,5|20h</t>
        </is>
      </c>
      <c r="K129" t="n">
        <v>4</v>
      </c>
      <c r="L129" t="inlineStr">
        <is>
          <t>384</t>
        </is>
      </c>
      <c r="M129" t="inlineStr">
        <is>
          <t>108120 SBX Warszawa Janki</t>
        </is>
      </c>
      <c r="N129" t="inlineStr">
        <is>
          <t>2026-09-11 19:06</t>
        </is>
      </c>
    </row>
    <row r="130">
      <c r="A130" t="n">
        <v>129</v>
      </c>
      <c r="B130" t="inlineStr">
        <is>
          <t>2026-03-14</t>
        </is>
      </c>
      <c r="C130" t="n">
        <v>2026</v>
      </c>
      <c r="D130" t="inlineStr">
        <is>
          <t>Marzec</t>
        </is>
      </c>
      <c r="E130" t="inlineStr">
        <is>
          <t>W3</t>
        </is>
      </c>
      <c r="F130" t="inlineStr">
        <is>
          <t>2026_Marzec_W3</t>
        </is>
      </c>
      <c r="G130" t="inlineStr">
        <is>
          <t>Sob</t>
        </is>
      </c>
      <c r="H130" t="inlineStr">
        <is>
          <t>BIEŃKOWSKA, WERONIKA</t>
        </is>
      </c>
      <c r="I130" t="inlineStr">
        <is>
          <t>Shift manager/Supervisor</t>
        </is>
      </c>
      <c r="J130" t="inlineStr">
        <is>
          <t>Standard 0,5|20h</t>
        </is>
      </c>
      <c r="K130" t="n">
        <v>7.07</v>
      </c>
      <c r="L130" t="inlineStr">
        <is>
          <t>384</t>
        </is>
      </c>
      <c r="M130" t="inlineStr">
        <is>
          <t>108120 SBX Warszawa Janki</t>
        </is>
      </c>
      <c r="N130" t="inlineStr">
        <is>
          <t>2026-09-11 19:06</t>
        </is>
      </c>
    </row>
    <row r="131">
      <c r="A131" t="n">
        <v>130</v>
      </c>
      <c r="B131" t="inlineStr">
        <is>
          <t>2026-03-17</t>
        </is>
      </c>
      <c r="C131" t="n">
        <v>2026</v>
      </c>
      <c r="D131" t="inlineStr">
        <is>
          <t>Marzec</t>
        </is>
      </c>
      <c r="E131" t="inlineStr">
        <is>
          <t>W4</t>
        </is>
      </c>
      <c r="F131" t="inlineStr">
        <is>
          <t>2026_Marzec_W4</t>
        </is>
      </c>
      <c r="G131" t="inlineStr">
        <is>
          <t>Wt</t>
        </is>
      </c>
      <c r="H131" t="inlineStr">
        <is>
          <t>BIEŃKOWSKA, WERONIKA</t>
        </is>
      </c>
      <c r="I131" t="inlineStr">
        <is>
          <t>Shift manager/Supervisor</t>
        </is>
      </c>
      <c r="J131" t="inlineStr">
        <is>
          <t>Standard 0,5|20h</t>
        </is>
      </c>
      <c r="K131" t="n">
        <v>9.050000000000001</v>
      </c>
      <c r="L131" t="inlineStr">
        <is>
          <t>384</t>
        </is>
      </c>
      <c r="M131" t="inlineStr">
        <is>
          <t>108120 SBX Warszawa Janki</t>
        </is>
      </c>
      <c r="N131" t="inlineStr">
        <is>
          <t>2026-09-11 19:06</t>
        </is>
      </c>
    </row>
    <row r="132">
      <c r="A132" t="n">
        <v>131</v>
      </c>
      <c r="B132" t="inlineStr">
        <is>
          <t>2026-03-21</t>
        </is>
      </c>
      <c r="C132" t="n">
        <v>2026</v>
      </c>
      <c r="D132" t="inlineStr">
        <is>
          <t>Marzec</t>
        </is>
      </c>
      <c r="E132" t="inlineStr">
        <is>
          <t>W4</t>
        </is>
      </c>
      <c r="F132" t="inlineStr">
        <is>
          <t>2026_Marzec_W4</t>
        </is>
      </c>
      <c r="G132" t="inlineStr">
        <is>
          <t>Sob</t>
        </is>
      </c>
      <c r="H132" t="inlineStr">
        <is>
          <t>BIEŃKOWSKA, WERONIKA</t>
        </is>
      </c>
      <c r="I132" t="inlineStr">
        <is>
          <t>Shift manager/Supervisor</t>
        </is>
      </c>
      <c r="J132" t="inlineStr">
        <is>
          <t>Standard 0,5|20h</t>
        </is>
      </c>
      <c r="K132" t="n">
        <v>8.050000000000001</v>
      </c>
      <c r="L132" t="inlineStr">
        <is>
          <t>384</t>
        </is>
      </c>
      <c r="M132" t="inlineStr">
        <is>
          <t>108120 SBX Warszawa Janki</t>
        </is>
      </c>
      <c r="N132" t="inlineStr">
        <is>
          <t>2026-09-11 19:06</t>
        </is>
      </c>
    </row>
    <row r="133">
      <c r="A133" t="n">
        <v>132</v>
      </c>
      <c r="B133" t="inlineStr">
        <is>
          <t>2026-03-22</t>
        </is>
      </c>
      <c r="C133" t="n">
        <v>2026</v>
      </c>
      <c r="D133" t="inlineStr">
        <is>
          <t>Marzec</t>
        </is>
      </c>
      <c r="E133" t="inlineStr">
        <is>
          <t>W4</t>
        </is>
      </c>
      <c r="F133" t="inlineStr">
        <is>
          <t>2026_Marzec_W4</t>
        </is>
      </c>
      <c r="G133" t="inlineStr">
        <is>
          <t>Nd</t>
        </is>
      </c>
      <c r="H133" t="inlineStr">
        <is>
          <t>BIEŃKOWSKA, WERONIKA</t>
        </is>
      </c>
      <c r="I133" t="inlineStr">
        <is>
          <t>Shift manager/Supervisor</t>
        </is>
      </c>
      <c r="J133" t="inlineStr">
        <is>
          <t>Standard 0,5|20h</t>
        </is>
      </c>
      <c r="K133" t="n">
        <v>8.17</v>
      </c>
      <c r="L133" t="inlineStr">
        <is>
          <t>384</t>
        </is>
      </c>
      <c r="M133" t="inlineStr">
        <is>
          <t>108120 SBX Warszawa Janki</t>
        </is>
      </c>
      <c r="N133" t="inlineStr">
        <is>
          <t>2026-09-11 19:06</t>
        </is>
      </c>
    </row>
    <row r="134">
      <c r="A134" t="n">
        <v>133</v>
      </c>
      <c r="B134" t="inlineStr">
        <is>
          <t>2026-03-24</t>
        </is>
      </c>
      <c r="C134" t="n">
        <v>2026</v>
      </c>
      <c r="D134" t="inlineStr">
        <is>
          <t>Marzec</t>
        </is>
      </c>
      <c r="E134" t="inlineStr">
        <is>
          <t>W5</t>
        </is>
      </c>
      <c r="F134" t="inlineStr">
        <is>
          <t>2026_Marzec_W5</t>
        </is>
      </c>
      <c r="G134" t="inlineStr">
        <is>
          <t>Wt</t>
        </is>
      </c>
      <c r="H134" t="inlineStr">
        <is>
          <t>BIEŃKOWSKA, WERONIKA</t>
        </is>
      </c>
      <c r="I134" t="inlineStr">
        <is>
          <t>Shift manager/Supervisor</t>
        </is>
      </c>
      <c r="J134" t="inlineStr">
        <is>
          <t>Standard 0,5|20h</t>
        </is>
      </c>
      <c r="K134" t="n">
        <v>8.390000000000001</v>
      </c>
      <c r="L134" t="inlineStr">
        <is>
          <t>384</t>
        </is>
      </c>
      <c r="M134" t="inlineStr">
        <is>
          <t>108120 SBX Warszawa Janki</t>
        </is>
      </c>
      <c r="N134" t="inlineStr">
        <is>
          <t>2026-09-11 19:06</t>
        </is>
      </c>
    </row>
    <row r="135">
      <c r="A135" t="n">
        <v>134</v>
      </c>
      <c r="B135" t="inlineStr">
        <is>
          <t>2026-03-28</t>
        </is>
      </c>
      <c r="C135" t="n">
        <v>2026</v>
      </c>
      <c r="D135" t="inlineStr">
        <is>
          <t>Marzec</t>
        </is>
      </c>
      <c r="E135" t="inlineStr">
        <is>
          <t>W5</t>
        </is>
      </c>
      <c r="F135" t="inlineStr">
        <is>
          <t>2026_Marzec_W5</t>
        </is>
      </c>
      <c r="G135" t="inlineStr">
        <is>
          <t>Sob</t>
        </is>
      </c>
      <c r="H135" t="inlineStr">
        <is>
          <t>BIEŃKOWSKA, WERONIKA</t>
        </is>
      </c>
      <c r="I135" t="inlineStr">
        <is>
          <t>Shift manager/Supervisor</t>
        </is>
      </c>
      <c r="J135" t="inlineStr">
        <is>
          <t>Standard 0,5|20h</t>
        </is>
      </c>
      <c r="K135" t="n">
        <v>8.720000000000001</v>
      </c>
      <c r="L135" t="inlineStr">
        <is>
          <t>384</t>
        </is>
      </c>
      <c r="M135" t="inlineStr">
        <is>
          <t>108120 SBX Warszawa Janki</t>
        </is>
      </c>
      <c r="N135" t="inlineStr">
        <is>
          <t>2026-09-11 19:06</t>
        </is>
      </c>
    </row>
    <row r="136">
      <c r="A136" t="n">
        <v>135</v>
      </c>
      <c r="B136" t="inlineStr">
        <is>
          <t>2026-03-29</t>
        </is>
      </c>
      <c r="C136" t="n">
        <v>2026</v>
      </c>
      <c r="D136" t="inlineStr">
        <is>
          <t>Marzec</t>
        </is>
      </c>
      <c r="E136" t="inlineStr">
        <is>
          <t>W5</t>
        </is>
      </c>
      <c r="F136" t="inlineStr">
        <is>
          <t>2026_Marzec_W5</t>
        </is>
      </c>
      <c r="G136" t="inlineStr">
        <is>
          <t>Nd</t>
        </is>
      </c>
      <c r="H136" t="inlineStr">
        <is>
          <t>BIEŃKOWSKA, WERONIKA</t>
        </is>
      </c>
      <c r="I136" t="inlineStr">
        <is>
          <t>Shift manager/Supervisor</t>
        </is>
      </c>
      <c r="J136" t="inlineStr">
        <is>
          <t>Standard 0,5|20h</t>
        </is>
      </c>
      <c r="K136" t="n">
        <v>8.9</v>
      </c>
      <c r="L136" t="inlineStr">
        <is>
          <t>384</t>
        </is>
      </c>
      <c r="M136" t="inlineStr">
        <is>
          <t>108120 SBX Warszawa Janki</t>
        </is>
      </c>
      <c r="N136" t="inlineStr">
        <is>
          <t>2026-09-11 19:06</t>
        </is>
      </c>
    </row>
    <row r="137">
      <c r="A137" t="n">
        <v>136</v>
      </c>
      <c r="B137" t="inlineStr">
        <is>
          <t>2026-04-12</t>
        </is>
      </c>
      <c r="C137" t="n">
        <v>2026</v>
      </c>
      <c r="D137" t="inlineStr">
        <is>
          <t>Kwiecień</t>
        </is>
      </c>
      <c r="E137" t="inlineStr">
        <is>
          <t>W2</t>
        </is>
      </c>
      <c r="F137" t="inlineStr">
        <is>
          <t>2026_Kwiecień_W2</t>
        </is>
      </c>
      <c r="G137" t="inlineStr">
        <is>
          <t>Nd</t>
        </is>
      </c>
      <c r="H137" t="inlineStr">
        <is>
          <t>BIEŃKOWSKA, WERONIKA</t>
        </is>
      </c>
      <c r="I137" t="inlineStr">
        <is>
          <t>Shift manager/Supervisor</t>
        </is>
      </c>
      <c r="J137" t="inlineStr">
        <is>
          <t>Standard 0,25|10h</t>
        </is>
      </c>
      <c r="K137" t="n">
        <v>6.23</v>
      </c>
      <c r="L137" t="inlineStr">
        <is>
          <t>384</t>
        </is>
      </c>
      <c r="M137" t="inlineStr">
        <is>
          <t>108120 SBX Warszawa Janki</t>
        </is>
      </c>
      <c r="N137" t="inlineStr">
        <is>
          <t>2026-09-11 19:06</t>
        </is>
      </c>
    </row>
    <row r="138">
      <c r="A138" t="n">
        <v>137</v>
      </c>
      <c r="B138" t="inlineStr">
        <is>
          <t>2026-04-21</t>
        </is>
      </c>
      <c r="C138" t="n">
        <v>2026</v>
      </c>
      <c r="D138" t="inlineStr">
        <is>
          <t>Kwiecień</t>
        </is>
      </c>
      <c r="E138" t="inlineStr">
        <is>
          <t>W4</t>
        </is>
      </c>
      <c r="F138" t="inlineStr">
        <is>
          <t>2026_Kwiecień_W4</t>
        </is>
      </c>
      <c r="G138" t="inlineStr">
        <is>
          <t>Wt</t>
        </is>
      </c>
      <c r="H138" t="inlineStr">
        <is>
          <t>BIEŃKOWSKA, WERONIKA</t>
        </is>
      </c>
      <c r="I138" t="inlineStr">
        <is>
          <t>Shift manager/Supervisor</t>
        </is>
      </c>
      <c r="J138" t="inlineStr">
        <is>
          <t>Standard 0,25|10h</t>
        </is>
      </c>
      <c r="K138" t="n">
        <v>5.13</v>
      </c>
      <c r="L138" t="inlineStr">
        <is>
          <t>384</t>
        </is>
      </c>
      <c r="M138" t="inlineStr">
        <is>
          <t>108120 SBX Warszawa Janki</t>
        </is>
      </c>
      <c r="N138" t="inlineStr">
        <is>
          <t>2026-09-11 19:06</t>
        </is>
      </c>
    </row>
    <row r="139">
      <c r="A139" t="n">
        <v>138</v>
      </c>
      <c r="B139" t="inlineStr">
        <is>
          <t>2026-04-21</t>
        </is>
      </c>
      <c r="C139" t="n">
        <v>2026</v>
      </c>
      <c r="D139" t="inlineStr">
        <is>
          <t>Kwiecień</t>
        </is>
      </c>
      <c r="E139" t="inlineStr">
        <is>
          <t>W4</t>
        </is>
      </c>
      <c r="F139" t="inlineStr">
        <is>
          <t>2026_Kwiecień_W4</t>
        </is>
      </c>
      <c r="G139" t="inlineStr">
        <is>
          <t>Wt</t>
        </is>
      </c>
      <c r="H139" t="inlineStr">
        <is>
          <t>BIEŃKOWSKA, WERONIKA</t>
        </is>
      </c>
      <c r="I139" t="inlineStr">
        <is>
          <t>Shift manager/Supervisor</t>
        </is>
      </c>
      <c r="J139" t="inlineStr">
        <is>
          <t>Standard 0,25|10h</t>
        </is>
      </c>
      <c r="K139" t="n">
        <v>2.98</v>
      </c>
      <c r="L139" t="inlineStr">
        <is>
          <t>384</t>
        </is>
      </c>
      <c r="M139" t="inlineStr">
        <is>
          <t>108120 SBX Warszawa Janki</t>
        </is>
      </c>
      <c r="N139" t="inlineStr">
        <is>
          <t>2026-09-11 19:06</t>
        </is>
      </c>
    </row>
    <row r="140">
      <c r="A140" t="n">
        <v>139</v>
      </c>
      <c r="B140" t="inlineStr">
        <is>
          <t>2026-04-25</t>
        </is>
      </c>
      <c r="C140" t="n">
        <v>2026</v>
      </c>
      <c r="D140" t="inlineStr">
        <is>
          <t>Kwiecień</t>
        </is>
      </c>
      <c r="E140" t="inlineStr">
        <is>
          <t>W4</t>
        </is>
      </c>
      <c r="F140" t="inlineStr">
        <is>
          <t>2026_Kwiecień_W4</t>
        </is>
      </c>
      <c r="G140" t="inlineStr">
        <is>
          <t>Sob</t>
        </is>
      </c>
      <c r="H140" t="inlineStr">
        <is>
          <t>BIEŃKOWSKA, WERONIKA</t>
        </is>
      </c>
      <c r="I140" t="inlineStr">
        <is>
          <t>Shift manager/Supervisor</t>
        </is>
      </c>
      <c r="J140" t="inlineStr">
        <is>
          <t>Standard 0,25|10h</t>
        </is>
      </c>
      <c r="K140" t="n">
        <v>8.24</v>
      </c>
      <c r="L140" t="inlineStr">
        <is>
          <t>384</t>
        </is>
      </c>
      <c r="M140" t="inlineStr">
        <is>
          <t>108120 SBX Warszawa Janki</t>
        </is>
      </c>
      <c r="N140" t="inlineStr">
        <is>
          <t>2026-09-11 19:06</t>
        </is>
      </c>
    </row>
    <row r="141">
      <c r="A141" t="n">
        <v>140</v>
      </c>
      <c r="B141" t="inlineStr">
        <is>
          <t>2026-04-26</t>
        </is>
      </c>
      <c r="C141" t="n">
        <v>2026</v>
      </c>
      <c r="D141" t="inlineStr">
        <is>
          <t>Kwiecień</t>
        </is>
      </c>
      <c r="E141" t="inlineStr">
        <is>
          <t>W4</t>
        </is>
      </c>
      <c r="F141" t="inlineStr">
        <is>
          <t>2026_Kwiecień_W4</t>
        </is>
      </c>
      <c r="G141" t="inlineStr">
        <is>
          <t>Nd</t>
        </is>
      </c>
      <c r="H141" t="inlineStr">
        <is>
          <t>BIEŃKOWSKA, WERONIKA</t>
        </is>
      </c>
      <c r="I141" t="inlineStr">
        <is>
          <t>Shift manager/Supervisor</t>
        </is>
      </c>
      <c r="J141" t="inlineStr">
        <is>
          <t>Standard 0,25|10h</t>
        </is>
      </c>
      <c r="K141" t="n">
        <v>8.33</v>
      </c>
      <c r="L141" t="inlineStr">
        <is>
          <t>384</t>
        </is>
      </c>
      <c r="M141" t="inlineStr">
        <is>
          <t>108120 SBX Warszawa Janki</t>
        </is>
      </c>
      <c r="N141" t="inlineStr">
        <is>
          <t>2026-09-11 19:06</t>
        </is>
      </c>
    </row>
    <row r="142">
      <c r="A142" t="n">
        <v>141</v>
      </c>
      <c r="B142" t="inlineStr">
        <is>
          <t>2026-04-28</t>
        </is>
      </c>
      <c r="C142" t="n">
        <v>2026</v>
      </c>
      <c r="D142" t="inlineStr">
        <is>
          <t>Kwiecień</t>
        </is>
      </c>
      <c r="E142" t="inlineStr">
        <is>
          <t>W5</t>
        </is>
      </c>
      <c r="F142" t="inlineStr">
        <is>
          <t>2026_Kwiecień_W5</t>
        </is>
      </c>
      <c r="G142" t="inlineStr">
        <is>
          <t>Wt</t>
        </is>
      </c>
      <c r="H142" t="inlineStr">
        <is>
          <t>BIEŃKOWSKA, WERONIKA</t>
        </is>
      </c>
      <c r="I142" t="inlineStr">
        <is>
          <t>Shift manager/Supervisor</t>
        </is>
      </c>
      <c r="J142" t="inlineStr">
        <is>
          <t>Standard 0,25|10h</t>
        </is>
      </c>
      <c r="K142" t="n">
        <v>2.5</v>
      </c>
      <c r="L142" t="inlineStr">
        <is>
          <t>384</t>
        </is>
      </c>
      <c r="M142" t="inlineStr">
        <is>
          <t>108120 SBX Warszawa Janki</t>
        </is>
      </c>
      <c r="N142" t="inlineStr">
        <is>
          <t>2026-09-11 19:06</t>
        </is>
      </c>
    </row>
    <row r="143">
      <c r="A143" t="n">
        <v>142</v>
      </c>
      <c r="B143" t="inlineStr">
        <is>
          <t>2026-05-02</t>
        </is>
      </c>
      <c r="C143" t="n">
        <v>2026</v>
      </c>
      <c r="D143" t="inlineStr">
        <is>
          <t>Maj</t>
        </is>
      </c>
      <c r="E143" t="inlineStr">
        <is>
          <t>W1</t>
        </is>
      </c>
      <c r="F143" t="inlineStr">
        <is>
          <t>2026_Maj_W1</t>
        </is>
      </c>
      <c r="G143" t="inlineStr">
        <is>
          <t>Sob</t>
        </is>
      </c>
      <c r="H143" t="inlineStr">
        <is>
          <t>BIEŃKOWSKA, WERONIKA</t>
        </is>
      </c>
      <c r="I143" t="inlineStr">
        <is>
          <t>Shift manager/Supervisor</t>
        </is>
      </c>
      <c r="J143" t="inlineStr">
        <is>
          <t>Standard 0,25|10h</t>
        </is>
      </c>
      <c r="K143" t="n">
        <v>7.95</v>
      </c>
      <c r="L143" t="inlineStr">
        <is>
          <t>384</t>
        </is>
      </c>
      <c r="M143" t="inlineStr">
        <is>
          <t>108120 SBX Warszawa Janki</t>
        </is>
      </c>
      <c r="N143" t="inlineStr">
        <is>
          <t>2026-09-11 19:06</t>
        </is>
      </c>
    </row>
    <row r="144">
      <c r="A144" t="n">
        <v>143</v>
      </c>
      <c r="B144" t="inlineStr">
        <is>
          <t>2026-05-09</t>
        </is>
      </c>
      <c r="C144" t="n">
        <v>2026</v>
      </c>
      <c r="D144" t="inlineStr">
        <is>
          <t>Maj</t>
        </is>
      </c>
      <c r="E144" t="inlineStr">
        <is>
          <t>W2</t>
        </is>
      </c>
      <c r="F144" t="inlineStr">
        <is>
          <t>2026_Maj_W2</t>
        </is>
      </c>
      <c r="G144" t="inlineStr">
        <is>
          <t>Sob</t>
        </is>
      </c>
      <c r="H144" t="inlineStr">
        <is>
          <t>BIEŃKOWSKA, WERONIKA</t>
        </is>
      </c>
      <c r="I144" t="inlineStr">
        <is>
          <t>Shift manager/Supervisor</t>
        </is>
      </c>
      <c r="J144" t="inlineStr">
        <is>
          <t>Standard 0,25|10h</t>
        </is>
      </c>
      <c r="K144" t="n">
        <v>7.99</v>
      </c>
      <c r="L144" t="inlineStr">
        <is>
          <t>384</t>
        </is>
      </c>
      <c r="M144" t="inlineStr">
        <is>
          <t>108120 SBX Warszawa Janki</t>
        </is>
      </c>
      <c r="N144" t="inlineStr">
        <is>
          <t>2026-09-11 19:06</t>
        </is>
      </c>
    </row>
    <row r="145">
      <c r="A145" t="n">
        <v>144</v>
      </c>
      <c r="B145" t="inlineStr">
        <is>
          <t>2026-05-12</t>
        </is>
      </c>
      <c r="C145" t="n">
        <v>2026</v>
      </c>
      <c r="D145" t="inlineStr">
        <is>
          <t>Maj</t>
        </is>
      </c>
      <c r="E145" t="inlineStr">
        <is>
          <t>W3</t>
        </is>
      </c>
      <c r="F145" t="inlineStr">
        <is>
          <t>2026_Maj_W3</t>
        </is>
      </c>
      <c r="G145" t="inlineStr">
        <is>
          <t>Wt</t>
        </is>
      </c>
      <c r="H145" t="inlineStr">
        <is>
          <t>BIEŃKOWSKA, WERONIKA</t>
        </is>
      </c>
      <c r="I145" t="inlineStr">
        <is>
          <t>Shift manager/Supervisor</t>
        </is>
      </c>
      <c r="J145" t="inlineStr">
        <is>
          <t>Standard 0,25|10h</t>
        </is>
      </c>
      <c r="K145" t="n">
        <v>8.130000000000001</v>
      </c>
      <c r="L145" t="inlineStr">
        <is>
          <t>384</t>
        </is>
      </c>
      <c r="M145" t="inlineStr">
        <is>
          <t>108120 SBX Warszawa Janki</t>
        </is>
      </c>
      <c r="N145" t="inlineStr">
        <is>
          <t>2026-09-11 19:06</t>
        </is>
      </c>
    </row>
    <row r="146">
      <c r="A146" t="n">
        <v>145</v>
      </c>
      <c r="B146" t="inlineStr">
        <is>
          <t>2026-05-16</t>
        </is>
      </c>
      <c r="C146" t="n">
        <v>2026</v>
      </c>
      <c r="D146" t="inlineStr">
        <is>
          <t>Maj</t>
        </is>
      </c>
      <c r="E146" t="inlineStr">
        <is>
          <t>W3</t>
        </is>
      </c>
      <c r="F146" t="inlineStr">
        <is>
          <t>2026_Maj_W3</t>
        </is>
      </c>
      <c r="G146" t="inlineStr">
        <is>
          <t>Sob</t>
        </is>
      </c>
      <c r="H146" t="inlineStr">
        <is>
          <t>BIEŃKOWSKA, WERONIKA</t>
        </is>
      </c>
      <c r="I146" t="inlineStr">
        <is>
          <t>Shift manager/Supervisor</t>
        </is>
      </c>
      <c r="J146" t="inlineStr">
        <is>
          <t>Standard 0,25|10h</t>
        </is>
      </c>
      <c r="K146" t="n">
        <v>5.09</v>
      </c>
      <c r="L146" t="inlineStr">
        <is>
          <t>384</t>
        </is>
      </c>
      <c r="M146" t="inlineStr">
        <is>
          <t>108120 SBX Warszawa Janki</t>
        </is>
      </c>
      <c r="N146" t="inlineStr">
        <is>
          <t>2026-09-11 19:06</t>
        </is>
      </c>
    </row>
    <row r="147">
      <c r="A147" t="n">
        <v>146</v>
      </c>
      <c r="B147" t="inlineStr">
        <is>
          <t>2026-05-17</t>
        </is>
      </c>
      <c r="C147" t="n">
        <v>2026</v>
      </c>
      <c r="D147" t="inlineStr">
        <is>
          <t>Maj</t>
        </is>
      </c>
      <c r="E147" t="inlineStr">
        <is>
          <t>W3</t>
        </is>
      </c>
      <c r="F147" t="inlineStr">
        <is>
          <t>2026_Maj_W3</t>
        </is>
      </c>
      <c r="G147" t="inlineStr">
        <is>
          <t>Nd</t>
        </is>
      </c>
      <c r="H147" t="inlineStr">
        <is>
          <t>BIEŃKOWSKA, WERONIKA</t>
        </is>
      </c>
      <c r="I147" t="inlineStr">
        <is>
          <t>Shift manager/Supervisor</t>
        </is>
      </c>
      <c r="J147" t="inlineStr">
        <is>
          <t>Standard 0,25|10h</t>
        </is>
      </c>
      <c r="K147" t="n">
        <v>8.01</v>
      </c>
      <c r="L147" t="inlineStr">
        <is>
          <t>384</t>
        </is>
      </c>
      <c r="M147" t="inlineStr">
        <is>
          <t>108120 SBX Warszawa Janki</t>
        </is>
      </c>
      <c r="N147" t="inlineStr">
        <is>
          <t>2026-09-11 19:06</t>
        </is>
      </c>
    </row>
    <row r="148">
      <c r="A148" t="n">
        <v>147</v>
      </c>
      <c r="B148" t="inlineStr">
        <is>
          <t>2026-05-24</t>
        </is>
      </c>
      <c r="C148" t="n">
        <v>2026</v>
      </c>
      <c r="D148" t="inlineStr">
        <is>
          <t>Maj</t>
        </is>
      </c>
      <c r="E148" t="inlineStr">
        <is>
          <t>W4</t>
        </is>
      </c>
      <c r="F148" t="inlineStr">
        <is>
          <t>2026_Maj_W4</t>
        </is>
      </c>
      <c r="G148" t="inlineStr">
        <is>
          <t>Nd</t>
        </is>
      </c>
      <c r="H148" t="inlineStr">
        <is>
          <t>BIEŃKOWSKA, WERONIKA</t>
        </is>
      </c>
      <c r="I148" t="inlineStr">
        <is>
          <t>Shift manager/Supervisor</t>
        </is>
      </c>
      <c r="J148" t="inlineStr">
        <is>
          <t>Standard 0,25|10h</t>
        </is>
      </c>
      <c r="K148" t="n">
        <v>7.99</v>
      </c>
      <c r="L148" t="inlineStr">
        <is>
          <t>384</t>
        </is>
      </c>
      <c r="M148" t="inlineStr">
        <is>
          <t>108120 SBX Warszawa Janki</t>
        </is>
      </c>
      <c r="N148" t="inlineStr">
        <is>
          <t>2026-09-11 19:06</t>
        </is>
      </c>
    </row>
    <row r="149">
      <c r="A149" t="n">
        <v>148</v>
      </c>
      <c r="B149" t="inlineStr">
        <is>
          <t>2026-06-13</t>
        </is>
      </c>
      <c r="C149" t="n">
        <v>2026</v>
      </c>
      <c r="D149" t="inlineStr">
        <is>
          <t>Czerwiec</t>
        </is>
      </c>
      <c r="E149" t="inlineStr">
        <is>
          <t>W3</t>
        </is>
      </c>
      <c r="F149" t="inlineStr">
        <is>
          <t>2026_Czerwiec_W3</t>
        </is>
      </c>
      <c r="G149" t="inlineStr">
        <is>
          <t>Sob</t>
        </is>
      </c>
      <c r="H149" t="inlineStr">
        <is>
          <t>BIEŃKOWSKA, WERONIKA</t>
        </is>
      </c>
      <c r="I149" t="inlineStr">
        <is>
          <t>Shift manager/Supervisor</t>
        </is>
      </c>
      <c r="J149" t="inlineStr">
        <is>
          <t>Standard 0,25|10h</t>
        </is>
      </c>
      <c r="K149" t="n">
        <v>8.109999999999999</v>
      </c>
      <c r="L149" t="inlineStr">
        <is>
          <t>384</t>
        </is>
      </c>
      <c r="M149" t="inlineStr">
        <is>
          <t>108120 SBX Warszawa Janki</t>
        </is>
      </c>
      <c r="N149" t="inlineStr">
        <is>
          <t>2026-09-11 19:06</t>
        </is>
      </c>
    </row>
    <row r="150">
      <c r="A150" t="n">
        <v>149</v>
      </c>
      <c r="B150" t="inlineStr">
        <is>
          <t>2026-06-14</t>
        </is>
      </c>
      <c r="C150" t="n">
        <v>2026</v>
      </c>
      <c r="D150" t="inlineStr">
        <is>
          <t>Czerwiec</t>
        </is>
      </c>
      <c r="E150" t="inlineStr">
        <is>
          <t>W3</t>
        </is>
      </c>
      <c r="F150" t="inlineStr">
        <is>
          <t>2026_Czerwiec_W3</t>
        </is>
      </c>
      <c r="G150" t="inlineStr">
        <is>
          <t>Nd</t>
        </is>
      </c>
      <c r="H150" t="inlineStr">
        <is>
          <t>BIEŃKOWSKA, WERONIKA</t>
        </is>
      </c>
      <c r="I150" t="inlineStr">
        <is>
          <t>Shift manager/Supervisor</t>
        </is>
      </c>
      <c r="J150" t="inlineStr">
        <is>
          <t>Standard 0,25|10h</t>
        </is>
      </c>
      <c r="K150" t="n">
        <v>7</v>
      </c>
      <c r="L150" t="inlineStr">
        <is>
          <t>384</t>
        </is>
      </c>
      <c r="M150" t="inlineStr">
        <is>
          <t>108120 SBX Warszawa Janki</t>
        </is>
      </c>
      <c r="N150" t="inlineStr">
        <is>
          <t>2026-09-11 19:06</t>
        </is>
      </c>
    </row>
    <row r="151">
      <c r="A151" t="n">
        <v>150</v>
      </c>
      <c r="B151" t="inlineStr">
        <is>
          <t>2026-06-27</t>
        </is>
      </c>
      <c r="C151" t="n">
        <v>2026</v>
      </c>
      <c r="D151" t="inlineStr">
        <is>
          <t>Czerwiec</t>
        </is>
      </c>
      <c r="E151" t="inlineStr">
        <is>
          <t>W5</t>
        </is>
      </c>
      <c r="F151" t="inlineStr">
        <is>
          <t>2026_Czerwiec_W5</t>
        </is>
      </c>
      <c r="G151" t="inlineStr">
        <is>
          <t>Sob</t>
        </is>
      </c>
      <c r="H151" t="inlineStr">
        <is>
          <t>BIEŃKOWSKA, WERONIKA</t>
        </is>
      </c>
      <c r="I151" t="inlineStr">
        <is>
          <t>Shift manager/Supervisor</t>
        </is>
      </c>
      <c r="J151" t="inlineStr">
        <is>
          <t>Standard 0,25|10h</t>
        </is>
      </c>
      <c r="K151" t="n">
        <v>9.84</v>
      </c>
      <c r="L151" t="inlineStr">
        <is>
          <t>384</t>
        </is>
      </c>
      <c r="M151" t="inlineStr">
        <is>
          <t>108120 SBX Warszawa Janki</t>
        </is>
      </c>
      <c r="N151" t="inlineStr">
        <is>
          <t>2026-09-11 19:06</t>
        </is>
      </c>
    </row>
    <row r="152">
      <c r="A152" t="n">
        <v>151</v>
      </c>
      <c r="B152" t="inlineStr">
        <is>
          <t>2026-07-15</t>
        </is>
      </c>
      <c r="C152" t="n">
        <v>2026</v>
      </c>
      <c r="D152" t="inlineStr">
        <is>
          <t>Lipiec</t>
        </is>
      </c>
      <c r="E152" t="inlineStr">
        <is>
          <t>W3</t>
        </is>
      </c>
      <c r="F152" t="inlineStr">
        <is>
          <t>2026_Lipiec_W3</t>
        </is>
      </c>
      <c r="G152" t="inlineStr">
        <is>
          <t>Śr</t>
        </is>
      </c>
      <c r="H152" t="inlineStr">
        <is>
          <t>BIEŃKOWSKA, WERONIKA</t>
        </is>
      </c>
      <c r="I152" t="inlineStr">
        <is>
          <t>Shift manager/Supervisor</t>
        </is>
      </c>
      <c r="J152" t="inlineStr">
        <is>
          <t>Standard 0,5|20h</t>
        </is>
      </c>
      <c r="K152" t="n">
        <v>8.390000000000001</v>
      </c>
      <c r="L152" t="inlineStr">
        <is>
          <t>384</t>
        </is>
      </c>
      <c r="M152" t="inlineStr">
        <is>
          <t>108120 SBX Warszawa Janki</t>
        </is>
      </c>
      <c r="N152" t="inlineStr">
        <is>
          <t>2026-09-11 19:06</t>
        </is>
      </c>
    </row>
    <row r="153">
      <c r="A153" t="n">
        <v>152</v>
      </c>
      <c r="B153" t="inlineStr">
        <is>
          <t>2026-07-17</t>
        </is>
      </c>
      <c r="C153" t="n">
        <v>2026</v>
      </c>
      <c r="D153" t="inlineStr">
        <is>
          <t>Lipiec</t>
        </is>
      </c>
      <c r="E153" t="inlineStr">
        <is>
          <t>W3</t>
        </is>
      </c>
      <c r="F153" t="inlineStr">
        <is>
          <t>2026_Lipiec_W3</t>
        </is>
      </c>
      <c r="G153" t="inlineStr">
        <is>
          <t>Pt</t>
        </is>
      </c>
      <c r="H153" t="inlineStr">
        <is>
          <t>BIEŃKOWSKA, WERONIKA</t>
        </is>
      </c>
      <c r="I153" t="inlineStr">
        <is>
          <t>Shift manager/Supervisor</t>
        </is>
      </c>
      <c r="J153" t="inlineStr">
        <is>
          <t>Standard 0,5|20h</t>
        </is>
      </c>
      <c r="K153" t="n">
        <v>8.1</v>
      </c>
      <c r="L153" t="inlineStr">
        <is>
          <t>384</t>
        </is>
      </c>
      <c r="M153" t="inlineStr">
        <is>
          <t>108120 SBX Warszawa Janki</t>
        </is>
      </c>
      <c r="N153" t="inlineStr">
        <is>
          <t>2026-09-11 19:06</t>
        </is>
      </c>
    </row>
    <row r="154">
      <c r="A154" t="n">
        <v>153</v>
      </c>
      <c r="B154" t="inlineStr">
        <is>
          <t>2026-07-18</t>
        </is>
      </c>
      <c r="C154" t="n">
        <v>2026</v>
      </c>
      <c r="D154" t="inlineStr">
        <is>
          <t>Lipiec</t>
        </is>
      </c>
      <c r="E154" t="inlineStr">
        <is>
          <t>W3</t>
        </is>
      </c>
      <c r="F154" t="inlineStr">
        <is>
          <t>2026_Lipiec_W3</t>
        </is>
      </c>
      <c r="G154" t="inlineStr">
        <is>
          <t>Sob</t>
        </is>
      </c>
      <c r="H154" t="inlineStr">
        <is>
          <t>BIEŃKOWSKA, WERONIKA</t>
        </is>
      </c>
      <c r="I154" t="inlineStr">
        <is>
          <t>Shift manager/Supervisor</t>
        </is>
      </c>
      <c r="J154" t="inlineStr">
        <is>
          <t>Standard 0,5|20h</t>
        </is>
      </c>
      <c r="K154" t="n">
        <v>8.06</v>
      </c>
      <c r="L154" t="inlineStr">
        <is>
          <t>384</t>
        </is>
      </c>
      <c r="M154" t="inlineStr">
        <is>
          <t>108120 SBX Warszawa Janki</t>
        </is>
      </c>
      <c r="N154" t="inlineStr">
        <is>
          <t>2026-09-11 19:06</t>
        </is>
      </c>
    </row>
    <row r="155">
      <c r="A155" t="n">
        <v>154</v>
      </c>
      <c r="B155" t="inlineStr">
        <is>
          <t>2026-07-20</t>
        </is>
      </c>
      <c r="C155" t="n">
        <v>2026</v>
      </c>
      <c r="D155" t="inlineStr">
        <is>
          <t>Lipiec</t>
        </is>
      </c>
      <c r="E155" t="inlineStr">
        <is>
          <t>W3</t>
        </is>
      </c>
      <c r="F155" t="inlineStr">
        <is>
          <t>2026_Lipiec_W3</t>
        </is>
      </c>
      <c r="G155" t="inlineStr">
        <is>
          <t>Pn</t>
        </is>
      </c>
      <c r="H155" t="inlineStr">
        <is>
          <t>BIEŃKOWSKA, WERONIKA</t>
        </is>
      </c>
      <c r="I155" t="inlineStr">
        <is>
          <t>Shift manager/Supervisor</t>
        </is>
      </c>
      <c r="J155" t="inlineStr">
        <is>
          <t>Standard 0,5|20h</t>
        </is>
      </c>
      <c r="K155" t="n">
        <v>7.16</v>
      </c>
      <c r="L155" t="inlineStr">
        <is>
          <t>384</t>
        </is>
      </c>
      <c r="M155" t="inlineStr">
        <is>
          <t>108120 SBX Warszawa Janki</t>
        </is>
      </c>
      <c r="N155" t="inlineStr">
        <is>
          <t>2026-09-11 19:06</t>
        </is>
      </c>
    </row>
    <row r="156">
      <c r="A156" t="n">
        <v>155</v>
      </c>
      <c r="B156" t="inlineStr">
        <is>
          <t>2026-07-21</t>
        </is>
      </c>
      <c r="C156" t="n">
        <v>2026</v>
      </c>
      <c r="D156" t="inlineStr">
        <is>
          <t>Lipiec</t>
        </is>
      </c>
      <c r="E156" t="inlineStr">
        <is>
          <t>W4</t>
        </is>
      </c>
      <c r="F156" t="inlineStr">
        <is>
          <t>2026_Lipiec_W4</t>
        </is>
      </c>
      <c r="G156" t="inlineStr">
        <is>
          <t>Wt</t>
        </is>
      </c>
      <c r="H156" t="inlineStr">
        <is>
          <t>BIEŃKOWSKA, WERONIKA</t>
        </is>
      </c>
      <c r="I156" t="inlineStr">
        <is>
          <t>Shift manager/Supervisor</t>
        </is>
      </c>
      <c r="J156" t="inlineStr">
        <is>
          <t>Standard 0,5|20h</t>
        </is>
      </c>
      <c r="K156" t="n">
        <v>8.33</v>
      </c>
      <c r="L156" t="inlineStr">
        <is>
          <t>384</t>
        </is>
      </c>
      <c r="M156" t="inlineStr">
        <is>
          <t>108120 SBX Warszawa Janki</t>
        </is>
      </c>
      <c r="N156" t="inlineStr">
        <is>
          <t>2026-09-11 19:06</t>
        </is>
      </c>
    </row>
    <row r="157">
      <c r="A157" t="n">
        <v>156</v>
      </c>
      <c r="B157" t="inlineStr">
        <is>
          <t>2026-07-25</t>
        </is>
      </c>
      <c r="C157" t="n">
        <v>2026</v>
      </c>
      <c r="D157" t="inlineStr">
        <is>
          <t>Lipiec</t>
        </is>
      </c>
      <c r="E157" t="inlineStr">
        <is>
          <t>W4</t>
        </is>
      </c>
      <c r="F157" t="inlineStr">
        <is>
          <t>2026_Lipiec_W4</t>
        </is>
      </c>
      <c r="G157" t="inlineStr">
        <is>
          <t>Sob</t>
        </is>
      </c>
      <c r="H157" t="inlineStr">
        <is>
          <t>BIEŃKOWSKA, WERONIKA</t>
        </is>
      </c>
      <c r="I157" t="inlineStr">
        <is>
          <t>Shift manager/Supervisor</t>
        </is>
      </c>
      <c r="J157" t="inlineStr">
        <is>
          <t>Standard 0,5|20h</t>
        </is>
      </c>
      <c r="K157" t="n">
        <v>8.27</v>
      </c>
      <c r="L157" t="inlineStr">
        <is>
          <t>384</t>
        </is>
      </c>
      <c r="M157" t="inlineStr">
        <is>
          <t>108120 SBX Warszawa Janki</t>
        </is>
      </c>
      <c r="N157" t="inlineStr">
        <is>
          <t>2026-09-11 19:06</t>
        </is>
      </c>
    </row>
    <row r="158">
      <c r="A158" t="n">
        <v>157</v>
      </c>
      <c r="B158" t="inlineStr">
        <is>
          <t>2026-07-26</t>
        </is>
      </c>
      <c r="C158" t="n">
        <v>2026</v>
      </c>
      <c r="D158" t="inlineStr">
        <is>
          <t>Lipiec</t>
        </is>
      </c>
      <c r="E158" t="inlineStr">
        <is>
          <t>W4</t>
        </is>
      </c>
      <c r="F158" t="inlineStr">
        <is>
          <t>2026_Lipiec_W4</t>
        </is>
      </c>
      <c r="G158" t="inlineStr">
        <is>
          <t>Nd</t>
        </is>
      </c>
      <c r="H158" t="inlineStr">
        <is>
          <t>BIEŃKOWSKA, WERONIKA</t>
        </is>
      </c>
      <c r="I158" t="inlineStr">
        <is>
          <t>Shift manager/Supervisor</t>
        </is>
      </c>
      <c r="J158" t="inlineStr">
        <is>
          <t>Standard 0,5|20h</t>
        </is>
      </c>
      <c r="K158" t="n">
        <v>7.25</v>
      </c>
      <c r="L158" t="inlineStr">
        <is>
          <t>384</t>
        </is>
      </c>
      <c r="M158" t="inlineStr">
        <is>
          <t>108120 SBX Warszawa Janki</t>
        </is>
      </c>
      <c r="N158" t="inlineStr">
        <is>
          <t>2026-09-11 19:06</t>
        </is>
      </c>
    </row>
    <row r="159">
      <c r="A159" t="n">
        <v>158</v>
      </c>
      <c r="B159" t="inlineStr">
        <is>
          <t>2026-07-31</t>
        </is>
      </c>
      <c r="C159" t="n">
        <v>2026</v>
      </c>
      <c r="D159" t="inlineStr">
        <is>
          <t>Lipiec</t>
        </is>
      </c>
      <c r="E159" t="inlineStr">
        <is>
          <t>W5</t>
        </is>
      </c>
      <c r="F159" t="inlineStr">
        <is>
          <t>2026_Lipiec_W5</t>
        </is>
      </c>
      <c r="G159" t="inlineStr">
        <is>
          <t>Pt</t>
        </is>
      </c>
      <c r="H159" t="inlineStr">
        <is>
          <t>BIEŃKOWSKA, WERONIKA</t>
        </is>
      </c>
      <c r="I159" t="inlineStr">
        <is>
          <t>Shift manager/Supervisor</t>
        </is>
      </c>
      <c r="J159" t="inlineStr">
        <is>
          <t>Standard 0,5|20h</t>
        </is>
      </c>
      <c r="K159" t="n">
        <v>8.539999999999999</v>
      </c>
      <c r="L159" t="inlineStr">
        <is>
          <t>384</t>
        </is>
      </c>
      <c r="M159" t="inlineStr">
        <is>
          <t>108120 SBX Warszawa Janki</t>
        </is>
      </c>
      <c r="N159" t="inlineStr">
        <is>
          <t>2026-09-11 19:06</t>
        </is>
      </c>
    </row>
    <row r="160">
      <c r="A160" t="n">
        <v>159</v>
      </c>
      <c r="B160" t="inlineStr">
        <is>
          <t>2026-08-01</t>
        </is>
      </c>
      <c r="C160" t="n">
        <v>2026</v>
      </c>
      <c r="D160" t="inlineStr">
        <is>
          <t>Sierpień</t>
        </is>
      </c>
      <c r="E160" t="inlineStr">
        <is>
          <t>W1</t>
        </is>
      </c>
      <c r="F160" t="inlineStr">
        <is>
          <t>2026_Sierpień_W1</t>
        </is>
      </c>
      <c r="G160" t="inlineStr">
        <is>
          <t>Sob</t>
        </is>
      </c>
      <c r="H160" t="inlineStr">
        <is>
          <t>BIEŃKOWSKA, WERONIKA</t>
        </is>
      </c>
      <c r="I160" t="inlineStr">
        <is>
          <t>Shift manager/Supervisor</t>
        </is>
      </c>
      <c r="J160" t="inlineStr">
        <is>
          <t>Standard 0,5|20h</t>
        </is>
      </c>
      <c r="K160" t="n">
        <v>6.91</v>
      </c>
      <c r="L160" t="inlineStr">
        <is>
          <t>384</t>
        </is>
      </c>
      <c r="M160" t="inlineStr">
        <is>
          <t>108120 SBX Warszawa Janki</t>
        </is>
      </c>
      <c r="N160" t="inlineStr">
        <is>
          <t>2026-09-11 19:06</t>
        </is>
      </c>
    </row>
    <row r="161">
      <c r="A161" t="n">
        <v>160</v>
      </c>
      <c r="B161" t="inlineStr">
        <is>
          <t>2026-08-02</t>
        </is>
      </c>
      <c r="C161" t="n">
        <v>2026</v>
      </c>
      <c r="D161" t="inlineStr">
        <is>
          <t>Sierpień</t>
        </is>
      </c>
      <c r="E161" t="inlineStr">
        <is>
          <t>W1</t>
        </is>
      </c>
      <c r="F161" t="inlineStr">
        <is>
          <t>2026_Sierpień_W1</t>
        </is>
      </c>
      <c r="G161" t="inlineStr">
        <is>
          <t>Nd</t>
        </is>
      </c>
      <c r="H161" t="inlineStr">
        <is>
          <t>BIEŃKOWSKA, WERONIKA</t>
        </is>
      </c>
      <c r="I161" t="inlineStr">
        <is>
          <t>Shift manager/Supervisor</t>
        </is>
      </c>
      <c r="J161" t="inlineStr">
        <is>
          <t>Standard 0,5|20h</t>
        </is>
      </c>
      <c r="K161" t="n">
        <v>7.84</v>
      </c>
      <c r="L161" t="inlineStr">
        <is>
          <t>384</t>
        </is>
      </c>
      <c r="M161" t="inlineStr">
        <is>
          <t>108120 SBX Warszawa Janki</t>
        </is>
      </c>
      <c r="N161" t="inlineStr">
        <is>
          <t>2026-09-11 19:06</t>
        </is>
      </c>
    </row>
    <row r="162">
      <c r="A162" t="n">
        <v>161</v>
      </c>
      <c r="B162" t="inlineStr">
        <is>
          <t>2026-08-06</t>
        </is>
      </c>
      <c r="C162" t="n">
        <v>2026</v>
      </c>
      <c r="D162" t="inlineStr">
        <is>
          <t>Sierpień</t>
        </is>
      </c>
      <c r="E162" t="inlineStr">
        <is>
          <t>W2</t>
        </is>
      </c>
      <c r="F162" t="inlineStr">
        <is>
          <t>2026_Sierpień_W2</t>
        </is>
      </c>
      <c r="G162" t="inlineStr">
        <is>
          <t>Czw</t>
        </is>
      </c>
      <c r="H162" t="inlineStr">
        <is>
          <t>BIEŃKOWSKA, WERONIKA</t>
        </is>
      </c>
      <c r="I162" t="inlineStr">
        <is>
          <t>Shift manager/Supervisor</t>
        </is>
      </c>
      <c r="J162" t="inlineStr">
        <is>
          <t>Standard 0,5|20h</t>
        </is>
      </c>
      <c r="K162" t="n">
        <v>8.34</v>
      </c>
      <c r="L162" t="inlineStr">
        <is>
          <t>384</t>
        </is>
      </c>
      <c r="M162" t="inlineStr">
        <is>
          <t>108120 SBX Warszawa Janki</t>
        </is>
      </c>
      <c r="N162" t="inlineStr">
        <is>
          <t>2026-09-11 19:06</t>
        </is>
      </c>
    </row>
    <row r="163">
      <c r="A163" t="n">
        <v>162</v>
      </c>
      <c r="B163" t="inlineStr">
        <is>
          <t>2026-08-10</t>
        </is>
      </c>
      <c r="C163" t="n">
        <v>2026</v>
      </c>
      <c r="D163" t="inlineStr">
        <is>
          <t>Sierpień</t>
        </is>
      </c>
      <c r="E163" t="inlineStr">
        <is>
          <t>W2</t>
        </is>
      </c>
      <c r="F163" t="inlineStr">
        <is>
          <t>2026_Sierpień_W2</t>
        </is>
      </c>
      <c r="G163" t="inlineStr">
        <is>
          <t>Pn</t>
        </is>
      </c>
      <c r="H163" t="inlineStr">
        <is>
          <t>BIEŃKOWSKA, WERONIKA</t>
        </is>
      </c>
      <c r="I163" t="inlineStr">
        <is>
          <t>Shift manager/Supervisor</t>
        </is>
      </c>
      <c r="J163" t="inlineStr">
        <is>
          <t>Standard 0,5|20h</t>
        </is>
      </c>
      <c r="K163" t="n">
        <v>8.67</v>
      </c>
      <c r="L163" t="inlineStr">
        <is>
          <t>384</t>
        </is>
      </c>
      <c r="M163" t="inlineStr">
        <is>
          <t>108120 SBX Warszawa Janki</t>
        </is>
      </c>
      <c r="N163" t="inlineStr">
        <is>
          <t>2026-09-11 19:06</t>
        </is>
      </c>
    </row>
    <row r="164">
      <c r="A164" t="n">
        <v>163</v>
      </c>
      <c r="B164" t="inlineStr">
        <is>
          <t>2026-08-12</t>
        </is>
      </c>
      <c r="C164" t="n">
        <v>2026</v>
      </c>
      <c r="D164" t="inlineStr">
        <is>
          <t>Sierpień</t>
        </is>
      </c>
      <c r="E164" t="inlineStr">
        <is>
          <t>W3</t>
        </is>
      </c>
      <c r="F164" t="inlineStr">
        <is>
          <t>2026_Sierpień_W3</t>
        </is>
      </c>
      <c r="G164" t="inlineStr">
        <is>
          <t>Śr</t>
        </is>
      </c>
      <c r="H164" t="inlineStr">
        <is>
          <t>BIEŃKOWSKA, WERONIKA</t>
        </is>
      </c>
      <c r="I164" t="inlineStr">
        <is>
          <t>Shift manager/Supervisor</t>
        </is>
      </c>
      <c r="J164" t="inlineStr">
        <is>
          <t>Standard 0,5|20h</t>
        </is>
      </c>
      <c r="K164" t="n">
        <v>8.52</v>
      </c>
      <c r="L164" t="inlineStr">
        <is>
          <t>384</t>
        </is>
      </c>
      <c r="M164" t="inlineStr">
        <is>
          <t>108120 SBX Warszawa Janki</t>
        </is>
      </c>
      <c r="N164" t="inlineStr">
        <is>
          <t>2026-09-11 19:06</t>
        </is>
      </c>
    </row>
    <row r="165">
      <c r="A165" t="n">
        <v>164</v>
      </c>
      <c r="B165" t="inlineStr">
        <is>
          <t>2026-09-01</t>
        </is>
      </c>
      <c r="C165" t="n">
        <v>2026</v>
      </c>
      <c r="D165" t="inlineStr">
        <is>
          <t>Wrzesień</t>
        </is>
      </c>
      <c r="E165" t="inlineStr">
        <is>
          <t>W1</t>
        </is>
      </c>
      <c r="F165" t="inlineStr">
        <is>
          <t>2026_Wrzesień_W1</t>
        </is>
      </c>
      <c r="G165" t="inlineStr">
        <is>
          <t>Wt</t>
        </is>
      </c>
      <c r="H165" t="inlineStr">
        <is>
          <t>BIEŃKOWSKA, WERONIKA</t>
        </is>
      </c>
      <c r="I165" t="inlineStr">
        <is>
          <t>Shift manager/Supervisor</t>
        </is>
      </c>
      <c r="J165" t="inlineStr">
        <is>
          <t>Standard 0,5|20h</t>
        </is>
      </c>
      <c r="K165" t="n">
        <v>8.9</v>
      </c>
      <c r="L165" t="inlineStr">
        <is>
          <t>384</t>
        </is>
      </c>
      <c r="M165" t="inlineStr">
        <is>
          <t>108120 SBX Warszawa Janki</t>
        </is>
      </c>
      <c r="N165" t="inlineStr">
        <is>
          <t>2026-09-11 19:06</t>
        </is>
      </c>
    </row>
    <row r="166">
      <c r="A166" t="n">
        <v>165</v>
      </c>
      <c r="B166" t="inlineStr">
        <is>
          <t>2026-01-02</t>
        </is>
      </c>
      <c r="C166" t="n">
        <v>2026</v>
      </c>
      <c r="D166" t="inlineStr">
        <is>
          <t>Styczeń</t>
        </is>
      </c>
      <c r="E166" t="inlineStr">
        <is>
          <t>W1</t>
        </is>
      </c>
      <c r="F166" t="inlineStr">
        <is>
          <t>2026_Styczeń_W1</t>
        </is>
      </c>
      <c r="G166" t="inlineStr">
        <is>
          <t>Pt</t>
        </is>
      </c>
      <c r="H166" t="inlineStr">
        <is>
          <t>BORUC, AGATA</t>
        </is>
      </c>
      <c r="I166" t="inlineStr">
        <is>
          <t>Crew Civil</t>
        </is>
      </c>
      <c r="J166" t="inlineStr">
        <is>
          <t>Zlecenie</t>
        </is>
      </c>
      <c r="K166" t="n">
        <v>7.38</v>
      </c>
      <c r="L166" t="inlineStr">
        <is>
          <t>384</t>
        </is>
      </c>
      <c r="M166" t="inlineStr">
        <is>
          <t>108120 SBX Warszawa Janki</t>
        </is>
      </c>
      <c r="N166" t="inlineStr">
        <is>
          <t>2026-09-11 19:06</t>
        </is>
      </c>
    </row>
    <row r="167">
      <c r="A167" t="n">
        <v>166</v>
      </c>
      <c r="B167" t="inlineStr">
        <is>
          <t>2026-01-04</t>
        </is>
      </c>
      <c r="C167" t="n">
        <v>2026</v>
      </c>
      <c r="D167" t="inlineStr">
        <is>
          <t>Styczeń</t>
        </is>
      </c>
      <c r="E167" t="inlineStr">
        <is>
          <t>W1</t>
        </is>
      </c>
      <c r="F167" t="inlineStr">
        <is>
          <t>2026_Styczeń_W1</t>
        </is>
      </c>
      <c r="G167" t="inlineStr">
        <is>
          <t>Nd</t>
        </is>
      </c>
      <c r="H167" t="inlineStr">
        <is>
          <t>BORUC, AGATA</t>
        </is>
      </c>
      <c r="I167" t="inlineStr">
        <is>
          <t>Crew Civil</t>
        </is>
      </c>
      <c r="J167" t="inlineStr">
        <is>
          <t>Zlecenie</t>
        </is>
      </c>
      <c r="K167" t="n">
        <v>5.01</v>
      </c>
      <c r="L167" t="inlineStr">
        <is>
          <t>384</t>
        </is>
      </c>
      <c r="M167" t="inlineStr">
        <is>
          <t>108120 SBX Warszawa Janki</t>
        </is>
      </c>
      <c r="N167" t="inlineStr">
        <is>
          <t>2026-09-11 19:06</t>
        </is>
      </c>
    </row>
    <row r="168">
      <c r="A168" t="n">
        <v>167</v>
      </c>
      <c r="B168" t="inlineStr">
        <is>
          <t>2026-01-04</t>
        </is>
      </c>
      <c r="C168" t="n">
        <v>2026</v>
      </c>
      <c r="D168" t="inlineStr">
        <is>
          <t>Styczeń</t>
        </is>
      </c>
      <c r="E168" t="inlineStr">
        <is>
          <t>W1</t>
        </is>
      </c>
      <c r="F168" t="inlineStr">
        <is>
          <t>2026_Styczeń_W1</t>
        </is>
      </c>
      <c r="G168" t="inlineStr">
        <is>
          <t>Nd</t>
        </is>
      </c>
      <c r="H168" t="inlineStr">
        <is>
          <t>BORUC, AGATA</t>
        </is>
      </c>
      <c r="I168" t="inlineStr">
        <is>
          <t>Crew Civil</t>
        </is>
      </c>
      <c r="J168" t="inlineStr">
        <is>
          <t>Zlecenie</t>
        </is>
      </c>
      <c r="K168" t="n">
        <v>1.32</v>
      </c>
      <c r="L168" t="inlineStr">
        <is>
          <t>384</t>
        </is>
      </c>
      <c r="M168" t="inlineStr">
        <is>
          <t>108120 SBX Warszawa Janki</t>
        </is>
      </c>
      <c r="N168" t="inlineStr">
        <is>
          <t>2026-09-11 19:06</t>
        </is>
      </c>
    </row>
    <row r="169">
      <c r="A169" t="n">
        <v>168</v>
      </c>
      <c r="B169" t="inlineStr">
        <is>
          <t>2026-01-11</t>
        </is>
      </c>
      <c r="C169" t="n">
        <v>2026</v>
      </c>
      <c r="D169" t="inlineStr">
        <is>
          <t>Styczeń</t>
        </is>
      </c>
      <c r="E169" t="inlineStr">
        <is>
          <t>W2</t>
        </is>
      </c>
      <c r="F169" t="inlineStr">
        <is>
          <t>2026_Styczeń_W2</t>
        </is>
      </c>
      <c r="G169" t="inlineStr">
        <is>
          <t>Nd</t>
        </is>
      </c>
      <c r="H169" t="inlineStr">
        <is>
          <t>BORUC, AGATA</t>
        </is>
      </c>
      <c r="I169" t="inlineStr">
        <is>
          <t>Crew Civil</t>
        </is>
      </c>
      <c r="J169" t="inlineStr">
        <is>
          <t>Zlecenie</t>
        </is>
      </c>
      <c r="K169" t="n">
        <v>5.13</v>
      </c>
      <c r="L169" t="inlineStr">
        <is>
          <t>384</t>
        </is>
      </c>
      <c r="M169" t="inlineStr">
        <is>
          <t>108120 SBX Warszawa Janki</t>
        </is>
      </c>
      <c r="N169" t="inlineStr">
        <is>
          <t>2026-09-11 19:06</t>
        </is>
      </c>
    </row>
    <row r="170">
      <c r="A170" t="n">
        <v>169</v>
      </c>
      <c r="B170" t="inlineStr">
        <is>
          <t>2026-01-16</t>
        </is>
      </c>
      <c r="C170" t="n">
        <v>2026</v>
      </c>
      <c r="D170" t="inlineStr">
        <is>
          <t>Styczeń</t>
        </is>
      </c>
      <c r="E170" t="inlineStr">
        <is>
          <t>W3</t>
        </is>
      </c>
      <c r="F170" t="inlineStr">
        <is>
          <t>2026_Styczeń_W3</t>
        </is>
      </c>
      <c r="G170" t="inlineStr">
        <is>
          <t>Pt</t>
        </is>
      </c>
      <c r="H170" t="inlineStr">
        <is>
          <t>BORUC, AGATA</t>
        </is>
      </c>
      <c r="I170" t="inlineStr">
        <is>
          <t>Crew Civil</t>
        </is>
      </c>
      <c r="J170" t="inlineStr">
        <is>
          <t>Zlecenie</t>
        </is>
      </c>
      <c r="K170" t="n">
        <v>6.6</v>
      </c>
      <c r="L170" t="inlineStr">
        <is>
          <t>384</t>
        </is>
      </c>
      <c r="M170" t="inlineStr">
        <is>
          <t>108120 SBX Warszawa Janki</t>
        </is>
      </c>
      <c r="N170" t="inlineStr">
        <is>
          <t>2026-09-11 19:06</t>
        </is>
      </c>
    </row>
    <row r="171">
      <c r="A171" t="n">
        <v>170</v>
      </c>
      <c r="B171" t="inlineStr">
        <is>
          <t>2026-01-31</t>
        </is>
      </c>
      <c r="C171" t="n">
        <v>2026</v>
      </c>
      <c r="D171" t="inlineStr">
        <is>
          <t>Styczeń</t>
        </is>
      </c>
      <c r="E171" t="inlineStr">
        <is>
          <t>W5</t>
        </is>
      </c>
      <c r="F171" t="inlineStr">
        <is>
          <t>2026_Styczeń_W5</t>
        </is>
      </c>
      <c r="G171" t="inlineStr">
        <is>
          <t>Sob</t>
        </is>
      </c>
      <c r="H171" t="inlineStr">
        <is>
          <t>BORUC, AGATA</t>
        </is>
      </c>
      <c r="I171" t="inlineStr">
        <is>
          <t>Crew Civil</t>
        </is>
      </c>
      <c r="J171" t="inlineStr">
        <is>
          <t>Zlecenie</t>
        </is>
      </c>
      <c r="K171" t="n">
        <v>5.69</v>
      </c>
      <c r="L171" t="inlineStr">
        <is>
          <t>384</t>
        </is>
      </c>
      <c r="M171" t="inlineStr">
        <is>
          <t>108120 SBX Warszawa Janki</t>
        </is>
      </c>
      <c r="N171" t="inlineStr">
        <is>
          <t>2026-09-11 19:06</t>
        </is>
      </c>
    </row>
    <row r="172">
      <c r="A172" t="n">
        <v>171</v>
      </c>
      <c r="B172" t="inlineStr">
        <is>
          <t>2026-02-06</t>
        </is>
      </c>
      <c r="C172" t="n">
        <v>2026</v>
      </c>
      <c r="D172" t="inlineStr">
        <is>
          <t>Luty</t>
        </is>
      </c>
      <c r="E172" t="inlineStr">
        <is>
          <t>W2</t>
        </is>
      </c>
      <c r="F172" t="inlineStr">
        <is>
          <t>2026_Luty_W2</t>
        </is>
      </c>
      <c r="G172" t="inlineStr">
        <is>
          <t>Pt</t>
        </is>
      </c>
      <c r="H172" t="inlineStr">
        <is>
          <t>BORUC, AGATA</t>
        </is>
      </c>
      <c r="I172" t="inlineStr">
        <is>
          <t>Crew Civil</t>
        </is>
      </c>
      <c r="J172" t="inlineStr">
        <is>
          <t>Zlecenie</t>
        </is>
      </c>
      <c r="K172" t="n">
        <v>7.74</v>
      </c>
      <c r="L172" t="inlineStr">
        <is>
          <t>384</t>
        </is>
      </c>
      <c r="M172" t="inlineStr">
        <is>
          <t>108120 SBX Warszawa Janki</t>
        </is>
      </c>
      <c r="N172" t="inlineStr">
        <is>
          <t>2026-09-11 19:06</t>
        </is>
      </c>
    </row>
    <row r="173">
      <c r="A173" t="n">
        <v>172</v>
      </c>
      <c r="B173" t="inlineStr">
        <is>
          <t>2026-02-14</t>
        </is>
      </c>
      <c r="C173" t="n">
        <v>2026</v>
      </c>
      <c r="D173" t="inlineStr">
        <is>
          <t>Luty</t>
        </is>
      </c>
      <c r="E173" t="inlineStr">
        <is>
          <t>W3</t>
        </is>
      </c>
      <c r="F173" t="inlineStr">
        <is>
          <t>2026_Luty_W3</t>
        </is>
      </c>
      <c r="G173" t="inlineStr">
        <is>
          <t>Sob</t>
        </is>
      </c>
      <c r="H173" t="inlineStr">
        <is>
          <t>BORUC, AGATA</t>
        </is>
      </c>
      <c r="I173" t="inlineStr">
        <is>
          <t>Crew Civil</t>
        </is>
      </c>
      <c r="J173" t="inlineStr">
        <is>
          <t>Zlecenie</t>
        </is>
      </c>
      <c r="K173" t="n">
        <v>7.71</v>
      </c>
      <c r="L173" t="inlineStr">
        <is>
          <t>384</t>
        </is>
      </c>
      <c r="M173" t="inlineStr">
        <is>
          <t>108120 SBX Warszawa Janki</t>
        </is>
      </c>
      <c r="N173" t="inlineStr">
        <is>
          <t>2026-09-11 19:06</t>
        </is>
      </c>
    </row>
    <row r="174">
      <c r="A174" t="n">
        <v>173</v>
      </c>
      <c r="B174" t="inlineStr">
        <is>
          <t>2026-02-20</t>
        </is>
      </c>
      <c r="C174" t="n">
        <v>2026</v>
      </c>
      <c r="D174" t="inlineStr">
        <is>
          <t>Luty</t>
        </is>
      </c>
      <c r="E174" t="inlineStr">
        <is>
          <t>W4</t>
        </is>
      </c>
      <c r="F174" t="inlineStr">
        <is>
          <t>2026_Luty_W4</t>
        </is>
      </c>
      <c r="G174" t="inlineStr">
        <is>
          <t>Pt</t>
        </is>
      </c>
      <c r="H174" t="inlineStr">
        <is>
          <t>BORUC, AGATA</t>
        </is>
      </c>
      <c r="I174" t="inlineStr">
        <is>
          <t>Crew Civil</t>
        </is>
      </c>
      <c r="J174" t="inlineStr">
        <is>
          <t>Zlecenie</t>
        </is>
      </c>
      <c r="K174" t="n">
        <v>6.51</v>
      </c>
      <c r="L174" t="inlineStr">
        <is>
          <t>384</t>
        </is>
      </c>
      <c r="M174" t="inlineStr">
        <is>
          <t>108120 SBX Warszawa Janki</t>
        </is>
      </c>
      <c r="N174" t="inlineStr">
        <is>
          <t>2026-09-11 19:06</t>
        </is>
      </c>
    </row>
    <row r="175">
      <c r="A175" t="n">
        <v>174</v>
      </c>
      <c r="B175" t="inlineStr">
        <is>
          <t>2026-03-11</t>
        </is>
      </c>
      <c r="C175" t="n">
        <v>2026</v>
      </c>
      <c r="D175" t="inlineStr">
        <is>
          <t>Marzec</t>
        </is>
      </c>
      <c r="E175" t="inlineStr">
        <is>
          <t>W3</t>
        </is>
      </c>
      <c r="F175" t="inlineStr">
        <is>
          <t>2026_Marzec_W3</t>
        </is>
      </c>
      <c r="G175" t="inlineStr">
        <is>
          <t>Śr</t>
        </is>
      </c>
      <c r="H175" t="inlineStr">
        <is>
          <t>BORUC, AGATA</t>
        </is>
      </c>
      <c r="I175" t="inlineStr">
        <is>
          <t>Crew Civil</t>
        </is>
      </c>
      <c r="J175" t="inlineStr">
        <is>
          <t>Zlecenie</t>
        </is>
      </c>
      <c r="K175" t="n">
        <v>4</v>
      </c>
      <c r="L175" t="inlineStr">
        <is>
          <t>384</t>
        </is>
      </c>
      <c r="M175" t="inlineStr">
        <is>
          <t>108120 SBX Warszawa Janki</t>
        </is>
      </c>
      <c r="N175" t="inlineStr">
        <is>
          <t>2026-09-11 19:06</t>
        </is>
      </c>
    </row>
    <row r="176">
      <c r="A176" t="n">
        <v>175</v>
      </c>
      <c r="B176" t="inlineStr">
        <is>
          <t>2026-03-14</t>
        </is>
      </c>
      <c r="C176" t="n">
        <v>2026</v>
      </c>
      <c r="D176" t="inlineStr">
        <is>
          <t>Marzec</t>
        </is>
      </c>
      <c r="E176" t="inlineStr">
        <is>
          <t>W3</t>
        </is>
      </c>
      <c r="F176" t="inlineStr">
        <is>
          <t>2026_Marzec_W3</t>
        </is>
      </c>
      <c r="G176" t="inlineStr">
        <is>
          <t>Sob</t>
        </is>
      </c>
      <c r="H176" t="inlineStr">
        <is>
          <t>BORUC, AGATA</t>
        </is>
      </c>
      <c r="I176" t="inlineStr">
        <is>
          <t>Crew Civil</t>
        </is>
      </c>
      <c r="J176" t="inlineStr">
        <is>
          <t>Zlecenie</t>
        </is>
      </c>
      <c r="K176" t="n">
        <v>6.77</v>
      </c>
      <c r="L176" t="inlineStr">
        <is>
          <t>384</t>
        </is>
      </c>
      <c r="M176" t="inlineStr">
        <is>
          <t>108120 SBX Warszawa Janki</t>
        </is>
      </c>
      <c r="N176" t="inlineStr">
        <is>
          <t>2026-09-11 19:06</t>
        </is>
      </c>
    </row>
    <row r="177">
      <c r="A177" t="n">
        <v>176</v>
      </c>
      <c r="B177" t="inlineStr">
        <is>
          <t>2026-03-21</t>
        </is>
      </c>
      <c r="C177" t="n">
        <v>2026</v>
      </c>
      <c r="D177" t="inlineStr">
        <is>
          <t>Marzec</t>
        </is>
      </c>
      <c r="E177" t="inlineStr">
        <is>
          <t>W4</t>
        </is>
      </c>
      <c r="F177" t="inlineStr">
        <is>
          <t>2026_Marzec_W4</t>
        </is>
      </c>
      <c r="G177" t="inlineStr">
        <is>
          <t>Sob</t>
        </is>
      </c>
      <c r="H177" t="inlineStr">
        <is>
          <t>BORUC, AGATA</t>
        </is>
      </c>
      <c r="I177" t="inlineStr">
        <is>
          <t>Crew Civil</t>
        </is>
      </c>
      <c r="J177" t="inlineStr">
        <is>
          <t>Zlecenie</t>
        </is>
      </c>
      <c r="K177" t="n">
        <v>8.109999999999999</v>
      </c>
      <c r="L177" t="inlineStr">
        <is>
          <t>384</t>
        </is>
      </c>
      <c r="M177" t="inlineStr">
        <is>
          <t>108120 SBX Warszawa Janki</t>
        </is>
      </c>
      <c r="N177" t="inlineStr">
        <is>
          <t>2026-09-11 19:06</t>
        </is>
      </c>
    </row>
    <row r="178">
      <c r="A178" t="n">
        <v>177</v>
      </c>
      <c r="B178" t="inlineStr">
        <is>
          <t>2026-04-03</t>
        </is>
      </c>
      <c r="C178" t="n">
        <v>2026</v>
      </c>
      <c r="D178" t="inlineStr">
        <is>
          <t>Kwiecień</t>
        </is>
      </c>
      <c r="E178" t="inlineStr">
        <is>
          <t>W1</t>
        </is>
      </c>
      <c r="F178" t="inlineStr">
        <is>
          <t>2026_Kwiecień_W1</t>
        </is>
      </c>
      <c r="G178" t="inlineStr">
        <is>
          <t>Pt</t>
        </is>
      </c>
      <c r="H178" t="inlineStr">
        <is>
          <t>BORUC, AGATA</t>
        </is>
      </c>
      <c r="I178" t="inlineStr">
        <is>
          <t>Crew Civil</t>
        </is>
      </c>
      <c r="J178" t="inlineStr">
        <is>
          <t>Zlecenie</t>
        </is>
      </c>
      <c r="K178" t="n">
        <v>6.51</v>
      </c>
      <c r="L178" t="inlineStr">
        <is>
          <t>384</t>
        </is>
      </c>
      <c r="M178" t="inlineStr">
        <is>
          <t>108120 SBX Warszawa Janki</t>
        </is>
      </c>
      <c r="N178" t="inlineStr">
        <is>
          <t>2026-09-11 19:06</t>
        </is>
      </c>
    </row>
    <row r="179">
      <c r="A179" t="n">
        <v>178</v>
      </c>
      <c r="B179" t="inlineStr">
        <is>
          <t>2026-04-08</t>
        </is>
      </c>
      <c r="C179" t="n">
        <v>2026</v>
      </c>
      <c r="D179" t="inlineStr">
        <is>
          <t>Kwiecień</t>
        </is>
      </c>
      <c r="E179" t="inlineStr">
        <is>
          <t>W2</t>
        </is>
      </c>
      <c r="F179" t="inlineStr">
        <is>
          <t>2026_Kwiecień_W2</t>
        </is>
      </c>
      <c r="G179" t="inlineStr">
        <is>
          <t>Śr</t>
        </is>
      </c>
      <c r="H179" t="inlineStr">
        <is>
          <t>BORUC, AGATA</t>
        </is>
      </c>
      <c r="I179" t="inlineStr">
        <is>
          <t>Crew Civil</t>
        </is>
      </c>
      <c r="J179" t="inlineStr">
        <is>
          <t>Zlecenie</t>
        </is>
      </c>
      <c r="K179" t="n">
        <v>5.98</v>
      </c>
      <c r="L179" t="inlineStr">
        <is>
          <t>384</t>
        </is>
      </c>
      <c r="M179" t="inlineStr">
        <is>
          <t>108120 SBX Warszawa Janki</t>
        </is>
      </c>
      <c r="N179" t="inlineStr">
        <is>
          <t>2026-09-11 19:06</t>
        </is>
      </c>
    </row>
    <row r="180">
      <c r="A180" t="n">
        <v>179</v>
      </c>
      <c r="B180" t="inlineStr">
        <is>
          <t>2026-04-11</t>
        </is>
      </c>
      <c r="C180" t="n">
        <v>2026</v>
      </c>
      <c r="D180" t="inlineStr">
        <is>
          <t>Kwiecień</t>
        </is>
      </c>
      <c r="E180" t="inlineStr">
        <is>
          <t>W2</t>
        </is>
      </c>
      <c r="F180" t="inlineStr">
        <is>
          <t>2026_Kwiecień_W2</t>
        </is>
      </c>
      <c r="G180" t="inlineStr">
        <is>
          <t>Sob</t>
        </is>
      </c>
      <c r="H180" t="inlineStr">
        <is>
          <t>BORUC, AGATA</t>
        </is>
      </c>
      <c r="I180" t="inlineStr">
        <is>
          <t>Crew Civil</t>
        </is>
      </c>
      <c r="J180" t="inlineStr">
        <is>
          <t>Zlecenie</t>
        </is>
      </c>
      <c r="K180" t="n">
        <v>7.06</v>
      </c>
      <c r="L180" t="inlineStr">
        <is>
          <t>384</t>
        </is>
      </c>
      <c r="M180" t="inlineStr">
        <is>
          <t>108120 SBX Warszawa Janki</t>
        </is>
      </c>
      <c r="N180" t="inlineStr">
        <is>
          <t>2026-09-11 19:06</t>
        </is>
      </c>
    </row>
    <row r="181">
      <c r="A181" t="n">
        <v>180</v>
      </c>
      <c r="B181" t="inlineStr">
        <is>
          <t>2026-04-18</t>
        </is>
      </c>
      <c r="C181" t="n">
        <v>2026</v>
      </c>
      <c r="D181" t="inlineStr">
        <is>
          <t>Kwiecień</t>
        </is>
      </c>
      <c r="E181" t="inlineStr">
        <is>
          <t>W3</t>
        </is>
      </c>
      <c r="F181" t="inlineStr">
        <is>
          <t>2026_Kwiecień_W3</t>
        </is>
      </c>
      <c r="G181" t="inlineStr">
        <is>
          <t>Sob</t>
        </is>
      </c>
      <c r="H181" t="inlineStr">
        <is>
          <t>BORUC, AGATA</t>
        </is>
      </c>
      <c r="I181" t="inlineStr">
        <is>
          <t>Crew Civil</t>
        </is>
      </c>
      <c r="J181" t="inlineStr">
        <is>
          <t>Zlecenie</t>
        </is>
      </c>
      <c r="K181" t="n">
        <v>7.42</v>
      </c>
      <c r="L181" t="inlineStr">
        <is>
          <t>384</t>
        </is>
      </c>
      <c r="M181" t="inlineStr">
        <is>
          <t>108120 SBX Warszawa Janki</t>
        </is>
      </c>
      <c r="N181" t="inlineStr">
        <is>
          <t>2026-09-11 19:06</t>
        </is>
      </c>
    </row>
    <row r="182">
      <c r="A182" t="n">
        <v>181</v>
      </c>
      <c r="B182" t="inlineStr">
        <is>
          <t>2026-04-28</t>
        </is>
      </c>
      <c r="C182" t="n">
        <v>2026</v>
      </c>
      <c r="D182" t="inlineStr">
        <is>
          <t>Kwiecień</t>
        </is>
      </c>
      <c r="E182" t="inlineStr">
        <is>
          <t>W5</t>
        </is>
      </c>
      <c r="F182" t="inlineStr">
        <is>
          <t>2026_Kwiecień_W5</t>
        </is>
      </c>
      <c r="G182" t="inlineStr">
        <is>
          <t>Wt</t>
        </is>
      </c>
      <c r="H182" t="inlineStr">
        <is>
          <t>BORUC, AGATA</t>
        </is>
      </c>
      <c r="I182" t="inlineStr">
        <is>
          <t>Crew Civil</t>
        </is>
      </c>
      <c r="J182" t="inlineStr">
        <is>
          <t>Zlecenie</t>
        </is>
      </c>
      <c r="K182" t="n">
        <v>2.75</v>
      </c>
      <c r="L182" t="inlineStr">
        <is>
          <t>384</t>
        </is>
      </c>
      <c r="M182" t="inlineStr">
        <is>
          <t>108120 SBX Warszawa Janki</t>
        </is>
      </c>
      <c r="N182" t="inlineStr">
        <is>
          <t>2026-09-11 19:06</t>
        </is>
      </c>
    </row>
    <row r="183">
      <c r="A183" t="n">
        <v>182</v>
      </c>
      <c r="B183" t="inlineStr">
        <is>
          <t>2026-05-20</t>
        </is>
      </c>
      <c r="C183" t="n">
        <v>2026</v>
      </c>
      <c r="D183" t="inlineStr">
        <is>
          <t>Maj</t>
        </is>
      </c>
      <c r="E183" t="inlineStr">
        <is>
          <t>W4</t>
        </is>
      </c>
      <c r="F183" t="inlineStr">
        <is>
          <t>2026_Maj_W4</t>
        </is>
      </c>
      <c r="G183" t="inlineStr">
        <is>
          <t>Śr</t>
        </is>
      </c>
      <c r="H183" t="inlineStr">
        <is>
          <t>BORUC, AGATA</t>
        </is>
      </c>
      <c r="I183" t="inlineStr">
        <is>
          <t>Crew Civil</t>
        </is>
      </c>
      <c r="J183" t="inlineStr">
        <is>
          <t>Zlecenie</t>
        </is>
      </c>
      <c r="K183" t="n">
        <v>6.92</v>
      </c>
      <c r="L183" t="inlineStr">
        <is>
          <t>384</t>
        </is>
      </c>
      <c r="M183" t="inlineStr">
        <is>
          <t>108120 SBX Warszawa Janki</t>
        </is>
      </c>
      <c r="N183" t="inlineStr">
        <is>
          <t>2026-09-11 19:06</t>
        </is>
      </c>
    </row>
    <row r="184">
      <c r="A184" t="n">
        <v>183</v>
      </c>
      <c r="B184" t="inlineStr">
        <is>
          <t>2026-05-23</t>
        </is>
      </c>
      <c r="C184" t="n">
        <v>2026</v>
      </c>
      <c r="D184" t="inlineStr">
        <is>
          <t>Maj</t>
        </is>
      </c>
      <c r="E184" t="inlineStr">
        <is>
          <t>W4</t>
        </is>
      </c>
      <c r="F184" t="inlineStr">
        <is>
          <t>2026_Maj_W4</t>
        </is>
      </c>
      <c r="G184" t="inlineStr">
        <is>
          <t>Sob</t>
        </is>
      </c>
      <c r="H184" t="inlineStr">
        <is>
          <t>BORUC, AGATA</t>
        </is>
      </c>
      <c r="I184" t="inlineStr">
        <is>
          <t>Crew Civil</t>
        </is>
      </c>
      <c r="J184" t="inlineStr">
        <is>
          <t>Zlecenie</t>
        </is>
      </c>
      <c r="K184" t="n">
        <v>7.82</v>
      </c>
      <c r="L184" t="inlineStr">
        <is>
          <t>384</t>
        </is>
      </c>
      <c r="M184" t="inlineStr">
        <is>
          <t>108120 SBX Warszawa Janki</t>
        </is>
      </c>
      <c r="N184" t="inlineStr">
        <is>
          <t>2026-09-11 19:06</t>
        </is>
      </c>
    </row>
    <row r="185">
      <c r="A185" t="n">
        <v>184</v>
      </c>
      <c r="B185" t="inlineStr">
        <is>
          <t>2026-05-30</t>
        </is>
      </c>
      <c r="C185" t="n">
        <v>2026</v>
      </c>
      <c r="D185" t="inlineStr">
        <is>
          <t>Maj</t>
        </is>
      </c>
      <c r="E185" t="inlineStr">
        <is>
          <t>W5</t>
        </is>
      </c>
      <c r="F185" t="inlineStr">
        <is>
          <t>2026_Maj_W5</t>
        </is>
      </c>
      <c r="G185" t="inlineStr">
        <is>
          <t>Sob</t>
        </is>
      </c>
      <c r="H185" t="inlineStr">
        <is>
          <t>BORUC, AGATA</t>
        </is>
      </c>
      <c r="I185" t="inlineStr">
        <is>
          <t>Crew Civil</t>
        </is>
      </c>
      <c r="J185" t="inlineStr">
        <is>
          <t>Zlecenie</t>
        </is>
      </c>
      <c r="K185" t="n">
        <v>6.93</v>
      </c>
      <c r="L185" t="inlineStr">
        <is>
          <t>384</t>
        </is>
      </c>
      <c r="M185" t="inlineStr">
        <is>
          <t>108120 SBX Warszawa Janki</t>
        </is>
      </c>
      <c r="N185" t="inlineStr">
        <is>
          <t>2026-09-11 19:06</t>
        </is>
      </c>
    </row>
    <row r="186">
      <c r="A186" t="n">
        <v>185</v>
      </c>
      <c r="B186" t="inlineStr">
        <is>
          <t>2026-01-02</t>
        </is>
      </c>
      <c r="C186" t="n">
        <v>2026</v>
      </c>
      <c r="D186" t="inlineStr">
        <is>
          <t>Styczeń</t>
        </is>
      </c>
      <c r="E186" t="inlineStr">
        <is>
          <t>W1</t>
        </is>
      </c>
      <c r="F186" t="inlineStr">
        <is>
          <t>2026_Styczeń_W1</t>
        </is>
      </c>
      <c r="G186" t="inlineStr">
        <is>
          <t>Pt</t>
        </is>
      </c>
      <c r="H186" t="inlineStr">
        <is>
          <t>CHARMUSZKO, AGNIESZKA</t>
        </is>
      </c>
      <c r="I186" t="inlineStr">
        <is>
          <t>Crew Civil</t>
        </is>
      </c>
      <c r="J186" t="inlineStr">
        <is>
          <t>Zlecenie</t>
        </is>
      </c>
      <c r="K186" t="n">
        <v>8.279999999999999</v>
      </c>
      <c r="L186" t="inlineStr">
        <is>
          <t>384</t>
        </is>
      </c>
      <c r="M186" t="inlineStr">
        <is>
          <t>108120 SBX Warszawa Janki</t>
        </is>
      </c>
      <c r="N186" t="inlineStr">
        <is>
          <t>2026-09-11 19:06</t>
        </is>
      </c>
    </row>
    <row r="187">
      <c r="A187" t="n">
        <v>186</v>
      </c>
      <c r="B187" t="inlineStr">
        <is>
          <t>2026-01-03</t>
        </is>
      </c>
      <c r="C187" t="n">
        <v>2026</v>
      </c>
      <c r="D187" t="inlineStr">
        <is>
          <t>Styczeń</t>
        </is>
      </c>
      <c r="E187" t="inlineStr">
        <is>
          <t>W1</t>
        </is>
      </c>
      <c r="F187" t="inlineStr">
        <is>
          <t>2026_Styczeń_W1</t>
        </is>
      </c>
      <c r="G187" t="inlineStr">
        <is>
          <t>Sob</t>
        </is>
      </c>
      <c r="H187" t="inlineStr">
        <is>
          <t>CHARMUSZKO, AGNIESZKA</t>
        </is>
      </c>
      <c r="I187" t="inlineStr">
        <is>
          <t>Crew Civil</t>
        </is>
      </c>
      <c r="J187" t="inlineStr">
        <is>
          <t>Zlecenie</t>
        </is>
      </c>
      <c r="K187" t="n">
        <v>6.79</v>
      </c>
      <c r="L187" t="inlineStr">
        <is>
          <t>384</t>
        </is>
      </c>
      <c r="M187" t="inlineStr">
        <is>
          <t>108120 SBX Warszawa Janki</t>
        </is>
      </c>
      <c r="N187" t="inlineStr">
        <is>
          <t>2026-09-11 19:06</t>
        </is>
      </c>
    </row>
    <row r="188">
      <c r="A188" t="n">
        <v>187</v>
      </c>
      <c r="B188" t="inlineStr">
        <is>
          <t>2026-01-13</t>
        </is>
      </c>
      <c r="C188" t="n">
        <v>2026</v>
      </c>
      <c r="D188" t="inlineStr">
        <is>
          <t>Styczeń</t>
        </is>
      </c>
      <c r="E188" t="inlineStr">
        <is>
          <t>W3</t>
        </is>
      </c>
      <c r="F188" t="inlineStr">
        <is>
          <t>2026_Styczeń_W3</t>
        </is>
      </c>
      <c r="G188" t="inlineStr">
        <is>
          <t>Wt</t>
        </is>
      </c>
      <c r="H188" t="inlineStr">
        <is>
          <t>CHARMUSZKO, AGNIESZKA</t>
        </is>
      </c>
      <c r="I188" t="inlineStr">
        <is>
          <t>Crew Civil</t>
        </is>
      </c>
      <c r="J188" t="inlineStr">
        <is>
          <t>Zlecenie</t>
        </is>
      </c>
      <c r="K188" t="n">
        <v>6.53</v>
      </c>
      <c r="L188" t="inlineStr">
        <is>
          <t>384</t>
        </is>
      </c>
      <c r="M188" t="inlineStr">
        <is>
          <t>108120 SBX Warszawa Janki</t>
        </is>
      </c>
      <c r="N188" t="inlineStr">
        <is>
          <t>2026-09-11 19:06</t>
        </is>
      </c>
    </row>
    <row r="189">
      <c r="A189" t="n">
        <v>188</v>
      </c>
      <c r="B189" t="inlineStr">
        <is>
          <t>2026-01-14</t>
        </is>
      </c>
      <c r="C189" t="n">
        <v>2026</v>
      </c>
      <c r="D189" t="inlineStr">
        <is>
          <t>Styczeń</t>
        </is>
      </c>
      <c r="E189" t="inlineStr">
        <is>
          <t>W3</t>
        </is>
      </c>
      <c r="F189" t="inlineStr">
        <is>
          <t>2026_Styczeń_W3</t>
        </is>
      </c>
      <c r="G189" t="inlineStr">
        <is>
          <t>Śr</t>
        </is>
      </c>
      <c r="H189" t="inlineStr">
        <is>
          <t>CHARMUSZKO, AGNIESZKA</t>
        </is>
      </c>
      <c r="I189" t="inlineStr">
        <is>
          <t>Crew Civil</t>
        </is>
      </c>
      <c r="J189" t="inlineStr">
        <is>
          <t>Zlecenie</t>
        </is>
      </c>
      <c r="K189" t="n">
        <v>6.75</v>
      </c>
      <c r="L189" t="inlineStr">
        <is>
          <t>384</t>
        </is>
      </c>
      <c r="M189" t="inlineStr">
        <is>
          <t>108120 SBX Warszawa Janki</t>
        </is>
      </c>
      <c r="N189" t="inlineStr">
        <is>
          <t>2026-09-11 19:06</t>
        </is>
      </c>
    </row>
    <row r="190">
      <c r="A190" t="n">
        <v>189</v>
      </c>
      <c r="B190" t="inlineStr">
        <is>
          <t>2026-01-17</t>
        </is>
      </c>
      <c r="C190" t="n">
        <v>2026</v>
      </c>
      <c r="D190" t="inlineStr">
        <is>
          <t>Styczeń</t>
        </is>
      </c>
      <c r="E190" t="inlineStr">
        <is>
          <t>W3</t>
        </is>
      </c>
      <c r="F190" t="inlineStr">
        <is>
          <t>2026_Styczeń_W3</t>
        </is>
      </c>
      <c r="G190" t="inlineStr">
        <is>
          <t>Sob</t>
        </is>
      </c>
      <c r="H190" t="inlineStr">
        <is>
          <t>CHARMUSZKO, AGNIESZKA</t>
        </is>
      </c>
      <c r="I190" t="inlineStr">
        <is>
          <t>Crew Civil</t>
        </is>
      </c>
      <c r="J190" t="inlineStr">
        <is>
          <t>Zlecenie</t>
        </is>
      </c>
      <c r="K190" t="n">
        <v>7.02</v>
      </c>
      <c r="L190" t="inlineStr">
        <is>
          <t>384</t>
        </is>
      </c>
      <c r="M190" t="inlineStr">
        <is>
          <t>108120 SBX Warszawa Janki</t>
        </is>
      </c>
      <c r="N190" t="inlineStr">
        <is>
          <t>2026-09-11 19:06</t>
        </is>
      </c>
    </row>
    <row r="191">
      <c r="A191" t="n">
        <v>190</v>
      </c>
      <c r="B191" t="inlineStr">
        <is>
          <t>2026-01-20</t>
        </is>
      </c>
      <c r="C191" t="n">
        <v>2026</v>
      </c>
      <c r="D191" t="inlineStr">
        <is>
          <t>Styczeń</t>
        </is>
      </c>
      <c r="E191" t="inlineStr">
        <is>
          <t>W4</t>
        </is>
      </c>
      <c r="F191" t="inlineStr">
        <is>
          <t>2026_Styczeń_W4</t>
        </is>
      </c>
      <c r="G191" t="inlineStr">
        <is>
          <t>Wt</t>
        </is>
      </c>
      <c r="H191" t="inlineStr">
        <is>
          <t>CHARMUSZKO, AGNIESZKA</t>
        </is>
      </c>
      <c r="I191" t="inlineStr">
        <is>
          <t>Crew Civil</t>
        </is>
      </c>
      <c r="J191" t="inlineStr">
        <is>
          <t>Zlecenie</t>
        </is>
      </c>
      <c r="K191" t="n">
        <v>6.67</v>
      </c>
      <c r="L191" t="inlineStr">
        <is>
          <t>384</t>
        </is>
      </c>
      <c r="M191" t="inlineStr">
        <is>
          <t>108120 SBX Warszawa Janki</t>
        </is>
      </c>
      <c r="N191" t="inlineStr">
        <is>
          <t>2026-09-11 19:06</t>
        </is>
      </c>
    </row>
    <row r="192">
      <c r="A192" t="n">
        <v>191</v>
      </c>
      <c r="B192" t="inlineStr">
        <is>
          <t>2026-01-25</t>
        </is>
      </c>
      <c r="C192" t="n">
        <v>2026</v>
      </c>
      <c r="D192" t="inlineStr">
        <is>
          <t>Styczeń</t>
        </is>
      </c>
      <c r="E192" t="inlineStr">
        <is>
          <t>W4</t>
        </is>
      </c>
      <c r="F192" t="inlineStr">
        <is>
          <t>2026_Styczeń_W4</t>
        </is>
      </c>
      <c r="G192" t="inlineStr">
        <is>
          <t>Nd</t>
        </is>
      </c>
      <c r="H192" t="inlineStr">
        <is>
          <t>CHARMUSZKO, AGNIESZKA</t>
        </is>
      </c>
      <c r="I192" t="inlineStr">
        <is>
          <t>Crew Civil</t>
        </is>
      </c>
      <c r="J192" t="inlineStr">
        <is>
          <t>Zlecenie</t>
        </is>
      </c>
      <c r="K192" t="n">
        <v>6.13</v>
      </c>
      <c r="L192" t="inlineStr">
        <is>
          <t>384</t>
        </is>
      </c>
      <c r="M192" t="inlineStr">
        <is>
          <t>108120 SBX Warszawa Janki</t>
        </is>
      </c>
      <c r="N192" t="inlineStr">
        <is>
          <t>2026-09-11 19:06</t>
        </is>
      </c>
    </row>
    <row r="193">
      <c r="A193" t="n">
        <v>192</v>
      </c>
      <c r="B193" t="inlineStr">
        <is>
          <t>2026-01-30</t>
        </is>
      </c>
      <c r="C193" t="n">
        <v>2026</v>
      </c>
      <c r="D193" t="inlineStr">
        <is>
          <t>Styczeń</t>
        </is>
      </c>
      <c r="E193" t="inlineStr">
        <is>
          <t>W5</t>
        </is>
      </c>
      <c r="F193" t="inlineStr">
        <is>
          <t>2026_Styczeń_W5</t>
        </is>
      </c>
      <c r="G193" t="inlineStr">
        <is>
          <t>Pt</t>
        </is>
      </c>
      <c r="H193" t="inlineStr">
        <is>
          <t>CHARMUSZKO, AGNIESZKA</t>
        </is>
      </c>
      <c r="I193" t="inlineStr">
        <is>
          <t>Crew Civil</t>
        </is>
      </c>
      <c r="J193" t="inlineStr">
        <is>
          <t>Zlecenie</t>
        </is>
      </c>
      <c r="K193" t="n">
        <v>2.15</v>
      </c>
      <c r="L193" t="inlineStr">
        <is>
          <t>384</t>
        </is>
      </c>
      <c r="M193" t="inlineStr">
        <is>
          <t>108120 SBX Warszawa Janki</t>
        </is>
      </c>
      <c r="N193" t="inlineStr">
        <is>
          <t>2026-09-11 19:06</t>
        </is>
      </c>
    </row>
    <row r="194">
      <c r="A194" t="n">
        <v>193</v>
      </c>
      <c r="B194" t="inlineStr">
        <is>
          <t>2026-01-31</t>
        </is>
      </c>
      <c r="C194" t="n">
        <v>2026</v>
      </c>
      <c r="D194" t="inlineStr">
        <is>
          <t>Styczeń</t>
        </is>
      </c>
      <c r="E194" t="inlineStr">
        <is>
          <t>W5</t>
        </is>
      </c>
      <c r="F194" t="inlineStr">
        <is>
          <t>2026_Styczeń_W5</t>
        </is>
      </c>
      <c r="G194" t="inlineStr">
        <is>
          <t>Sob</t>
        </is>
      </c>
      <c r="H194" t="inlineStr">
        <is>
          <t>CHARMUSZKO, AGNIESZKA</t>
        </is>
      </c>
      <c r="I194" t="inlineStr">
        <is>
          <t>Crew Civil</t>
        </is>
      </c>
      <c r="J194" t="inlineStr">
        <is>
          <t>Zlecenie</t>
        </is>
      </c>
      <c r="K194" t="n">
        <v>7.71</v>
      </c>
      <c r="L194" t="inlineStr">
        <is>
          <t>384</t>
        </is>
      </c>
      <c r="M194" t="inlineStr">
        <is>
          <t>108120 SBX Warszawa Janki</t>
        </is>
      </c>
      <c r="N194" t="inlineStr">
        <is>
          <t>2026-09-11 19:06</t>
        </is>
      </c>
    </row>
    <row r="195">
      <c r="A195" t="n">
        <v>194</v>
      </c>
      <c r="B195" t="inlineStr">
        <is>
          <t>2026-02-05</t>
        </is>
      </c>
      <c r="C195" t="n">
        <v>2026</v>
      </c>
      <c r="D195" t="inlineStr">
        <is>
          <t>Luty</t>
        </is>
      </c>
      <c r="E195" t="inlineStr">
        <is>
          <t>W2</t>
        </is>
      </c>
      <c r="F195" t="inlineStr">
        <is>
          <t>2026_Luty_W2</t>
        </is>
      </c>
      <c r="G195" t="inlineStr">
        <is>
          <t>Czw</t>
        </is>
      </c>
      <c r="H195" t="inlineStr">
        <is>
          <t>CHARMUSZKO, AGNIESZKA</t>
        </is>
      </c>
      <c r="I195" t="inlineStr">
        <is>
          <t>Crew Civil</t>
        </is>
      </c>
      <c r="J195" t="inlineStr">
        <is>
          <t>Zlecenie</t>
        </is>
      </c>
      <c r="K195" t="n">
        <v>8.06</v>
      </c>
      <c r="L195" t="inlineStr">
        <is>
          <t>384</t>
        </is>
      </c>
      <c r="M195" t="inlineStr">
        <is>
          <t>108120 SBX Warszawa Janki</t>
        </is>
      </c>
      <c r="N195" t="inlineStr">
        <is>
          <t>2026-09-11 19:06</t>
        </is>
      </c>
    </row>
    <row r="196">
      <c r="A196" t="n">
        <v>195</v>
      </c>
      <c r="B196" t="inlineStr">
        <is>
          <t>2026-02-15</t>
        </is>
      </c>
      <c r="C196" t="n">
        <v>2026</v>
      </c>
      <c r="D196" t="inlineStr">
        <is>
          <t>Luty</t>
        </is>
      </c>
      <c r="E196" t="inlineStr">
        <is>
          <t>W3</t>
        </is>
      </c>
      <c r="F196" t="inlineStr">
        <is>
          <t>2026_Luty_W3</t>
        </is>
      </c>
      <c r="G196" t="inlineStr">
        <is>
          <t>Nd</t>
        </is>
      </c>
      <c r="H196" t="inlineStr">
        <is>
          <t>CHARMUSZKO, AGNIESZKA</t>
        </is>
      </c>
      <c r="I196" t="inlineStr">
        <is>
          <t>Crew Civil</t>
        </is>
      </c>
      <c r="J196" t="inlineStr">
        <is>
          <t>Zlecenie</t>
        </is>
      </c>
      <c r="K196" t="n">
        <v>5.47</v>
      </c>
      <c r="L196" t="inlineStr">
        <is>
          <t>384</t>
        </is>
      </c>
      <c r="M196" t="inlineStr">
        <is>
          <t>108120 SBX Warszawa Janki</t>
        </is>
      </c>
      <c r="N196" t="inlineStr">
        <is>
          <t>2026-09-11 19:06</t>
        </is>
      </c>
    </row>
    <row r="197">
      <c r="A197" t="n">
        <v>196</v>
      </c>
      <c r="B197" t="inlineStr">
        <is>
          <t>2026-03-01</t>
        </is>
      </c>
      <c r="C197" t="n">
        <v>2026</v>
      </c>
      <c r="D197" t="inlineStr">
        <is>
          <t>Marzec</t>
        </is>
      </c>
      <c r="E197" t="inlineStr">
        <is>
          <t>W1</t>
        </is>
      </c>
      <c r="F197" t="inlineStr">
        <is>
          <t>2026_Marzec_W1</t>
        </is>
      </c>
      <c r="G197" t="inlineStr">
        <is>
          <t>Nd</t>
        </is>
      </c>
      <c r="H197" t="inlineStr">
        <is>
          <t>CHARMUSZKO, AGNIESZKA</t>
        </is>
      </c>
      <c r="I197" t="inlineStr">
        <is>
          <t>Crew Civil</t>
        </is>
      </c>
      <c r="J197" t="inlineStr">
        <is>
          <t>Zlecenie</t>
        </is>
      </c>
      <c r="K197" t="n">
        <v>1.5</v>
      </c>
      <c r="L197" t="inlineStr">
        <is>
          <t>384</t>
        </is>
      </c>
      <c r="M197" t="inlineStr">
        <is>
          <t>108120 SBX Warszawa Janki</t>
        </is>
      </c>
      <c r="N197" t="inlineStr">
        <is>
          <t>2026-09-11 19:06</t>
        </is>
      </c>
    </row>
    <row r="198">
      <c r="A198" t="n">
        <v>197</v>
      </c>
      <c r="B198" t="inlineStr">
        <is>
          <t>2026-03-20</t>
        </is>
      </c>
      <c r="C198" t="n">
        <v>2026</v>
      </c>
      <c r="D198" t="inlineStr">
        <is>
          <t>Marzec</t>
        </is>
      </c>
      <c r="E198" t="inlineStr">
        <is>
          <t>W4</t>
        </is>
      </c>
      <c r="F198" t="inlineStr">
        <is>
          <t>2026_Marzec_W4</t>
        </is>
      </c>
      <c r="G198" t="inlineStr">
        <is>
          <t>Pt</t>
        </is>
      </c>
      <c r="H198" t="inlineStr">
        <is>
          <t>CHARMUSZKO, AGNIESZKA</t>
        </is>
      </c>
      <c r="I198" t="inlineStr">
        <is>
          <t>Crew Civil</t>
        </is>
      </c>
      <c r="J198" t="inlineStr">
        <is>
          <t>Zlecenie</t>
        </is>
      </c>
      <c r="K198" t="n">
        <v>5.15</v>
      </c>
      <c r="L198" t="inlineStr">
        <is>
          <t>384</t>
        </is>
      </c>
      <c r="M198" t="inlineStr">
        <is>
          <t>108120 SBX Warszawa Janki</t>
        </is>
      </c>
      <c r="N198" t="inlineStr">
        <is>
          <t>2026-09-11 19:06</t>
        </is>
      </c>
    </row>
    <row r="199">
      <c r="A199" t="n">
        <v>198</v>
      </c>
      <c r="B199" t="inlineStr">
        <is>
          <t>2026-03-21</t>
        </is>
      </c>
      <c r="C199" t="n">
        <v>2026</v>
      </c>
      <c r="D199" t="inlineStr">
        <is>
          <t>Marzec</t>
        </is>
      </c>
      <c r="E199" t="inlineStr">
        <is>
          <t>W4</t>
        </is>
      </c>
      <c r="F199" t="inlineStr">
        <is>
          <t>2026_Marzec_W4</t>
        </is>
      </c>
      <c r="G199" t="inlineStr">
        <is>
          <t>Sob</t>
        </is>
      </c>
      <c r="H199" t="inlineStr">
        <is>
          <t>CHARMUSZKO, AGNIESZKA</t>
        </is>
      </c>
      <c r="I199" t="inlineStr">
        <is>
          <t>Crew Civil</t>
        </is>
      </c>
      <c r="J199" t="inlineStr">
        <is>
          <t>Zlecenie</t>
        </is>
      </c>
      <c r="K199" t="n">
        <v>7.63</v>
      </c>
      <c r="L199" t="inlineStr">
        <is>
          <t>384</t>
        </is>
      </c>
      <c r="M199" t="inlineStr">
        <is>
          <t>108120 SBX Warszawa Janki</t>
        </is>
      </c>
      <c r="N199" t="inlineStr">
        <is>
          <t>2026-09-11 19:06</t>
        </is>
      </c>
    </row>
    <row r="200">
      <c r="A200" t="n">
        <v>199</v>
      </c>
      <c r="B200" t="inlineStr">
        <is>
          <t>2026-03-29</t>
        </is>
      </c>
      <c r="C200" t="n">
        <v>2026</v>
      </c>
      <c r="D200" t="inlineStr">
        <is>
          <t>Marzec</t>
        </is>
      </c>
      <c r="E200" t="inlineStr">
        <is>
          <t>W5</t>
        </is>
      </c>
      <c r="F200" t="inlineStr">
        <is>
          <t>2026_Marzec_W5</t>
        </is>
      </c>
      <c r="G200" t="inlineStr">
        <is>
          <t>Nd</t>
        </is>
      </c>
      <c r="H200" t="inlineStr">
        <is>
          <t>CHARMUSZKO, AGNIESZKA</t>
        </is>
      </c>
      <c r="I200" t="inlineStr">
        <is>
          <t>Crew Civil</t>
        </is>
      </c>
      <c r="J200" t="inlineStr">
        <is>
          <t>Zlecenie</t>
        </is>
      </c>
      <c r="K200" t="n">
        <v>8.109999999999999</v>
      </c>
      <c r="L200" t="inlineStr">
        <is>
          <t>384</t>
        </is>
      </c>
      <c r="M200" t="inlineStr">
        <is>
          <t>108120 SBX Warszawa Janki</t>
        </is>
      </c>
      <c r="N200" t="inlineStr">
        <is>
          <t>2026-09-11 19:06</t>
        </is>
      </c>
    </row>
    <row r="201">
      <c r="A201" t="n">
        <v>200</v>
      </c>
      <c r="B201" t="inlineStr">
        <is>
          <t>2026-04-03</t>
        </is>
      </c>
      <c r="C201" t="n">
        <v>2026</v>
      </c>
      <c r="D201" t="inlineStr">
        <is>
          <t>Kwiecień</t>
        </is>
      </c>
      <c r="E201" t="inlineStr">
        <is>
          <t>W1</t>
        </is>
      </c>
      <c r="F201" t="inlineStr">
        <is>
          <t>2026_Kwiecień_W1</t>
        </is>
      </c>
      <c r="G201" t="inlineStr">
        <is>
          <t>Pt</t>
        </is>
      </c>
      <c r="H201" t="inlineStr">
        <is>
          <t>CHARMUSZKO, AGNIESZKA</t>
        </is>
      </c>
      <c r="I201" t="inlineStr">
        <is>
          <t>Crew Civil</t>
        </is>
      </c>
      <c r="J201" t="inlineStr">
        <is>
          <t>Zlecenie</t>
        </is>
      </c>
      <c r="K201" t="n">
        <v>7</v>
      </c>
      <c r="L201" t="inlineStr">
        <is>
          <t>384</t>
        </is>
      </c>
      <c r="M201" t="inlineStr">
        <is>
          <t>108120 SBX Warszawa Janki</t>
        </is>
      </c>
      <c r="N201" t="inlineStr">
        <is>
          <t>2026-09-11 19:06</t>
        </is>
      </c>
    </row>
    <row r="202">
      <c r="A202" t="n">
        <v>201</v>
      </c>
      <c r="B202" t="inlineStr">
        <is>
          <t>2026-04-04</t>
        </is>
      </c>
      <c r="C202" t="n">
        <v>2026</v>
      </c>
      <c r="D202" t="inlineStr">
        <is>
          <t>Kwiecień</t>
        </is>
      </c>
      <c r="E202" t="inlineStr">
        <is>
          <t>W1</t>
        </is>
      </c>
      <c r="F202" t="inlineStr">
        <is>
          <t>2026_Kwiecień_W1</t>
        </is>
      </c>
      <c r="G202" t="inlineStr">
        <is>
          <t>Sob</t>
        </is>
      </c>
      <c r="H202" t="inlineStr">
        <is>
          <t>CHARMUSZKO, AGNIESZKA</t>
        </is>
      </c>
      <c r="I202" t="inlineStr">
        <is>
          <t>Crew Civil</t>
        </is>
      </c>
      <c r="J202" t="inlineStr">
        <is>
          <t>Zlecenie</t>
        </is>
      </c>
      <c r="K202" t="n">
        <v>5.57</v>
      </c>
      <c r="L202" t="inlineStr">
        <is>
          <t>384</t>
        </is>
      </c>
      <c r="M202" t="inlineStr">
        <is>
          <t>108120 SBX Warszawa Janki</t>
        </is>
      </c>
      <c r="N202" t="inlineStr">
        <is>
          <t>2026-09-11 19:06</t>
        </is>
      </c>
    </row>
    <row r="203">
      <c r="A203" t="n">
        <v>202</v>
      </c>
      <c r="B203" t="inlineStr">
        <is>
          <t>2026-04-10</t>
        </is>
      </c>
      <c r="C203" t="n">
        <v>2026</v>
      </c>
      <c r="D203" t="inlineStr">
        <is>
          <t>Kwiecień</t>
        </is>
      </c>
      <c r="E203" t="inlineStr">
        <is>
          <t>W2</t>
        </is>
      </c>
      <c r="F203" t="inlineStr">
        <is>
          <t>2026_Kwiecień_W2</t>
        </is>
      </c>
      <c r="G203" t="inlineStr">
        <is>
          <t>Pt</t>
        </is>
      </c>
      <c r="H203" t="inlineStr">
        <is>
          <t>CHARMUSZKO, AGNIESZKA</t>
        </is>
      </c>
      <c r="I203" t="inlineStr">
        <is>
          <t>Crew Civil</t>
        </is>
      </c>
      <c r="J203" t="inlineStr">
        <is>
          <t>Zlecenie</t>
        </is>
      </c>
      <c r="K203" t="n">
        <v>5.72</v>
      </c>
      <c r="L203" t="inlineStr">
        <is>
          <t>384</t>
        </is>
      </c>
      <c r="M203" t="inlineStr">
        <is>
          <t>108120 SBX Warszawa Janki</t>
        </is>
      </c>
      <c r="N203" t="inlineStr">
        <is>
          <t>2026-09-11 19:06</t>
        </is>
      </c>
    </row>
    <row r="204">
      <c r="A204" t="n">
        <v>203</v>
      </c>
      <c r="B204" t="inlineStr">
        <is>
          <t>2026-04-12</t>
        </is>
      </c>
      <c r="C204" t="n">
        <v>2026</v>
      </c>
      <c r="D204" t="inlineStr">
        <is>
          <t>Kwiecień</t>
        </is>
      </c>
      <c r="E204" t="inlineStr">
        <is>
          <t>W2</t>
        </is>
      </c>
      <c r="F204" t="inlineStr">
        <is>
          <t>2026_Kwiecień_W2</t>
        </is>
      </c>
      <c r="G204" t="inlineStr">
        <is>
          <t>Nd</t>
        </is>
      </c>
      <c r="H204" t="inlineStr">
        <is>
          <t>CHARMUSZKO, AGNIESZKA</t>
        </is>
      </c>
      <c r="I204" t="inlineStr">
        <is>
          <t>Crew Civil</t>
        </is>
      </c>
      <c r="J204" t="inlineStr">
        <is>
          <t>Zlecenie</t>
        </is>
      </c>
      <c r="K204" t="n">
        <v>5.82</v>
      </c>
      <c r="L204" t="inlineStr">
        <is>
          <t>384</t>
        </is>
      </c>
      <c r="M204" t="inlineStr">
        <is>
          <t>108120 SBX Warszawa Janki</t>
        </is>
      </c>
      <c r="N204" t="inlineStr">
        <is>
          <t>2026-09-11 19:06</t>
        </is>
      </c>
    </row>
    <row r="205">
      <c r="A205" t="n">
        <v>204</v>
      </c>
      <c r="B205" t="inlineStr">
        <is>
          <t>2026-04-18</t>
        </is>
      </c>
      <c r="C205" t="n">
        <v>2026</v>
      </c>
      <c r="D205" t="inlineStr">
        <is>
          <t>Kwiecień</t>
        </is>
      </c>
      <c r="E205" t="inlineStr">
        <is>
          <t>W3</t>
        </is>
      </c>
      <c r="F205" t="inlineStr">
        <is>
          <t>2026_Kwiecień_W3</t>
        </is>
      </c>
      <c r="G205" t="inlineStr">
        <is>
          <t>Sob</t>
        </is>
      </c>
      <c r="H205" t="inlineStr">
        <is>
          <t>CHARMUSZKO, AGNIESZKA</t>
        </is>
      </c>
      <c r="I205" t="inlineStr">
        <is>
          <t>Crew Civil</t>
        </is>
      </c>
      <c r="J205" t="inlineStr">
        <is>
          <t>Zlecenie</t>
        </is>
      </c>
      <c r="K205" t="n">
        <v>7.28</v>
      </c>
      <c r="L205" t="inlineStr">
        <is>
          <t>384</t>
        </is>
      </c>
      <c r="M205" t="inlineStr">
        <is>
          <t>108120 SBX Warszawa Janki</t>
        </is>
      </c>
      <c r="N205" t="inlineStr">
        <is>
          <t>2026-09-11 19:06</t>
        </is>
      </c>
    </row>
    <row r="206">
      <c r="A206" t="n">
        <v>205</v>
      </c>
      <c r="B206" t="inlineStr">
        <is>
          <t>2026-04-24</t>
        </is>
      </c>
      <c r="C206" t="n">
        <v>2026</v>
      </c>
      <c r="D206" t="inlineStr">
        <is>
          <t>Kwiecień</t>
        </is>
      </c>
      <c r="E206" t="inlineStr">
        <is>
          <t>W4</t>
        </is>
      </c>
      <c r="F206" t="inlineStr">
        <is>
          <t>2026_Kwiecień_W4</t>
        </is>
      </c>
      <c r="G206" t="inlineStr">
        <is>
          <t>Pt</t>
        </is>
      </c>
      <c r="H206" t="inlineStr">
        <is>
          <t>CHARMUSZKO, AGNIESZKA</t>
        </is>
      </c>
      <c r="I206" t="inlineStr">
        <is>
          <t>Crew Civil</t>
        </is>
      </c>
      <c r="J206" t="inlineStr">
        <is>
          <t>Zlecenie</t>
        </is>
      </c>
      <c r="K206" t="n">
        <v>5.83</v>
      </c>
      <c r="L206" t="inlineStr">
        <is>
          <t>384</t>
        </is>
      </c>
      <c r="M206" t="inlineStr">
        <is>
          <t>108120 SBX Warszawa Janki</t>
        </is>
      </c>
      <c r="N206" t="inlineStr">
        <is>
          <t>2026-09-11 19:06</t>
        </is>
      </c>
    </row>
    <row r="207">
      <c r="A207" t="n">
        <v>206</v>
      </c>
      <c r="B207" t="inlineStr">
        <is>
          <t>2026-04-25</t>
        </is>
      </c>
      <c r="C207" t="n">
        <v>2026</v>
      </c>
      <c r="D207" t="inlineStr">
        <is>
          <t>Kwiecień</t>
        </is>
      </c>
      <c r="E207" t="inlineStr">
        <is>
          <t>W4</t>
        </is>
      </c>
      <c r="F207" t="inlineStr">
        <is>
          <t>2026_Kwiecień_W4</t>
        </is>
      </c>
      <c r="G207" t="inlineStr">
        <is>
          <t>Sob</t>
        </is>
      </c>
      <c r="H207" t="inlineStr">
        <is>
          <t>CHARMUSZKO, AGNIESZKA</t>
        </is>
      </c>
      <c r="I207" t="inlineStr">
        <is>
          <t>Crew Civil</t>
        </is>
      </c>
      <c r="J207" t="inlineStr">
        <is>
          <t>Zlecenie</t>
        </is>
      </c>
      <c r="K207" t="n">
        <v>8.56</v>
      </c>
      <c r="L207" t="inlineStr">
        <is>
          <t>384</t>
        </is>
      </c>
      <c r="M207" t="inlineStr">
        <is>
          <t>108120 SBX Warszawa Janki</t>
        </is>
      </c>
      <c r="N207" t="inlineStr">
        <is>
          <t>2026-09-11 19:06</t>
        </is>
      </c>
    </row>
    <row r="208">
      <c r="A208" t="n">
        <v>207</v>
      </c>
      <c r="B208" t="inlineStr">
        <is>
          <t>2026-04-26</t>
        </is>
      </c>
      <c r="C208" t="n">
        <v>2026</v>
      </c>
      <c r="D208" t="inlineStr">
        <is>
          <t>Kwiecień</t>
        </is>
      </c>
      <c r="E208" t="inlineStr">
        <is>
          <t>W4</t>
        </is>
      </c>
      <c r="F208" t="inlineStr">
        <is>
          <t>2026_Kwiecień_W4</t>
        </is>
      </c>
      <c r="G208" t="inlineStr">
        <is>
          <t>Nd</t>
        </is>
      </c>
      <c r="H208" t="inlineStr">
        <is>
          <t>CHARMUSZKO, AGNIESZKA</t>
        </is>
      </c>
      <c r="I208" t="inlineStr">
        <is>
          <t>Crew Civil</t>
        </is>
      </c>
      <c r="J208" t="inlineStr">
        <is>
          <t>Zlecenie</t>
        </is>
      </c>
      <c r="K208" t="n">
        <v>8.5</v>
      </c>
      <c r="L208" t="inlineStr">
        <is>
          <t>384</t>
        </is>
      </c>
      <c r="M208" t="inlineStr">
        <is>
          <t>108120 SBX Warszawa Janki</t>
        </is>
      </c>
      <c r="N208" t="inlineStr">
        <is>
          <t>2026-09-11 19:06</t>
        </is>
      </c>
    </row>
    <row r="209">
      <c r="A209" t="n">
        <v>208</v>
      </c>
      <c r="B209" t="inlineStr">
        <is>
          <t>2026-04-28</t>
        </is>
      </c>
      <c r="C209" t="n">
        <v>2026</v>
      </c>
      <c r="D209" t="inlineStr">
        <is>
          <t>Kwiecień</t>
        </is>
      </c>
      <c r="E209" t="inlineStr">
        <is>
          <t>W5</t>
        </is>
      </c>
      <c r="F209" t="inlineStr">
        <is>
          <t>2026_Kwiecień_W5</t>
        </is>
      </c>
      <c r="G209" t="inlineStr">
        <is>
          <t>Wt</t>
        </is>
      </c>
      <c r="H209" t="inlineStr">
        <is>
          <t>CHARMUSZKO, AGNIESZKA</t>
        </is>
      </c>
      <c r="I209" t="inlineStr">
        <is>
          <t>Crew Civil</t>
        </is>
      </c>
      <c r="J209" t="inlineStr">
        <is>
          <t>Zlecenie</t>
        </is>
      </c>
      <c r="K209" t="n">
        <v>0</v>
      </c>
      <c r="L209" t="inlineStr">
        <is>
          <t>384</t>
        </is>
      </c>
      <c r="M209" t="inlineStr">
        <is>
          <t>108120 SBX Warszawa Janki</t>
        </is>
      </c>
      <c r="N209" t="inlineStr">
        <is>
          <t>2026-09-11 19:06</t>
        </is>
      </c>
    </row>
    <row r="210">
      <c r="A210" t="n">
        <v>209</v>
      </c>
      <c r="B210" t="inlineStr">
        <is>
          <t>2026-04-28</t>
        </is>
      </c>
      <c r="C210" t="n">
        <v>2026</v>
      </c>
      <c r="D210" t="inlineStr">
        <is>
          <t>Kwiecień</t>
        </is>
      </c>
      <c r="E210" t="inlineStr">
        <is>
          <t>W5</t>
        </is>
      </c>
      <c r="F210" t="inlineStr">
        <is>
          <t>2026_Kwiecień_W5</t>
        </is>
      </c>
      <c r="G210" t="inlineStr">
        <is>
          <t>Wt</t>
        </is>
      </c>
      <c r="H210" t="inlineStr">
        <is>
          <t>CHARMUSZKO, AGNIESZKA</t>
        </is>
      </c>
      <c r="I210" t="inlineStr">
        <is>
          <t>Crew Civil</t>
        </is>
      </c>
      <c r="J210" t="inlineStr">
        <is>
          <t>Zlecenie</t>
        </is>
      </c>
      <c r="K210" t="n">
        <v>2.25</v>
      </c>
      <c r="L210" t="inlineStr">
        <is>
          <t>384</t>
        </is>
      </c>
      <c r="M210" t="inlineStr">
        <is>
          <t>108120 SBX Warszawa Janki</t>
        </is>
      </c>
      <c r="N210" t="inlineStr">
        <is>
          <t>2026-09-11 19:06</t>
        </is>
      </c>
    </row>
    <row r="211">
      <c r="A211" t="n">
        <v>210</v>
      </c>
      <c r="B211" t="inlineStr">
        <is>
          <t>2026-04-29</t>
        </is>
      </c>
      <c r="C211" t="n">
        <v>2026</v>
      </c>
      <c r="D211" t="inlineStr">
        <is>
          <t>Kwiecień</t>
        </is>
      </c>
      <c r="E211" t="inlineStr">
        <is>
          <t>W5</t>
        </is>
      </c>
      <c r="F211" t="inlineStr">
        <is>
          <t>2026_Kwiecień_W5</t>
        </is>
      </c>
      <c r="G211" t="inlineStr">
        <is>
          <t>Śr</t>
        </is>
      </c>
      <c r="H211" t="inlineStr">
        <is>
          <t>CHARMUSZKO, AGNIESZKA</t>
        </is>
      </c>
      <c r="I211" t="inlineStr">
        <is>
          <t>Crew Civil</t>
        </is>
      </c>
      <c r="J211" t="inlineStr">
        <is>
          <t>Zlecenie</t>
        </is>
      </c>
      <c r="K211" t="n">
        <v>5.25</v>
      </c>
      <c r="L211" t="inlineStr">
        <is>
          <t>384</t>
        </is>
      </c>
      <c r="M211" t="inlineStr">
        <is>
          <t>108120 SBX Warszawa Janki</t>
        </is>
      </c>
      <c r="N211" t="inlineStr">
        <is>
          <t>2026-09-11 19:06</t>
        </is>
      </c>
    </row>
    <row r="212">
      <c r="A212" t="n">
        <v>211</v>
      </c>
      <c r="B212" t="inlineStr">
        <is>
          <t>2026-05-08</t>
        </is>
      </c>
      <c r="C212" t="n">
        <v>2026</v>
      </c>
      <c r="D212" t="inlineStr">
        <is>
          <t>Maj</t>
        </is>
      </c>
      <c r="E212" t="inlineStr">
        <is>
          <t>W2</t>
        </is>
      </c>
      <c r="F212" t="inlineStr">
        <is>
          <t>2026_Maj_W2</t>
        </is>
      </c>
      <c r="G212" t="inlineStr">
        <is>
          <t>Pt</t>
        </is>
      </c>
      <c r="H212" t="inlineStr">
        <is>
          <t>CHARMUSZKO, AGNIESZKA</t>
        </is>
      </c>
      <c r="I212" t="inlineStr">
        <is>
          <t>Crew Civil</t>
        </is>
      </c>
      <c r="J212" t="inlineStr">
        <is>
          <t>Zlecenie</t>
        </is>
      </c>
      <c r="K212" t="n">
        <v>7.35</v>
      </c>
      <c r="L212" t="inlineStr">
        <is>
          <t>384</t>
        </is>
      </c>
      <c r="M212" t="inlineStr">
        <is>
          <t>108120 SBX Warszawa Janki</t>
        </is>
      </c>
      <c r="N212" t="inlineStr">
        <is>
          <t>2026-09-11 19:06</t>
        </is>
      </c>
    </row>
    <row r="213">
      <c r="A213" t="n">
        <v>212</v>
      </c>
      <c r="B213" t="inlineStr">
        <is>
          <t>2026-05-09</t>
        </is>
      </c>
      <c r="C213" t="n">
        <v>2026</v>
      </c>
      <c r="D213" t="inlineStr">
        <is>
          <t>Maj</t>
        </is>
      </c>
      <c r="E213" t="inlineStr">
        <is>
          <t>W2</t>
        </is>
      </c>
      <c r="F213" t="inlineStr">
        <is>
          <t>2026_Maj_W2</t>
        </is>
      </c>
      <c r="G213" t="inlineStr">
        <is>
          <t>Sob</t>
        </is>
      </c>
      <c r="H213" t="inlineStr">
        <is>
          <t>CHARMUSZKO, AGNIESZKA</t>
        </is>
      </c>
      <c r="I213" t="inlineStr">
        <is>
          <t>Crew Civil</t>
        </is>
      </c>
      <c r="J213" t="inlineStr">
        <is>
          <t>Zlecenie</t>
        </is>
      </c>
      <c r="K213" t="n">
        <v>7.33</v>
      </c>
      <c r="L213" t="inlineStr">
        <is>
          <t>384</t>
        </is>
      </c>
      <c r="M213" t="inlineStr">
        <is>
          <t>108120 SBX Warszawa Janki</t>
        </is>
      </c>
      <c r="N213" t="inlineStr">
        <is>
          <t>2026-09-11 19:06</t>
        </is>
      </c>
    </row>
    <row r="214">
      <c r="A214" t="n">
        <v>213</v>
      </c>
      <c r="B214" t="inlineStr">
        <is>
          <t>2026-05-16</t>
        </is>
      </c>
      <c r="C214" t="n">
        <v>2026</v>
      </c>
      <c r="D214" t="inlineStr">
        <is>
          <t>Maj</t>
        </is>
      </c>
      <c r="E214" t="inlineStr">
        <is>
          <t>W3</t>
        </is>
      </c>
      <c r="F214" t="inlineStr">
        <is>
          <t>2026_Maj_W3</t>
        </is>
      </c>
      <c r="G214" t="inlineStr">
        <is>
          <t>Sob</t>
        </is>
      </c>
      <c r="H214" t="inlineStr">
        <is>
          <t>CHARMUSZKO, AGNIESZKA</t>
        </is>
      </c>
      <c r="I214" t="inlineStr">
        <is>
          <t>Crew Civil</t>
        </is>
      </c>
      <c r="J214" t="inlineStr">
        <is>
          <t>Zlecenie</t>
        </is>
      </c>
      <c r="K214" t="n">
        <v>6.58</v>
      </c>
      <c r="L214" t="inlineStr">
        <is>
          <t>384</t>
        </is>
      </c>
      <c r="M214" t="inlineStr">
        <is>
          <t>108120 SBX Warszawa Janki</t>
        </is>
      </c>
      <c r="N214" t="inlineStr">
        <is>
          <t>2026-09-11 19:06</t>
        </is>
      </c>
    </row>
    <row r="215">
      <c r="A215" t="n">
        <v>214</v>
      </c>
      <c r="B215" t="inlineStr">
        <is>
          <t>2026-05-27</t>
        </is>
      </c>
      <c r="C215" t="n">
        <v>2026</v>
      </c>
      <c r="D215" t="inlineStr">
        <is>
          <t>Maj</t>
        </is>
      </c>
      <c r="E215" t="inlineStr">
        <is>
          <t>W5</t>
        </is>
      </c>
      <c r="F215" t="inlineStr">
        <is>
          <t>2026_Maj_W5</t>
        </is>
      </c>
      <c r="G215" t="inlineStr">
        <is>
          <t>Śr</t>
        </is>
      </c>
      <c r="H215" t="inlineStr">
        <is>
          <t>CHARMUSZKO, AGNIESZKA</t>
        </is>
      </c>
      <c r="I215" t="inlineStr">
        <is>
          <t>Crew Civil</t>
        </is>
      </c>
      <c r="J215" t="inlineStr">
        <is>
          <t>Zlecenie</t>
        </is>
      </c>
      <c r="K215" t="n">
        <v>5</v>
      </c>
      <c r="L215" t="inlineStr">
        <is>
          <t>384</t>
        </is>
      </c>
      <c r="M215" t="inlineStr">
        <is>
          <t>108120 SBX Warszawa Janki</t>
        </is>
      </c>
      <c r="N215" t="inlineStr">
        <is>
          <t>2026-09-11 19:06</t>
        </is>
      </c>
    </row>
    <row r="216">
      <c r="A216" t="n">
        <v>215</v>
      </c>
      <c r="B216" t="inlineStr">
        <is>
          <t>2026-05-30</t>
        </is>
      </c>
      <c r="C216" t="n">
        <v>2026</v>
      </c>
      <c r="D216" t="inlineStr">
        <is>
          <t>Maj</t>
        </is>
      </c>
      <c r="E216" t="inlineStr">
        <is>
          <t>W5</t>
        </is>
      </c>
      <c r="F216" t="inlineStr">
        <is>
          <t>2026_Maj_W5</t>
        </is>
      </c>
      <c r="G216" t="inlineStr">
        <is>
          <t>Sob</t>
        </is>
      </c>
      <c r="H216" t="inlineStr">
        <is>
          <t>CHARMUSZKO, AGNIESZKA</t>
        </is>
      </c>
      <c r="I216" t="inlineStr">
        <is>
          <t>Crew Civil</t>
        </is>
      </c>
      <c r="J216" t="inlineStr">
        <is>
          <t>Zlecenie</t>
        </is>
      </c>
      <c r="K216" t="n">
        <v>7.27</v>
      </c>
      <c r="L216" t="inlineStr">
        <is>
          <t>384</t>
        </is>
      </c>
      <c r="M216" t="inlineStr">
        <is>
          <t>108120 SBX Warszawa Janki</t>
        </is>
      </c>
      <c r="N216" t="inlineStr">
        <is>
          <t>2026-09-11 19:06</t>
        </is>
      </c>
    </row>
    <row r="217">
      <c r="A217" t="n">
        <v>216</v>
      </c>
      <c r="B217" t="inlineStr">
        <is>
          <t>2026-06-05</t>
        </is>
      </c>
      <c r="C217" t="n">
        <v>2026</v>
      </c>
      <c r="D217" t="inlineStr">
        <is>
          <t>Czerwiec</t>
        </is>
      </c>
      <c r="E217" t="inlineStr">
        <is>
          <t>W2</t>
        </is>
      </c>
      <c r="F217" t="inlineStr">
        <is>
          <t>2026_Czerwiec_W2</t>
        </is>
      </c>
      <c r="G217" t="inlineStr">
        <is>
          <t>Pt</t>
        </is>
      </c>
      <c r="H217" t="inlineStr">
        <is>
          <t>CHARMUSZKO, AGNIESZKA</t>
        </is>
      </c>
      <c r="I217" t="inlineStr">
        <is>
          <t>Crew Civil</t>
        </is>
      </c>
      <c r="J217" t="inlineStr">
        <is>
          <t>Zlecenie</t>
        </is>
      </c>
      <c r="K217" t="n">
        <v>8</v>
      </c>
      <c r="L217" t="inlineStr">
        <is>
          <t>384</t>
        </is>
      </c>
      <c r="M217" t="inlineStr">
        <is>
          <t>108120 SBX Warszawa Janki</t>
        </is>
      </c>
      <c r="N217" t="inlineStr">
        <is>
          <t>2026-09-11 19:06</t>
        </is>
      </c>
    </row>
    <row r="218">
      <c r="A218" t="n">
        <v>217</v>
      </c>
      <c r="B218" t="inlineStr">
        <is>
          <t>2026-06-09</t>
        </is>
      </c>
      <c r="C218" t="n">
        <v>2026</v>
      </c>
      <c r="D218" t="inlineStr">
        <is>
          <t>Czerwiec</t>
        </is>
      </c>
      <c r="E218" t="inlineStr">
        <is>
          <t>W3</t>
        </is>
      </c>
      <c r="F218" t="inlineStr">
        <is>
          <t>2026_Czerwiec_W3</t>
        </is>
      </c>
      <c r="G218" t="inlineStr">
        <is>
          <t>Wt</t>
        </is>
      </c>
      <c r="H218" t="inlineStr">
        <is>
          <t>CHARMUSZKO, AGNIESZKA</t>
        </is>
      </c>
      <c r="I218" t="inlineStr">
        <is>
          <t>Crew Civil</t>
        </is>
      </c>
      <c r="J218" t="inlineStr">
        <is>
          <t>Zlecenie</t>
        </is>
      </c>
      <c r="K218" t="n">
        <v>6.07</v>
      </c>
      <c r="L218" t="inlineStr">
        <is>
          <t>384</t>
        </is>
      </c>
      <c r="M218" t="inlineStr">
        <is>
          <t>108120 SBX Warszawa Janki</t>
        </is>
      </c>
      <c r="N218" t="inlineStr">
        <is>
          <t>2026-09-11 19:06</t>
        </is>
      </c>
    </row>
    <row r="219">
      <c r="A219" t="n">
        <v>218</v>
      </c>
      <c r="B219" t="inlineStr">
        <is>
          <t>2026-06-12</t>
        </is>
      </c>
      <c r="C219" t="n">
        <v>2026</v>
      </c>
      <c r="D219" t="inlineStr">
        <is>
          <t>Czerwiec</t>
        </is>
      </c>
      <c r="E219" t="inlineStr">
        <is>
          <t>W3</t>
        </is>
      </c>
      <c r="F219" t="inlineStr">
        <is>
          <t>2026_Czerwiec_W3</t>
        </is>
      </c>
      <c r="G219" t="inlineStr">
        <is>
          <t>Pt</t>
        </is>
      </c>
      <c r="H219" t="inlineStr">
        <is>
          <t>CHARMUSZKO, AGNIESZKA</t>
        </is>
      </c>
      <c r="I219" t="inlineStr">
        <is>
          <t>Crew Civil</t>
        </is>
      </c>
      <c r="J219" t="inlineStr">
        <is>
          <t>Zlecenie</t>
        </is>
      </c>
      <c r="K219" t="n">
        <v>7.23</v>
      </c>
      <c r="L219" t="inlineStr">
        <is>
          <t>384</t>
        </is>
      </c>
      <c r="M219" t="inlineStr">
        <is>
          <t>108120 SBX Warszawa Janki</t>
        </is>
      </c>
      <c r="N219" t="inlineStr">
        <is>
          <t>2026-09-11 19:06</t>
        </is>
      </c>
    </row>
    <row r="220">
      <c r="A220" t="n">
        <v>219</v>
      </c>
      <c r="B220" t="inlineStr">
        <is>
          <t>2026-06-14</t>
        </is>
      </c>
      <c r="C220" t="n">
        <v>2026</v>
      </c>
      <c r="D220" t="inlineStr">
        <is>
          <t>Czerwiec</t>
        </is>
      </c>
      <c r="E220" t="inlineStr">
        <is>
          <t>W3</t>
        </is>
      </c>
      <c r="F220" t="inlineStr">
        <is>
          <t>2026_Czerwiec_W3</t>
        </is>
      </c>
      <c r="G220" t="inlineStr">
        <is>
          <t>Nd</t>
        </is>
      </c>
      <c r="H220" t="inlineStr">
        <is>
          <t>CHARMUSZKO, AGNIESZKA</t>
        </is>
      </c>
      <c r="I220" t="inlineStr">
        <is>
          <t>Crew Civil</t>
        </is>
      </c>
      <c r="J220" t="inlineStr">
        <is>
          <t>Zlecenie</t>
        </is>
      </c>
      <c r="K220" t="n">
        <v>6.02</v>
      </c>
      <c r="L220" t="inlineStr">
        <is>
          <t>384</t>
        </is>
      </c>
      <c r="M220" t="inlineStr">
        <is>
          <t>108120 SBX Warszawa Janki</t>
        </is>
      </c>
      <c r="N220" t="inlineStr">
        <is>
          <t>2026-09-11 19:06</t>
        </is>
      </c>
    </row>
    <row r="221">
      <c r="A221" t="n">
        <v>220</v>
      </c>
      <c r="B221" t="inlineStr">
        <is>
          <t>2026-06-20</t>
        </is>
      </c>
      <c r="C221" t="n">
        <v>2026</v>
      </c>
      <c r="D221" t="inlineStr">
        <is>
          <t>Czerwiec</t>
        </is>
      </c>
      <c r="E221" t="inlineStr">
        <is>
          <t>W4</t>
        </is>
      </c>
      <c r="F221" t="inlineStr">
        <is>
          <t>2026_Czerwiec_W4</t>
        </is>
      </c>
      <c r="G221" t="inlineStr">
        <is>
          <t>Sob</t>
        </is>
      </c>
      <c r="H221" t="inlineStr">
        <is>
          <t>CHARMUSZKO, AGNIESZKA</t>
        </is>
      </c>
      <c r="I221" t="inlineStr">
        <is>
          <t>Crew Civil</t>
        </is>
      </c>
      <c r="J221" t="inlineStr">
        <is>
          <t>Zlecenie</t>
        </is>
      </c>
      <c r="K221" t="n">
        <v>7.9</v>
      </c>
      <c r="L221" t="inlineStr">
        <is>
          <t>384</t>
        </is>
      </c>
      <c r="M221" t="inlineStr">
        <is>
          <t>108120 SBX Warszawa Janki</t>
        </is>
      </c>
      <c r="N221" t="inlineStr">
        <is>
          <t>2026-09-11 19:06</t>
        </is>
      </c>
    </row>
    <row r="222">
      <c r="A222" t="n">
        <v>221</v>
      </c>
      <c r="B222" t="inlineStr">
        <is>
          <t>2026-06-25</t>
        </is>
      </c>
      <c r="C222" t="n">
        <v>2026</v>
      </c>
      <c r="D222" t="inlineStr">
        <is>
          <t>Czerwiec</t>
        </is>
      </c>
      <c r="E222" t="inlineStr">
        <is>
          <t>W5</t>
        </is>
      </c>
      <c r="F222" t="inlineStr">
        <is>
          <t>2026_Czerwiec_W5</t>
        </is>
      </c>
      <c r="G222" t="inlineStr">
        <is>
          <t>Czw</t>
        </is>
      </c>
      <c r="H222" t="inlineStr">
        <is>
          <t>CHARMUSZKO, AGNIESZKA</t>
        </is>
      </c>
      <c r="I222" t="inlineStr">
        <is>
          <t>Crew Civil</t>
        </is>
      </c>
      <c r="J222" t="inlineStr">
        <is>
          <t>Zlecenie</t>
        </is>
      </c>
      <c r="K222" t="n">
        <v>4.93</v>
      </c>
      <c r="L222" t="inlineStr">
        <is>
          <t>384</t>
        </is>
      </c>
      <c r="M222" t="inlineStr">
        <is>
          <t>108120 SBX Warszawa Janki</t>
        </is>
      </c>
      <c r="N222" t="inlineStr">
        <is>
          <t>2026-09-11 19:06</t>
        </is>
      </c>
    </row>
    <row r="223">
      <c r="A223" t="n">
        <v>222</v>
      </c>
      <c r="B223" t="inlineStr">
        <is>
          <t>2026-06-26</t>
        </is>
      </c>
      <c r="C223" t="n">
        <v>2026</v>
      </c>
      <c r="D223" t="inlineStr">
        <is>
          <t>Czerwiec</t>
        </is>
      </c>
      <c r="E223" t="inlineStr">
        <is>
          <t>W5</t>
        </is>
      </c>
      <c r="F223" t="inlineStr">
        <is>
          <t>2026_Czerwiec_W5</t>
        </is>
      </c>
      <c r="G223" t="inlineStr">
        <is>
          <t>Pt</t>
        </is>
      </c>
      <c r="H223" t="inlineStr">
        <is>
          <t>CHARMUSZKO, AGNIESZKA</t>
        </is>
      </c>
      <c r="I223" t="inlineStr">
        <is>
          <t>Crew Civil</t>
        </is>
      </c>
      <c r="J223" t="inlineStr">
        <is>
          <t>Zlecenie</t>
        </is>
      </c>
      <c r="K223" t="n">
        <v>7.72</v>
      </c>
      <c r="L223" t="inlineStr">
        <is>
          <t>384</t>
        </is>
      </c>
      <c r="M223" t="inlineStr">
        <is>
          <t>108120 SBX Warszawa Janki</t>
        </is>
      </c>
      <c r="N223" t="inlineStr">
        <is>
          <t>2026-09-11 19:06</t>
        </is>
      </c>
    </row>
    <row r="224">
      <c r="A224" t="n">
        <v>223</v>
      </c>
      <c r="B224" t="inlineStr">
        <is>
          <t>2026-07-04</t>
        </is>
      </c>
      <c r="C224" t="n">
        <v>2026</v>
      </c>
      <c r="D224" t="inlineStr">
        <is>
          <t>Lipiec</t>
        </is>
      </c>
      <c r="E224" t="inlineStr">
        <is>
          <t>W1</t>
        </is>
      </c>
      <c r="F224" t="inlineStr">
        <is>
          <t>2026_Lipiec_W1</t>
        </is>
      </c>
      <c r="G224" t="inlineStr">
        <is>
          <t>Sob</t>
        </is>
      </c>
      <c r="H224" t="inlineStr">
        <is>
          <t>CHARMUSZKO, AGNIESZKA</t>
        </is>
      </c>
      <c r="I224" t="inlineStr">
        <is>
          <t>Crew Civil</t>
        </is>
      </c>
      <c r="J224" t="inlineStr">
        <is>
          <t>Zlecenie</t>
        </is>
      </c>
      <c r="K224" t="n">
        <v>7.98</v>
      </c>
      <c r="L224" t="inlineStr">
        <is>
          <t>384</t>
        </is>
      </c>
      <c r="M224" t="inlineStr">
        <is>
          <t>108120 SBX Warszawa Janki</t>
        </is>
      </c>
      <c r="N224" t="inlineStr">
        <is>
          <t>2026-09-11 19:06</t>
        </is>
      </c>
    </row>
    <row r="225">
      <c r="A225" t="n">
        <v>224</v>
      </c>
      <c r="B225" t="inlineStr">
        <is>
          <t>2026-07-27</t>
        </is>
      </c>
      <c r="C225" t="n">
        <v>2026</v>
      </c>
      <c r="D225" t="inlineStr">
        <is>
          <t>Lipiec</t>
        </is>
      </c>
      <c r="E225" t="inlineStr">
        <is>
          <t>W4</t>
        </is>
      </c>
      <c r="F225" t="inlineStr">
        <is>
          <t>2026_Lipiec_W4</t>
        </is>
      </c>
      <c r="G225" t="inlineStr">
        <is>
          <t>Pn</t>
        </is>
      </c>
      <c r="H225" t="inlineStr">
        <is>
          <t>CHARMUSZKO, AGNIESZKA</t>
        </is>
      </c>
      <c r="I225" t="inlineStr">
        <is>
          <t>Crew Civil</t>
        </is>
      </c>
      <c r="J225" t="inlineStr">
        <is>
          <t>Zlecenie</t>
        </is>
      </c>
      <c r="K225" t="n">
        <v>7.7</v>
      </c>
      <c r="L225" t="inlineStr">
        <is>
          <t>384</t>
        </is>
      </c>
      <c r="M225" t="inlineStr">
        <is>
          <t>108120 SBX Warszawa Janki</t>
        </is>
      </c>
      <c r="N225" t="inlineStr">
        <is>
          <t>2026-09-11 19:06</t>
        </is>
      </c>
    </row>
    <row r="226">
      <c r="A226" t="n">
        <v>225</v>
      </c>
      <c r="B226" t="inlineStr">
        <is>
          <t>2026-07-28</t>
        </is>
      </c>
      <c r="C226" t="n">
        <v>2026</v>
      </c>
      <c r="D226" t="inlineStr">
        <is>
          <t>Lipiec</t>
        </is>
      </c>
      <c r="E226" t="inlineStr">
        <is>
          <t>W5</t>
        </is>
      </c>
      <c r="F226" t="inlineStr">
        <is>
          <t>2026_Lipiec_W5</t>
        </is>
      </c>
      <c r="G226" t="inlineStr">
        <is>
          <t>Wt</t>
        </is>
      </c>
      <c r="H226" t="inlineStr">
        <is>
          <t>CHARMUSZKO, AGNIESZKA</t>
        </is>
      </c>
      <c r="I226" t="inlineStr">
        <is>
          <t>Crew Civil</t>
        </is>
      </c>
      <c r="J226" t="inlineStr">
        <is>
          <t>Zlecenie</t>
        </is>
      </c>
      <c r="K226" t="n">
        <v>8.039999999999999</v>
      </c>
      <c r="L226" t="inlineStr">
        <is>
          <t>384</t>
        </is>
      </c>
      <c r="M226" t="inlineStr">
        <is>
          <t>108120 SBX Warszawa Janki</t>
        </is>
      </c>
      <c r="N226" t="inlineStr">
        <is>
          <t>2026-09-11 19:06</t>
        </is>
      </c>
    </row>
    <row r="227">
      <c r="A227" t="n">
        <v>226</v>
      </c>
      <c r="B227" t="inlineStr">
        <is>
          <t>2026-08-04</t>
        </is>
      </c>
      <c r="C227" t="n">
        <v>2026</v>
      </c>
      <c r="D227" t="inlineStr">
        <is>
          <t>Sierpień</t>
        </is>
      </c>
      <c r="E227" t="inlineStr">
        <is>
          <t>W2</t>
        </is>
      </c>
      <c r="F227" t="inlineStr">
        <is>
          <t>2026_Sierpień_W2</t>
        </is>
      </c>
      <c r="G227" t="inlineStr">
        <is>
          <t>Wt</t>
        </is>
      </c>
      <c r="H227" t="inlineStr">
        <is>
          <t>CHARMUSZKO, AGNIESZKA</t>
        </is>
      </c>
      <c r="I227" t="inlineStr">
        <is>
          <t>Crew Civil</t>
        </is>
      </c>
      <c r="J227" t="inlineStr">
        <is>
          <t>Zlecenie</t>
        </is>
      </c>
      <c r="K227" t="n">
        <v>6.96</v>
      </c>
      <c r="L227" t="inlineStr">
        <is>
          <t>384</t>
        </is>
      </c>
      <c r="M227" t="inlineStr">
        <is>
          <t>108120 SBX Warszawa Janki</t>
        </is>
      </c>
      <c r="N227" t="inlineStr">
        <is>
          <t>2026-09-11 19:06</t>
        </is>
      </c>
    </row>
    <row r="228">
      <c r="A228" t="n">
        <v>227</v>
      </c>
      <c r="B228" t="inlineStr">
        <is>
          <t>2026-08-05</t>
        </is>
      </c>
      <c r="C228" t="n">
        <v>2026</v>
      </c>
      <c r="D228" t="inlineStr">
        <is>
          <t>Sierpień</t>
        </is>
      </c>
      <c r="E228" t="inlineStr">
        <is>
          <t>W2</t>
        </is>
      </c>
      <c r="F228" t="inlineStr">
        <is>
          <t>2026_Sierpień_W2</t>
        </is>
      </c>
      <c r="G228" t="inlineStr">
        <is>
          <t>Śr</t>
        </is>
      </c>
      <c r="H228" t="inlineStr">
        <is>
          <t>CHARMUSZKO, AGNIESZKA</t>
        </is>
      </c>
      <c r="I228" t="inlineStr">
        <is>
          <t>Crew Civil</t>
        </is>
      </c>
      <c r="J228" t="inlineStr">
        <is>
          <t>Zlecenie</t>
        </is>
      </c>
      <c r="K228" t="n">
        <v>7.87</v>
      </c>
      <c r="L228" t="inlineStr">
        <is>
          <t>384</t>
        </is>
      </c>
      <c r="M228" t="inlineStr">
        <is>
          <t>108120 SBX Warszawa Janki</t>
        </is>
      </c>
      <c r="N228" t="inlineStr">
        <is>
          <t>2026-09-11 19:06</t>
        </is>
      </c>
    </row>
    <row r="229">
      <c r="A229" t="n">
        <v>228</v>
      </c>
      <c r="B229" t="inlineStr">
        <is>
          <t>2026-08-15</t>
        </is>
      </c>
      <c r="C229" t="n">
        <v>2026</v>
      </c>
      <c r="D229" t="inlineStr">
        <is>
          <t>Sierpień</t>
        </is>
      </c>
      <c r="E229" t="inlineStr">
        <is>
          <t>W3</t>
        </is>
      </c>
      <c r="F229" t="inlineStr">
        <is>
          <t>2026_Sierpień_W3</t>
        </is>
      </c>
      <c r="G229" t="inlineStr">
        <is>
          <t>Sob</t>
        </is>
      </c>
      <c r="H229" t="inlineStr">
        <is>
          <t>CHARMUSZKO, AGNIESZKA</t>
        </is>
      </c>
      <c r="I229" t="inlineStr">
        <is>
          <t>Crew Civil</t>
        </is>
      </c>
      <c r="J229" t="inlineStr">
        <is>
          <t>Zlecenie</t>
        </is>
      </c>
      <c r="K229" t="n">
        <v>5.77</v>
      </c>
      <c r="L229" t="inlineStr">
        <is>
          <t>384</t>
        </is>
      </c>
      <c r="M229" t="inlineStr">
        <is>
          <t>108120 SBX Warszawa Janki</t>
        </is>
      </c>
      <c r="N229" t="inlineStr">
        <is>
          <t>2026-09-11 19:06</t>
        </is>
      </c>
    </row>
    <row r="230">
      <c r="A230" t="n">
        <v>229</v>
      </c>
      <c r="B230" t="inlineStr">
        <is>
          <t>2026-08-16</t>
        </is>
      </c>
      <c r="C230" t="n">
        <v>2026</v>
      </c>
      <c r="D230" t="inlineStr">
        <is>
          <t>Sierpień</t>
        </is>
      </c>
      <c r="E230" t="inlineStr">
        <is>
          <t>W3</t>
        </is>
      </c>
      <c r="F230" t="inlineStr">
        <is>
          <t>2026_Sierpień_W3</t>
        </is>
      </c>
      <c r="G230" t="inlineStr">
        <is>
          <t>Nd</t>
        </is>
      </c>
      <c r="H230" t="inlineStr">
        <is>
          <t>CHARMUSZKO, AGNIESZKA</t>
        </is>
      </c>
      <c r="I230" t="inlineStr">
        <is>
          <t>Crew Civil</t>
        </is>
      </c>
      <c r="J230" t="inlineStr">
        <is>
          <t>Zlecenie</t>
        </is>
      </c>
      <c r="K230" t="n">
        <v>3.55</v>
      </c>
      <c r="L230" t="inlineStr">
        <is>
          <t>384</t>
        </is>
      </c>
      <c r="M230" t="inlineStr">
        <is>
          <t>108120 SBX Warszawa Janki</t>
        </is>
      </c>
      <c r="N230" t="inlineStr">
        <is>
          <t>2026-09-11 19:06</t>
        </is>
      </c>
    </row>
    <row r="231">
      <c r="A231" t="n">
        <v>230</v>
      </c>
      <c r="B231" t="inlineStr">
        <is>
          <t>2026-08-19</t>
        </is>
      </c>
      <c r="C231" t="n">
        <v>2026</v>
      </c>
      <c r="D231" t="inlineStr">
        <is>
          <t>Sierpień</t>
        </is>
      </c>
      <c r="E231" t="inlineStr">
        <is>
          <t>W4</t>
        </is>
      </c>
      <c r="F231" t="inlineStr">
        <is>
          <t>2026_Sierpień_W4</t>
        </is>
      </c>
      <c r="G231" t="inlineStr">
        <is>
          <t>Śr</t>
        </is>
      </c>
      <c r="H231" t="inlineStr">
        <is>
          <t>CHARMUSZKO, AGNIESZKA</t>
        </is>
      </c>
      <c r="I231" t="inlineStr">
        <is>
          <t>Crew Civil</t>
        </is>
      </c>
      <c r="J231" t="inlineStr">
        <is>
          <t>Zlecenie</t>
        </is>
      </c>
      <c r="K231" t="n">
        <v>7.37</v>
      </c>
      <c r="L231" t="inlineStr">
        <is>
          <t>384</t>
        </is>
      </c>
      <c r="M231" t="inlineStr">
        <is>
          <t>108120 SBX Warszawa Janki</t>
        </is>
      </c>
      <c r="N231" t="inlineStr">
        <is>
          <t>2026-09-11 19:06</t>
        </is>
      </c>
    </row>
    <row r="232">
      <c r="A232" t="n">
        <v>231</v>
      </c>
      <c r="B232" t="inlineStr">
        <is>
          <t>2026-04-08</t>
        </is>
      </c>
      <c r="C232" t="n">
        <v>2026</v>
      </c>
      <c r="D232" t="inlineStr">
        <is>
          <t>Kwiecień</t>
        </is>
      </c>
      <c r="E232" t="inlineStr">
        <is>
          <t>W2</t>
        </is>
      </c>
      <c r="F232" t="inlineStr">
        <is>
          <t>2026_Kwiecień_W2</t>
        </is>
      </c>
      <c r="G232" t="inlineStr">
        <is>
          <t>Śr</t>
        </is>
      </c>
      <c r="H232" t="inlineStr">
        <is>
          <t>CYDEJKO, ADRIAN</t>
        </is>
      </c>
      <c r="I232" t="inlineStr">
        <is>
          <t>Crew Civil</t>
        </is>
      </c>
      <c r="J232" t="inlineStr">
        <is>
          <t>Zlecenie</t>
        </is>
      </c>
      <c r="K232" t="n">
        <v>3.56</v>
      </c>
      <c r="L232" t="inlineStr">
        <is>
          <t>384</t>
        </is>
      </c>
      <c r="M232" t="inlineStr">
        <is>
          <t>108120 SBX Warszawa Janki</t>
        </is>
      </c>
      <c r="N232" t="inlineStr">
        <is>
          <t>2026-09-11 19:06</t>
        </is>
      </c>
    </row>
    <row r="233">
      <c r="A233" t="n">
        <v>232</v>
      </c>
      <c r="B233" t="inlineStr">
        <is>
          <t>2026-04-17</t>
        </is>
      </c>
      <c r="C233" t="n">
        <v>2026</v>
      </c>
      <c r="D233" t="inlineStr">
        <is>
          <t>Kwiecień</t>
        </is>
      </c>
      <c r="E233" t="inlineStr">
        <is>
          <t>W3</t>
        </is>
      </c>
      <c r="F233" t="inlineStr">
        <is>
          <t>2026_Kwiecień_W3</t>
        </is>
      </c>
      <c r="G233" t="inlineStr">
        <is>
          <t>Pt</t>
        </is>
      </c>
      <c r="H233" t="inlineStr">
        <is>
          <t>CYDEJKO, ADRIAN</t>
        </is>
      </c>
      <c r="I233" t="inlineStr">
        <is>
          <t>Crew Civil</t>
        </is>
      </c>
      <c r="J233" t="inlineStr">
        <is>
          <t>Zlecenie</t>
        </is>
      </c>
      <c r="K233" t="n">
        <v>5.91</v>
      </c>
      <c r="L233" t="inlineStr">
        <is>
          <t>384</t>
        </is>
      </c>
      <c r="M233" t="inlineStr">
        <is>
          <t>108120 SBX Warszawa Janki</t>
        </is>
      </c>
      <c r="N233" t="inlineStr">
        <is>
          <t>2026-09-11 19:06</t>
        </is>
      </c>
    </row>
    <row r="234">
      <c r="A234" t="n">
        <v>233</v>
      </c>
      <c r="B234" t="inlineStr">
        <is>
          <t>2026-04-19</t>
        </is>
      </c>
      <c r="C234" t="n">
        <v>2026</v>
      </c>
      <c r="D234" t="inlineStr">
        <is>
          <t>Kwiecień</t>
        </is>
      </c>
      <c r="E234" t="inlineStr">
        <is>
          <t>W3</t>
        </is>
      </c>
      <c r="F234" t="inlineStr">
        <is>
          <t>2026_Kwiecień_W3</t>
        </is>
      </c>
      <c r="G234" t="inlineStr">
        <is>
          <t>Nd</t>
        </is>
      </c>
      <c r="H234" t="inlineStr">
        <is>
          <t>CYDEJKO, ADRIAN</t>
        </is>
      </c>
      <c r="I234" t="inlineStr">
        <is>
          <t>Crew Civil</t>
        </is>
      </c>
      <c r="J234" t="inlineStr">
        <is>
          <t>Zlecenie</t>
        </is>
      </c>
      <c r="K234" t="n">
        <v>6.13</v>
      </c>
      <c r="L234" t="inlineStr">
        <is>
          <t>384</t>
        </is>
      </c>
      <c r="M234" t="inlineStr">
        <is>
          <t>108120 SBX Warszawa Janki</t>
        </is>
      </c>
      <c r="N234" t="inlineStr">
        <is>
          <t>2026-09-11 19:06</t>
        </is>
      </c>
    </row>
    <row r="235">
      <c r="A235" t="n">
        <v>234</v>
      </c>
      <c r="B235" t="inlineStr">
        <is>
          <t>2026-04-24</t>
        </is>
      </c>
      <c r="C235" t="n">
        <v>2026</v>
      </c>
      <c r="D235" t="inlineStr">
        <is>
          <t>Kwiecień</t>
        </is>
      </c>
      <c r="E235" t="inlineStr">
        <is>
          <t>W4</t>
        </is>
      </c>
      <c r="F235" t="inlineStr">
        <is>
          <t>2026_Kwiecień_W4</t>
        </is>
      </c>
      <c r="G235" t="inlineStr">
        <is>
          <t>Pt</t>
        </is>
      </c>
      <c r="H235" t="inlineStr">
        <is>
          <t>CYDEJKO, ADRIAN</t>
        </is>
      </c>
      <c r="I235" t="inlineStr">
        <is>
          <t>Crew Civil</t>
        </is>
      </c>
      <c r="J235" t="inlineStr">
        <is>
          <t>Zlecenie</t>
        </is>
      </c>
      <c r="K235" t="n">
        <v>5</v>
      </c>
      <c r="L235" t="inlineStr">
        <is>
          <t>384</t>
        </is>
      </c>
      <c r="M235" t="inlineStr">
        <is>
          <t>108120 SBX Warszawa Janki</t>
        </is>
      </c>
      <c r="N235" t="inlineStr">
        <is>
          <t>2026-09-11 19:06</t>
        </is>
      </c>
    </row>
    <row r="236">
      <c r="A236" t="n">
        <v>235</v>
      </c>
      <c r="B236" t="inlineStr">
        <is>
          <t>2026-04-25</t>
        </is>
      </c>
      <c r="C236" t="n">
        <v>2026</v>
      </c>
      <c r="D236" t="inlineStr">
        <is>
          <t>Kwiecień</t>
        </is>
      </c>
      <c r="E236" t="inlineStr">
        <is>
          <t>W4</t>
        </is>
      </c>
      <c r="F236" t="inlineStr">
        <is>
          <t>2026_Kwiecień_W4</t>
        </is>
      </c>
      <c r="G236" t="inlineStr">
        <is>
          <t>Sob</t>
        </is>
      </c>
      <c r="H236" t="inlineStr">
        <is>
          <t>CYDEJKO, ADRIAN</t>
        </is>
      </c>
      <c r="I236" t="inlineStr">
        <is>
          <t>Crew Civil</t>
        </is>
      </c>
      <c r="J236" t="inlineStr">
        <is>
          <t>Zlecenie</t>
        </is>
      </c>
      <c r="K236" t="n">
        <v>8.15</v>
      </c>
      <c r="L236" t="inlineStr">
        <is>
          <t>384</t>
        </is>
      </c>
      <c r="M236" t="inlineStr">
        <is>
          <t>108120 SBX Warszawa Janki</t>
        </is>
      </c>
      <c r="N236" t="inlineStr">
        <is>
          <t>2026-09-11 19:06</t>
        </is>
      </c>
    </row>
    <row r="237">
      <c r="A237" t="n">
        <v>236</v>
      </c>
      <c r="B237" t="inlineStr">
        <is>
          <t>2026-04-26</t>
        </is>
      </c>
      <c r="C237" t="n">
        <v>2026</v>
      </c>
      <c r="D237" t="inlineStr">
        <is>
          <t>Kwiecień</t>
        </is>
      </c>
      <c r="E237" t="inlineStr">
        <is>
          <t>W4</t>
        </is>
      </c>
      <c r="F237" t="inlineStr">
        <is>
          <t>2026_Kwiecień_W4</t>
        </is>
      </c>
      <c r="G237" t="inlineStr">
        <is>
          <t>Nd</t>
        </is>
      </c>
      <c r="H237" t="inlineStr">
        <is>
          <t>CYDEJKO, ADRIAN</t>
        </is>
      </c>
      <c r="I237" t="inlineStr">
        <is>
          <t>Crew Civil</t>
        </is>
      </c>
      <c r="J237" t="inlineStr">
        <is>
          <t>Zlecenie</t>
        </is>
      </c>
      <c r="K237" t="n">
        <v>7.14</v>
      </c>
      <c r="L237" t="inlineStr">
        <is>
          <t>384</t>
        </is>
      </c>
      <c r="M237" t="inlineStr">
        <is>
          <t>108120 SBX Warszawa Janki</t>
        </is>
      </c>
      <c r="N237" t="inlineStr">
        <is>
          <t>2026-09-11 19:06</t>
        </is>
      </c>
    </row>
    <row r="238">
      <c r="A238" t="n">
        <v>237</v>
      </c>
      <c r="B238" t="inlineStr">
        <is>
          <t>2026-04-28</t>
        </is>
      </c>
      <c r="C238" t="n">
        <v>2026</v>
      </c>
      <c r="D238" t="inlineStr">
        <is>
          <t>Kwiecień</t>
        </is>
      </c>
      <c r="E238" t="inlineStr">
        <is>
          <t>W5</t>
        </is>
      </c>
      <c r="F238" t="inlineStr">
        <is>
          <t>2026_Kwiecień_W5</t>
        </is>
      </c>
      <c r="G238" t="inlineStr">
        <is>
          <t>Wt</t>
        </is>
      </c>
      <c r="H238" t="inlineStr">
        <is>
          <t>CYDEJKO, ADRIAN</t>
        </is>
      </c>
      <c r="I238" t="inlineStr">
        <is>
          <t>Crew Civil</t>
        </is>
      </c>
      <c r="J238" t="inlineStr">
        <is>
          <t>Zlecenie</t>
        </is>
      </c>
      <c r="K238" t="n">
        <v>0</v>
      </c>
      <c r="L238" t="inlineStr">
        <is>
          <t>384</t>
        </is>
      </c>
      <c r="M238" t="inlineStr">
        <is>
          <t>108120 SBX Warszawa Janki</t>
        </is>
      </c>
      <c r="N238" t="inlineStr">
        <is>
          <t>2026-09-11 19:06</t>
        </is>
      </c>
    </row>
    <row r="239">
      <c r="A239" t="n">
        <v>238</v>
      </c>
      <c r="B239" t="inlineStr">
        <is>
          <t>2026-04-28</t>
        </is>
      </c>
      <c r="C239" t="n">
        <v>2026</v>
      </c>
      <c r="D239" t="inlineStr">
        <is>
          <t>Kwiecień</t>
        </is>
      </c>
      <c r="E239" t="inlineStr">
        <is>
          <t>W5</t>
        </is>
      </c>
      <c r="F239" t="inlineStr">
        <is>
          <t>2026_Kwiecień_W5</t>
        </is>
      </c>
      <c r="G239" t="inlineStr">
        <is>
          <t>Wt</t>
        </is>
      </c>
      <c r="H239" t="inlineStr">
        <is>
          <t>CYDEJKO, ADRIAN</t>
        </is>
      </c>
      <c r="I239" t="inlineStr">
        <is>
          <t>Crew Civil</t>
        </is>
      </c>
      <c r="J239" t="inlineStr">
        <is>
          <t>Zlecenie</t>
        </is>
      </c>
      <c r="K239" t="n">
        <v>2.25</v>
      </c>
      <c r="L239" t="inlineStr">
        <is>
          <t>384</t>
        </is>
      </c>
      <c r="M239" t="inlineStr">
        <is>
          <t>108120 SBX Warszawa Janki</t>
        </is>
      </c>
      <c r="N239" t="inlineStr">
        <is>
          <t>2026-09-11 19:06</t>
        </is>
      </c>
    </row>
    <row r="240">
      <c r="A240" t="n">
        <v>239</v>
      </c>
      <c r="B240" t="inlineStr">
        <is>
          <t>2026-05-02</t>
        </is>
      </c>
      <c r="C240" t="n">
        <v>2026</v>
      </c>
      <c r="D240" t="inlineStr">
        <is>
          <t>Maj</t>
        </is>
      </c>
      <c r="E240" t="inlineStr">
        <is>
          <t>W1</t>
        </is>
      </c>
      <c r="F240" t="inlineStr">
        <is>
          <t>2026_Maj_W1</t>
        </is>
      </c>
      <c r="G240" t="inlineStr">
        <is>
          <t>Sob</t>
        </is>
      </c>
      <c r="H240" t="inlineStr">
        <is>
          <t>CYDEJKO, ADRIAN</t>
        </is>
      </c>
      <c r="I240" t="inlineStr">
        <is>
          <t>Crew Civil</t>
        </is>
      </c>
      <c r="J240" t="inlineStr">
        <is>
          <t>Zlecenie</t>
        </is>
      </c>
      <c r="K240" t="n">
        <v>0</v>
      </c>
      <c r="L240" t="inlineStr">
        <is>
          <t>384</t>
        </is>
      </c>
      <c r="M240" t="inlineStr">
        <is>
          <t>108120 SBX Warszawa Janki</t>
        </is>
      </c>
      <c r="N240" t="inlineStr">
        <is>
          <t>2026-09-11 19:06</t>
        </is>
      </c>
    </row>
    <row r="241">
      <c r="A241" t="n">
        <v>240</v>
      </c>
      <c r="B241" t="inlineStr">
        <is>
          <t>2026-05-02</t>
        </is>
      </c>
      <c r="C241" t="n">
        <v>2026</v>
      </c>
      <c r="D241" t="inlineStr">
        <is>
          <t>Maj</t>
        </is>
      </c>
      <c r="E241" t="inlineStr">
        <is>
          <t>W1</t>
        </is>
      </c>
      <c r="F241" t="inlineStr">
        <is>
          <t>2026_Maj_W1</t>
        </is>
      </c>
      <c r="G241" t="inlineStr">
        <is>
          <t>Sob</t>
        </is>
      </c>
      <c r="H241" t="inlineStr">
        <is>
          <t>CYDEJKO, ADRIAN</t>
        </is>
      </c>
      <c r="I241" t="inlineStr">
        <is>
          <t>Crew Civil</t>
        </is>
      </c>
      <c r="J241" t="inlineStr">
        <is>
          <t>Zlecenie</t>
        </is>
      </c>
      <c r="K241" t="n">
        <v>8</v>
      </c>
      <c r="L241" t="inlineStr">
        <is>
          <t>384</t>
        </is>
      </c>
      <c r="M241" t="inlineStr">
        <is>
          <t>108120 SBX Warszawa Janki</t>
        </is>
      </c>
      <c r="N241" t="inlineStr">
        <is>
          <t>2026-09-11 19:06</t>
        </is>
      </c>
    </row>
    <row r="242">
      <c r="A242" t="n">
        <v>241</v>
      </c>
      <c r="B242" t="inlineStr">
        <is>
          <t>2026-05-15</t>
        </is>
      </c>
      <c r="C242" t="n">
        <v>2026</v>
      </c>
      <c r="D242" t="inlineStr">
        <is>
          <t>Maj</t>
        </is>
      </c>
      <c r="E242" t="inlineStr">
        <is>
          <t>W3</t>
        </is>
      </c>
      <c r="F242" t="inlineStr">
        <is>
          <t>2026_Maj_W3</t>
        </is>
      </c>
      <c r="G242" t="inlineStr">
        <is>
          <t>Pt</t>
        </is>
      </c>
      <c r="H242" t="inlineStr">
        <is>
          <t>CYDEJKO, ADRIAN</t>
        </is>
      </c>
      <c r="I242" t="inlineStr">
        <is>
          <t>Crew Civil</t>
        </is>
      </c>
      <c r="J242" t="inlineStr">
        <is>
          <t>Zlecenie</t>
        </is>
      </c>
      <c r="K242" t="n">
        <v>7.78</v>
      </c>
      <c r="L242" t="inlineStr">
        <is>
          <t>384</t>
        </is>
      </c>
      <c r="M242" t="inlineStr">
        <is>
          <t>108120 SBX Warszawa Janki</t>
        </is>
      </c>
      <c r="N242" t="inlineStr">
        <is>
          <t>2026-09-11 19:06</t>
        </is>
      </c>
    </row>
    <row r="243">
      <c r="A243" t="n">
        <v>242</v>
      </c>
      <c r="B243" t="inlineStr">
        <is>
          <t>2026-05-17</t>
        </is>
      </c>
      <c r="C243" t="n">
        <v>2026</v>
      </c>
      <c r="D243" t="inlineStr">
        <is>
          <t>Maj</t>
        </is>
      </c>
      <c r="E243" t="inlineStr">
        <is>
          <t>W3</t>
        </is>
      </c>
      <c r="F243" t="inlineStr">
        <is>
          <t>2026_Maj_W3</t>
        </is>
      </c>
      <c r="G243" t="inlineStr">
        <is>
          <t>Nd</t>
        </is>
      </c>
      <c r="H243" t="inlineStr">
        <is>
          <t>CYDEJKO, ADRIAN</t>
        </is>
      </c>
      <c r="I243" t="inlineStr">
        <is>
          <t>Crew Civil</t>
        </is>
      </c>
      <c r="J243" t="inlineStr">
        <is>
          <t>Zlecenie</t>
        </is>
      </c>
      <c r="K243" t="n">
        <v>6.1</v>
      </c>
      <c r="L243" t="inlineStr">
        <is>
          <t>384</t>
        </is>
      </c>
      <c r="M243" t="inlineStr">
        <is>
          <t>108120 SBX Warszawa Janki</t>
        </is>
      </c>
      <c r="N243" t="inlineStr">
        <is>
          <t>2026-09-11 19:06</t>
        </is>
      </c>
    </row>
    <row r="244">
      <c r="A244" t="n">
        <v>243</v>
      </c>
      <c r="B244" t="inlineStr">
        <is>
          <t>2026-05-22</t>
        </is>
      </c>
      <c r="C244" t="n">
        <v>2026</v>
      </c>
      <c r="D244" t="inlineStr">
        <is>
          <t>Maj</t>
        </is>
      </c>
      <c r="E244" t="inlineStr">
        <is>
          <t>W4</t>
        </is>
      </c>
      <c r="F244" t="inlineStr">
        <is>
          <t>2026_Maj_W4</t>
        </is>
      </c>
      <c r="G244" t="inlineStr">
        <is>
          <t>Pt</t>
        </is>
      </c>
      <c r="H244" t="inlineStr">
        <is>
          <t>CYDEJKO, ADRIAN</t>
        </is>
      </c>
      <c r="I244" t="inlineStr">
        <is>
          <t>Crew Civil</t>
        </is>
      </c>
      <c r="J244" t="inlineStr">
        <is>
          <t>Zlecenie</t>
        </is>
      </c>
      <c r="K244" t="n">
        <v>6.99</v>
      </c>
      <c r="L244" t="inlineStr">
        <is>
          <t>384</t>
        </is>
      </c>
      <c r="M244" t="inlineStr">
        <is>
          <t>108120 SBX Warszawa Janki</t>
        </is>
      </c>
      <c r="N244" t="inlineStr">
        <is>
          <t>2026-09-11 19:06</t>
        </is>
      </c>
    </row>
    <row r="245">
      <c r="A245" t="n">
        <v>244</v>
      </c>
      <c r="B245" t="inlineStr">
        <is>
          <t>2026-05-23</t>
        </is>
      </c>
      <c r="C245" t="n">
        <v>2026</v>
      </c>
      <c r="D245" t="inlineStr">
        <is>
          <t>Maj</t>
        </is>
      </c>
      <c r="E245" t="inlineStr">
        <is>
          <t>W4</t>
        </is>
      </c>
      <c r="F245" t="inlineStr">
        <is>
          <t>2026_Maj_W4</t>
        </is>
      </c>
      <c r="G245" t="inlineStr">
        <is>
          <t>Sob</t>
        </is>
      </c>
      <c r="H245" t="inlineStr">
        <is>
          <t>CYDEJKO, ADRIAN</t>
        </is>
      </c>
      <c r="I245" t="inlineStr">
        <is>
          <t>Crew Civil</t>
        </is>
      </c>
      <c r="J245" t="inlineStr">
        <is>
          <t>Zlecenie</t>
        </is>
      </c>
      <c r="K245" t="n">
        <v>6.03</v>
      </c>
      <c r="L245" t="inlineStr">
        <is>
          <t>384</t>
        </is>
      </c>
      <c r="M245" t="inlineStr">
        <is>
          <t>108120 SBX Warszawa Janki</t>
        </is>
      </c>
      <c r="N245" t="inlineStr">
        <is>
          <t>2026-09-11 19:06</t>
        </is>
      </c>
    </row>
    <row r="246">
      <c r="A246" t="n">
        <v>245</v>
      </c>
      <c r="B246" t="inlineStr">
        <is>
          <t>2026-05-29</t>
        </is>
      </c>
      <c r="C246" t="n">
        <v>2026</v>
      </c>
      <c r="D246" t="inlineStr">
        <is>
          <t>Maj</t>
        </is>
      </c>
      <c r="E246" t="inlineStr">
        <is>
          <t>W5</t>
        </is>
      </c>
      <c r="F246" t="inlineStr">
        <is>
          <t>2026_Maj_W5</t>
        </is>
      </c>
      <c r="G246" t="inlineStr">
        <is>
          <t>Pt</t>
        </is>
      </c>
      <c r="H246" t="inlineStr">
        <is>
          <t>CYDEJKO, ADRIAN</t>
        </is>
      </c>
      <c r="I246" t="inlineStr">
        <is>
          <t>Crew Civil</t>
        </is>
      </c>
      <c r="J246" t="inlineStr">
        <is>
          <t>Zlecenie</t>
        </is>
      </c>
      <c r="K246" t="n">
        <v>7.57</v>
      </c>
      <c r="L246" t="inlineStr">
        <is>
          <t>384</t>
        </is>
      </c>
      <c r="M246" t="inlineStr">
        <is>
          <t>108120 SBX Warszawa Janki</t>
        </is>
      </c>
      <c r="N246" t="inlineStr">
        <is>
          <t>2026-09-11 19:06</t>
        </is>
      </c>
    </row>
    <row r="247">
      <c r="A247" t="n">
        <v>246</v>
      </c>
      <c r="B247" t="inlineStr">
        <is>
          <t>2026-05-30</t>
        </is>
      </c>
      <c r="C247" t="n">
        <v>2026</v>
      </c>
      <c r="D247" t="inlineStr">
        <is>
          <t>Maj</t>
        </is>
      </c>
      <c r="E247" t="inlineStr">
        <is>
          <t>W5</t>
        </is>
      </c>
      <c r="F247" t="inlineStr">
        <is>
          <t>2026_Maj_W5</t>
        </is>
      </c>
      <c r="G247" t="inlineStr">
        <is>
          <t>Sob</t>
        </is>
      </c>
      <c r="H247" t="inlineStr">
        <is>
          <t>CYDEJKO, ADRIAN</t>
        </is>
      </c>
      <c r="I247" t="inlineStr">
        <is>
          <t>Crew Civil</t>
        </is>
      </c>
      <c r="J247" t="inlineStr">
        <is>
          <t>Zlecenie</t>
        </is>
      </c>
      <c r="K247" t="n">
        <v>8.140000000000001</v>
      </c>
      <c r="L247" t="inlineStr">
        <is>
          <t>384</t>
        </is>
      </c>
      <c r="M247" t="inlineStr">
        <is>
          <t>108120 SBX Warszawa Janki</t>
        </is>
      </c>
      <c r="N247" t="inlineStr">
        <is>
          <t>2026-09-11 19:06</t>
        </is>
      </c>
    </row>
    <row r="248">
      <c r="A248" t="n">
        <v>247</v>
      </c>
      <c r="B248" t="inlineStr">
        <is>
          <t>2026-05-31</t>
        </is>
      </c>
      <c r="C248" t="n">
        <v>2026</v>
      </c>
      <c r="D248" t="inlineStr">
        <is>
          <t>Maj</t>
        </is>
      </c>
      <c r="E248" t="inlineStr">
        <is>
          <t>W5</t>
        </is>
      </c>
      <c r="F248" t="inlineStr">
        <is>
          <t>2026_Maj_W5</t>
        </is>
      </c>
      <c r="G248" t="inlineStr">
        <is>
          <t>Nd</t>
        </is>
      </c>
      <c r="H248" t="inlineStr">
        <is>
          <t>CYDEJKO, ADRIAN</t>
        </is>
      </c>
      <c r="I248" t="inlineStr">
        <is>
          <t>Crew Civil</t>
        </is>
      </c>
      <c r="J248" t="inlineStr">
        <is>
          <t>Zlecenie</t>
        </is>
      </c>
      <c r="K248" t="n">
        <v>5.97</v>
      </c>
      <c r="L248" t="inlineStr">
        <is>
          <t>384</t>
        </is>
      </c>
      <c r="M248" t="inlineStr">
        <is>
          <t>108120 SBX Warszawa Janki</t>
        </is>
      </c>
      <c r="N248" t="inlineStr">
        <is>
          <t>2026-09-11 19:06</t>
        </is>
      </c>
    </row>
    <row r="249">
      <c r="A249" t="n">
        <v>248</v>
      </c>
      <c r="B249" t="inlineStr">
        <is>
          <t>2026-06-06</t>
        </is>
      </c>
      <c r="C249" t="n">
        <v>2026</v>
      </c>
      <c r="D249" t="inlineStr">
        <is>
          <t>Czerwiec</t>
        </is>
      </c>
      <c r="E249" t="inlineStr">
        <is>
          <t>W2</t>
        </is>
      </c>
      <c r="F249" t="inlineStr">
        <is>
          <t>2026_Czerwiec_W2</t>
        </is>
      </c>
      <c r="G249" t="inlineStr">
        <is>
          <t>Sob</t>
        </is>
      </c>
      <c r="H249" t="inlineStr">
        <is>
          <t>CYDEJKO, ADRIAN</t>
        </is>
      </c>
      <c r="I249" t="inlineStr">
        <is>
          <t>Crew Civil</t>
        </is>
      </c>
      <c r="J249" t="inlineStr">
        <is>
          <t>Zlecenie</t>
        </is>
      </c>
      <c r="K249" t="n">
        <v>8.289999999999999</v>
      </c>
      <c r="L249" t="inlineStr">
        <is>
          <t>384</t>
        </is>
      </c>
      <c r="M249" t="inlineStr">
        <is>
          <t>108120 SBX Warszawa Janki</t>
        </is>
      </c>
      <c r="N249" t="inlineStr">
        <is>
          <t>2026-09-11 19:06</t>
        </is>
      </c>
    </row>
    <row r="250">
      <c r="A250" t="n">
        <v>249</v>
      </c>
      <c r="B250" t="inlineStr">
        <is>
          <t>2026-06-07</t>
        </is>
      </c>
      <c r="C250" t="n">
        <v>2026</v>
      </c>
      <c r="D250" t="inlineStr">
        <is>
          <t>Czerwiec</t>
        </is>
      </c>
      <c r="E250" t="inlineStr">
        <is>
          <t>W2</t>
        </is>
      </c>
      <c r="F250" t="inlineStr">
        <is>
          <t>2026_Czerwiec_W2</t>
        </is>
      </c>
      <c r="G250" t="inlineStr">
        <is>
          <t>Nd</t>
        </is>
      </c>
      <c r="H250" t="inlineStr">
        <is>
          <t>CYDEJKO, ADRIAN</t>
        </is>
      </c>
      <c r="I250" t="inlineStr">
        <is>
          <t>Crew Civil</t>
        </is>
      </c>
      <c r="J250" t="inlineStr">
        <is>
          <t>Zlecenie</t>
        </is>
      </c>
      <c r="K250" t="n">
        <v>5.97</v>
      </c>
      <c r="L250" t="inlineStr">
        <is>
          <t>384</t>
        </is>
      </c>
      <c r="M250" t="inlineStr">
        <is>
          <t>108120 SBX Warszawa Janki</t>
        </is>
      </c>
      <c r="N250" t="inlineStr">
        <is>
          <t>2026-09-11 19:06</t>
        </is>
      </c>
    </row>
    <row r="251">
      <c r="A251" t="n">
        <v>250</v>
      </c>
      <c r="B251" t="inlineStr">
        <is>
          <t>2026-06-13</t>
        </is>
      </c>
      <c r="C251" t="n">
        <v>2026</v>
      </c>
      <c r="D251" t="inlineStr">
        <is>
          <t>Czerwiec</t>
        </is>
      </c>
      <c r="E251" t="inlineStr">
        <is>
          <t>W3</t>
        </is>
      </c>
      <c r="F251" t="inlineStr">
        <is>
          <t>2026_Czerwiec_W3</t>
        </is>
      </c>
      <c r="G251" t="inlineStr">
        <is>
          <t>Sob</t>
        </is>
      </c>
      <c r="H251" t="inlineStr">
        <is>
          <t>CYDEJKO, ADRIAN</t>
        </is>
      </c>
      <c r="I251" t="inlineStr">
        <is>
          <t>Crew Civil</t>
        </is>
      </c>
      <c r="J251" t="inlineStr">
        <is>
          <t>Zlecenie</t>
        </is>
      </c>
      <c r="K251" t="n">
        <v>8.5</v>
      </c>
      <c r="L251" t="inlineStr">
        <is>
          <t>384</t>
        </is>
      </c>
      <c r="M251" t="inlineStr">
        <is>
          <t>108120 SBX Warszawa Janki</t>
        </is>
      </c>
      <c r="N251" t="inlineStr">
        <is>
          <t>2026-09-11 19:06</t>
        </is>
      </c>
    </row>
    <row r="252">
      <c r="A252" t="n">
        <v>251</v>
      </c>
      <c r="B252" t="inlineStr">
        <is>
          <t>2026-06-20</t>
        </is>
      </c>
      <c r="C252" t="n">
        <v>2026</v>
      </c>
      <c r="D252" t="inlineStr">
        <is>
          <t>Czerwiec</t>
        </is>
      </c>
      <c r="E252" t="inlineStr">
        <is>
          <t>W4</t>
        </is>
      </c>
      <c r="F252" t="inlineStr">
        <is>
          <t>2026_Czerwiec_W4</t>
        </is>
      </c>
      <c r="G252" t="inlineStr">
        <is>
          <t>Sob</t>
        </is>
      </c>
      <c r="H252" t="inlineStr">
        <is>
          <t>CYDEJKO, ADRIAN</t>
        </is>
      </c>
      <c r="I252" t="inlineStr">
        <is>
          <t>Crew Civil</t>
        </is>
      </c>
      <c r="J252" t="inlineStr">
        <is>
          <t>Zlecenie</t>
        </is>
      </c>
      <c r="K252" t="n">
        <v>8.130000000000001</v>
      </c>
      <c r="L252" t="inlineStr">
        <is>
          <t>384</t>
        </is>
      </c>
      <c r="M252" t="inlineStr">
        <is>
          <t>108120 SBX Warszawa Janki</t>
        </is>
      </c>
      <c r="N252" t="inlineStr">
        <is>
          <t>2026-09-11 19:06</t>
        </is>
      </c>
    </row>
    <row r="253">
      <c r="A253" t="n">
        <v>252</v>
      </c>
      <c r="B253" t="inlineStr">
        <is>
          <t>2026-01-04</t>
        </is>
      </c>
      <c r="C253" t="n">
        <v>2026</v>
      </c>
      <c r="D253" t="inlineStr">
        <is>
          <t>Styczeń</t>
        </is>
      </c>
      <c r="E253" t="inlineStr">
        <is>
          <t>W1</t>
        </is>
      </c>
      <c r="F253" t="inlineStr">
        <is>
          <t>2026_Styczeń_W1</t>
        </is>
      </c>
      <c r="G253" t="inlineStr">
        <is>
          <t>Nd</t>
        </is>
      </c>
      <c r="H253" t="inlineStr">
        <is>
          <t>DOMACHOWSKA, HANNA</t>
        </is>
      </c>
      <c r="I253" t="inlineStr">
        <is>
          <t>Shift manager/Supervisor</t>
        </is>
      </c>
      <c r="J253" t="inlineStr">
        <is>
          <t>Standard 0,5|20h</t>
        </is>
      </c>
      <c r="K253" t="n">
        <v>7.19</v>
      </c>
      <c r="L253" t="inlineStr">
        <is>
          <t>384</t>
        </is>
      </c>
      <c r="M253" t="inlineStr">
        <is>
          <t>108120 SBX Warszawa Janki</t>
        </is>
      </c>
      <c r="N253" t="inlineStr">
        <is>
          <t>2026-09-11 19:06</t>
        </is>
      </c>
    </row>
    <row r="254">
      <c r="A254" t="n">
        <v>253</v>
      </c>
      <c r="B254" t="inlineStr">
        <is>
          <t>2026-01-07</t>
        </is>
      </c>
      <c r="C254" t="n">
        <v>2026</v>
      </c>
      <c r="D254" t="inlineStr">
        <is>
          <t>Styczeń</t>
        </is>
      </c>
      <c r="E254" t="inlineStr">
        <is>
          <t>W2</t>
        </is>
      </c>
      <c r="F254" t="inlineStr">
        <is>
          <t>2026_Styczeń_W2</t>
        </is>
      </c>
      <c r="G254" t="inlineStr">
        <is>
          <t>Śr</t>
        </is>
      </c>
      <c r="H254" t="inlineStr">
        <is>
          <t>DOMACHOWSKA, HANNA</t>
        </is>
      </c>
      <c r="I254" t="inlineStr">
        <is>
          <t>Shift manager/Supervisor</t>
        </is>
      </c>
      <c r="J254" t="inlineStr">
        <is>
          <t>Standard 0,5|20h</t>
        </is>
      </c>
      <c r="K254" t="n">
        <v>8.039999999999999</v>
      </c>
      <c r="L254" t="inlineStr">
        <is>
          <t>384</t>
        </is>
      </c>
      <c r="M254" t="inlineStr">
        <is>
          <t>108120 SBX Warszawa Janki</t>
        </is>
      </c>
      <c r="N254" t="inlineStr">
        <is>
          <t>2026-09-11 19:06</t>
        </is>
      </c>
    </row>
    <row r="255">
      <c r="A255" t="n">
        <v>254</v>
      </c>
      <c r="B255" t="inlineStr">
        <is>
          <t>2026-01-08</t>
        </is>
      </c>
      <c r="C255" t="n">
        <v>2026</v>
      </c>
      <c r="D255" t="inlineStr">
        <is>
          <t>Styczeń</t>
        </is>
      </c>
      <c r="E255" t="inlineStr">
        <is>
          <t>W2</t>
        </is>
      </c>
      <c r="F255" t="inlineStr">
        <is>
          <t>2026_Styczeń_W2</t>
        </is>
      </c>
      <c r="G255" t="inlineStr">
        <is>
          <t>Czw</t>
        </is>
      </c>
      <c r="H255" t="inlineStr">
        <is>
          <t>DOMACHOWSKA, HANNA</t>
        </is>
      </c>
      <c r="I255" t="inlineStr">
        <is>
          <t>Shift manager/Supervisor</t>
        </is>
      </c>
      <c r="J255" t="inlineStr">
        <is>
          <t>Standard 0,5|20h</t>
        </is>
      </c>
      <c r="K255" t="n">
        <v>8.609999999999999</v>
      </c>
      <c r="L255" t="inlineStr">
        <is>
          <t>384</t>
        </is>
      </c>
      <c r="M255" t="inlineStr">
        <is>
          <t>108120 SBX Warszawa Janki</t>
        </is>
      </c>
      <c r="N255" t="inlineStr">
        <is>
          <t>2026-09-11 19:06</t>
        </is>
      </c>
    </row>
    <row r="256">
      <c r="A256" t="n">
        <v>255</v>
      </c>
      <c r="B256" t="inlineStr">
        <is>
          <t>2026-01-11</t>
        </is>
      </c>
      <c r="C256" t="n">
        <v>2026</v>
      </c>
      <c r="D256" t="inlineStr">
        <is>
          <t>Styczeń</t>
        </is>
      </c>
      <c r="E256" t="inlineStr">
        <is>
          <t>W2</t>
        </is>
      </c>
      <c r="F256" t="inlineStr">
        <is>
          <t>2026_Styczeń_W2</t>
        </is>
      </c>
      <c r="G256" t="inlineStr">
        <is>
          <t>Nd</t>
        </is>
      </c>
      <c r="H256" t="inlineStr">
        <is>
          <t>DOMACHOWSKA, HANNA</t>
        </is>
      </c>
      <c r="I256" t="inlineStr">
        <is>
          <t>Shift manager/Supervisor</t>
        </is>
      </c>
      <c r="J256" t="inlineStr">
        <is>
          <t>Standard 0,5|20h</t>
        </is>
      </c>
      <c r="K256" t="n">
        <v>6.1</v>
      </c>
      <c r="L256" t="inlineStr">
        <is>
          <t>384</t>
        </is>
      </c>
      <c r="M256" t="inlineStr">
        <is>
          <t>108120 SBX Warszawa Janki</t>
        </is>
      </c>
      <c r="N256" t="inlineStr">
        <is>
          <t>2026-09-11 19:06</t>
        </is>
      </c>
    </row>
    <row r="257">
      <c r="A257" t="n">
        <v>256</v>
      </c>
      <c r="B257" t="inlineStr">
        <is>
          <t>2026-01-13</t>
        </is>
      </c>
      <c r="C257" t="n">
        <v>2026</v>
      </c>
      <c r="D257" t="inlineStr">
        <is>
          <t>Styczeń</t>
        </is>
      </c>
      <c r="E257" t="inlineStr">
        <is>
          <t>W3</t>
        </is>
      </c>
      <c r="F257" t="inlineStr">
        <is>
          <t>2026_Styczeń_W3</t>
        </is>
      </c>
      <c r="G257" t="inlineStr">
        <is>
          <t>Wt</t>
        </is>
      </c>
      <c r="H257" t="inlineStr">
        <is>
          <t>DOMACHOWSKA, HANNA</t>
        </is>
      </c>
      <c r="I257" t="inlineStr">
        <is>
          <t>Shift manager/Supervisor</t>
        </is>
      </c>
      <c r="J257" t="inlineStr">
        <is>
          <t>Standard 0,5|20h</t>
        </is>
      </c>
      <c r="K257" t="n">
        <v>8.06</v>
      </c>
      <c r="L257" t="inlineStr">
        <is>
          <t>384</t>
        </is>
      </c>
      <c r="M257" t="inlineStr">
        <is>
          <t>108120 SBX Warszawa Janki</t>
        </is>
      </c>
      <c r="N257" t="inlineStr">
        <is>
          <t>2026-09-11 19:06</t>
        </is>
      </c>
    </row>
    <row r="258">
      <c r="A258" t="n">
        <v>257</v>
      </c>
      <c r="B258" t="inlineStr">
        <is>
          <t>2026-01-14</t>
        </is>
      </c>
      <c r="C258" t="n">
        <v>2026</v>
      </c>
      <c r="D258" t="inlineStr">
        <is>
          <t>Styczeń</t>
        </is>
      </c>
      <c r="E258" t="inlineStr">
        <is>
          <t>W3</t>
        </is>
      </c>
      <c r="F258" t="inlineStr">
        <is>
          <t>2026_Styczeń_W3</t>
        </is>
      </c>
      <c r="G258" t="inlineStr">
        <is>
          <t>Śr</t>
        </is>
      </c>
      <c r="H258" t="inlineStr">
        <is>
          <t>DOMACHOWSKA, HANNA</t>
        </is>
      </c>
      <c r="I258" t="inlineStr">
        <is>
          <t>Shift manager/Supervisor</t>
        </is>
      </c>
      <c r="J258" t="inlineStr">
        <is>
          <t>Standard 0,5|20h</t>
        </is>
      </c>
      <c r="K258" t="n">
        <v>8.09</v>
      </c>
      <c r="L258" t="inlineStr">
        <is>
          <t>384</t>
        </is>
      </c>
      <c r="M258" t="inlineStr">
        <is>
          <t>108120 SBX Warszawa Janki</t>
        </is>
      </c>
      <c r="N258" t="inlineStr">
        <is>
          <t>2026-09-11 19:06</t>
        </is>
      </c>
    </row>
    <row r="259">
      <c r="A259" t="n">
        <v>258</v>
      </c>
      <c r="B259" t="inlineStr">
        <is>
          <t>2026-01-15</t>
        </is>
      </c>
      <c r="C259" t="n">
        <v>2026</v>
      </c>
      <c r="D259" t="inlineStr">
        <is>
          <t>Styczeń</t>
        </is>
      </c>
      <c r="E259" t="inlineStr">
        <is>
          <t>W3</t>
        </is>
      </c>
      <c r="F259" t="inlineStr">
        <is>
          <t>2026_Styczeń_W3</t>
        </is>
      </c>
      <c r="G259" t="inlineStr">
        <is>
          <t>Czw</t>
        </is>
      </c>
      <c r="H259" t="inlineStr">
        <is>
          <t>DOMACHOWSKA, HANNA</t>
        </is>
      </c>
      <c r="I259" t="inlineStr">
        <is>
          <t>Shift manager/Supervisor</t>
        </is>
      </c>
      <c r="J259" t="inlineStr">
        <is>
          <t>Standard 0,5|20h</t>
        </is>
      </c>
      <c r="K259" t="n">
        <v>8.470000000000001</v>
      </c>
      <c r="L259" t="inlineStr">
        <is>
          <t>384</t>
        </is>
      </c>
      <c r="M259" t="inlineStr">
        <is>
          <t>108120 SBX Warszawa Janki</t>
        </is>
      </c>
      <c r="N259" t="inlineStr">
        <is>
          <t>2026-09-11 19:06</t>
        </is>
      </c>
    </row>
    <row r="260">
      <c r="A260" t="n">
        <v>259</v>
      </c>
      <c r="B260" t="inlineStr">
        <is>
          <t>2026-01-20</t>
        </is>
      </c>
      <c r="C260" t="n">
        <v>2026</v>
      </c>
      <c r="D260" t="inlineStr">
        <is>
          <t>Styczeń</t>
        </is>
      </c>
      <c r="E260" t="inlineStr">
        <is>
          <t>W4</t>
        </is>
      </c>
      <c r="F260" t="inlineStr">
        <is>
          <t>2026_Styczeń_W4</t>
        </is>
      </c>
      <c r="G260" t="inlineStr">
        <is>
          <t>Wt</t>
        </is>
      </c>
      <c r="H260" t="inlineStr">
        <is>
          <t>DOMACHOWSKA, HANNA</t>
        </is>
      </c>
      <c r="I260" t="inlineStr">
        <is>
          <t>Shift manager/Supervisor</t>
        </is>
      </c>
      <c r="J260" t="inlineStr">
        <is>
          <t>Standard 0,5|20h</t>
        </is>
      </c>
      <c r="K260" t="n">
        <v>8.44</v>
      </c>
      <c r="L260" t="inlineStr">
        <is>
          <t>384</t>
        </is>
      </c>
      <c r="M260" t="inlineStr">
        <is>
          <t>108120 SBX Warszawa Janki</t>
        </is>
      </c>
      <c r="N260" t="inlineStr">
        <is>
          <t>2026-09-11 19:06</t>
        </is>
      </c>
    </row>
    <row r="261">
      <c r="A261" t="n">
        <v>260</v>
      </c>
      <c r="B261" t="inlineStr">
        <is>
          <t>2026-01-21</t>
        </is>
      </c>
      <c r="C261" t="n">
        <v>2026</v>
      </c>
      <c r="D261" t="inlineStr">
        <is>
          <t>Styczeń</t>
        </is>
      </c>
      <c r="E261" t="inlineStr">
        <is>
          <t>W4</t>
        </is>
      </c>
      <c r="F261" t="inlineStr">
        <is>
          <t>2026_Styczeń_W4</t>
        </is>
      </c>
      <c r="G261" t="inlineStr">
        <is>
          <t>Śr</t>
        </is>
      </c>
      <c r="H261" t="inlineStr">
        <is>
          <t>DOMACHOWSKA, HANNA</t>
        </is>
      </c>
      <c r="I261" t="inlineStr">
        <is>
          <t>Shift manager/Supervisor</t>
        </is>
      </c>
      <c r="J261" t="inlineStr">
        <is>
          <t>Standard 0,5|20h</t>
        </is>
      </c>
      <c r="K261" t="n">
        <v>8.529999999999999</v>
      </c>
      <c r="L261" t="inlineStr">
        <is>
          <t>384</t>
        </is>
      </c>
      <c r="M261" t="inlineStr">
        <is>
          <t>108120 SBX Warszawa Janki</t>
        </is>
      </c>
      <c r="N261" t="inlineStr">
        <is>
          <t>2026-09-11 19:06</t>
        </is>
      </c>
    </row>
    <row r="262">
      <c r="A262" t="n">
        <v>261</v>
      </c>
      <c r="B262" t="inlineStr">
        <is>
          <t>2026-01-29</t>
        </is>
      </c>
      <c r="C262" t="n">
        <v>2026</v>
      </c>
      <c r="D262" t="inlineStr">
        <is>
          <t>Styczeń</t>
        </is>
      </c>
      <c r="E262" t="inlineStr">
        <is>
          <t>W5</t>
        </is>
      </c>
      <c r="F262" t="inlineStr">
        <is>
          <t>2026_Styczeń_W5</t>
        </is>
      </c>
      <c r="G262" t="inlineStr">
        <is>
          <t>Czw</t>
        </is>
      </c>
      <c r="H262" t="inlineStr">
        <is>
          <t>DOMACHOWSKA, HANNA</t>
        </is>
      </c>
      <c r="I262" t="inlineStr">
        <is>
          <t>Shift manager/Supervisor</t>
        </is>
      </c>
      <c r="J262" t="inlineStr">
        <is>
          <t>Standard 0,5|20h</t>
        </is>
      </c>
      <c r="K262" t="n">
        <v>9.039999999999999</v>
      </c>
      <c r="L262" t="inlineStr">
        <is>
          <t>384</t>
        </is>
      </c>
      <c r="M262" t="inlineStr">
        <is>
          <t>108120 SBX Warszawa Janki</t>
        </is>
      </c>
      <c r="N262" t="inlineStr">
        <is>
          <t>2026-09-11 19:06</t>
        </is>
      </c>
    </row>
    <row r="263">
      <c r="A263" t="n">
        <v>262</v>
      </c>
      <c r="B263" t="inlineStr">
        <is>
          <t>2026-02-04</t>
        </is>
      </c>
      <c r="C263" t="n">
        <v>2026</v>
      </c>
      <c r="D263" t="inlineStr">
        <is>
          <t>Luty</t>
        </is>
      </c>
      <c r="E263" t="inlineStr">
        <is>
          <t>W2</t>
        </is>
      </c>
      <c r="F263" t="inlineStr">
        <is>
          <t>2026_Luty_W2</t>
        </is>
      </c>
      <c r="G263" t="inlineStr">
        <is>
          <t>Śr</t>
        </is>
      </c>
      <c r="H263" t="inlineStr">
        <is>
          <t>DOMACHOWSKA, HANNA</t>
        </is>
      </c>
      <c r="I263" t="inlineStr">
        <is>
          <t>Shift manager/Supervisor</t>
        </is>
      </c>
      <c r="J263" t="inlineStr">
        <is>
          <t>Standard 0,5|20h</t>
        </is>
      </c>
      <c r="K263" t="n">
        <v>5.79</v>
      </c>
      <c r="L263" t="inlineStr">
        <is>
          <t>384</t>
        </is>
      </c>
      <c r="M263" t="inlineStr">
        <is>
          <t>108120 SBX Warszawa Janki</t>
        </is>
      </c>
      <c r="N263" t="inlineStr">
        <is>
          <t>2026-09-11 19:06</t>
        </is>
      </c>
    </row>
    <row r="264">
      <c r="A264" t="n">
        <v>263</v>
      </c>
      <c r="B264" t="inlineStr">
        <is>
          <t>2026-02-12</t>
        </is>
      </c>
      <c r="C264" t="n">
        <v>2026</v>
      </c>
      <c r="D264" t="inlineStr">
        <is>
          <t>Luty</t>
        </is>
      </c>
      <c r="E264" t="inlineStr">
        <is>
          <t>W3</t>
        </is>
      </c>
      <c r="F264" t="inlineStr">
        <is>
          <t>2026_Luty_W3</t>
        </is>
      </c>
      <c r="G264" t="inlineStr">
        <is>
          <t>Czw</t>
        </is>
      </c>
      <c r="H264" t="inlineStr">
        <is>
          <t>DOMACHOWSKA, HANNA</t>
        </is>
      </c>
      <c r="I264" t="inlineStr">
        <is>
          <t>Shift manager/Supervisor</t>
        </is>
      </c>
      <c r="J264" t="inlineStr">
        <is>
          <t>Standard 0,5|20h</t>
        </is>
      </c>
      <c r="K264" t="n">
        <v>8.050000000000001</v>
      </c>
      <c r="L264" t="inlineStr">
        <is>
          <t>384</t>
        </is>
      </c>
      <c r="M264" t="inlineStr">
        <is>
          <t>108120 SBX Warszawa Janki</t>
        </is>
      </c>
      <c r="N264" t="inlineStr">
        <is>
          <t>2026-09-11 19:06</t>
        </is>
      </c>
    </row>
    <row r="265">
      <c r="A265" t="n">
        <v>264</v>
      </c>
      <c r="B265" t="inlineStr">
        <is>
          <t>2026-02-16</t>
        </is>
      </c>
      <c r="C265" t="n">
        <v>2026</v>
      </c>
      <c r="D265" t="inlineStr">
        <is>
          <t>Luty</t>
        </is>
      </c>
      <c r="E265" t="inlineStr">
        <is>
          <t>W3</t>
        </is>
      </c>
      <c r="F265" t="inlineStr">
        <is>
          <t>2026_Luty_W3</t>
        </is>
      </c>
      <c r="G265" t="inlineStr">
        <is>
          <t>Pn</t>
        </is>
      </c>
      <c r="H265" t="inlineStr">
        <is>
          <t>DOMACHOWSKA, HANNA</t>
        </is>
      </c>
      <c r="I265" t="inlineStr">
        <is>
          <t>Shift manager/Supervisor</t>
        </is>
      </c>
      <c r="J265" t="inlineStr">
        <is>
          <t>Standard 0,5|20h</t>
        </is>
      </c>
      <c r="K265" t="n">
        <v>7.99</v>
      </c>
      <c r="L265" t="inlineStr">
        <is>
          <t>384</t>
        </is>
      </c>
      <c r="M265" t="inlineStr">
        <is>
          <t>108120 SBX Warszawa Janki</t>
        </is>
      </c>
      <c r="N265" t="inlineStr">
        <is>
          <t>2026-09-11 19:06</t>
        </is>
      </c>
    </row>
    <row r="266">
      <c r="A266" t="n">
        <v>265</v>
      </c>
      <c r="B266" t="inlineStr">
        <is>
          <t>2026-02-17</t>
        </is>
      </c>
      <c r="C266" t="n">
        <v>2026</v>
      </c>
      <c r="D266" t="inlineStr">
        <is>
          <t>Luty</t>
        </is>
      </c>
      <c r="E266" t="inlineStr">
        <is>
          <t>W4</t>
        </is>
      </c>
      <c r="F266" t="inlineStr">
        <is>
          <t>2026_Luty_W4</t>
        </is>
      </c>
      <c r="G266" t="inlineStr">
        <is>
          <t>Wt</t>
        </is>
      </c>
      <c r="H266" t="inlineStr">
        <is>
          <t>DOMACHOWSKA, HANNA</t>
        </is>
      </c>
      <c r="I266" t="inlineStr">
        <is>
          <t>Shift manager/Supervisor</t>
        </is>
      </c>
      <c r="J266" t="inlineStr">
        <is>
          <t>Standard 0,5|20h</t>
        </is>
      </c>
      <c r="K266" t="n">
        <v>8.220000000000001</v>
      </c>
      <c r="L266" t="inlineStr">
        <is>
          <t>384</t>
        </is>
      </c>
      <c r="M266" t="inlineStr">
        <is>
          <t>108120 SBX Warszawa Janki</t>
        </is>
      </c>
      <c r="N266" t="inlineStr">
        <is>
          <t>2026-09-11 19:06</t>
        </is>
      </c>
    </row>
    <row r="267">
      <c r="A267" t="n">
        <v>266</v>
      </c>
      <c r="B267" t="inlineStr">
        <is>
          <t>2026-02-18</t>
        </is>
      </c>
      <c r="C267" t="n">
        <v>2026</v>
      </c>
      <c r="D267" t="inlineStr">
        <is>
          <t>Luty</t>
        </is>
      </c>
      <c r="E267" t="inlineStr">
        <is>
          <t>W4</t>
        </is>
      </c>
      <c r="F267" t="inlineStr">
        <is>
          <t>2026_Luty_W4</t>
        </is>
      </c>
      <c r="G267" t="inlineStr">
        <is>
          <t>Śr</t>
        </is>
      </c>
      <c r="H267" t="inlineStr">
        <is>
          <t>DOMACHOWSKA, HANNA</t>
        </is>
      </c>
      <c r="I267" t="inlineStr">
        <is>
          <t>Shift manager/Supervisor</t>
        </is>
      </c>
      <c r="J267" t="inlineStr">
        <is>
          <t>Standard 0,5|20h</t>
        </is>
      </c>
      <c r="K267" t="n">
        <v>8.01</v>
      </c>
      <c r="L267" t="inlineStr">
        <is>
          <t>384</t>
        </is>
      </c>
      <c r="M267" t="inlineStr">
        <is>
          <t>108120 SBX Warszawa Janki</t>
        </is>
      </c>
      <c r="N267" t="inlineStr">
        <is>
          <t>2026-09-11 19:06</t>
        </is>
      </c>
    </row>
    <row r="268">
      <c r="A268" t="n">
        <v>267</v>
      </c>
      <c r="B268" t="inlineStr">
        <is>
          <t>2026-02-19</t>
        </is>
      </c>
      <c r="C268" t="n">
        <v>2026</v>
      </c>
      <c r="D268" t="inlineStr">
        <is>
          <t>Luty</t>
        </is>
      </c>
      <c r="E268" t="inlineStr">
        <is>
          <t>W4</t>
        </is>
      </c>
      <c r="F268" t="inlineStr">
        <is>
          <t>2026_Luty_W4</t>
        </is>
      </c>
      <c r="G268" t="inlineStr">
        <is>
          <t>Czw</t>
        </is>
      </c>
      <c r="H268" t="inlineStr">
        <is>
          <t>DOMACHOWSKA, HANNA</t>
        </is>
      </c>
      <c r="I268" t="inlineStr">
        <is>
          <t>Shift manager/Supervisor</t>
        </is>
      </c>
      <c r="J268" t="inlineStr">
        <is>
          <t>Standard 0,5|20h</t>
        </is>
      </c>
      <c r="K268" t="n">
        <v>8.23</v>
      </c>
      <c r="L268" t="inlineStr">
        <is>
          <t>384</t>
        </is>
      </c>
      <c r="M268" t="inlineStr">
        <is>
          <t>108120 SBX Warszawa Janki</t>
        </is>
      </c>
      <c r="N268" t="inlineStr">
        <is>
          <t>2026-09-11 19:06</t>
        </is>
      </c>
    </row>
    <row r="269">
      <c r="A269" t="n">
        <v>268</v>
      </c>
      <c r="B269" t="inlineStr">
        <is>
          <t>2026-02-23</t>
        </is>
      </c>
      <c r="C269" t="n">
        <v>2026</v>
      </c>
      <c r="D269" t="inlineStr">
        <is>
          <t>Luty</t>
        </is>
      </c>
      <c r="E269" t="inlineStr">
        <is>
          <t>W4</t>
        </is>
      </c>
      <c r="F269" t="inlineStr">
        <is>
          <t>2026_Luty_W4</t>
        </is>
      </c>
      <c r="G269" t="inlineStr">
        <is>
          <t>Pn</t>
        </is>
      </c>
      <c r="H269" t="inlineStr">
        <is>
          <t>DOMACHOWSKA, HANNA</t>
        </is>
      </c>
      <c r="I269" t="inlineStr">
        <is>
          <t>Shift manager/Supervisor</t>
        </is>
      </c>
      <c r="J269" t="inlineStr">
        <is>
          <t>Standard 0,5|20h</t>
        </is>
      </c>
      <c r="K269" t="n">
        <v>8.31</v>
      </c>
      <c r="L269" t="inlineStr">
        <is>
          <t>384</t>
        </is>
      </c>
      <c r="M269" t="inlineStr">
        <is>
          <t>108120 SBX Warszawa Janki</t>
        </is>
      </c>
      <c r="N269" t="inlineStr">
        <is>
          <t>2026-09-11 19:06</t>
        </is>
      </c>
    </row>
    <row r="270">
      <c r="A270" t="n">
        <v>269</v>
      </c>
      <c r="B270" t="inlineStr">
        <is>
          <t>2026-02-25</t>
        </is>
      </c>
      <c r="C270" t="n">
        <v>2026</v>
      </c>
      <c r="D270" t="inlineStr">
        <is>
          <t>Luty</t>
        </is>
      </c>
      <c r="E270" t="inlineStr">
        <is>
          <t>W5</t>
        </is>
      </c>
      <c r="F270" t="inlineStr">
        <is>
          <t>2026_Luty_W5</t>
        </is>
      </c>
      <c r="G270" t="inlineStr">
        <is>
          <t>Śr</t>
        </is>
      </c>
      <c r="H270" t="inlineStr">
        <is>
          <t>DOMACHOWSKA, HANNA</t>
        </is>
      </c>
      <c r="I270" t="inlineStr">
        <is>
          <t>Shift manager/Supervisor</t>
        </is>
      </c>
      <c r="J270" t="inlineStr">
        <is>
          <t>Standard 0,5|20h</t>
        </is>
      </c>
      <c r="K270" t="n">
        <v>7.92</v>
      </c>
      <c r="L270" t="inlineStr">
        <is>
          <t>384</t>
        </is>
      </c>
      <c r="M270" t="inlineStr">
        <is>
          <t>108120 SBX Warszawa Janki</t>
        </is>
      </c>
      <c r="N270" t="inlineStr">
        <is>
          <t>2026-09-11 19:06</t>
        </is>
      </c>
    </row>
    <row r="271">
      <c r="A271" t="n">
        <v>270</v>
      </c>
      <c r="B271" t="inlineStr">
        <is>
          <t>2026-02-26</t>
        </is>
      </c>
      <c r="C271" t="n">
        <v>2026</v>
      </c>
      <c r="D271" t="inlineStr">
        <is>
          <t>Luty</t>
        </is>
      </c>
      <c r="E271" t="inlineStr">
        <is>
          <t>W5</t>
        </is>
      </c>
      <c r="F271" t="inlineStr">
        <is>
          <t>2026_Luty_W5</t>
        </is>
      </c>
      <c r="G271" t="inlineStr">
        <is>
          <t>Czw</t>
        </is>
      </c>
      <c r="H271" t="inlineStr">
        <is>
          <t>DOMACHOWSKA, HANNA</t>
        </is>
      </c>
      <c r="I271" t="inlineStr">
        <is>
          <t>Shift manager/Supervisor</t>
        </is>
      </c>
      <c r="J271" t="inlineStr">
        <is>
          <t>Standard 0,5|20h</t>
        </is>
      </c>
      <c r="K271" t="n">
        <v>7.91</v>
      </c>
      <c r="L271" t="inlineStr">
        <is>
          <t>384</t>
        </is>
      </c>
      <c r="M271" t="inlineStr">
        <is>
          <t>108120 SBX Warszawa Janki</t>
        </is>
      </c>
      <c r="N271" t="inlineStr">
        <is>
          <t>2026-09-11 19:06</t>
        </is>
      </c>
    </row>
    <row r="272">
      <c r="A272" t="n">
        <v>271</v>
      </c>
      <c r="B272" t="inlineStr">
        <is>
          <t>2026-03-01</t>
        </is>
      </c>
      <c r="C272" t="n">
        <v>2026</v>
      </c>
      <c r="D272" t="inlineStr">
        <is>
          <t>Marzec</t>
        </is>
      </c>
      <c r="E272" t="inlineStr">
        <is>
          <t>W1</t>
        </is>
      </c>
      <c r="F272" t="inlineStr">
        <is>
          <t>2026_Marzec_W1</t>
        </is>
      </c>
      <c r="G272" t="inlineStr">
        <is>
          <t>Nd</t>
        </is>
      </c>
      <c r="H272" t="inlineStr">
        <is>
          <t>DOMACHOWSKA, HANNA</t>
        </is>
      </c>
      <c r="I272" t="inlineStr">
        <is>
          <t>Shift manager/Supervisor</t>
        </is>
      </c>
      <c r="J272" t="inlineStr">
        <is>
          <t>Standard 0,5|20h</t>
        </is>
      </c>
      <c r="K272" t="n">
        <v>4</v>
      </c>
      <c r="L272" t="inlineStr">
        <is>
          <t>384</t>
        </is>
      </c>
      <c r="M272" t="inlineStr">
        <is>
          <t>108120 SBX Warszawa Janki</t>
        </is>
      </c>
      <c r="N272" t="inlineStr">
        <is>
          <t>2026-09-11 19:06</t>
        </is>
      </c>
    </row>
    <row r="273">
      <c r="A273" t="n">
        <v>272</v>
      </c>
      <c r="B273" t="inlineStr">
        <is>
          <t>2026-03-09</t>
        </is>
      </c>
      <c r="C273" t="n">
        <v>2026</v>
      </c>
      <c r="D273" t="inlineStr">
        <is>
          <t>Marzec</t>
        </is>
      </c>
      <c r="E273" t="inlineStr">
        <is>
          <t>W2</t>
        </is>
      </c>
      <c r="F273" t="inlineStr">
        <is>
          <t>2026_Marzec_W2</t>
        </is>
      </c>
      <c r="G273" t="inlineStr">
        <is>
          <t>Pn</t>
        </is>
      </c>
      <c r="H273" t="inlineStr">
        <is>
          <t>DOMACHOWSKA, HANNA</t>
        </is>
      </c>
      <c r="I273" t="inlineStr">
        <is>
          <t>Shift manager/Supervisor</t>
        </is>
      </c>
      <c r="J273" t="inlineStr">
        <is>
          <t>Standard 0,5|20h</t>
        </is>
      </c>
      <c r="K273" t="n">
        <v>5.5</v>
      </c>
      <c r="L273" t="inlineStr">
        <is>
          <t>384</t>
        </is>
      </c>
      <c r="M273" t="inlineStr">
        <is>
          <t>108120 SBX Warszawa Janki</t>
        </is>
      </c>
      <c r="N273" t="inlineStr">
        <is>
          <t>2026-09-11 19:06</t>
        </is>
      </c>
    </row>
    <row r="274">
      <c r="A274" t="n">
        <v>273</v>
      </c>
      <c r="B274" t="inlineStr">
        <is>
          <t>2026-03-11</t>
        </is>
      </c>
      <c r="C274" t="n">
        <v>2026</v>
      </c>
      <c r="D274" t="inlineStr">
        <is>
          <t>Marzec</t>
        </is>
      </c>
      <c r="E274" t="inlineStr">
        <is>
          <t>W3</t>
        </is>
      </c>
      <c r="F274" t="inlineStr">
        <is>
          <t>2026_Marzec_W3</t>
        </is>
      </c>
      <c r="G274" t="inlineStr">
        <is>
          <t>Śr</t>
        </is>
      </c>
      <c r="H274" t="inlineStr">
        <is>
          <t>DOMACHOWSKA, HANNA</t>
        </is>
      </c>
      <c r="I274" t="inlineStr">
        <is>
          <t>Shift manager/Supervisor</t>
        </is>
      </c>
      <c r="J274" t="inlineStr">
        <is>
          <t>Standard 0,5|20h</t>
        </is>
      </c>
      <c r="K274" t="n">
        <v>8.25</v>
      </c>
      <c r="L274" t="inlineStr">
        <is>
          <t>384</t>
        </is>
      </c>
      <c r="M274" t="inlineStr">
        <is>
          <t>108120 SBX Warszawa Janki</t>
        </is>
      </c>
      <c r="N274" t="inlineStr">
        <is>
          <t>2026-09-11 19:06</t>
        </is>
      </c>
    </row>
    <row r="275">
      <c r="A275" t="n">
        <v>274</v>
      </c>
      <c r="B275" t="inlineStr">
        <is>
          <t>2026-03-16</t>
        </is>
      </c>
      <c r="C275" t="n">
        <v>2026</v>
      </c>
      <c r="D275" t="inlineStr">
        <is>
          <t>Marzec</t>
        </is>
      </c>
      <c r="E275" t="inlineStr">
        <is>
          <t>W3</t>
        </is>
      </c>
      <c r="F275" t="inlineStr">
        <is>
          <t>2026_Marzec_W3</t>
        </is>
      </c>
      <c r="G275" t="inlineStr">
        <is>
          <t>Pn</t>
        </is>
      </c>
      <c r="H275" t="inlineStr">
        <is>
          <t>DOMACHOWSKA, HANNA</t>
        </is>
      </c>
      <c r="I275" t="inlineStr">
        <is>
          <t>Shift manager/Supervisor</t>
        </is>
      </c>
      <c r="J275" t="inlineStr">
        <is>
          <t>Standard 0,5|20h</t>
        </is>
      </c>
      <c r="K275" t="n">
        <v>8</v>
      </c>
      <c r="L275" t="inlineStr">
        <is>
          <t>384</t>
        </is>
      </c>
      <c r="M275" t="inlineStr">
        <is>
          <t>108120 SBX Warszawa Janki</t>
        </is>
      </c>
      <c r="N275" t="inlineStr">
        <is>
          <t>2026-09-11 19:06</t>
        </is>
      </c>
    </row>
    <row r="276">
      <c r="A276" t="n">
        <v>275</v>
      </c>
      <c r="B276" t="inlineStr">
        <is>
          <t>2026-03-17</t>
        </is>
      </c>
      <c r="C276" t="n">
        <v>2026</v>
      </c>
      <c r="D276" t="inlineStr">
        <is>
          <t>Marzec</t>
        </is>
      </c>
      <c r="E276" t="inlineStr">
        <is>
          <t>W4</t>
        </is>
      </c>
      <c r="F276" t="inlineStr">
        <is>
          <t>2026_Marzec_W4</t>
        </is>
      </c>
      <c r="G276" t="inlineStr">
        <is>
          <t>Wt</t>
        </is>
      </c>
      <c r="H276" t="inlineStr">
        <is>
          <t>DOMACHOWSKA, HANNA</t>
        </is>
      </c>
      <c r="I276" t="inlineStr">
        <is>
          <t>Shift manager/Supervisor</t>
        </is>
      </c>
      <c r="J276" t="inlineStr">
        <is>
          <t>Standard 0,5|20h</t>
        </is>
      </c>
      <c r="K276" t="n">
        <v>8</v>
      </c>
      <c r="L276" t="inlineStr">
        <is>
          <t>384</t>
        </is>
      </c>
      <c r="M276" t="inlineStr">
        <is>
          <t>108120 SBX Warszawa Janki</t>
        </is>
      </c>
      <c r="N276" t="inlineStr">
        <is>
          <t>2026-09-11 19:06</t>
        </is>
      </c>
    </row>
    <row r="277">
      <c r="A277" t="n">
        <v>276</v>
      </c>
      <c r="B277" t="inlineStr">
        <is>
          <t>2026-03-30</t>
        </is>
      </c>
      <c r="C277" t="n">
        <v>2026</v>
      </c>
      <c r="D277" t="inlineStr">
        <is>
          <t>Marzec</t>
        </is>
      </c>
      <c r="E277" t="inlineStr">
        <is>
          <t>W5</t>
        </is>
      </c>
      <c r="F277" t="inlineStr">
        <is>
          <t>2026_Marzec_W5</t>
        </is>
      </c>
      <c r="G277" t="inlineStr">
        <is>
          <t>Pn</t>
        </is>
      </c>
      <c r="H277" t="inlineStr">
        <is>
          <t>DOMACHOWSKA, HANNA</t>
        </is>
      </c>
      <c r="I277" t="inlineStr">
        <is>
          <t>Shift manager/Supervisor</t>
        </is>
      </c>
      <c r="J277" t="inlineStr">
        <is>
          <t>Standard 0,5|20h</t>
        </is>
      </c>
      <c r="K277" t="n">
        <v>8.5</v>
      </c>
      <c r="L277" t="inlineStr">
        <is>
          <t>384</t>
        </is>
      </c>
      <c r="M277" t="inlineStr">
        <is>
          <t>108120 SBX Warszawa Janki</t>
        </is>
      </c>
      <c r="N277" t="inlineStr">
        <is>
          <t>2026-09-11 19:06</t>
        </is>
      </c>
    </row>
    <row r="278">
      <c r="A278" t="n">
        <v>277</v>
      </c>
      <c r="B278" t="inlineStr">
        <is>
          <t>2026-03-31</t>
        </is>
      </c>
      <c r="C278" t="n">
        <v>2026</v>
      </c>
      <c r="D278" t="inlineStr">
        <is>
          <t>Marzec</t>
        </is>
      </c>
      <c r="E278" t="inlineStr">
        <is>
          <t>W6</t>
        </is>
      </c>
      <c r="F278" t="inlineStr">
        <is>
          <t>2026_Marzec_W6</t>
        </is>
      </c>
      <c r="G278" t="inlineStr">
        <is>
          <t>Wt</t>
        </is>
      </c>
      <c r="H278" t="inlineStr">
        <is>
          <t>DOMACHOWSKA, HANNA</t>
        </is>
      </c>
      <c r="I278" t="inlineStr">
        <is>
          <t>Shift manager/Supervisor</t>
        </is>
      </c>
      <c r="J278" t="inlineStr">
        <is>
          <t>Standard 0,5|20h</t>
        </is>
      </c>
      <c r="K278" t="n">
        <v>8.56</v>
      </c>
      <c r="L278" t="inlineStr">
        <is>
          <t>384</t>
        </is>
      </c>
      <c r="M278" t="inlineStr">
        <is>
          <t>108120 SBX Warszawa Janki</t>
        </is>
      </c>
      <c r="N278" t="inlineStr">
        <is>
          <t>2026-09-11 19:06</t>
        </is>
      </c>
    </row>
    <row r="279">
      <c r="A279" t="n">
        <v>278</v>
      </c>
      <c r="B279" t="inlineStr">
        <is>
          <t>2026-04-01</t>
        </is>
      </c>
      <c r="C279" t="n">
        <v>2026</v>
      </c>
      <c r="D279" t="inlineStr">
        <is>
          <t>Kwiecień</t>
        </is>
      </c>
      <c r="E279" t="inlineStr">
        <is>
          <t>W1</t>
        </is>
      </c>
      <c r="F279" t="inlineStr">
        <is>
          <t>2026_Kwiecień_W1</t>
        </is>
      </c>
      <c r="G279" t="inlineStr">
        <is>
          <t>Śr</t>
        </is>
      </c>
      <c r="H279" t="inlineStr">
        <is>
          <t>DOMACHOWSKA, HANNA</t>
        </is>
      </c>
      <c r="I279" t="inlineStr">
        <is>
          <t>Shift manager/Supervisor</t>
        </is>
      </c>
      <c r="J279" t="inlineStr">
        <is>
          <t>Standard 0,5|20h</t>
        </is>
      </c>
      <c r="K279" t="n">
        <v>8.67</v>
      </c>
      <c r="L279" t="inlineStr">
        <is>
          <t>384</t>
        </is>
      </c>
      <c r="M279" t="inlineStr">
        <is>
          <t>108120 SBX Warszawa Janki</t>
        </is>
      </c>
      <c r="N279" t="inlineStr">
        <is>
          <t>2026-09-11 19:06</t>
        </is>
      </c>
    </row>
    <row r="280">
      <c r="A280" t="n">
        <v>279</v>
      </c>
      <c r="B280" t="inlineStr">
        <is>
          <t>2026-04-14</t>
        </is>
      </c>
      <c r="C280" t="n">
        <v>2026</v>
      </c>
      <c r="D280" t="inlineStr">
        <is>
          <t>Kwiecień</t>
        </is>
      </c>
      <c r="E280" t="inlineStr">
        <is>
          <t>W3</t>
        </is>
      </c>
      <c r="F280" t="inlineStr">
        <is>
          <t>2026_Kwiecień_W3</t>
        </is>
      </c>
      <c r="G280" t="inlineStr">
        <is>
          <t>Wt</t>
        </is>
      </c>
      <c r="H280" t="inlineStr">
        <is>
          <t>DOMACHOWSKA, HANNA</t>
        </is>
      </c>
      <c r="I280" t="inlineStr">
        <is>
          <t>Shift manager/Supervisor</t>
        </is>
      </c>
      <c r="J280" t="inlineStr">
        <is>
          <t>Standard 0,5|20h</t>
        </is>
      </c>
      <c r="K280" t="n">
        <v>4.11</v>
      </c>
      <c r="L280" t="inlineStr">
        <is>
          <t>384</t>
        </is>
      </c>
      <c r="M280" t="inlineStr">
        <is>
          <t>108120 SBX Warszawa Janki</t>
        </is>
      </c>
      <c r="N280" t="inlineStr">
        <is>
          <t>2026-09-11 19:06</t>
        </is>
      </c>
    </row>
    <row r="281">
      <c r="A281" t="n">
        <v>280</v>
      </c>
      <c r="B281" t="inlineStr">
        <is>
          <t>2026-04-15</t>
        </is>
      </c>
      <c r="C281" t="n">
        <v>2026</v>
      </c>
      <c r="D281" t="inlineStr">
        <is>
          <t>Kwiecień</t>
        </is>
      </c>
      <c r="E281" t="inlineStr">
        <is>
          <t>W3</t>
        </is>
      </c>
      <c r="F281" t="inlineStr">
        <is>
          <t>2026_Kwiecień_W3</t>
        </is>
      </c>
      <c r="G281" t="inlineStr">
        <is>
          <t>Śr</t>
        </is>
      </c>
      <c r="H281" t="inlineStr">
        <is>
          <t>DOMACHOWSKA, HANNA</t>
        </is>
      </c>
      <c r="I281" t="inlineStr">
        <is>
          <t>Shift manager/Supervisor</t>
        </is>
      </c>
      <c r="J281" t="inlineStr">
        <is>
          <t>Standard 0,5|20h</t>
        </is>
      </c>
      <c r="K281" t="n">
        <v>8.75</v>
      </c>
      <c r="L281" t="inlineStr">
        <is>
          <t>384</t>
        </is>
      </c>
      <c r="M281" t="inlineStr">
        <is>
          <t>108120 SBX Warszawa Janki</t>
        </is>
      </c>
      <c r="N281" t="inlineStr">
        <is>
          <t>2026-09-11 19:06</t>
        </is>
      </c>
    </row>
    <row r="282">
      <c r="A282" t="n">
        <v>281</v>
      </c>
      <c r="B282" t="inlineStr">
        <is>
          <t>2026-04-16</t>
        </is>
      </c>
      <c r="C282" t="n">
        <v>2026</v>
      </c>
      <c r="D282" t="inlineStr">
        <is>
          <t>Kwiecień</t>
        </is>
      </c>
      <c r="E282" t="inlineStr">
        <is>
          <t>W3</t>
        </is>
      </c>
      <c r="F282" t="inlineStr">
        <is>
          <t>2026_Kwiecień_W3</t>
        </is>
      </c>
      <c r="G282" t="inlineStr">
        <is>
          <t>Czw</t>
        </is>
      </c>
      <c r="H282" t="inlineStr">
        <is>
          <t>DOMACHOWSKA, HANNA</t>
        </is>
      </c>
      <c r="I282" t="inlineStr">
        <is>
          <t>Shift manager/Supervisor</t>
        </is>
      </c>
      <c r="J282" t="inlineStr">
        <is>
          <t>Standard 0,5|20h</t>
        </is>
      </c>
      <c r="K282" t="n">
        <v>8.380000000000001</v>
      </c>
      <c r="L282" t="inlineStr">
        <is>
          <t>384</t>
        </is>
      </c>
      <c r="M282" t="inlineStr">
        <is>
          <t>108120 SBX Warszawa Janki</t>
        </is>
      </c>
      <c r="N282" t="inlineStr">
        <is>
          <t>2026-09-11 19:06</t>
        </is>
      </c>
    </row>
    <row r="283">
      <c r="A283" t="n">
        <v>282</v>
      </c>
      <c r="B283" t="inlineStr">
        <is>
          <t>2026-04-20</t>
        </is>
      </c>
      <c r="C283" t="n">
        <v>2026</v>
      </c>
      <c r="D283" t="inlineStr">
        <is>
          <t>Kwiecień</t>
        </is>
      </c>
      <c r="E283" t="inlineStr">
        <is>
          <t>W3</t>
        </is>
      </c>
      <c r="F283" t="inlineStr">
        <is>
          <t>2026_Kwiecień_W3</t>
        </is>
      </c>
      <c r="G283" t="inlineStr">
        <is>
          <t>Pn</t>
        </is>
      </c>
      <c r="H283" t="inlineStr">
        <is>
          <t>DOMACHOWSKA, HANNA</t>
        </is>
      </c>
      <c r="I283" t="inlineStr">
        <is>
          <t>Shift manager/Supervisor</t>
        </is>
      </c>
      <c r="J283" t="inlineStr">
        <is>
          <t>Standard 0,5|20h</t>
        </is>
      </c>
      <c r="K283" t="n">
        <v>7.81</v>
      </c>
      <c r="L283" t="inlineStr">
        <is>
          <t>384</t>
        </is>
      </c>
      <c r="M283" t="inlineStr">
        <is>
          <t>108120 SBX Warszawa Janki</t>
        </is>
      </c>
      <c r="N283" t="inlineStr">
        <is>
          <t>2026-09-11 19:06</t>
        </is>
      </c>
    </row>
    <row r="284">
      <c r="A284" t="n">
        <v>283</v>
      </c>
      <c r="B284" t="inlineStr">
        <is>
          <t>2026-04-22</t>
        </is>
      </c>
      <c r="C284" t="n">
        <v>2026</v>
      </c>
      <c r="D284" t="inlineStr">
        <is>
          <t>Kwiecień</t>
        </is>
      </c>
      <c r="E284" t="inlineStr">
        <is>
          <t>W4</t>
        </is>
      </c>
      <c r="F284" t="inlineStr">
        <is>
          <t>2026_Kwiecień_W4</t>
        </is>
      </c>
      <c r="G284" t="inlineStr">
        <is>
          <t>Śr</t>
        </is>
      </c>
      <c r="H284" t="inlineStr">
        <is>
          <t>DOMACHOWSKA, HANNA</t>
        </is>
      </c>
      <c r="I284" t="inlineStr">
        <is>
          <t>Shift manager/Supervisor</t>
        </is>
      </c>
      <c r="J284" t="inlineStr">
        <is>
          <t>Standard 0,5|20h</t>
        </is>
      </c>
      <c r="K284" t="n">
        <v>8.289999999999999</v>
      </c>
      <c r="L284" t="inlineStr">
        <is>
          <t>384</t>
        </is>
      </c>
      <c r="M284" t="inlineStr">
        <is>
          <t>108120 SBX Warszawa Janki</t>
        </is>
      </c>
      <c r="N284" t="inlineStr">
        <is>
          <t>2026-09-11 19:06</t>
        </is>
      </c>
    </row>
    <row r="285">
      <c r="A285" t="n">
        <v>284</v>
      </c>
      <c r="B285" t="inlineStr">
        <is>
          <t>2026-04-23</t>
        </is>
      </c>
      <c r="C285" t="n">
        <v>2026</v>
      </c>
      <c r="D285" t="inlineStr">
        <is>
          <t>Kwiecień</t>
        </is>
      </c>
      <c r="E285" t="inlineStr">
        <is>
          <t>W4</t>
        </is>
      </c>
      <c r="F285" t="inlineStr">
        <is>
          <t>2026_Kwiecień_W4</t>
        </is>
      </c>
      <c r="G285" t="inlineStr">
        <is>
          <t>Czw</t>
        </is>
      </c>
      <c r="H285" t="inlineStr">
        <is>
          <t>DOMACHOWSKA, HANNA</t>
        </is>
      </c>
      <c r="I285" t="inlineStr">
        <is>
          <t>Shift manager/Supervisor</t>
        </is>
      </c>
      <c r="J285" t="inlineStr">
        <is>
          <t>Standard 0,5|20h</t>
        </is>
      </c>
      <c r="K285" t="n">
        <v>8.16</v>
      </c>
      <c r="L285" t="inlineStr">
        <is>
          <t>384</t>
        </is>
      </c>
      <c r="M285" t="inlineStr">
        <is>
          <t>108120 SBX Warszawa Janki</t>
        </is>
      </c>
      <c r="N285" t="inlineStr">
        <is>
          <t>2026-09-11 19:06</t>
        </is>
      </c>
    </row>
    <row r="286">
      <c r="A286" t="n">
        <v>285</v>
      </c>
      <c r="B286" t="inlineStr">
        <is>
          <t>2026-04-27</t>
        </is>
      </c>
      <c r="C286" t="n">
        <v>2026</v>
      </c>
      <c r="D286" t="inlineStr">
        <is>
          <t>Kwiecień</t>
        </is>
      </c>
      <c r="E286" t="inlineStr">
        <is>
          <t>W4</t>
        </is>
      </c>
      <c r="F286" t="inlineStr">
        <is>
          <t>2026_Kwiecień_W4</t>
        </is>
      </c>
      <c r="G286" t="inlineStr">
        <is>
          <t>Pn</t>
        </is>
      </c>
      <c r="H286" t="inlineStr">
        <is>
          <t>DOMACHOWSKA, HANNA</t>
        </is>
      </c>
      <c r="I286" t="inlineStr">
        <is>
          <t>Shift manager/Supervisor</t>
        </is>
      </c>
      <c r="J286" t="inlineStr">
        <is>
          <t>Standard 0,5|20h</t>
        </is>
      </c>
      <c r="K286" t="n">
        <v>8.19</v>
      </c>
      <c r="L286" t="inlineStr">
        <is>
          <t>384</t>
        </is>
      </c>
      <c r="M286" t="inlineStr">
        <is>
          <t>108120 SBX Warszawa Janki</t>
        </is>
      </c>
      <c r="N286" t="inlineStr">
        <is>
          <t>2026-09-11 19:06</t>
        </is>
      </c>
    </row>
    <row r="287">
      <c r="A287" t="n">
        <v>286</v>
      </c>
      <c r="B287" t="inlineStr">
        <is>
          <t>2026-04-28</t>
        </is>
      </c>
      <c r="C287" t="n">
        <v>2026</v>
      </c>
      <c r="D287" t="inlineStr">
        <is>
          <t>Kwiecień</t>
        </is>
      </c>
      <c r="E287" t="inlineStr">
        <is>
          <t>W5</t>
        </is>
      </c>
      <c r="F287" t="inlineStr">
        <is>
          <t>2026_Kwiecień_W5</t>
        </is>
      </c>
      <c r="G287" t="inlineStr">
        <is>
          <t>Wt</t>
        </is>
      </c>
      <c r="H287" t="inlineStr">
        <is>
          <t>DOMACHOWSKA, HANNA</t>
        </is>
      </c>
      <c r="I287" t="inlineStr">
        <is>
          <t>Shift manager/Supervisor</t>
        </is>
      </c>
      <c r="J287" t="inlineStr">
        <is>
          <t>Standard 0,5|20h</t>
        </is>
      </c>
      <c r="K287" t="n">
        <v>6.63</v>
      </c>
      <c r="L287" t="inlineStr">
        <is>
          <t>384</t>
        </is>
      </c>
      <c r="M287" t="inlineStr">
        <is>
          <t>108120 SBX Warszawa Janki</t>
        </is>
      </c>
      <c r="N287" t="inlineStr">
        <is>
          <t>2026-09-11 19:06</t>
        </is>
      </c>
    </row>
    <row r="288">
      <c r="A288" t="n">
        <v>287</v>
      </c>
      <c r="B288" t="inlineStr">
        <is>
          <t>2026-04-30</t>
        </is>
      </c>
      <c r="C288" t="n">
        <v>2026</v>
      </c>
      <c r="D288" t="inlineStr">
        <is>
          <t>Kwiecień</t>
        </is>
      </c>
      <c r="E288" t="inlineStr">
        <is>
          <t>W5</t>
        </is>
      </c>
      <c r="F288" t="inlineStr">
        <is>
          <t>2026_Kwiecień_W5</t>
        </is>
      </c>
      <c r="G288" t="inlineStr">
        <is>
          <t>Czw</t>
        </is>
      </c>
      <c r="H288" t="inlineStr">
        <is>
          <t>DOMACHOWSKA, HANNA</t>
        </is>
      </c>
      <c r="I288" t="inlineStr">
        <is>
          <t>Shift manager/Supervisor</t>
        </is>
      </c>
      <c r="J288" t="inlineStr">
        <is>
          <t>Standard 0,5|20h</t>
        </is>
      </c>
      <c r="K288" t="n">
        <v>8.33</v>
      </c>
      <c r="L288" t="inlineStr">
        <is>
          <t>384</t>
        </is>
      </c>
      <c r="M288" t="inlineStr">
        <is>
          <t>108120 SBX Warszawa Janki</t>
        </is>
      </c>
      <c r="N288" t="inlineStr">
        <is>
          <t>2026-09-11 19:06</t>
        </is>
      </c>
    </row>
    <row r="289">
      <c r="A289" t="n">
        <v>288</v>
      </c>
      <c r="B289" t="inlineStr">
        <is>
          <t>2026-05-03</t>
        </is>
      </c>
      <c r="C289" t="n">
        <v>2026</v>
      </c>
      <c r="D289" t="inlineStr">
        <is>
          <t>Maj</t>
        </is>
      </c>
      <c r="E289" t="inlineStr">
        <is>
          <t>W1</t>
        </is>
      </c>
      <c r="F289" t="inlineStr">
        <is>
          <t>2026_Maj_W1</t>
        </is>
      </c>
      <c r="G289" t="inlineStr">
        <is>
          <t>Nd</t>
        </is>
      </c>
      <c r="H289" t="inlineStr">
        <is>
          <t>DOMACHOWSKA, HANNA</t>
        </is>
      </c>
      <c r="I289" t="inlineStr">
        <is>
          <t>Shift manager/Supervisor</t>
        </is>
      </c>
      <c r="J289" t="inlineStr">
        <is>
          <t>Standard 0,5|20h</t>
        </is>
      </c>
      <c r="K289" t="n">
        <v>7.87</v>
      </c>
      <c r="L289" t="inlineStr">
        <is>
          <t>384</t>
        </is>
      </c>
      <c r="M289" t="inlineStr">
        <is>
          <t>108120 SBX Warszawa Janki</t>
        </is>
      </c>
      <c r="N289" t="inlineStr">
        <is>
          <t>2026-09-11 19:06</t>
        </is>
      </c>
    </row>
    <row r="290">
      <c r="A290" t="n">
        <v>289</v>
      </c>
      <c r="B290" t="inlineStr">
        <is>
          <t>2026-05-04</t>
        </is>
      </c>
      <c r="C290" t="n">
        <v>2026</v>
      </c>
      <c r="D290" t="inlineStr">
        <is>
          <t>Maj</t>
        </is>
      </c>
      <c r="E290" t="inlineStr">
        <is>
          <t>W1</t>
        </is>
      </c>
      <c r="F290" t="inlineStr">
        <is>
          <t>2026_Maj_W1</t>
        </is>
      </c>
      <c r="G290" t="inlineStr">
        <is>
          <t>Pn</t>
        </is>
      </c>
      <c r="H290" t="inlineStr">
        <is>
          <t>DOMACHOWSKA, HANNA</t>
        </is>
      </c>
      <c r="I290" t="inlineStr">
        <is>
          <t>Shift manager/Supervisor</t>
        </is>
      </c>
      <c r="J290" t="inlineStr">
        <is>
          <t>Standard 0,5|20h</t>
        </is>
      </c>
      <c r="K290" t="n">
        <v>8.52</v>
      </c>
      <c r="L290" t="inlineStr">
        <is>
          <t>384</t>
        </is>
      </c>
      <c r="M290" t="inlineStr">
        <is>
          <t>108120 SBX Warszawa Janki</t>
        </is>
      </c>
      <c r="N290" t="inlineStr">
        <is>
          <t>2026-09-11 19:06</t>
        </is>
      </c>
    </row>
    <row r="291">
      <c r="A291" t="n">
        <v>290</v>
      </c>
      <c r="B291" t="inlineStr">
        <is>
          <t>2026-05-06</t>
        </is>
      </c>
      <c r="C291" t="n">
        <v>2026</v>
      </c>
      <c r="D291" t="inlineStr">
        <is>
          <t>Maj</t>
        </is>
      </c>
      <c r="E291" t="inlineStr">
        <is>
          <t>W2</t>
        </is>
      </c>
      <c r="F291" t="inlineStr">
        <is>
          <t>2026_Maj_W2</t>
        </is>
      </c>
      <c r="G291" t="inlineStr">
        <is>
          <t>Śr</t>
        </is>
      </c>
      <c r="H291" t="inlineStr">
        <is>
          <t>DOMACHOWSKA, HANNA</t>
        </is>
      </c>
      <c r="I291" t="inlineStr">
        <is>
          <t>Shift manager/Supervisor</t>
        </is>
      </c>
      <c r="J291" t="inlineStr">
        <is>
          <t>Standard 0,5|20h</t>
        </is>
      </c>
      <c r="K291" t="n">
        <v>8.539999999999999</v>
      </c>
      <c r="L291" t="inlineStr">
        <is>
          <t>384</t>
        </is>
      </c>
      <c r="M291" t="inlineStr">
        <is>
          <t>108120 SBX Warszawa Janki</t>
        </is>
      </c>
      <c r="N291" t="inlineStr">
        <is>
          <t>2026-09-11 19:06</t>
        </is>
      </c>
    </row>
    <row r="292">
      <c r="A292" t="n">
        <v>291</v>
      </c>
      <c r="B292" t="inlineStr">
        <is>
          <t>2026-05-10</t>
        </is>
      </c>
      <c r="C292" t="n">
        <v>2026</v>
      </c>
      <c r="D292" t="inlineStr">
        <is>
          <t>Maj</t>
        </is>
      </c>
      <c r="E292" t="inlineStr">
        <is>
          <t>W2</t>
        </is>
      </c>
      <c r="F292" t="inlineStr">
        <is>
          <t>2026_Maj_W2</t>
        </is>
      </c>
      <c r="G292" t="inlineStr">
        <is>
          <t>Nd</t>
        </is>
      </c>
      <c r="H292" t="inlineStr">
        <is>
          <t>DOMACHOWSKA, HANNA</t>
        </is>
      </c>
      <c r="I292" t="inlineStr">
        <is>
          <t>Shift manager/Supervisor</t>
        </is>
      </c>
      <c r="J292" t="inlineStr">
        <is>
          <t>Standard 0,5|20h</t>
        </is>
      </c>
      <c r="K292" t="n">
        <v>8</v>
      </c>
      <c r="L292" t="inlineStr">
        <is>
          <t>384</t>
        </is>
      </c>
      <c r="M292" t="inlineStr">
        <is>
          <t>108120 SBX Warszawa Janki</t>
        </is>
      </c>
      <c r="N292" t="inlineStr">
        <is>
          <t>2026-09-11 19:06</t>
        </is>
      </c>
    </row>
    <row r="293">
      <c r="A293" t="n">
        <v>292</v>
      </c>
      <c r="B293" t="inlineStr">
        <is>
          <t>2026-05-13</t>
        </is>
      </c>
      <c r="C293" t="n">
        <v>2026</v>
      </c>
      <c r="D293" t="inlineStr">
        <is>
          <t>Maj</t>
        </is>
      </c>
      <c r="E293" t="inlineStr">
        <is>
          <t>W3</t>
        </is>
      </c>
      <c r="F293" t="inlineStr">
        <is>
          <t>2026_Maj_W3</t>
        </is>
      </c>
      <c r="G293" t="inlineStr">
        <is>
          <t>Śr</t>
        </is>
      </c>
      <c r="H293" t="inlineStr">
        <is>
          <t>DOMACHOWSKA, HANNA</t>
        </is>
      </c>
      <c r="I293" t="inlineStr">
        <is>
          <t>Shift manager/Supervisor</t>
        </is>
      </c>
      <c r="J293" t="inlineStr">
        <is>
          <t>Standard 0,5|20h</t>
        </is>
      </c>
      <c r="K293" t="n">
        <v>8</v>
      </c>
      <c r="L293" t="inlineStr">
        <is>
          <t>384</t>
        </is>
      </c>
      <c r="M293" t="inlineStr">
        <is>
          <t>108120 SBX Warszawa Janki</t>
        </is>
      </c>
      <c r="N293" t="inlineStr">
        <is>
          <t>2026-09-11 19:06</t>
        </is>
      </c>
    </row>
    <row r="294">
      <c r="A294" t="n">
        <v>293</v>
      </c>
      <c r="B294" t="inlineStr">
        <is>
          <t>2026-05-14</t>
        </is>
      </c>
      <c r="C294" t="n">
        <v>2026</v>
      </c>
      <c r="D294" t="inlineStr">
        <is>
          <t>Maj</t>
        </is>
      </c>
      <c r="E294" t="inlineStr">
        <is>
          <t>W3</t>
        </is>
      </c>
      <c r="F294" t="inlineStr">
        <is>
          <t>2026_Maj_W3</t>
        </is>
      </c>
      <c r="G294" t="inlineStr">
        <is>
          <t>Czw</t>
        </is>
      </c>
      <c r="H294" t="inlineStr">
        <is>
          <t>DOMACHOWSKA, HANNA</t>
        </is>
      </c>
      <c r="I294" t="inlineStr">
        <is>
          <t>Shift manager/Supervisor</t>
        </is>
      </c>
      <c r="J294" t="inlineStr">
        <is>
          <t>Standard 0,5|20h</t>
        </is>
      </c>
      <c r="K294" t="n">
        <v>8.119999999999999</v>
      </c>
      <c r="L294" t="inlineStr">
        <is>
          <t>384</t>
        </is>
      </c>
      <c r="M294" t="inlineStr">
        <is>
          <t>108120 SBX Warszawa Janki</t>
        </is>
      </c>
      <c r="N294" t="inlineStr">
        <is>
          <t>2026-09-11 19:06</t>
        </is>
      </c>
    </row>
    <row r="295">
      <c r="A295" t="n">
        <v>294</v>
      </c>
      <c r="B295" t="inlineStr">
        <is>
          <t>2026-05-21</t>
        </is>
      </c>
      <c r="C295" t="n">
        <v>2026</v>
      </c>
      <c r="D295" t="inlineStr">
        <is>
          <t>Maj</t>
        </is>
      </c>
      <c r="E295" t="inlineStr">
        <is>
          <t>W4</t>
        </is>
      </c>
      <c r="F295" t="inlineStr">
        <is>
          <t>2026_Maj_W4</t>
        </is>
      </c>
      <c r="G295" t="inlineStr">
        <is>
          <t>Czw</t>
        </is>
      </c>
      <c r="H295" t="inlineStr">
        <is>
          <t>DOMACHOWSKA, HANNA</t>
        </is>
      </c>
      <c r="I295" t="inlineStr">
        <is>
          <t>Shift manager/Supervisor</t>
        </is>
      </c>
      <c r="J295" t="inlineStr">
        <is>
          <t>Standard 0,5|20h</t>
        </is>
      </c>
      <c r="K295" t="n">
        <v>8.27</v>
      </c>
      <c r="L295" t="inlineStr">
        <is>
          <t>384</t>
        </is>
      </c>
      <c r="M295" t="inlineStr">
        <is>
          <t>108120 SBX Warszawa Janki</t>
        </is>
      </c>
      <c r="N295" t="inlineStr">
        <is>
          <t>2026-09-11 19:06</t>
        </is>
      </c>
    </row>
    <row r="296">
      <c r="A296" t="n">
        <v>295</v>
      </c>
      <c r="B296" t="inlineStr">
        <is>
          <t>2026-05-23</t>
        </is>
      </c>
      <c r="C296" t="n">
        <v>2026</v>
      </c>
      <c r="D296" t="inlineStr">
        <is>
          <t>Maj</t>
        </is>
      </c>
      <c r="E296" t="inlineStr">
        <is>
          <t>W4</t>
        </is>
      </c>
      <c r="F296" t="inlineStr">
        <is>
          <t>2026_Maj_W4</t>
        </is>
      </c>
      <c r="G296" t="inlineStr">
        <is>
          <t>Sob</t>
        </is>
      </c>
      <c r="H296" t="inlineStr">
        <is>
          <t>DOMACHOWSKA, HANNA</t>
        </is>
      </c>
      <c r="I296" t="inlineStr">
        <is>
          <t>Shift manager/Supervisor</t>
        </is>
      </c>
      <c r="J296" t="inlineStr">
        <is>
          <t>Standard 0,5|20h</t>
        </is>
      </c>
      <c r="K296" t="n">
        <v>6.1</v>
      </c>
      <c r="L296" t="inlineStr">
        <is>
          <t>384</t>
        </is>
      </c>
      <c r="M296" t="inlineStr">
        <is>
          <t>108120 SBX Warszawa Janki</t>
        </is>
      </c>
      <c r="N296" t="inlineStr">
        <is>
          <t>2026-09-11 19:06</t>
        </is>
      </c>
    </row>
    <row r="297">
      <c r="A297" t="n">
        <v>296</v>
      </c>
      <c r="B297" t="inlineStr">
        <is>
          <t>2026-05-27</t>
        </is>
      </c>
      <c r="C297" t="n">
        <v>2026</v>
      </c>
      <c r="D297" t="inlineStr">
        <is>
          <t>Maj</t>
        </is>
      </c>
      <c r="E297" t="inlineStr">
        <is>
          <t>W5</t>
        </is>
      </c>
      <c r="F297" t="inlineStr">
        <is>
          <t>2026_Maj_W5</t>
        </is>
      </c>
      <c r="G297" t="inlineStr">
        <is>
          <t>Śr</t>
        </is>
      </c>
      <c r="H297" t="inlineStr">
        <is>
          <t>DOMACHOWSKA, HANNA</t>
        </is>
      </c>
      <c r="I297" t="inlineStr">
        <is>
          <t>Shift manager/Supervisor</t>
        </is>
      </c>
      <c r="J297" t="inlineStr">
        <is>
          <t>Standard 0,5|20h</t>
        </is>
      </c>
      <c r="K297" t="n">
        <v>7.86</v>
      </c>
      <c r="L297" t="inlineStr">
        <is>
          <t>384</t>
        </is>
      </c>
      <c r="M297" t="inlineStr">
        <is>
          <t>108120 SBX Warszawa Janki</t>
        </is>
      </c>
      <c r="N297" t="inlineStr">
        <is>
          <t>2026-09-11 19:06</t>
        </is>
      </c>
    </row>
    <row r="298">
      <c r="A298" t="n">
        <v>297</v>
      </c>
      <c r="B298" t="inlineStr">
        <is>
          <t>2026-05-28</t>
        </is>
      </c>
      <c r="C298" t="n">
        <v>2026</v>
      </c>
      <c r="D298" t="inlineStr">
        <is>
          <t>Maj</t>
        </is>
      </c>
      <c r="E298" t="inlineStr">
        <is>
          <t>W5</t>
        </is>
      </c>
      <c r="F298" t="inlineStr">
        <is>
          <t>2026_Maj_W5</t>
        </is>
      </c>
      <c r="G298" t="inlineStr">
        <is>
          <t>Czw</t>
        </is>
      </c>
      <c r="H298" t="inlineStr">
        <is>
          <t>DOMACHOWSKA, HANNA</t>
        </is>
      </c>
      <c r="I298" t="inlineStr">
        <is>
          <t>Shift manager/Supervisor</t>
        </is>
      </c>
      <c r="J298" t="inlineStr">
        <is>
          <t>Standard 0,5|20h</t>
        </is>
      </c>
      <c r="K298" t="n">
        <v>4.42</v>
      </c>
      <c r="L298" t="inlineStr">
        <is>
          <t>384</t>
        </is>
      </c>
      <c r="M298" t="inlineStr">
        <is>
          <t>108120 SBX Warszawa Janki</t>
        </is>
      </c>
      <c r="N298" t="inlineStr">
        <is>
          <t>2026-09-11 19:06</t>
        </is>
      </c>
    </row>
    <row r="299">
      <c r="A299" t="n">
        <v>298</v>
      </c>
      <c r="B299" t="inlineStr">
        <is>
          <t>2026-05-31</t>
        </is>
      </c>
      <c r="C299" t="n">
        <v>2026</v>
      </c>
      <c r="D299" t="inlineStr">
        <is>
          <t>Maj</t>
        </is>
      </c>
      <c r="E299" t="inlineStr">
        <is>
          <t>W5</t>
        </is>
      </c>
      <c r="F299" t="inlineStr">
        <is>
          <t>2026_Maj_W5</t>
        </is>
      </c>
      <c r="G299" t="inlineStr">
        <is>
          <t>Nd</t>
        </is>
      </c>
      <c r="H299" t="inlineStr">
        <is>
          <t>DOMACHOWSKA, HANNA</t>
        </is>
      </c>
      <c r="I299" t="inlineStr">
        <is>
          <t>Shift manager/Supervisor</t>
        </is>
      </c>
      <c r="J299" t="inlineStr">
        <is>
          <t>Standard 0,5|20h</t>
        </is>
      </c>
      <c r="K299" t="n">
        <v>8.25</v>
      </c>
      <c r="L299" t="inlineStr">
        <is>
          <t>384</t>
        </is>
      </c>
      <c r="M299" t="inlineStr">
        <is>
          <t>108120 SBX Warszawa Janki</t>
        </is>
      </c>
      <c r="N299" t="inlineStr">
        <is>
          <t>2026-09-11 19:06</t>
        </is>
      </c>
    </row>
    <row r="300">
      <c r="A300" t="n">
        <v>299</v>
      </c>
      <c r="B300" t="inlineStr">
        <is>
          <t>2026-06-01</t>
        </is>
      </c>
      <c r="C300" t="n">
        <v>2026</v>
      </c>
      <c r="D300" t="inlineStr">
        <is>
          <t>Czerwiec</t>
        </is>
      </c>
      <c r="E300" t="inlineStr">
        <is>
          <t>W1</t>
        </is>
      </c>
      <c r="F300" t="inlineStr">
        <is>
          <t>2026_Czerwiec_W1</t>
        </is>
      </c>
      <c r="G300" t="inlineStr">
        <is>
          <t>Pn</t>
        </is>
      </c>
      <c r="H300" t="inlineStr">
        <is>
          <t>DOMACHOWSKA, HANNA</t>
        </is>
      </c>
      <c r="I300" t="inlineStr">
        <is>
          <t>Shift manager/Supervisor</t>
        </is>
      </c>
      <c r="J300" t="inlineStr">
        <is>
          <t>Standard 0,5|20h</t>
        </is>
      </c>
      <c r="K300" t="n">
        <v>8.119999999999999</v>
      </c>
      <c r="L300" t="inlineStr">
        <is>
          <t>384</t>
        </is>
      </c>
      <c r="M300" t="inlineStr">
        <is>
          <t>108120 SBX Warszawa Janki</t>
        </is>
      </c>
      <c r="N300" t="inlineStr">
        <is>
          <t>2026-09-11 19:06</t>
        </is>
      </c>
    </row>
    <row r="301">
      <c r="A301" t="n">
        <v>300</v>
      </c>
      <c r="B301" t="inlineStr">
        <is>
          <t>2026-06-02</t>
        </is>
      </c>
      <c r="C301" t="n">
        <v>2026</v>
      </c>
      <c r="D301" t="inlineStr">
        <is>
          <t>Czerwiec</t>
        </is>
      </c>
      <c r="E301" t="inlineStr">
        <is>
          <t>W2</t>
        </is>
      </c>
      <c r="F301" t="inlineStr">
        <is>
          <t>2026_Czerwiec_W2</t>
        </is>
      </c>
      <c r="G301" t="inlineStr">
        <is>
          <t>Wt</t>
        </is>
      </c>
      <c r="H301" t="inlineStr">
        <is>
          <t>DOMACHOWSKA, HANNA</t>
        </is>
      </c>
      <c r="I301" t="inlineStr">
        <is>
          <t>Shift manager/Supervisor</t>
        </is>
      </c>
      <c r="J301" t="inlineStr">
        <is>
          <t>Standard 0,5|20h</t>
        </is>
      </c>
      <c r="K301" t="n">
        <v>8.119999999999999</v>
      </c>
      <c r="L301" t="inlineStr">
        <is>
          <t>384</t>
        </is>
      </c>
      <c r="M301" t="inlineStr">
        <is>
          <t>108120 SBX Warszawa Janki</t>
        </is>
      </c>
      <c r="N301" t="inlineStr">
        <is>
          <t>2026-09-11 19:06</t>
        </is>
      </c>
    </row>
    <row r="302">
      <c r="A302" t="n">
        <v>301</v>
      </c>
      <c r="B302" t="inlineStr">
        <is>
          <t>2026-06-04</t>
        </is>
      </c>
      <c r="C302" t="n">
        <v>2026</v>
      </c>
      <c r="D302" t="inlineStr">
        <is>
          <t>Czerwiec</t>
        </is>
      </c>
      <c r="E302" t="inlineStr">
        <is>
          <t>W2</t>
        </is>
      </c>
      <c r="F302" t="inlineStr">
        <is>
          <t>2026_Czerwiec_W2</t>
        </is>
      </c>
      <c r="G302" t="inlineStr">
        <is>
          <t>Czw</t>
        </is>
      </c>
      <c r="H302" t="inlineStr">
        <is>
          <t>DOMACHOWSKA, HANNA</t>
        </is>
      </c>
      <c r="I302" t="inlineStr">
        <is>
          <t>Shift manager/Supervisor</t>
        </is>
      </c>
      <c r="J302" t="inlineStr">
        <is>
          <t>Standard 0,5|20h</t>
        </is>
      </c>
      <c r="K302" t="n">
        <v>8.720000000000001</v>
      </c>
      <c r="L302" t="inlineStr">
        <is>
          <t>384</t>
        </is>
      </c>
      <c r="M302" t="inlineStr">
        <is>
          <t>108120 SBX Warszawa Janki</t>
        </is>
      </c>
      <c r="N302" t="inlineStr">
        <is>
          <t>2026-09-11 19:06</t>
        </is>
      </c>
    </row>
    <row r="303">
      <c r="A303" t="n">
        <v>302</v>
      </c>
      <c r="B303" t="inlineStr">
        <is>
          <t>2026-06-17</t>
        </is>
      </c>
      <c r="C303" t="n">
        <v>2026</v>
      </c>
      <c r="D303" t="inlineStr">
        <is>
          <t>Czerwiec</t>
        </is>
      </c>
      <c r="E303" t="inlineStr">
        <is>
          <t>W4</t>
        </is>
      </c>
      <c r="F303" t="inlineStr">
        <is>
          <t>2026_Czerwiec_W4</t>
        </is>
      </c>
      <c r="G303" t="inlineStr">
        <is>
          <t>Śr</t>
        </is>
      </c>
      <c r="H303" t="inlineStr">
        <is>
          <t>DOMACHOWSKA, HANNA</t>
        </is>
      </c>
      <c r="I303" t="inlineStr">
        <is>
          <t>Shift manager/Supervisor</t>
        </is>
      </c>
      <c r="J303" t="inlineStr">
        <is>
          <t>Standard 0,5|20h</t>
        </is>
      </c>
      <c r="K303" t="n">
        <v>8.69</v>
      </c>
      <c r="L303" t="inlineStr">
        <is>
          <t>384</t>
        </is>
      </c>
      <c r="M303" t="inlineStr">
        <is>
          <t>108120 SBX Warszawa Janki</t>
        </is>
      </c>
      <c r="N303" t="inlineStr">
        <is>
          <t>2026-09-11 19:06</t>
        </is>
      </c>
    </row>
    <row r="304">
      <c r="A304" t="n">
        <v>303</v>
      </c>
      <c r="B304" t="inlineStr">
        <is>
          <t>2026-06-18</t>
        </is>
      </c>
      <c r="C304" t="n">
        <v>2026</v>
      </c>
      <c r="D304" t="inlineStr">
        <is>
          <t>Czerwiec</t>
        </is>
      </c>
      <c r="E304" t="inlineStr">
        <is>
          <t>W4</t>
        </is>
      </c>
      <c r="F304" t="inlineStr">
        <is>
          <t>2026_Czerwiec_W4</t>
        </is>
      </c>
      <c r="G304" t="inlineStr">
        <is>
          <t>Czw</t>
        </is>
      </c>
      <c r="H304" t="inlineStr">
        <is>
          <t>DOMACHOWSKA, HANNA</t>
        </is>
      </c>
      <c r="I304" t="inlineStr">
        <is>
          <t>Shift manager/Supervisor</t>
        </is>
      </c>
      <c r="J304" t="inlineStr">
        <is>
          <t>Standard 0,5|20h</t>
        </is>
      </c>
      <c r="K304" t="n">
        <v>8.609999999999999</v>
      </c>
      <c r="L304" t="inlineStr">
        <is>
          <t>384</t>
        </is>
      </c>
      <c r="M304" t="inlineStr">
        <is>
          <t>108120 SBX Warszawa Janki</t>
        </is>
      </c>
      <c r="N304" t="inlineStr">
        <is>
          <t>2026-09-11 19:06</t>
        </is>
      </c>
    </row>
    <row r="305">
      <c r="A305" t="n">
        <v>304</v>
      </c>
      <c r="B305" t="inlineStr">
        <is>
          <t>2026-06-19</t>
        </is>
      </c>
      <c r="C305" t="n">
        <v>2026</v>
      </c>
      <c r="D305" t="inlineStr">
        <is>
          <t>Czerwiec</t>
        </is>
      </c>
      <c r="E305" t="inlineStr">
        <is>
          <t>W4</t>
        </is>
      </c>
      <c r="F305" t="inlineStr">
        <is>
          <t>2026_Czerwiec_W4</t>
        </is>
      </c>
      <c r="G305" t="inlineStr">
        <is>
          <t>Pt</t>
        </is>
      </c>
      <c r="H305" t="inlineStr">
        <is>
          <t>DOMACHOWSKA, HANNA</t>
        </is>
      </c>
      <c r="I305" t="inlineStr">
        <is>
          <t>Shift manager/Supervisor</t>
        </is>
      </c>
      <c r="J305" t="inlineStr">
        <is>
          <t>Standard 0,5|20h</t>
        </is>
      </c>
      <c r="K305" t="n">
        <v>2.27</v>
      </c>
      <c r="L305" t="inlineStr">
        <is>
          <t>384</t>
        </is>
      </c>
      <c r="M305" t="inlineStr">
        <is>
          <t>108120 SBX Warszawa Janki</t>
        </is>
      </c>
      <c r="N305" t="inlineStr">
        <is>
          <t>2026-09-11 19:06</t>
        </is>
      </c>
    </row>
    <row r="306">
      <c r="A306" t="n">
        <v>305</v>
      </c>
      <c r="B306" t="inlineStr">
        <is>
          <t>2026-07-02</t>
        </is>
      </c>
      <c r="C306" t="n">
        <v>2026</v>
      </c>
      <c r="D306" t="inlineStr">
        <is>
          <t>Lipiec</t>
        </is>
      </c>
      <c r="E306" t="inlineStr">
        <is>
          <t>W1</t>
        </is>
      </c>
      <c r="F306" t="inlineStr">
        <is>
          <t>2026_Lipiec_W1</t>
        </is>
      </c>
      <c r="G306" t="inlineStr">
        <is>
          <t>Czw</t>
        </is>
      </c>
      <c r="H306" t="inlineStr">
        <is>
          <t>DOMACHOWSKA, HANNA</t>
        </is>
      </c>
      <c r="I306" t="inlineStr">
        <is>
          <t>Shift manager/Supervisor</t>
        </is>
      </c>
      <c r="J306" t="inlineStr">
        <is>
          <t>Standard 0,5|20h</t>
        </is>
      </c>
      <c r="K306" t="n">
        <v>8</v>
      </c>
      <c r="L306" t="inlineStr">
        <is>
          <t>384</t>
        </is>
      </c>
      <c r="M306" t="inlineStr">
        <is>
          <t>108120 SBX Warszawa Janki</t>
        </is>
      </c>
      <c r="N306" t="inlineStr">
        <is>
          <t>2026-09-11 19:06</t>
        </is>
      </c>
    </row>
    <row r="307">
      <c r="A307" t="n">
        <v>306</v>
      </c>
      <c r="B307" t="inlineStr">
        <is>
          <t>2026-07-03</t>
        </is>
      </c>
      <c r="C307" t="n">
        <v>2026</v>
      </c>
      <c r="D307" t="inlineStr">
        <is>
          <t>Lipiec</t>
        </is>
      </c>
      <c r="E307" t="inlineStr">
        <is>
          <t>W1</t>
        </is>
      </c>
      <c r="F307" t="inlineStr">
        <is>
          <t>2026_Lipiec_W1</t>
        </is>
      </c>
      <c r="G307" t="inlineStr">
        <is>
          <t>Pt</t>
        </is>
      </c>
      <c r="H307" t="inlineStr">
        <is>
          <t>DOMACHOWSKA, HANNA</t>
        </is>
      </c>
      <c r="I307" t="inlineStr">
        <is>
          <t>Shift manager/Supervisor</t>
        </is>
      </c>
      <c r="J307" t="inlineStr">
        <is>
          <t>Standard 0,5|20h</t>
        </is>
      </c>
      <c r="K307" t="n">
        <v>8.19</v>
      </c>
      <c r="L307" t="inlineStr">
        <is>
          <t>384</t>
        </is>
      </c>
      <c r="M307" t="inlineStr">
        <is>
          <t>108120 SBX Warszawa Janki</t>
        </is>
      </c>
      <c r="N307" t="inlineStr">
        <is>
          <t>2026-09-11 19:06</t>
        </is>
      </c>
    </row>
    <row r="308">
      <c r="A308" t="n">
        <v>307</v>
      </c>
      <c r="B308" t="inlineStr">
        <is>
          <t>2026-07-05</t>
        </is>
      </c>
      <c r="C308" t="n">
        <v>2026</v>
      </c>
      <c r="D308" t="inlineStr">
        <is>
          <t>Lipiec</t>
        </is>
      </c>
      <c r="E308" t="inlineStr">
        <is>
          <t>W1</t>
        </is>
      </c>
      <c r="F308" t="inlineStr">
        <is>
          <t>2026_Lipiec_W1</t>
        </is>
      </c>
      <c r="G308" t="inlineStr">
        <is>
          <t>Nd</t>
        </is>
      </c>
      <c r="H308" t="inlineStr">
        <is>
          <t>DOMACHOWSKA, HANNA</t>
        </is>
      </c>
      <c r="I308" t="inlineStr">
        <is>
          <t>Shift manager/Supervisor</t>
        </is>
      </c>
      <c r="J308" t="inlineStr">
        <is>
          <t>Standard 0,5|20h</t>
        </is>
      </c>
      <c r="K308" t="n">
        <v>8.06</v>
      </c>
      <c r="L308" t="inlineStr">
        <is>
          <t>384</t>
        </is>
      </c>
      <c r="M308" t="inlineStr">
        <is>
          <t>108120 SBX Warszawa Janki</t>
        </is>
      </c>
      <c r="N308" t="inlineStr">
        <is>
          <t>2026-09-11 19:06</t>
        </is>
      </c>
    </row>
    <row r="309">
      <c r="A309" t="n">
        <v>308</v>
      </c>
      <c r="B309" t="inlineStr">
        <is>
          <t>2026-07-07</t>
        </is>
      </c>
      <c r="C309" t="n">
        <v>2026</v>
      </c>
      <c r="D309" t="inlineStr">
        <is>
          <t>Lipiec</t>
        </is>
      </c>
      <c r="E309" t="inlineStr">
        <is>
          <t>W2</t>
        </is>
      </c>
      <c r="F309" t="inlineStr">
        <is>
          <t>2026_Lipiec_W2</t>
        </is>
      </c>
      <c r="G309" t="inlineStr">
        <is>
          <t>Wt</t>
        </is>
      </c>
      <c r="H309" t="inlineStr">
        <is>
          <t>DOMACHOWSKA, HANNA</t>
        </is>
      </c>
      <c r="I309" t="inlineStr">
        <is>
          <t>Shift manager/Supervisor</t>
        </is>
      </c>
      <c r="J309" t="inlineStr">
        <is>
          <t>Standard 0,5|20h</t>
        </is>
      </c>
      <c r="K309" t="n">
        <v>8</v>
      </c>
      <c r="L309" t="inlineStr">
        <is>
          <t>384</t>
        </is>
      </c>
      <c r="M309" t="inlineStr">
        <is>
          <t>108120 SBX Warszawa Janki</t>
        </is>
      </c>
      <c r="N309" t="inlineStr">
        <is>
          <t>2026-09-11 19:06</t>
        </is>
      </c>
    </row>
    <row r="310">
      <c r="A310" t="n">
        <v>309</v>
      </c>
      <c r="B310" t="inlineStr">
        <is>
          <t>2026-07-08</t>
        </is>
      </c>
      <c r="C310" t="n">
        <v>2026</v>
      </c>
      <c r="D310" t="inlineStr">
        <is>
          <t>Lipiec</t>
        </is>
      </c>
      <c r="E310" t="inlineStr">
        <is>
          <t>W2</t>
        </is>
      </c>
      <c r="F310" t="inlineStr">
        <is>
          <t>2026_Lipiec_W2</t>
        </is>
      </c>
      <c r="G310" t="inlineStr">
        <is>
          <t>Śr</t>
        </is>
      </c>
      <c r="H310" t="inlineStr">
        <is>
          <t>DOMACHOWSKA, HANNA</t>
        </is>
      </c>
      <c r="I310" t="inlineStr">
        <is>
          <t>Shift manager/Supervisor</t>
        </is>
      </c>
      <c r="J310" t="inlineStr">
        <is>
          <t>Standard 0,5|20h</t>
        </is>
      </c>
      <c r="K310" t="n">
        <v>8.81</v>
      </c>
      <c r="L310" t="inlineStr">
        <is>
          <t>384</t>
        </is>
      </c>
      <c r="M310" t="inlineStr">
        <is>
          <t>108120 SBX Warszawa Janki</t>
        </is>
      </c>
      <c r="N310" t="inlineStr">
        <is>
          <t>2026-09-11 19:06</t>
        </is>
      </c>
    </row>
    <row r="311">
      <c r="A311" t="n">
        <v>310</v>
      </c>
      <c r="B311" t="inlineStr">
        <is>
          <t>2026-07-09</t>
        </is>
      </c>
      <c r="C311" t="n">
        <v>2026</v>
      </c>
      <c r="D311" t="inlineStr">
        <is>
          <t>Lipiec</t>
        </is>
      </c>
      <c r="E311" t="inlineStr">
        <is>
          <t>W2</t>
        </is>
      </c>
      <c r="F311" t="inlineStr">
        <is>
          <t>2026_Lipiec_W2</t>
        </is>
      </c>
      <c r="G311" t="inlineStr">
        <is>
          <t>Czw</t>
        </is>
      </c>
      <c r="H311" t="inlineStr">
        <is>
          <t>DOMACHOWSKA, HANNA</t>
        </is>
      </c>
      <c r="I311" t="inlineStr">
        <is>
          <t>Shift manager/Supervisor</t>
        </is>
      </c>
      <c r="J311" t="inlineStr">
        <is>
          <t>Standard 0,5|20h</t>
        </is>
      </c>
      <c r="K311" t="n">
        <v>8.380000000000001</v>
      </c>
      <c r="L311" t="inlineStr">
        <is>
          <t>384</t>
        </is>
      </c>
      <c r="M311" t="inlineStr">
        <is>
          <t>108120 SBX Warszawa Janki</t>
        </is>
      </c>
      <c r="N311" t="inlineStr">
        <is>
          <t>2026-09-11 19:06</t>
        </is>
      </c>
    </row>
    <row r="312">
      <c r="A312" t="n">
        <v>311</v>
      </c>
      <c r="B312" t="inlineStr">
        <is>
          <t>2026-07-10</t>
        </is>
      </c>
      <c r="C312" t="n">
        <v>2026</v>
      </c>
      <c r="D312" t="inlineStr">
        <is>
          <t>Lipiec</t>
        </is>
      </c>
      <c r="E312" t="inlineStr">
        <is>
          <t>W2</t>
        </is>
      </c>
      <c r="F312" t="inlineStr">
        <is>
          <t>2026_Lipiec_W2</t>
        </is>
      </c>
      <c r="G312" t="inlineStr">
        <is>
          <t>Pt</t>
        </is>
      </c>
      <c r="H312" t="inlineStr">
        <is>
          <t>DOMACHOWSKA, HANNA</t>
        </is>
      </c>
      <c r="I312" t="inlineStr">
        <is>
          <t>Shift manager/Supervisor</t>
        </is>
      </c>
      <c r="J312" t="inlineStr">
        <is>
          <t>Standard 0,5|20h</t>
        </is>
      </c>
      <c r="K312" t="n">
        <v>8.289999999999999</v>
      </c>
      <c r="L312" t="inlineStr">
        <is>
          <t>384</t>
        </is>
      </c>
      <c r="M312" t="inlineStr">
        <is>
          <t>108120 SBX Warszawa Janki</t>
        </is>
      </c>
      <c r="N312" t="inlineStr">
        <is>
          <t>2026-09-11 19:06</t>
        </is>
      </c>
    </row>
    <row r="313">
      <c r="A313" t="n">
        <v>312</v>
      </c>
      <c r="B313" t="inlineStr">
        <is>
          <t>2026-08-10</t>
        </is>
      </c>
      <c r="C313" t="n">
        <v>2026</v>
      </c>
      <c r="D313" t="inlineStr">
        <is>
          <t>Sierpień</t>
        </is>
      </c>
      <c r="E313" t="inlineStr">
        <is>
          <t>W2</t>
        </is>
      </c>
      <c r="F313" t="inlineStr">
        <is>
          <t>2026_Sierpień_W2</t>
        </is>
      </c>
      <c r="G313" t="inlineStr">
        <is>
          <t>Pn</t>
        </is>
      </c>
      <c r="H313" t="inlineStr">
        <is>
          <t>DOMACHOWSKA, HANNA</t>
        </is>
      </c>
      <c r="I313" t="inlineStr">
        <is>
          <t>Shift manager/Supervisor</t>
        </is>
      </c>
      <c r="J313" t="inlineStr">
        <is>
          <t>Standard 0,5|20h</t>
        </is>
      </c>
      <c r="K313" t="n">
        <v>1.73</v>
      </c>
      <c r="L313" t="inlineStr">
        <is>
          <t>384</t>
        </is>
      </c>
      <c r="M313" t="inlineStr">
        <is>
          <t>108120 SBX Warszawa Janki</t>
        </is>
      </c>
      <c r="N313" t="inlineStr">
        <is>
          <t>2026-09-11 19:06</t>
        </is>
      </c>
    </row>
    <row r="314">
      <c r="A314" t="n">
        <v>313</v>
      </c>
      <c r="B314" t="inlineStr">
        <is>
          <t>2026-08-14</t>
        </is>
      </c>
      <c r="C314" t="n">
        <v>2026</v>
      </c>
      <c r="D314" t="inlineStr">
        <is>
          <t>Sierpień</t>
        </is>
      </c>
      <c r="E314" t="inlineStr">
        <is>
          <t>W3</t>
        </is>
      </c>
      <c r="F314" t="inlineStr">
        <is>
          <t>2026_Sierpień_W3</t>
        </is>
      </c>
      <c r="G314" t="inlineStr">
        <is>
          <t>Pt</t>
        </is>
      </c>
      <c r="H314" t="inlineStr">
        <is>
          <t>DOMACHOWSKA, HANNA</t>
        </is>
      </c>
      <c r="I314" t="inlineStr">
        <is>
          <t>Shift manager/Supervisor</t>
        </is>
      </c>
      <c r="J314" t="inlineStr">
        <is>
          <t>Standard 0,5|20h</t>
        </is>
      </c>
      <c r="K314" t="n">
        <v>8.359999999999999</v>
      </c>
      <c r="L314" t="inlineStr">
        <is>
          <t>384</t>
        </is>
      </c>
      <c r="M314" t="inlineStr">
        <is>
          <t>108120 SBX Warszawa Janki</t>
        </is>
      </c>
      <c r="N314" t="inlineStr">
        <is>
          <t>2026-09-11 19:06</t>
        </is>
      </c>
    </row>
    <row r="315">
      <c r="A315" t="n">
        <v>314</v>
      </c>
      <c r="B315" t="inlineStr">
        <is>
          <t>2026-08-15</t>
        </is>
      </c>
      <c r="C315" t="n">
        <v>2026</v>
      </c>
      <c r="D315" t="inlineStr">
        <is>
          <t>Sierpień</t>
        </is>
      </c>
      <c r="E315" t="inlineStr">
        <is>
          <t>W3</t>
        </is>
      </c>
      <c r="F315" t="inlineStr">
        <is>
          <t>2026_Sierpień_W3</t>
        </is>
      </c>
      <c r="G315" t="inlineStr">
        <is>
          <t>Sob</t>
        </is>
      </c>
      <c r="H315" t="inlineStr">
        <is>
          <t>DOMACHOWSKA, HANNA</t>
        </is>
      </c>
      <c r="I315" t="inlineStr">
        <is>
          <t>Shift manager/Supervisor</t>
        </is>
      </c>
      <c r="J315" t="inlineStr">
        <is>
          <t>Standard 0,5|20h</t>
        </is>
      </c>
      <c r="K315" t="n">
        <v>6.85</v>
      </c>
      <c r="L315" t="inlineStr">
        <is>
          <t>384</t>
        </is>
      </c>
      <c r="M315" t="inlineStr">
        <is>
          <t>108120 SBX Warszawa Janki</t>
        </is>
      </c>
      <c r="N315" t="inlineStr">
        <is>
          <t>2026-09-11 19:06</t>
        </is>
      </c>
    </row>
    <row r="316">
      <c r="A316" t="n">
        <v>315</v>
      </c>
      <c r="B316" t="inlineStr">
        <is>
          <t>2026-08-16</t>
        </is>
      </c>
      <c r="C316" t="n">
        <v>2026</v>
      </c>
      <c r="D316" t="inlineStr">
        <is>
          <t>Sierpień</t>
        </is>
      </c>
      <c r="E316" t="inlineStr">
        <is>
          <t>W3</t>
        </is>
      </c>
      <c r="F316" t="inlineStr">
        <is>
          <t>2026_Sierpień_W3</t>
        </is>
      </c>
      <c r="G316" t="inlineStr">
        <is>
          <t>Nd</t>
        </is>
      </c>
      <c r="H316" t="inlineStr">
        <is>
          <t>DOMACHOWSKA, HANNA</t>
        </is>
      </c>
      <c r="I316" t="inlineStr">
        <is>
          <t>Shift manager/Supervisor</t>
        </is>
      </c>
      <c r="J316" t="inlineStr">
        <is>
          <t>Standard 0,5|20h</t>
        </is>
      </c>
      <c r="K316" t="n">
        <v>7.5</v>
      </c>
      <c r="L316" t="inlineStr">
        <is>
          <t>384</t>
        </is>
      </c>
      <c r="M316" t="inlineStr">
        <is>
          <t>108120 SBX Warszawa Janki</t>
        </is>
      </c>
      <c r="N316" t="inlineStr">
        <is>
          <t>2026-09-11 19:06</t>
        </is>
      </c>
    </row>
    <row r="317">
      <c r="A317" t="n">
        <v>316</v>
      </c>
      <c r="B317" t="inlineStr">
        <is>
          <t>2026-08-18</t>
        </is>
      </c>
      <c r="C317" t="n">
        <v>2026</v>
      </c>
      <c r="D317" t="inlineStr">
        <is>
          <t>Sierpień</t>
        </is>
      </c>
      <c r="E317" t="inlineStr">
        <is>
          <t>W4</t>
        </is>
      </c>
      <c r="F317" t="inlineStr">
        <is>
          <t>2026_Sierpień_W4</t>
        </is>
      </c>
      <c r="G317" t="inlineStr">
        <is>
          <t>Wt</t>
        </is>
      </c>
      <c r="H317" t="inlineStr">
        <is>
          <t>DOMACHOWSKA, HANNA</t>
        </is>
      </c>
      <c r="I317" t="inlineStr">
        <is>
          <t>Shift manager/Supervisor</t>
        </is>
      </c>
      <c r="J317" t="inlineStr">
        <is>
          <t>Standard 0,5|20h</t>
        </is>
      </c>
      <c r="K317" t="n">
        <v>8.33</v>
      </c>
      <c r="L317" t="inlineStr">
        <is>
          <t>384</t>
        </is>
      </c>
      <c r="M317" t="inlineStr">
        <is>
          <t>108120 SBX Warszawa Janki</t>
        </is>
      </c>
      <c r="N317" t="inlineStr">
        <is>
          <t>2026-09-11 19:06</t>
        </is>
      </c>
    </row>
    <row r="318">
      <c r="A318" t="n">
        <v>317</v>
      </c>
      <c r="B318" t="inlineStr">
        <is>
          <t>2026-08-20</t>
        </is>
      </c>
      <c r="C318" t="n">
        <v>2026</v>
      </c>
      <c r="D318" t="inlineStr">
        <is>
          <t>Sierpień</t>
        </is>
      </c>
      <c r="E318" t="inlineStr">
        <is>
          <t>W4</t>
        </is>
      </c>
      <c r="F318" t="inlineStr">
        <is>
          <t>2026_Sierpień_W4</t>
        </is>
      </c>
      <c r="G318" t="inlineStr">
        <is>
          <t>Czw</t>
        </is>
      </c>
      <c r="H318" t="inlineStr">
        <is>
          <t>DOMACHOWSKA, HANNA</t>
        </is>
      </c>
      <c r="I318" t="inlineStr">
        <is>
          <t>Shift manager/Supervisor</t>
        </is>
      </c>
      <c r="J318" t="inlineStr">
        <is>
          <t>Standard 0,5|20h</t>
        </is>
      </c>
      <c r="K318" t="n">
        <v>8.59</v>
      </c>
      <c r="L318" t="inlineStr">
        <is>
          <t>384</t>
        </is>
      </c>
      <c r="M318" t="inlineStr">
        <is>
          <t>108120 SBX Warszawa Janki</t>
        </is>
      </c>
      <c r="N318" t="inlineStr">
        <is>
          <t>2026-09-11 19:06</t>
        </is>
      </c>
    </row>
    <row r="319">
      <c r="A319" t="n">
        <v>318</v>
      </c>
      <c r="B319" t="inlineStr">
        <is>
          <t>2026-08-23</t>
        </is>
      </c>
      <c r="C319" t="n">
        <v>2026</v>
      </c>
      <c r="D319" t="inlineStr">
        <is>
          <t>Sierpień</t>
        </is>
      </c>
      <c r="E319" t="inlineStr">
        <is>
          <t>W4</t>
        </is>
      </c>
      <c r="F319" t="inlineStr">
        <is>
          <t>2026_Sierpień_W4</t>
        </is>
      </c>
      <c r="G319" t="inlineStr">
        <is>
          <t>Nd</t>
        </is>
      </c>
      <c r="H319" t="inlineStr">
        <is>
          <t>DOMACHOWSKA, HANNA</t>
        </is>
      </c>
      <c r="I319" t="inlineStr">
        <is>
          <t>Shift manager/Supervisor</t>
        </is>
      </c>
      <c r="J319" t="inlineStr">
        <is>
          <t>Standard 0,5|20h</t>
        </is>
      </c>
      <c r="K319" t="n">
        <v>1.75</v>
      </c>
      <c r="L319" t="inlineStr">
        <is>
          <t>384</t>
        </is>
      </c>
      <c r="M319" t="inlineStr">
        <is>
          <t>108120 SBX Warszawa Janki</t>
        </is>
      </c>
      <c r="N319" t="inlineStr">
        <is>
          <t>2026-09-11 19:06</t>
        </is>
      </c>
    </row>
    <row r="320">
      <c r="A320" t="n">
        <v>319</v>
      </c>
      <c r="B320" t="inlineStr">
        <is>
          <t>2026-08-25</t>
        </is>
      </c>
      <c r="C320" t="n">
        <v>2026</v>
      </c>
      <c r="D320" t="inlineStr">
        <is>
          <t>Sierpień</t>
        </is>
      </c>
      <c r="E320" t="inlineStr">
        <is>
          <t>W5</t>
        </is>
      </c>
      <c r="F320" t="inlineStr">
        <is>
          <t>2026_Sierpień_W5</t>
        </is>
      </c>
      <c r="G320" t="inlineStr">
        <is>
          <t>Wt</t>
        </is>
      </c>
      <c r="H320" t="inlineStr">
        <is>
          <t>DOMACHOWSKA, HANNA</t>
        </is>
      </c>
      <c r="I320" t="inlineStr">
        <is>
          <t>Shift manager/Supervisor</t>
        </is>
      </c>
      <c r="J320" t="inlineStr">
        <is>
          <t>Standard 0,5|20h</t>
        </is>
      </c>
      <c r="K320" t="n">
        <v>8.289999999999999</v>
      </c>
      <c r="L320" t="inlineStr">
        <is>
          <t>384</t>
        </is>
      </c>
      <c r="M320" t="inlineStr">
        <is>
          <t>108120 SBX Warszawa Janki</t>
        </is>
      </c>
      <c r="N320" t="inlineStr">
        <is>
          <t>2026-09-11 19:06</t>
        </is>
      </c>
    </row>
    <row r="321">
      <c r="A321" t="n">
        <v>320</v>
      </c>
      <c r="B321" t="inlineStr">
        <is>
          <t>2026-08-26</t>
        </is>
      </c>
      <c r="C321" t="n">
        <v>2026</v>
      </c>
      <c r="D321" t="inlineStr">
        <is>
          <t>Sierpień</t>
        </is>
      </c>
      <c r="E321" t="inlineStr">
        <is>
          <t>W5</t>
        </is>
      </c>
      <c r="F321" t="inlineStr">
        <is>
          <t>2026_Sierpień_W5</t>
        </is>
      </c>
      <c r="G321" t="inlineStr">
        <is>
          <t>Śr</t>
        </is>
      </c>
      <c r="H321" t="inlineStr">
        <is>
          <t>DOMACHOWSKA, HANNA</t>
        </is>
      </c>
      <c r="I321" t="inlineStr">
        <is>
          <t>Shift manager/Supervisor</t>
        </is>
      </c>
      <c r="J321" t="inlineStr">
        <is>
          <t>Standard 0,5|20h</t>
        </is>
      </c>
      <c r="K321" t="n">
        <v>7.86</v>
      </c>
      <c r="L321" t="inlineStr">
        <is>
          <t>384</t>
        </is>
      </c>
      <c r="M321" t="inlineStr">
        <is>
          <t>108120 SBX Warszawa Janki</t>
        </is>
      </c>
      <c r="N321" t="inlineStr">
        <is>
          <t>2026-09-11 19:06</t>
        </is>
      </c>
    </row>
    <row r="322">
      <c r="A322" t="n">
        <v>321</v>
      </c>
      <c r="B322" t="inlineStr">
        <is>
          <t>2026-08-27</t>
        </is>
      </c>
      <c r="C322" t="n">
        <v>2026</v>
      </c>
      <c r="D322" t="inlineStr">
        <is>
          <t>Sierpień</t>
        </is>
      </c>
      <c r="E322" t="inlineStr">
        <is>
          <t>W5</t>
        </is>
      </c>
      <c r="F322" t="inlineStr">
        <is>
          <t>2026_Sierpień_W5</t>
        </is>
      </c>
      <c r="G322" t="inlineStr">
        <is>
          <t>Czw</t>
        </is>
      </c>
      <c r="H322" t="inlineStr">
        <is>
          <t>DOMACHOWSKA, HANNA</t>
        </is>
      </c>
      <c r="I322" t="inlineStr">
        <is>
          <t>Shift manager/Supervisor</t>
        </is>
      </c>
      <c r="J322" t="inlineStr">
        <is>
          <t>Standard 0,5|20h</t>
        </is>
      </c>
      <c r="K322" t="n">
        <v>8.4</v>
      </c>
      <c r="L322" t="inlineStr">
        <is>
          <t>384</t>
        </is>
      </c>
      <c r="M322" t="inlineStr">
        <is>
          <t>108120 SBX Warszawa Janki</t>
        </is>
      </c>
      <c r="N322" t="inlineStr">
        <is>
          <t>2026-09-11 19:06</t>
        </is>
      </c>
    </row>
    <row r="323">
      <c r="A323" t="n">
        <v>322</v>
      </c>
      <c r="B323" t="inlineStr">
        <is>
          <t>2026-08-28</t>
        </is>
      </c>
      <c r="C323" t="n">
        <v>2026</v>
      </c>
      <c r="D323" t="inlineStr">
        <is>
          <t>Sierpień</t>
        </is>
      </c>
      <c r="E323" t="inlineStr">
        <is>
          <t>W5</t>
        </is>
      </c>
      <c r="F323" t="inlineStr">
        <is>
          <t>2026_Sierpień_W5</t>
        </is>
      </c>
      <c r="G323" t="inlineStr">
        <is>
          <t>Pt</t>
        </is>
      </c>
      <c r="H323" t="inlineStr">
        <is>
          <t>DOMACHOWSKA, HANNA</t>
        </is>
      </c>
      <c r="I323" t="inlineStr">
        <is>
          <t>Shift manager/Supervisor</t>
        </is>
      </c>
      <c r="J323" t="inlineStr">
        <is>
          <t>Standard 0,5|20h</t>
        </is>
      </c>
      <c r="K323" t="n">
        <v>8.23</v>
      </c>
      <c r="L323" t="inlineStr">
        <is>
          <t>384</t>
        </is>
      </c>
      <c r="M323" t="inlineStr">
        <is>
          <t>108120 SBX Warszawa Janki</t>
        </is>
      </c>
      <c r="N323" t="inlineStr">
        <is>
          <t>2026-09-11 19:06</t>
        </is>
      </c>
    </row>
    <row r="324">
      <c r="A324" t="n">
        <v>323</v>
      </c>
      <c r="B324" t="inlineStr">
        <is>
          <t>2026-08-31</t>
        </is>
      </c>
      <c r="C324" t="n">
        <v>2026</v>
      </c>
      <c r="D324" t="inlineStr">
        <is>
          <t>Sierpień</t>
        </is>
      </c>
      <c r="E324" t="inlineStr">
        <is>
          <t>W5</t>
        </is>
      </c>
      <c r="F324" t="inlineStr">
        <is>
          <t>2026_Sierpień_W5</t>
        </is>
      </c>
      <c r="G324" t="inlineStr">
        <is>
          <t>Pn</t>
        </is>
      </c>
      <c r="H324" t="inlineStr">
        <is>
          <t>DOMACHOWSKA, HANNA</t>
        </is>
      </c>
      <c r="I324" t="inlineStr">
        <is>
          <t>Shift manager/Supervisor</t>
        </is>
      </c>
      <c r="J324" t="inlineStr">
        <is>
          <t>Standard 0,5|20h</t>
        </is>
      </c>
      <c r="K324" t="n">
        <v>8.06</v>
      </c>
      <c r="L324" t="inlineStr">
        <is>
          <t>384</t>
        </is>
      </c>
      <c r="M324" t="inlineStr">
        <is>
          <t>108120 SBX Warszawa Janki</t>
        </is>
      </c>
      <c r="N324" t="inlineStr">
        <is>
          <t>2026-09-11 19:06</t>
        </is>
      </c>
    </row>
    <row r="325">
      <c r="A325" t="n">
        <v>324</v>
      </c>
      <c r="B325" t="inlineStr">
        <is>
          <t>2026-01-03</t>
        </is>
      </c>
      <c r="C325" t="n">
        <v>2026</v>
      </c>
      <c r="D325" t="inlineStr">
        <is>
          <t>Styczeń</t>
        </is>
      </c>
      <c r="E325" t="inlineStr">
        <is>
          <t>W1</t>
        </is>
      </c>
      <c r="F325" t="inlineStr">
        <is>
          <t>2026_Styczeń_W1</t>
        </is>
      </c>
      <c r="G325" t="inlineStr">
        <is>
          <t>Sob</t>
        </is>
      </c>
      <c r="H325" t="inlineStr">
        <is>
          <t>DWORAK, ZUZANNA</t>
        </is>
      </c>
      <c r="I325" t="inlineStr">
        <is>
          <t>Crew Civil</t>
        </is>
      </c>
      <c r="J325" t="inlineStr">
        <is>
          <t>Zlecenie</t>
        </is>
      </c>
      <c r="K325" t="n">
        <v>6.98</v>
      </c>
      <c r="L325" t="inlineStr">
        <is>
          <t>384</t>
        </is>
      </c>
      <c r="M325" t="inlineStr">
        <is>
          <t>108120 SBX Warszawa Janki</t>
        </is>
      </c>
      <c r="N325" t="inlineStr">
        <is>
          <t>2026-09-11 19:06</t>
        </is>
      </c>
    </row>
    <row r="326">
      <c r="A326" t="n">
        <v>325</v>
      </c>
      <c r="B326" t="inlineStr">
        <is>
          <t>2026-01-04</t>
        </is>
      </c>
      <c r="C326" t="n">
        <v>2026</v>
      </c>
      <c r="D326" t="inlineStr">
        <is>
          <t>Styczeń</t>
        </is>
      </c>
      <c r="E326" t="inlineStr">
        <is>
          <t>W1</t>
        </is>
      </c>
      <c r="F326" t="inlineStr">
        <is>
          <t>2026_Styczeń_W1</t>
        </is>
      </c>
      <c r="G326" t="inlineStr">
        <is>
          <t>Nd</t>
        </is>
      </c>
      <c r="H326" t="inlineStr">
        <is>
          <t>DWORAK, ZUZANNA</t>
        </is>
      </c>
      <c r="I326" t="inlineStr">
        <is>
          <t>Crew Civil</t>
        </is>
      </c>
      <c r="J326" t="inlineStr">
        <is>
          <t>Zlecenie</t>
        </is>
      </c>
      <c r="K326" t="n">
        <v>5.2</v>
      </c>
      <c r="L326" t="inlineStr">
        <is>
          <t>384</t>
        </is>
      </c>
      <c r="M326" t="inlineStr">
        <is>
          <t>108120 SBX Warszawa Janki</t>
        </is>
      </c>
      <c r="N326" t="inlineStr">
        <is>
          <t>2026-09-11 19:06</t>
        </is>
      </c>
    </row>
    <row r="327">
      <c r="A327" t="n">
        <v>326</v>
      </c>
      <c r="B327" t="inlineStr">
        <is>
          <t>2026-01-11</t>
        </is>
      </c>
      <c r="C327" t="n">
        <v>2026</v>
      </c>
      <c r="D327" t="inlineStr">
        <is>
          <t>Styczeń</t>
        </is>
      </c>
      <c r="E327" t="inlineStr">
        <is>
          <t>W2</t>
        </is>
      </c>
      <c r="F327" t="inlineStr">
        <is>
          <t>2026_Styczeń_W2</t>
        </is>
      </c>
      <c r="G327" t="inlineStr">
        <is>
          <t>Nd</t>
        </is>
      </c>
      <c r="H327" t="inlineStr">
        <is>
          <t>DWORAK, ZUZANNA</t>
        </is>
      </c>
      <c r="I327" t="inlineStr">
        <is>
          <t>Crew Civil</t>
        </is>
      </c>
      <c r="J327" t="inlineStr">
        <is>
          <t>Zlecenie</t>
        </is>
      </c>
      <c r="K327" t="n">
        <v>6.25</v>
      </c>
      <c r="L327" t="inlineStr">
        <is>
          <t>384</t>
        </is>
      </c>
      <c r="M327" t="inlineStr">
        <is>
          <t>108120 SBX Warszawa Janki</t>
        </is>
      </c>
      <c r="N327" t="inlineStr">
        <is>
          <t>2026-09-11 19:06</t>
        </is>
      </c>
    </row>
    <row r="328">
      <c r="A328" t="n">
        <v>327</v>
      </c>
      <c r="B328" t="inlineStr">
        <is>
          <t>2026-01-15</t>
        </is>
      </c>
      <c r="C328" t="n">
        <v>2026</v>
      </c>
      <c r="D328" t="inlineStr">
        <is>
          <t>Styczeń</t>
        </is>
      </c>
      <c r="E328" t="inlineStr">
        <is>
          <t>W3</t>
        </is>
      </c>
      <c r="F328" t="inlineStr">
        <is>
          <t>2026_Styczeń_W3</t>
        </is>
      </c>
      <c r="G328" t="inlineStr">
        <is>
          <t>Czw</t>
        </is>
      </c>
      <c r="H328" t="inlineStr">
        <is>
          <t>DWORAK, ZUZANNA</t>
        </is>
      </c>
      <c r="I328" t="inlineStr">
        <is>
          <t>Crew Civil</t>
        </is>
      </c>
      <c r="J328" t="inlineStr">
        <is>
          <t>Zlecenie</t>
        </is>
      </c>
      <c r="K328" t="n">
        <v>6.71</v>
      </c>
      <c r="L328" t="inlineStr">
        <is>
          <t>384</t>
        </is>
      </c>
      <c r="M328" t="inlineStr">
        <is>
          <t>108120 SBX Warszawa Janki</t>
        </is>
      </c>
      <c r="N328" t="inlineStr">
        <is>
          <t>2026-09-11 19:06</t>
        </is>
      </c>
    </row>
    <row r="329">
      <c r="A329" t="n">
        <v>328</v>
      </c>
      <c r="B329" t="inlineStr">
        <is>
          <t>2026-01-18</t>
        </is>
      </c>
      <c r="C329" t="n">
        <v>2026</v>
      </c>
      <c r="D329" t="inlineStr">
        <is>
          <t>Styczeń</t>
        </is>
      </c>
      <c r="E329" t="inlineStr">
        <is>
          <t>W3</t>
        </is>
      </c>
      <c r="F329" t="inlineStr">
        <is>
          <t>2026_Styczeń_W3</t>
        </is>
      </c>
      <c r="G329" t="inlineStr">
        <is>
          <t>Nd</t>
        </is>
      </c>
      <c r="H329" t="inlineStr">
        <is>
          <t>DWORAK, ZUZANNA</t>
        </is>
      </c>
      <c r="I329" t="inlineStr">
        <is>
          <t>Crew Civil</t>
        </is>
      </c>
      <c r="J329" t="inlineStr">
        <is>
          <t>Zlecenie</t>
        </is>
      </c>
      <c r="K329" t="n">
        <v>5.98</v>
      </c>
      <c r="L329" t="inlineStr">
        <is>
          <t>384</t>
        </is>
      </c>
      <c r="M329" t="inlineStr">
        <is>
          <t>108120 SBX Warszawa Janki</t>
        </is>
      </c>
      <c r="N329" t="inlineStr">
        <is>
          <t>2026-09-11 19:06</t>
        </is>
      </c>
    </row>
    <row r="330">
      <c r="A330" t="n">
        <v>329</v>
      </c>
      <c r="B330" t="inlineStr">
        <is>
          <t>2026-01-21</t>
        </is>
      </c>
      <c r="C330" t="n">
        <v>2026</v>
      </c>
      <c r="D330" t="inlineStr">
        <is>
          <t>Styczeń</t>
        </is>
      </c>
      <c r="E330" t="inlineStr">
        <is>
          <t>W4</t>
        </is>
      </c>
      <c r="F330" t="inlineStr">
        <is>
          <t>2026_Styczeń_W4</t>
        </is>
      </c>
      <c r="G330" t="inlineStr">
        <is>
          <t>Śr</t>
        </is>
      </c>
      <c r="H330" t="inlineStr">
        <is>
          <t>DWORAK, ZUZANNA</t>
        </is>
      </c>
      <c r="I330" t="inlineStr">
        <is>
          <t>Crew Civil</t>
        </is>
      </c>
      <c r="J330" t="inlineStr">
        <is>
          <t>Zlecenie</t>
        </is>
      </c>
      <c r="K330" t="n">
        <v>8.15</v>
      </c>
      <c r="L330" t="inlineStr">
        <is>
          <t>384</t>
        </is>
      </c>
      <c r="M330" t="inlineStr">
        <is>
          <t>108120 SBX Warszawa Janki</t>
        </is>
      </c>
      <c r="N330" t="inlineStr">
        <is>
          <t>2026-09-11 19:06</t>
        </is>
      </c>
    </row>
    <row r="331">
      <c r="A331" t="n">
        <v>330</v>
      </c>
      <c r="B331" t="inlineStr">
        <is>
          <t>2026-01-29</t>
        </is>
      </c>
      <c r="C331" t="n">
        <v>2026</v>
      </c>
      <c r="D331" t="inlineStr">
        <is>
          <t>Styczeń</t>
        </is>
      </c>
      <c r="E331" t="inlineStr">
        <is>
          <t>W5</t>
        </is>
      </c>
      <c r="F331" t="inlineStr">
        <is>
          <t>2026_Styczeń_W5</t>
        </is>
      </c>
      <c r="G331" t="inlineStr">
        <is>
          <t>Czw</t>
        </is>
      </c>
      <c r="H331" t="inlineStr">
        <is>
          <t>DWORAK, ZUZANNA</t>
        </is>
      </c>
      <c r="I331" t="inlineStr">
        <is>
          <t>Crew Civil</t>
        </is>
      </c>
      <c r="J331" t="inlineStr">
        <is>
          <t>Zlecenie</t>
        </is>
      </c>
      <c r="K331" t="n">
        <v>4.6</v>
      </c>
      <c r="L331" t="inlineStr">
        <is>
          <t>384</t>
        </is>
      </c>
      <c r="M331" t="inlineStr">
        <is>
          <t>108120 SBX Warszawa Janki</t>
        </is>
      </c>
      <c r="N331" t="inlineStr">
        <is>
          <t>2026-09-11 19:06</t>
        </is>
      </c>
    </row>
    <row r="332">
      <c r="A332" t="n">
        <v>331</v>
      </c>
      <c r="B332" t="inlineStr">
        <is>
          <t>2026-02-12</t>
        </is>
      </c>
      <c r="C332" t="n">
        <v>2026</v>
      </c>
      <c r="D332" t="inlineStr">
        <is>
          <t>Luty</t>
        </is>
      </c>
      <c r="E332" t="inlineStr">
        <is>
          <t>W3</t>
        </is>
      </c>
      <c r="F332" t="inlineStr">
        <is>
          <t>2026_Luty_W3</t>
        </is>
      </c>
      <c r="G332" t="inlineStr">
        <is>
          <t>Czw</t>
        </is>
      </c>
      <c r="H332" t="inlineStr">
        <is>
          <t>DWORAK, ZUZANNA</t>
        </is>
      </c>
      <c r="I332" t="inlineStr">
        <is>
          <t>Crew Civil</t>
        </is>
      </c>
      <c r="J332" t="inlineStr">
        <is>
          <t>Zlecenie</t>
        </is>
      </c>
      <c r="K332" t="n">
        <v>6.24</v>
      </c>
      <c r="L332" t="inlineStr">
        <is>
          <t>384</t>
        </is>
      </c>
      <c r="M332" t="inlineStr">
        <is>
          <t>108120 SBX Warszawa Janki</t>
        </is>
      </c>
      <c r="N332" t="inlineStr">
        <is>
          <t>2026-09-11 19:06</t>
        </is>
      </c>
    </row>
    <row r="333">
      <c r="A333" t="n">
        <v>332</v>
      </c>
      <c r="B333" t="inlineStr">
        <is>
          <t>2026-02-22</t>
        </is>
      </c>
      <c r="C333" t="n">
        <v>2026</v>
      </c>
      <c r="D333" t="inlineStr">
        <is>
          <t>Luty</t>
        </is>
      </c>
      <c r="E333" t="inlineStr">
        <is>
          <t>W4</t>
        </is>
      </c>
      <c r="F333" t="inlineStr">
        <is>
          <t>2026_Luty_W4</t>
        </is>
      </c>
      <c r="G333" t="inlineStr">
        <is>
          <t>Nd</t>
        </is>
      </c>
      <c r="H333" t="inlineStr">
        <is>
          <t>DWORAK, ZUZANNA</t>
        </is>
      </c>
      <c r="I333" t="inlineStr">
        <is>
          <t>Crew Civil</t>
        </is>
      </c>
      <c r="J333" t="inlineStr">
        <is>
          <t>Zlecenie</t>
        </is>
      </c>
      <c r="K333" t="n">
        <v>6.57</v>
      </c>
      <c r="L333" t="inlineStr">
        <is>
          <t>384</t>
        </is>
      </c>
      <c r="M333" t="inlineStr">
        <is>
          <t>108120 SBX Warszawa Janki</t>
        </is>
      </c>
      <c r="N333" t="inlineStr">
        <is>
          <t>2026-09-11 19:06</t>
        </is>
      </c>
    </row>
    <row r="334">
      <c r="A334" t="n">
        <v>333</v>
      </c>
      <c r="B334" t="inlineStr">
        <is>
          <t>2026-03-01</t>
        </is>
      </c>
      <c r="C334" t="n">
        <v>2026</v>
      </c>
      <c r="D334" t="inlineStr">
        <is>
          <t>Marzec</t>
        </is>
      </c>
      <c r="E334" t="inlineStr">
        <is>
          <t>W1</t>
        </is>
      </c>
      <c r="F334" t="inlineStr">
        <is>
          <t>2026_Marzec_W1</t>
        </is>
      </c>
      <c r="G334" t="inlineStr">
        <is>
          <t>Nd</t>
        </is>
      </c>
      <c r="H334" t="inlineStr">
        <is>
          <t>DWORAK, ZUZANNA</t>
        </is>
      </c>
      <c r="I334" t="inlineStr">
        <is>
          <t>Crew Civil</t>
        </is>
      </c>
      <c r="J334" t="inlineStr">
        <is>
          <t>Zlecenie</t>
        </is>
      </c>
      <c r="K334" t="n">
        <v>1.5</v>
      </c>
      <c r="L334" t="inlineStr">
        <is>
          <t>384</t>
        </is>
      </c>
      <c r="M334" t="inlineStr">
        <is>
          <t>108120 SBX Warszawa Janki</t>
        </is>
      </c>
      <c r="N334" t="inlineStr">
        <is>
          <t>2026-09-11 19:06</t>
        </is>
      </c>
    </row>
    <row r="335">
      <c r="A335" t="n">
        <v>334</v>
      </c>
      <c r="B335" t="inlineStr">
        <is>
          <t>2026-03-09</t>
        </is>
      </c>
      <c r="C335" t="n">
        <v>2026</v>
      </c>
      <c r="D335" t="inlineStr">
        <is>
          <t>Marzec</t>
        </is>
      </c>
      <c r="E335" t="inlineStr">
        <is>
          <t>W2</t>
        </is>
      </c>
      <c r="F335" t="inlineStr">
        <is>
          <t>2026_Marzec_W2</t>
        </is>
      </c>
      <c r="G335" t="inlineStr">
        <is>
          <t>Pn</t>
        </is>
      </c>
      <c r="H335" t="inlineStr">
        <is>
          <t>DWORAK, ZUZANNA</t>
        </is>
      </c>
      <c r="I335" t="inlineStr">
        <is>
          <t>Crew Civil</t>
        </is>
      </c>
      <c r="J335" t="inlineStr">
        <is>
          <t>Zlecenie</t>
        </is>
      </c>
      <c r="K335" t="n">
        <v>1.5</v>
      </c>
      <c r="L335" t="inlineStr">
        <is>
          <t>384</t>
        </is>
      </c>
      <c r="M335" t="inlineStr">
        <is>
          <t>108120 SBX Warszawa Janki</t>
        </is>
      </c>
      <c r="N335" t="inlineStr">
        <is>
          <t>2026-09-11 19:06</t>
        </is>
      </c>
    </row>
    <row r="336">
      <c r="A336" t="n">
        <v>335</v>
      </c>
      <c r="B336" t="inlineStr">
        <is>
          <t>2026-03-22</t>
        </is>
      </c>
      <c r="C336" t="n">
        <v>2026</v>
      </c>
      <c r="D336" t="inlineStr">
        <is>
          <t>Marzec</t>
        </is>
      </c>
      <c r="E336" t="inlineStr">
        <is>
          <t>W4</t>
        </is>
      </c>
      <c r="F336" t="inlineStr">
        <is>
          <t>2026_Marzec_W4</t>
        </is>
      </c>
      <c r="G336" t="inlineStr">
        <is>
          <t>Nd</t>
        </is>
      </c>
      <c r="H336" t="inlineStr">
        <is>
          <t>DWORAK, ZUZANNA</t>
        </is>
      </c>
      <c r="I336" t="inlineStr">
        <is>
          <t>Crew Civil</t>
        </is>
      </c>
      <c r="J336" t="inlineStr">
        <is>
          <t>Zlecenie</t>
        </is>
      </c>
      <c r="K336" t="n">
        <v>6</v>
      </c>
      <c r="L336" t="inlineStr">
        <is>
          <t>384</t>
        </is>
      </c>
      <c r="M336" t="inlineStr">
        <is>
          <t>108120 SBX Warszawa Janki</t>
        </is>
      </c>
      <c r="N336" t="inlineStr">
        <is>
          <t>2026-09-11 19:06</t>
        </is>
      </c>
    </row>
    <row r="337">
      <c r="A337" t="n">
        <v>336</v>
      </c>
      <c r="B337" t="inlineStr">
        <is>
          <t>2026-03-29</t>
        </is>
      </c>
      <c r="C337" t="n">
        <v>2026</v>
      </c>
      <c r="D337" t="inlineStr">
        <is>
          <t>Marzec</t>
        </is>
      </c>
      <c r="E337" t="inlineStr">
        <is>
          <t>W5</t>
        </is>
      </c>
      <c r="F337" t="inlineStr">
        <is>
          <t>2026_Marzec_W5</t>
        </is>
      </c>
      <c r="G337" t="inlineStr">
        <is>
          <t>Nd</t>
        </is>
      </c>
      <c r="H337" t="inlineStr">
        <is>
          <t>DWORAK, ZUZANNA</t>
        </is>
      </c>
      <c r="I337" t="inlineStr">
        <is>
          <t>Crew Civil</t>
        </is>
      </c>
      <c r="J337" t="inlineStr">
        <is>
          <t>Zlecenie</t>
        </is>
      </c>
      <c r="K337" t="n">
        <v>7.5</v>
      </c>
      <c r="L337" t="inlineStr">
        <is>
          <t>384</t>
        </is>
      </c>
      <c r="M337" t="inlineStr">
        <is>
          <t>108120 SBX Warszawa Janki</t>
        </is>
      </c>
      <c r="N337" t="inlineStr">
        <is>
          <t>2026-09-11 19:06</t>
        </is>
      </c>
    </row>
    <row r="338">
      <c r="A338" t="n">
        <v>337</v>
      </c>
      <c r="B338" t="inlineStr">
        <is>
          <t>2026-04-12</t>
        </is>
      </c>
      <c r="C338" t="n">
        <v>2026</v>
      </c>
      <c r="D338" t="inlineStr">
        <is>
          <t>Kwiecień</t>
        </is>
      </c>
      <c r="E338" t="inlineStr">
        <is>
          <t>W2</t>
        </is>
      </c>
      <c r="F338" t="inlineStr">
        <is>
          <t>2026_Kwiecień_W2</t>
        </is>
      </c>
      <c r="G338" t="inlineStr">
        <is>
          <t>Nd</t>
        </is>
      </c>
      <c r="H338" t="inlineStr">
        <is>
          <t>DWORAK, ZUZANNA</t>
        </is>
      </c>
      <c r="I338" t="inlineStr">
        <is>
          <t>Crew Civil</t>
        </is>
      </c>
      <c r="J338" t="inlineStr">
        <is>
          <t>Zlecenie</t>
        </is>
      </c>
      <c r="K338" t="n">
        <v>7.06</v>
      </c>
      <c r="L338" t="inlineStr">
        <is>
          <t>384</t>
        </is>
      </c>
      <c r="M338" t="inlineStr">
        <is>
          <t>108120 SBX Warszawa Janki</t>
        </is>
      </c>
      <c r="N338" t="inlineStr">
        <is>
          <t>2026-09-11 19:06</t>
        </is>
      </c>
    </row>
    <row r="339">
      <c r="A339" t="n">
        <v>338</v>
      </c>
      <c r="B339" t="inlineStr">
        <is>
          <t>2026-04-18</t>
        </is>
      </c>
      <c r="C339" t="n">
        <v>2026</v>
      </c>
      <c r="D339" t="inlineStr">
        <is>
          <t>Kwiecień</t>
        </is>
      </c>
      <c r="E339" t="inlineStr">
        <is>
          <t>W3</t>
        </is>
      </c>
      <c r="F339" t="inlineStr">
        <is>
          <t>2026_Kwiecień_W3</t>
        </is>
      </c>
      <c r="G339" t="inlineStr">
        <is>
          <t>Sob</t>
        </is>
      </c>
      <c r="H339" t="inlineStr">
        <is>
          <t>DWORAK, ZUZANNA</t>
        </is>
      </c>
      <c r="I339" t="inlineStr">
        <is>
          <t>Crew Civil</t>
        </is>
      </c>
      <c r="J339" t="inlineStr">
        <is>
          <t>Zlecenie</t>
        </is>
      </c>
      <c r="K339" t="n">
        <v>8.199999999999999</v>
      </c>
      <c r="L339" t="inlineStr">
        <is>
          <t>384</t>
        </is>
      </c>
      <c r="M339" t="inlineStr">
        <is>
          <t>108120 SBX Warszawa Janki</t>
        </is>
      </c>
      <c r="N339" t="inlineStr">
        <is>
          <t>2026-09-11 19:06</t>
        </is>
      </c>
    </row>
    <row r="340">
      <c r="A340" t="n">
        <v>339</v>
      </c>
      <c r="B340" t="inlineStr">
        <is>
          <t>2026-04-23</t>
        </is>
      </c>
      <c r="C340" t="n">
        <v>2026</v>
      </c>
      <c r="D340" t="inlineStr">
        <is>
          <t>Kwiecień</t>
        </is>
      </c>
      <c r="E340" t="inlineStr">
        <is>
          <t>W4</t>
        </is>
      </c>
      <c r="F340" t="inlineStr">
        <is>
          <t>2026_Kwiecień_W4</t>
        </is>
      </c>
      <c r="G340" t="inlineStr">
        <is>
          <t>Czw</t>
        </is>
      </c>
      <c r="H340" t="inlineStr">
        <is>
          <t>DWORAK, ZUZANNA</t>
        </is>
      </c>
      <c r="I340" t="inlineStr">
        <is>
          <t>Crew Civil</t>
        </is>
      </c>
      <c r="J340" t="inlineStr">
        <is>
          <t>Zlecenie</t>
        </is>
      </c>
      <c r="K340" t="n">
        <v>5.87</v>
      </c>
      <c r="L340" t="inlineStr">
        <is>
          <t>384</t>
        </is>
      </c>
      <c r="M340" t="inlineStr">
        <is>
          <t>108120 SBX Warszawa Janki</t>
        </is>
      </c>
      <c r="N340" t="inlineStr">
        <is>
          <t>2026-09-11 19:06</t>
        </is>
      </c>
    </row>
    <row r="341">
      <c r="A341" t="n">
        <v>340</v>
      </c>
      <c r="B341" t="inlineStr">
        <is>
          <t>2026-04-26</t>
        </is>
      </c>
      <c r="C341" t="n">
        <v>2026</v>
      </c>
      <c r="D341" t="inlineStr">
        <is>
          <t>Kwiecień</t>
        </is>
      </c>
      <c r="E341" t="inlineStr">
        <is>
          <t>W4</t>
        </is>
      </c>
      <c r="F341" t="inlineStr">
        <is>
          <t>2026_Kwiecień_W4</t>
        </is>
      </c>
      <c r="G341" t="inlineStr">
        <is>
          <t>Nd</t>
        </is>
      </c>
      <c r="H341" t="inlineStr">
        <is>
          <t>DWORAK, ZUZANNA</t>
        </is>
      </c>
      <c r="I341" t="inlineStr">
        <is>
          <t>Crew Civil</t>
        </is>
      </c>
      <c r="J341" t="inlineStr">
        <is>
          <t>Zlecenie</t>
        </is>
      </c>
      <c r="K341" t="n">
        <v>5.14</v>
      </c>
      <c r="L341" t="inlineStr">
        <is>
          <t>384</t>
        </is>
      </c>
      <c r="M341" t="inlineStr">
        <is>
          <t>108120 SBX Warszawa Janki</t>
        </is>
      </c>
      <c r="N341" t="inlineStr">
        <is>
          <t>2026-09-11 19:06</t>
        </is>
      </c>
    </row>
    <row r="342">
      <c r="A342" t="n">
        <v>341</v>
      </c>
      <c r="B342" t="inlineStr">
        <is>
          <t>2026-04-28</t>
        </is>
      </c>
      <c r="C342" t="n">
        <v>2026</v>
      </c>
      <c r="D342" t="inlineStr">
        <is>
          <t>Kwiecień</t>
        </is>
      </c>
      <c r="E342" t="inlineStr">
        <is>
          <t>W5</t>
        </is>
      </c>
      <c r="F342" t="inlineStr">
        <is>
          <t>2026_Kwiecień_W5</t>
        </is>
      </c>
      <c r="G342" t="inlineStr">
        <is>
          <t>Wt</t>
        </is>
      </c>
      <c r="H342" t="inlineStr">
        <is>
          <t>DWORAK, ZUZANNA</t>
        </is>
      </c>
      <c r="I342" t="inlineStr">
        <is>
          <t>Crew Civil</t>
        </is>
      </c>
      <c r="J342" t="inlineStr">
        <is>
          <t>Zlecenie</t>
        </is>
      </c>
      <c r="K342" t="n">
        <v>2.5</v>
      </c>
      <c r="L342" t="inlineStr">
        <is>
          <t>384</t>
        </is>
      </c>
      <c r="M342" t="inlineStr">
        <is>
          <t>108120 SBX Warszawa Janki</t>
        </is>
      </c>
      <c r="N342" t="inlineStr">
        <is>
          <t>2026-09-11 19:06</t>
        </is>
      </c>
    </row>
    <row r="343">
      <c r="A343" t="n">
        <v>342</v>
      </c>
      <c r="B343" t="inlineStr">
        <is>
          <t>2026-05-16</t>
        </is>
      </c>
      <c r="C343" t="n">
        <v>2026</v>
      </c>
      <c r="D343" t="inlineStr">
        <is>
          <t>Maj</t>
        </is>
      </c>
      <c r="E343" t="inlineStr">
        <is>
          <t>W3</t>
        </is>
      </c>
      <c r="F343" t="inlineStr">
        <is>
          <t>2026_Maj_W3</t>
        </is>
      </c>
      <c r="G343" t="inlineStr">
        <is>
          <t>Sob</t>
        </is>
      </c>
      <c r="H343" t="inlineStr">
        <is>
          <t>DWORAK, ZUZANNA</t>
        </is>
      </c>
      <c r="I343" t="inlineStr">
        <is>
          <t>Crew Civil</t>
        </is>
      </c>
      <c r="J343" t="inlineStr">
        <is>
          <t>Zlecenie</t>
        </is>
      </c>
      <c r="K343" t="n">
        <v>7.93</v>
      </c>
      <c r="L343" t="inlineStr">
        <is>
          <t>384</t>
        </is>
      </c>
      <c r="M343" t="inlineStr">
        <is>
          <t>108120 SBX Warszawa Janki</t>
        </is>
      </c>
      <c r="N343" t="inlineStr">
        <is>
          <t>2026-09-11 19:06</t>
        </is>
      </c>
    </row>
    <row r="344">
      <c r="A344" t="n">
        <v>343</v>
      </c>
      <c r="B344" t="inlineStr">
        <is>
          <t>2026-05-17</t>
        </is>
      </c>
      <c r="C344" t="n">
        <v>2026</v>
      </c>
      <c r="D344" t="inlineStr">
        <is>
          <t>Maj</t>
        </is>
      </c>
      <c r="E344" t="inlineStr">
        <is>
          <t>W3</t>
        </is>
      </c>
      <c r="F344" t="inlineStr">
        <is>
          <t>2026_Maj_W3</t>
        </is>
      </c>
      <c r="G344" t="inlineStr">
        <is>
          <t>Nd</t>
        </is>
      </c>
      <c r="H344" t="inlineStr">
        <is>
          <t>DWORAK, ZUZANNA</t>
        </is>
      </c>
      <c r="I344" t="inlineStr">
        <is>
          <t>Crew Civil</t>
        </is>
      </c>
      <c r="J344" t="inlineStr">
        <is>
          <t>Zlecenie</t>
        </is>
      </c>
      <c r="K344" t="n">
        <v>6.09</v>
      </c>
      <c r="L344" t="inlineStr">
        <is>
          <t>384</t>
        </is>
      </c>
      <c r="M344" t="inlineStr">
        <is>
          <t>108120 SBX Warszawa Janki</t>
        </is>
      </c>
      <c r="N344" t="inlineStr">
        <is>
          <t>2026-09-11 19:06</t>
        </is>
      </c>
    </row>
    <row r="345">
      <c r="A345" t="n">
        <v>344</v>
      </c>
      <c r="B345" t="inlineStr">
        <is>
          <t>2026-05-17</t>
        </is>
      </c>
      <c r="C345" t="n">
        <v>2026</v>
      </c>
      <c r="D345" t="inlineStr">
        <is>
          <t>Maj</t>
        </is>
      </c>
      <c r="E345" t="inlineStr">
        <is>
          <t>W3</t>
        </is>
      </c>
      <c r="F345" t="inlineStr">
        <is>
          <t>2026_Maj_W3</t>
        </is>
      </c>
      <c r="G345" t="inlineStr">
        <is>
          <t>Nd</t>
        </is>
      </c>
      <c r="H345" t="inlineStr">
        <is>
          <t>DWORAK, ZUZANNA</t>
        </is>
      </c>
      <c r="I345" t="inlineStr">
        <is>
          <t>Crew Civil</t>
        </is>
      </c>
      <c r="J345" t="inlineStr">
        <is>
          <t>Zlecenie</t>
        </is>
      </c>
      <c r="K345" t="n">
        <v>0</v>
      </c>
      <c r="L345" t="inlineStr">
        <is>
          <t>384</t>
        </is>
      </c>
      <c r="M345" t="inlineStr">
        <is>
          <t>108120 SBX Warszawa Janki</t>
        </is>
      </c>
      <c r="N345" t="inlineStr">
        <is>
          <t>2026-09-11 19:06</t>
        </is>
      </c>
    </row>
    <row r="346">
      <c r="A346" t="n">
        <v>345</v>
      </c>
      <c r="B346" t="inlineStr">
        <is>
          <t>2026-05-24</t>
        </is>
      </c>
      <c r="C346" t="n">
        <v>2026</v>
      </c>
      <c r="D346" t="inlineStr">
        <is>
          <t>Maj</t>
        </is>
      </c>
      <c r="E346" t="inlineStr">
        <is>
          <t>W4</t>
        </is>
      </c>
      <c r="F346" t="inlineStr">
        <is>
          <t>2026_Maj_W4</t>
        </is>
      </c>
      <c r="G346" t="inlineStr">
        <is>
          <t>Nd</t>
        </is>
      </c>
      <c r="H346" t="inlineStr">
        <is>
          <t>DWORAK, ZUZANNA</t>
        </is>
      </c>
      <c r="I346" t="inlineStr">
        <is>
          <t>Crew Civil</t>
        </is>
      </c>
      <c r="J346" t="inlineStr">
        <is>
          <t>Zlecenie</t>
        </is>
      </c>
      <c r="K346" t="n">
        <v>6.39</v>
      </c>
      <c r="L346" t="inlineStr">
        <is>
          <t>384</t>
        </is>
      </c>
      <c r="M346" t="inlineStr">
        <is>
          <t>108120 SBX Warszawa Janki</t>
        </is>
      </c>
      <c r="N346" t="inlineStr">
        <is>
          <t>2026-09-11 19:06</t>
        </is>
      </c>
    </row>
    <row r="347">
      <c r="A347" t="n">
        <v>346</v>
      </c>
      <c r="B347" t="inlineStr">
        <is>
          <t>2026-06-11</t>
        </is>
      </c>
      <c r="C347" t="n">
        <v>2026</v>
      </c>
      <c r="D347" t="inlineStr">
        <is>
          <t>Czerwiec</t>
        </is>
      </c>
      <c r="E347" t="inlineStr">
        <is>
          <t>W3</t>
        </is>
      </c>
      <c r="F347" t="inlineStr">
        <is>
          <t>2026_Czerwiec_W3</t>
        </is>
      </c>
      <c r="G347" t="inlineStr">
        <is>
          <t>Czw</t>
        </is>
      </c>
      <c r="H347" t="inlineStr">
        <is>
          <t>DWORAK, ZUZANNA</t>
        </is>
      </c>
      <c r="I347" t="inlineStr">
        <is>
          <t>Crew Civil</t>
        </is>
      </c>
      <c r="J347" t="inlineStr">
        <is>
          <t>Zlecenie</t>
        </is>
      </c>
      <c r="K347" t="n">
        <v>7.41</v>
      </c>
      <c r="L347" t="inlineStr">
        <is>
          <t>384</t>
        </is>
      </c>
      <c r="M347" t="inlineStr">
        <is>
          <t>108120 SBX Warszawa Janki</t>
        </is>
      </c>
      <c r="N347" t="inlineStr">
        <is>
          <t>2026-09-11 19:06</t>
        </is>
      </c>
    </row>
    <row r="348">
      <c r="A348" t="n">
        <v>347</v>
      </c>
      <c r="B348" t="inlineStr">
        <is>
          <t>2026-06-17</t>
        </is>
      </c>
      <c r="C348" t="n">
        <v>2026</v>
      </c>
      <c r="D348" t="inlineStr">
        <is>
          <t>Czerwiec</t>
        </is>
      </c>
      <c r="E348" t="inlineStr">
        <is>
          <t>W4</t>
        </is>
      </c>
      <c r="F348" t="inlineStr">
        <is>
          <t>2026_Czerwiec_W4</t>
        </is>
      </c>
      <c r="G348" t="inlineStr">
        <is>
          <t>Śr</t>
        </is>
      </c>
      <c r="H348" t="inlineStr">
        <is>
          <t>DWORAK, ZUZANNA</t>
        </is>
      </c>
      <c r="I348" t="inlineStr">
        <is>
          <t>Crew Civil</t>
        </is>
      </c>
      <c r="J348" t="inlineStr">
        <is>
          <t>Zlecenie</t>
        </is>
      </c>
      <c r="K348" t="n">
        <v>5.18</v>
      </c>
      <c r="L348" t="inlineStr">
        <is>
          <t>384</t>
        </is>
      </c>
      <c r="M348" t="inlineStr">
        <is>
          <t>108120 SBX Warszawa Janki</t>
        </is>
      </c>
      <c r="N348" t="inlineStr">
        <is>
          <t>2026-09-11 19:06</t>
        </is>
      </c>
    </row>
    <row r="349">
      <c r="A349" t="n">
        <v>348</v>
      </c>
      <c r="B349" t="inlineStr">
        <is>
          <t>2026-06-29</t>
        </is>
      </c>
      <c r="C349" t="n">
        <v>2026</v>
      </c>
      <c r="D349" t="inlineStr">
        <is>
          <t>Czerwiec</t>
        </is>
      </c>
      <c r="E349" t="inlineStr">
        <is>
          <t>W5</t>
        </is>
      </c>
      <c r="F349" t="inlineStr">
        <is>
          <t>2026_Czerwiec_W5</t>
        </is>
      </c>
      <c r="G349" t="inlineStr">
        <is>
          <t>Pn</t>
        </is>
      </c>
      <c r="H349" t="inlineStr">
        <is>
          <t>DWORAK, ZUZANNA</t>
        </is>
      </c>
      <c r="I349" t="inlineStr">
        <is>
          <t>Crew Civil</t>
        </is>
      </c>
      <c r="J349" t="inlineStr">
        <is>
          <t>Zlecenie</t>
        </is>
      </c>
      <c r="K349" t="n">
        <v>8.49</v>
      </c>
      <c r="L349" t="inlineStr">
        <is>
          <t>384</t>
        </is>
      </c>
      <c r="M349" t="inlineStr">
        <is>
          <t>108120 SBX Warszawa Janki</t>
        </is>
      </c>
      <c r="N349" t="inlineStr">
        <is>
          <t>2026-09-11 19:06</t>
        </is>
      </c>
    </row>
    <row r="350">
      <c r="A350" t="n">
        <v>349</v>
      </c>
      <c r="B350" t="inlineStr">
        <is>
          <t>2026-06-30</t>
        </is>
      </c>
      <c r="C350" t="n">
        <v>2026</v>
      </c>
      <c r="D350" t="inlineStr">
        <is>
          <t>Czerwiec</t>
        </is>
      </c>
      <c r="E350" t="inlineStr">
        <is>
          <t>W6</t>
        </is>
      </c>
      <c r="F350" t="inlineStr">
        <is>
          <t>2026_Czerwiec_W6</t>
        </is>
      </c>
      <c r="G350" t="inlineStr">
        <is>
          <t>Wt</t>
        </is>
      </c>
      <c r="H350" t="inlineStr">
        <is>
          <t>DWORAK, ZUZANNA</t>
        </is>
      </c>
      <c r="I350" t="inlineStr">
        <is>
          <t>Crew Civil</t>
        </is>
      </c>
      <c r="J350" t="inlineStr">
        <is>
          <t>Zlecenie</t>
        </is>
      </c>
      <c r="K350" t="n">
        <v>8</v>
      </c>
      <c r="L350" t="inlineStr">
        <is>
          <t>384</t>
        </is>
      </c>
      <c r="M350" t="inlineStr">
        <is>
          <t>108120 SBX Warszawa Janki</t>
        </is>
      </c>
      <c r="N350" t="inlineStr">
        <is>
          <t>2026-09-11 19:06</t>
        </is>
      </c>
    </row>
    <row r="351">
      <c r="A351" t="n">
        <v>350</v>
      </c>
      <c r="B351" t="inlineStr">
        <is>
          <t>2026-07-03</t>
        </is>
      </c>
      <c r="C351" t="n">
        <v>2026</v>
      </c>
      <c r="D351" t="inlineStr">
        <is>
          <t>Lipiec</t>
        </is>
      </c>
      <c r="E351" t="inlineStr">
        <is>
          <t>W1</t>
        </is>
      </c>
      <c r="F351" t="inlineStr">
        <is>
          <t>2026_Lipiec_W1</t>
        </is>
      </c>
      <c r="G351" t="inlineStr">
        <is>
          <t>Pt</t>
        </is>
      </c>
      <c r="H351" t="inlineStr">
        <is>
          <t>DWORAK, ZUZANNA</t>
        </is>
      </c>
      <c r="I351" t="inlineStr">
        <is>
          <t>Crew Civil</t>
        </is>
      </c>
      <c r="J351" t="inlineStr">
        <is>
          <t>Zlecenie</t>
        </is>
      </c>
      <c r="K351" t="n">
        <v>8.050000000000001</v>
      </c>
      <c r="L351" t="inlineStr">
        <is>
          <t>384</t>
        </is>
      </c>
      <c r="M351" t="inlineStr">
        <is>
          <t>108120 SBX Warszawa Janki</t>
        </is>
      </c>
      <c r="N351" t="inlineStr">
        <is>
          <t>2026-09-11 19:06</t>
        </is>
      </c>
    </row>
    <row r="352">
      <c r="A352" t="n">
        <v>351</v>
      </c>
      <c r="B352" t="inlineStr">
        <is>
          <t>2026-07-05</t>
        </is>
      </c>
      <c r="C352" t="n">
        <v>2026</v>
      </c>
      <c r="D352" t="inlineStr">
        <is>
          <t>Lipiec</t>
        </is>
      </c>
      <c r="E352" t="inlineStr">
        <is>
          <t>W1</t>
        </is>
      </c>
      <c r="F352" t="inlineStr">
        <is>
          <t>2026_Lipiec_W1</t>
        </is>
      </c>
      <c r="G352" t="inlineStr">
        <is>
          <t>Nd</t>
        </is>
      </c>
      <c r="H352" t="inlineStr">
        <is>
          <t>DWORAK, ZUZANNA</t>
        </is>
      </c>
      <c r="I352" t="inlineStr">
        <is>
          <t>Crew Civil</t>
        </is>
      </c>
      <c r="J352" t="inlineStr">
        <is>
          <t>Zlecenie</t>
        </is>
      </c>
      <c r="K352" t="n">
        <v>6.35</v>
      </c>
      <c r="L352" t="inlineStr">
        <is>
          <t>384</t>
        </is>
      </c>
      <c r="M352" t="inlineStr">
        <is>
          <t>108120 SBX Warszawa Janki</t>
        </is>
      </c>
      <c r="N352" t="inlineStr">
        <is>
          <t>2026-09-11 19:06</t>
        </is>
      </c>
    </row>
    <row r="353">
      <c r="A353" t="n">
        <v>352</v>
      </c>
      <c r="B353" t="inlineStr">
        <is>
          <t>2026-07-13</t>
        </is>
      </c>
      <c r="C353" t="n">
        <v>2026</v>
      </c>
      <c r="D353" t="inlineStr">
        <is>
          <t>Lipiec</t>
        </is>
      </c>
      <c r="E353" t="inlineStr">
        <is>
          <t>W2</t>
        </is>
      </c>
      <c r="F353" t="inlineStr">
        <is>
          <t>2026_Lipiec_W2</t>
        </is>
      </c>
      <c r="G353" t="inlineStr">
        <is>
          <t>Pn</t>
        </is>
      </c>
      <c r="H353" t="inlineStr">
        <is>
          <t>DWORAK, ZUZANNA</t>
        </is>
      </c>
      <c r="I353" t="inlineStr">
        <is>
          <t>Crew Civil</t>
        </is>
      </c>
      <c r="J353" t="inlineStr">
        <is>
          <t>Zlecenie</t>
        </is>
      </c>
      <c r="K353" t="n">
        <v>3</v>
      </c>
      <c r="L353" t="inlineStr">
        <is>
          <t>384</t>
        </is>
      </c>
      <c r="M353" t="inlineStr">
        <is>
          <t>108120 SBX Warszawa Janki</t>
        </is>
      </c>
      <c r="N353" t="inlineStr">
        <is>
          <t>2026-09-11 19:06</t>
        </is>
      </c>
    </row>
    <row r="354">
      <c r="A354" t="n">
        <v>353</v>
      </c>
      <c r="B354" t="inlineStr">
        <is>
          <t>2026-07-17</t>
        </is>
      </c>
      <c r="C354" t="n">
        <v>2026</v>
      </c>
      <c r="D354" t="inlineStr">
        <is>
          <t>Lipiec</t>
        </is>
      </c>
      <c r="E354" t="inlineStr">
        <is>
          <t>W3</t>
        </is>
      </c>
      <c r="F354" t="inlineStr">
        <is>
          <t>2026_Lipiec_W3</t>
        </is>
      </c>
      <c r="G354" t="inlineStr">
        <is>
          <t>Pt</t>
        </is>
      </c>
      <c r="H354" t="inlineStr">
        <is>
          <t>DWORAK, ZUZANNA</t>
        </is>
      </c>
      <c r="I354" t="inlineStr">
        <is>
          <t>Crew Civil</t>
        </is>
      </c>
      <c r="J354" t="inlineStr">
        <is>
          <t>Zlecenie</t>
        </is>
      </c>
      <c r="K354" t="n">
        <v>7.84</v>
      </c>
      <c r="L354" t="inlineStr">
        <is>
          <t>384</t>
        </is>
      </c>
      <c r="M354" t="inlineStr">
        <is>
          <t>108120 SBX Warszawa Janki</t>
        </is>
      </c>
      <c r="N354" t="inlineStr">
        <is>
          <t>2026-09-11 19:06</t>
        </is>
      </c>
    </row>
    <row r="355">
      <c r="A355" t="n">
        <v>354</v>
      </c>
      <c r="B355" t="inlineStr">
        <is>
          <t>2026-07-19</t>
        </is>
      </c>
      <c r="C355" t="n">
        <v>2026</v>
      </c>
      <c r="D355" t="inlineStr">
        <is>
          <t>Lipiec</t>
        </is>
      </c>
      <c r="E355" t="inlineStr">
        <is>
          <t>W3</t>
        </is>
      </c>
      <c r="F355" t="inlineStr">
        <is>
          <t>2026_Lipiec_W3</t>
        </is>
      </c>
      <c r="G355" t="inlineStr">
        <is>
          <t>Nd</t>
        </is>
      </c>
      <c r="H355" t="inlineStr">
        <is>
          <t>DWORAK, ZUZANNA</t>
        </is>
      </c>
      <c r="I355" t="inlineStr">
        <is>
          <t>Crew Civil</t>
        </is>
      </c>
      <c r="J355" t="inlineStr">
        <is>
          <t>Zlecenie</t>
        </is>
      </c>
      <c r="K355" t="n">
        <v>7.45</v>
      </c>
      <c r="L355" t="inlineStr">
        <is>
          <t>384</t>
        </is>
      </c>
      <c r="M355" t="inlineStr">
        <is>
          <t>108120 SBX Warszawa Janki</t>
        </is>
      </c>
      <c r="N355" t="inlineStr">
        <is>
          <t>2026-09-11 19:06</t>
        </is>
      </c>
    </row>
    <row r="356">
      <c r="A356" t="n">
        <v>355</v>
      </c>
      <c r="B356" t="inlineStr">
        <is>
          <t>2026-07-21</t>
        </is>
      </c>
      <c r="C356" t="n">
        <v>2026</v>
      </c>
      <c r="D356" t="inlineStr">
        <is>
          <t>Lipiec</t>
        </is>
      </c>
      <c r="E356" t="inlineStr">
        <is>
          <t>W4</t>
        </is>
      </c>
      <c r="F356" t="inlineStr">
        <is>
          <t>2026_Lipiec_W4</t>
        </is>
      </c>
      <c r="G356" t="inlineStr">
        <is>
          <t>Wt</t>
        </is>
      </c>
      <c r="H356" t="inlineStr">
        <is>
          <t>DWORAK, ZUZANNA</t>
        </is>
      </c>
      <c r="I356" t="inlineStr">
        <is>
          <t>Crew Civil</t>
        </is>
      </c>
      <c r="J356" t="inlineStr">
        <is>
          <t>Zlecenie</t>
        </is>
      </c>
      <c r="K356" t="n">
        <v>5.87</v>
      </c>
      <c r="L356" t="inlineStr">
        <is>
          <t>384</t>
        </is>
      </c>
      <c r="M356" t="inlineStr">
        <is>
          <t>108120 SBX Warszawa Janki</t>
        </is>
      </c>
      <c r="N356" t="inlineStr">
        <is>
          <t>2026-09-11 19:06</t>
        </is>
      </c>
    </row>
    <row r="357">
      <c r="A357" t="n">
        <v>356</v>
      </c>
      <c r="B357" t="inlineStr">
        <is>
          <t>2026-07-23</t>
        </is>
      </c>
      <c r="C357" t="n">
        <v>2026</v>
      </c>
      <c r="D357" t="inlineStr">
        <is>
          <t>Lipiec</t>
        </is>
      </c>
      <c r="E357" t="inlineStr">
        <is>
          <t>W4</t>
        </is>
      </c>
      <c r="F357" t="inlineStr">
        <is>
          <t>2026_Lipiec_W4</t>
        </is>
      </c>
      <c r="G357" t="inlineStr">
        <is>
          <t>Czw</t>
        </is>
      </c>
      <c r="H357" t="inlineStr">
        <is>
          <t>DWORAK, ZUZANNA</t>
        </is>
      </c>
      <c r="I357" t="inlineStr">
        <is>
          <t>Crew Civil</t>
        </is>
      </c>
      <c r="J357" t="inlineStr">
        <is>
          <t>Zlecenie</t>
        </is>
      </c>
      <c r="K357" t="n">
        <v>6.13</v>
      </c>
      <c r="L357" t="inlineStr">
        <is>
          <t>384</t>
        </is>
      </c>
      <c r="M357" t="inlineStr">
        <is>
          <t>108120 SBX Warszawa Janki</t>
        </is>
      </c>
      <c r="N357" t="inlineStr">
        <is>
          <t>2026-09-11 19:06</t>
        </is>
      </c>
    </row>
    <row r="358">
      <c r="A358" t="n">
        <v>357</v>
      </c>
      <c r="B358" t="inlineStr">
        <is>
          <t>2026-07-24</t>
        </is>
      </c>
      <c r="C358" t="n">
        <v>2026</v>
      </c>
      <c r="D358" t="inlineStr">
        <is>
          <t>Lipiec</t>
        </is>
      </c>
      <c r="E358" t="inlineStr">
        <is>
          <t>W4</t>
        </is>
      </c>
      <c r="F358" t="inlineStr">
        <is>
          <t>2026_Lipiec_W4</t>
        </is>
      </c>
      <c r="G358" t="inlineStr">
        <is>
          <t>Pt</t>
        </is>
      </c>
      <c r="H358" t="inlineStr">
        <is>
          <t>DWORAK, ZUZANNA</t>
        </is>
      </c>
      <c r="I358" t="inlineStr">
        <is>
          <t>Crew Civil</t>
        </is>
      </c>
      <c r="J358" t="inlineStr">
        <is>
          <t>Zlecenie</t>
        </is>
      </c>
      <c r="K358" t="n">
        <v>5.34</v>
      </c>
      <c r="L358" t="inlineStr">
        <is>
          <t>384</t>
        </is>
      </c>
      <c r="M358" t="inlineStr">
        <is>
          <t>108120 SBX Warszawa Janki</t>
        </is>
      </c>
      <c r="N358" t="inlineStr">
        <is>
          <t>2026-09-11 19:06</t>
        </is>
      </c>
    </row>
    <row r="359">
      <c r="A359" t="n">
        <v>358</v>
      </c>
      <c r="B359" t="inlineStr">
        <is>
          <t>2026-07-29</t>
        </is>
      </c>
      <c r="C359" t="n">
        <v>2026</v>
      </c>
      <c r="D359" t="inlineStr">
        <is>
          <t>Lipiec</t>
        </is>
      </c>
      <c r="E359" t="inlineStr">
        <is>
          <t>W5</t>
        </is>
      </c>
      <c r="F359" t="inlineStr">
        <is>
          <t>2026_Lipiec_W5</t>
        </is>
      </c>
      <c r="G359" t="inlineStr">
        <is>
          <t>Śr</t>
        </is>
      </c>
      <c r="H359" t="inlineStr">
        <is>
          <t>DWORAK, ZUZANNA</t>
        </is>
      </c>
      <c r="I359" t="inlineStr">
        <is>
          <t>Crew Civil</t>
        </is>
      </c>
      <c r="J359" t="inlineStr">
        <is>
          <t>Zlecenie</t>
        </is>
      </c>
      <c r="K359" t="n">
        <v>7.89</v>
      </c>
      <c r="L359" t="inlineStr">
        <is>
          <t>384</t>
        </is>
      </c>
      <c r="M359" t="inlineStr">
        <is>
          <t>108120 SBX Warszawa Janki</t>
        </is>
      </c>
      <c r="N359" t="inlineStr">
        <is>
          <t>2026-09-11 19:06</t>
        </is>
      </c>
    </row>
    <row r="360">
      <c r="A360" t="n">
        <v>359</v>
      </c>
      <c r="B360" t="inlineStr">
        <is>
          <t>2026-07-30</t>
        </is>
      </c>
      <c r="C360" t="n">
        <v>2026</v>
      </c>
      <c r="D360" t="inlineStr">
        <is>
          <t>Lipiec</t>
        </is>
      </c>
      <c r="E360" t="inlineStr">
        <is>
          <t>W5</t>
        </is>
      </c>
      <c r="F360" t="inlineStr">
        <is>
          <t>2026_Lipiec_W5</t>
        </is>
      </c>
      <c r="G360" t="inlineStr">
        <is>
          <t>Czw</t>
        </is>
      </c>
      <c r="H360" t="inlineStr">
        <is>
          <t>DWORAK, ZUZANNA</t>
        </is>
      </c>
      <c r="I360" t="inlineStr">
        <is>
          <t>Crew Civil</t>
        </is>
      </c>
      <c r="J360" t="inlineStr">
        <is>
          <t>Zlecenie</t>
        </is>
      </c>
      <c r="K360" t="n">
        <v>5.08</v>
      </c>
      <c r="L360" t="inlineStr">
        <is>
          <t>384</t>
        </is>
      </c>
      <c r="M360" t="inlineStr">
        <is>
          <t>108120 SBX Warszawa Janki</t>
        </is>
      </c>
      <c r="N360" t="inlineStr">
        <is>
          <t>2026-09-11 19:06</t>
        </is>
      </c>
    </row>
    <row r="361">
      <c r="A361" t="n">
        <v>360</v>
      </c>
      <c r="B361" t="inlineStr">
        <is>
          <t>2026-07-31</t>
        </is>
      </c>
      <c r="C361" t="n">
        <v>2026</v>
      </c>
      <c r="D361" t="inlineStr">
        <is>
          <t>Lipiec</t>
        </is>
      </c>
      <c r="E361" t="inlineStr">
        <is>
          <t>W5</t>
        </is>
      </c>
      <c r="F361" t="inlineStr">
        <is>
          <t>2026_Lipiec_W5</t>
        </is>
      </c>
      <c r="G361" t="inlineStr">
        <is>
          <t>Pt</t>
        </is>
      </c>
      <c r="H361" t="inlineStr">
        <is>
          <t>DWORAK, ZUZANNA</t>
        </is>
      </c>
      <c r="I361" t="inlineStr">
        <is>
          <t>Crew Civil</t>
        </is>
      </c>
      <c r="J361" t="inlineStr">
        <is>
          <t>Zlecenie</t>
        </is>
      </c>
      <c r="K361" t="n">
        <v>8.039999999999999</v>
      </c>
      <c r="L361" t="inlineStr">
        <is>
          <t>384</t>
        </is>
      </c>
      <c r="M361" t="inlineStr">
        <is>
          <t>108120 SBX Warszawa Janki</t>
        </is>
      </c>
      <c r="N361" t="inlineStr">
        <is>
          <t>2026-09-11 19:06</t>
        </is>
      </c>
    </row>
    <row r="362">
      <c r="A362" t="n">
        <v>361</v>
      </c>
      <c r="B362" t="inlineStr">
        <is>
          <t>2026-08-02</t>
        </is>
      </c>
      <c r="C362" t="n">
        <v>2026</v>
      </c>
      <c r="D362" t="inlineStr">
        <is>
          <t>Sierpień</t>
        </is>
      </c>
      <c r="E362" t="inlineStr">
        <is>
          <t>W1</t>
        </is>
      </c>
      <c r="F362" t="inlineStr">
        <is>
          <t>2026_Sierpień_W1</t>
        </is>
      </c>
      <c r="G362" t="inlineStr">
        <is>
          <t>Nd</t>
        </is>
      </c>
      <c r="H362" t="inlineStr">
        <is>
          <t>DWORAK, ZUZANNA</t>
        </is>
      </c>
      <c r="I362" t="inlineStr">
        <is>
          <t>Crew Civil</t>
        </is>
      </c>
      <c r="J362" t="inlineStr">
        <is>
          <t>Zlecenie</t>
        </is>
      </c>
      <c r="K362" t="n">
        <v>5.18</v>
      </c>
      <c r="L362" t="inlineStr">
        <is>
          <t>384</t>
        </is>
      </c>
      <c r="M362" t="inlineStr">
        <is>
          <t>108120 SBX Warszawa Janki</t>
        </is>
      </c>
      <c r="N362" t="inlineStr">
        <is>
          <t>2026-09-11 19:06</t>
        </is>
      </c>
    </row>
    <row r="363">
      <c r="A363" t="n">
        <v>362</v>
      </c>
      <c r="B363" t="inlineStr">
        <is>
          <t>2026-08-10</t>
        </is>
      </c>
      <c r="C363" t="n">
        <v>2026</v>
      </c>
      <c r="D363" t="inlineStr">
        <is>
          <t>Sierpień</t>
        </is>
      </c>
      <c r="E363" t="inlineStr">
        <is>
          <t>W2</t>
        </is>
      </c>
      <c r="F363" t="inlineStr">
        <is>
          <t>2026_Sierpień_W2</t>
        </is>
      </c>
      <c r="G363" t="inlineStr">
        <is>
          <t>Pn</t>
        </is>
      </c>
      <c r="H363" t="inlineStr">
        <is>
          <t>DWORAK, ZUZANNA</t>
        </is>
      </c>
      <c r="I363" t="inlineStr">
        <is>
          <t>Crew Civil</t>
        </is>
      </c>
      <c r="J363" t="inlineStr">
        <is>
          <t>Zlecenie</t>
        </is>
      </c>
      <c r="K363" t="n">
        <v>7</v>
      </c>
      <c r="L363" t="inlineStr">
        <is>
          <t>384</t>
        </is>
      </c>
      <c r="M363" t="inlineStr">
        <is>
          <t>108120 SBX Warszawa Janki</t>
        </is>
      </c>
      <c r="N363" t="inlineStr">
        <is>
          <t>2026-09-11 19:06</t>
        </is>
      </c>
    </row>
    <row r="364">
      <c r="A364" t="n">
        <v>363</v>
      </c>
      <c r="B364" t="inlineStr">
        <is>
          <t>2026-08-12</t>
        </is>
      </c>
      <c r="C364" t="n">
        <v>2026</v>
      </c>
      <c r="D364" t="inlineStr">
        <is>
          <t>Sierpień</t>
        </is>
      </c>
      <c r="E364" t="inlineStr">
        <is>
          <t>W3</t>
        </is>
      </c>
      <c r="F364" t="inlineStr">
        <is>
          <t>2026_Sierpień_W3</t>
        </is>
      </c>
      <c r="G364" t="inlineStr">
        <is>
          <t>Śr</t>
        </is>
      </c>
      <c r="H364" t="inlineStr">
        <is>
          <t>DWORAK, ZUZANNA</t>
        </is>
      </c>
      <c r="I364" t="inlineStr">
        <is>
          <t>Crew Civil</t>
        </is>
      </c>
      <c r="J364" t="inlineStr">
        <is>
          <t>Zlecenie</t>
        </is>
      </c>
      <c r="K364" t="n">
        <v>7.16</v>
      </c>
      <c r="L364" t="inlineStr">
        <is>
          <t>384</t>
        </is>
      </c>
      <c r="M364" t="inlineStr">
        <is>
          <t>108120 SBX Warszawa Janki</t>
        </is>
      </c>
      <c r="N364" t="inlineStr">
        <is>
          <t>2026-09-11 19:06</t>
        </is>
      </c>
    </row>
    <row r="365">
      <c r="A365" t="n">
        <v>364</v>
      </c>
      <c r="B365" t="inlineStr">
        <is>
          <t>2026-08-13</t>
        </is>
      </c>
      <c r="C365" t="n">
        <v>2026</v>
      </c>
      <c r="D365" t="inlineStr">
        <is>
          <t>Sierpień</t>
        </is>
      </c>
      <c r="E365" t="inlineStr">
        <is>
          <t>W3</t>
        </is>
      </c>
      <c r="F365" t="inlineStr">
        <is>
          <t>2026_Sierpień_W3</t>
        </is>
      </c>
      <c r="G365" t="inlineStr">
        <is>
          <t>Czw</t>
        </is>
      </c>
      <c r="H365" t="inlineStr">
        <is>
          <t>DWORAK, ZUZANNA</t>
        </is>
      </c>
      <c r="I365" t="inlineStr">
        <is>
          <t>Crew Civil</t>
        </is>
      </c>
      <c r="J365" t="inlineStr">
        <is>
          <t>Zlecenie</t>
        </is>
      </c>
      <c r="K365" t="n">
        <v>6.04</v>
      </c>
      <c r="L365" t="inlineStr">
        <is>
          <t>384</t>
        </is>
      </c>
      <c r="M365" t="inlineStr">
        <is>
          <t>108120 SBX Warszawa Janki</t>
        </is>
      </c>
      <c r="N365" t="inlineStr">
        <is>
          <t>2026-09-11 19:06</t>
        </is>
      </c>
    </row>
    <row r="366">
      <c r="A366" t="n">
        <v>365</v>
      </c>
      <c r="B366" t="inlineStr">
        <is>
          <t>2026-08-27</t>
        </is>
      </c>
      <c r="C366" t="n">
        <v>2026</v>
      </c>
      <c r="D366" t="inlineStr">
        <is>
          <t>Sierpień</t>
        </is>
      </c>
      <c r="E366" t="inlineStr">
        <is>
          <t>W5</t>
        </is>
      </c>
      <c r="F366" t="inlineStr">
        <is>
          <t>2026_Sierpień_W5</t>
        </is>
      </c>
      <c r="G366" t="inlineStr">
        <is>
          <t>Czw</t>
        </is>
      </c>
      <c r="H366" t="inlineStr">
        <is>
          <t>DWORAK, ZUZANNA</t>
        </is>
      </c>
      <c r="I366" t="inlineStr">
        <is>
          <t>Crew Civil</t>
        </is>
      </c>
      <c r="J366" t="inlineStr">
        <is>
          <t>Zlecenie</t>
        </is>
      </c>
      <c r="K366" t="n">
        <v>6.5</v>
      </c>
      <c r="L366" t="inlineStr">
        <is>
          <t>384</t>
        </is>
      </c>
      <c r="M366" t="inlineStr">
        <is>
          <t>108120 SBX Warszawa Janki</t>
        </is>
      </c>
      <c r="N366" t="inlineStr">
        <is>
          <t>2026-09-11 19:06</t>
        </is>
      </c>
    </row>
    <row r="367">
      <c r="A367" t="n">
        <v>366</v>
      </c>
      <c r="B367" t="inlineStr">
        <is>
          <t>2026-08-28</t>
        </is>
      </c>
      <c r="C367" t="n">
        <v>2026</v>
      </c>
      <c r="D367" t="inlineStr">
        <is>
          <t>Sierpień</t>
        </is>
      </c>
      <c r="E367" t="inlineStr">
        <is>
          <t>W5</t>
        </is>
      </c>
      <c r="F367" t="inlineStr">
        <is>
          <t>2026_Sierpień_W5</t>
        </is>
      </c>
      <c r="G367" t="inlineStr">
        <is>
          <t>Pt</t>
        </is>
      </c>
      <c r="H367" t="inlineStr">
        <is>
          <t>DWORAK, ZUZANNA</t>
        </is>
      </c>
      <c r="I367" t="inlineStr">
        <is>
          <t>Crew Civil</t>
        </is>
      </c>
      <c r="J367" t="inlineStr">
        <is>
          <t>Zlecenie</t>
        </is>
      </c>
      <c r="K367" t="n">
        <v>7.09</v>
      </c>
      <c r="L367" t="inlineStr">
        <is>
          <t>384</t>
        </is>
      </c>
      <c r="M367" t="inlineStr">
        <is>
          <t>108120 SBX Warszawa Janki</t>
        </is>
      </c>
      <c r="N367" t="inlineStr">
        <is>
          <t>2026-09-11 19:06</t>
        </is>
      </c>
    </row>
    <row r="368">
      <c r="A368" t="n">
        <v>367</v>
      </c>
      <c r="B368" t="inlineStr">
        <is>
          <t>2026-08-29</t>
        </is>
      </c>
      <c r="C368" t="n">
        <v>2026</v>
      </c>
      <c r="D368" t="inlineStr">
        <is>
          <t>Sierpień</t>
        </is>
      </c>
      <c r="E368" t="inlineStr">
        <is>
          <t>W5</t>
        </is>
      </c>
      <c r="F368" t="inlineStr">
        <is>
          <t>2026_Sierpień_W5</t>
        </is>
      </c>
      <c r="G368" t="inlineStr">
        <is>
          <t>Sob</t>
        </is>
      </c>
      <c r="H368" t="inlineStr">
        <is>
          <t>DWORAK, ZUZANNA</t>
        </is>
      </c>
      <c r="I368" t="inlineStr">
        <is>
          <t>Crew Civil</t>
        </is>
      </c>
      <c r="J368" t="inlineStr">
        <is>
          <t>Zlecenie</t>
        </is>
      </c>
      <c r="K368" t="n">
        <v>6.63</v>
      </c>
      <c r="L368" t="inlineStr">
        <is>
          <t>384</t>
        </is>
      </c>
      <c r="M368" t="inlineStr">
        <is>
          <t>108120 SBX Warszawa Janki</t>
        </is>
      </c>
      <c r="N368" t="inlineStr">
        <is>
          <t>2026-09-11 19:06</t>
        </is>
      </c>
    </row>
    <row r="369">
      <c r="A369" t="n">
        <v>368</v>
      </c>
      <c r="B369" t="inlineStr">
        <is>
          <t>2026-08-30</t>
        </is>
      </c>
      <c r="C369" t="n">
        <v>2026</v>
      </c>
      <c r="D369" t="inlineStr">
        <is>
          <t>Sierpień</t>
        </is>
      </c>
      <c r="E369" t="inlineStr">
        <is>
          <t>W5</t>
        </is>
      </c>
      <c r="F369" t="inlineStr">
        <is>
          <t>2026_Sierpień_W5</t>
        </is>
      </c>
      <c r="G369" t="inlineStr">
        <is>
          <t>Nd</t>
        </is>
      </c>
      <c r="H369" t="inlineStr">
        <is>
          <t>DWORAK, ZUZANNA</t>
        </is>
      </c>
      <c r="I369" t="inlineStr">
        <is>
          <t>Crew Civil</t>
        </is>
      </c>
      <c r="J369" t="inlineStr">
        <is>
          <t>Zlecenie</t>
        </is>
      </c>
      <c r="K369" t="n">
        <v>6.13</v>
      </c>
      <c r="L369" t="inlineStr">
        <is>
          <t>384</t>
        </is>
      </c>
      <c r="M369" t="inlineStr">
        <is>
          <t>108120 SBX Warszawa Janki</t>
        </is>
      </c>
      <c r="N369" t="inlineStr">
        <is>
          <t>2026-09-11 19:06</t>
        </is>
      </c>
    </row>
    <row r="370">
      <c r="A370" t="n">
        <v>369</v>
      </c>
      <c r="B370" t="inlineStr">
        <is>
          <t>2026-09-06</t>
        </is>
      </c>
      <c r="C370" t="n">
        <v>2026</v>
      </c>
      <c r="D370" t="inlineStr">
        <is>
          <t>Wrzesień</t>
        </is>
      </c>
      <c r="E370" t="inlineStr">
        <is>
          <t>W1</t>
        </is>
      </c>
      <c r="F370" t="inlineStr">
        <is>
          <t>2026_Wrzesień_W1</t>
        </is>
      </c>
      <c r="G370" t="inlineStr">
        <is>
          <t>Nd</t>
        </is>
      </c>
      <c r="H370" t="inlineStr">
        <is>
          <t>DWORAK, ZUZANNA</t>
        </is>
      </c>
      <c r="I370" t="inlineStr">
        <is>
          <t>Crew Civil</t>
        </is>
      </c>
      <c r="J370" t="inlineStr">
        <is>
          <t>Zlecenie</t>
        </is>
      </c>
      <c r="K370" t="n">
        <v>6.52</v>
      </c>
      <c r="L370" t="inlineStr">
        <is>
          <t>384</t>
        </is>
      </c>
      <c r="M370" t="inlineStr">
        <is>
          <t>108120 SBX Warszawa Janki</t>
        </is>
      </c>
      <c r="N370" t="inlineStr">
        <is>
          <t>2026-09-11 19:06</t>
        </is>
      </c>
    </row>
    <row r="371">
      <c r="A371" t="n">
        <v>370</v>
      </c>
      <c r="B371" t="inlineStr">
        <is>
          <t>2026-09-08</t>
        </is>
      </c>
      <c r="C371" t="n">
        <v>2026</v>
      </c>
      <c r="D371" t="inlineStr">
        <is>
          <t>Wrzesień</t>
        </is>
      </c>
      <c r="E371" t="inlineStr">
        <is>
          <t>W2</t>
        </is>
      </c>
      <c r="F371" t="inlineStr">
        <is>
          <t>2026_Wrzesień_W2</t>
        </is>
      </c>
      <c r="G371" t="inlineStr">
        <is>
          <t>Wt</t>
        </is>
      </c>
      <c r="H371" t="inlineStr">
        <is>
          <t>DWORAK, ZUZANNA</t>
        </is>
      </c>
      <c r="I371" t="inlineStr">
        <is>
          <t>Crew Civil</t>
        </is>
      </c>
      <c r="J371" t="inlineStr">
        <is>
          <t>Zlecenie</t>
        </is>
      </c>
      <c r="K371" t="n">
        <v>4.12</v>
      </c>
      <c r="L371" t="inlineStr">
        <is>
          <t>384</t>
        </is>
      </c>
      <c r="M371" t="inlineStr">
        <is>
          <t>108120 SBX Warszawa Janki</t>
        </is>
      </c>
      <c r="N371" t="inlineStr">
        <is>
          <t>2026-09-11 19:06</t>
        </is>
      </c>
    </row>
    <row r="372">
      <c r="A372" t="n">
        <v>371</v>
      </c>
      <c r="B372" t="inlineStr">
        <is>
          <t>2026-01-06</t>
        </is>
      </c>
      <c r="C372" t="n">
        <v>2026</v>
      </c>
      <c r="D372" t="inlineStr">
        <is>
          <t>Styczeń</t>
        </is>
      </c>
      <c r="E372" t="inlineStr">
        <is>
          <t>W2</t>
        </is>
      </c>
      <c r="F372" t="inlineStr">
        <is>
          <t>2026_Styczeń_W2</t>
        </is>
      </c>
      <c r="G372" t="inlineStr">
        <is>
          <t>Wt</t>
        </is>
      </c>
      <c r="H372" t="inlineStr">
        <is>
          <t>EBERT, EMILIA</t>
        </is>
      </c>
      <c r="I372" t="inlineStr">
        <is>
          <t>Crew Civil</t>
        </is>
      </c>
      <c r="J372" t="inlineStr">
        <is>
          <t>Zlecenie</t>
        </is>
      </c>
      <c r="K372" t="n">
        <v>5</v>
      </c>
      <c r="L372" t="inlineStr">
        <is>
          <t>384</t>
        </is>
      </c>
      <c r="M372" t="inlineStr">
        <is>
          <t>108120 SBX Warszawa Janki</t>
        </is>
      </c>
      <c r="N372" t="inlineStr">
        <is>
          <t>2026-09-11 19:06</t>
        </is>
      </c>
    </row>
    <row r="373">
      <c r="A373" t="n">
        <v>372</v>
      </c>
      <c r="B373" t="inlineStr">
        <is>
          <t>2026-01-08</t>
        </is>
      </c>
      <c r="C373" t="n">
        <v>2026</v>
      </c>
      <c r="D373" t="inlineStr">
        <is>
          <t>Styczeń</t>
        </is>
      </c>
      <c r="E373" t="inlineStr">
        <is>
          <t>W2</t>
        </is>
      </c>
      <c r="F373" t="inlineStr">
        <is>
          <t>2026_Styczeń_W2</t>
        </is>
      </c>
      <c r="G373" t="inlineStr">
        <is>
          <t>Czw</t>
        </is>
      </c>
      <c r="H373" t="inlineStr">
        <is>
          <t>EBERT, EMILIA</t>
        </is>
      </c>
      <c r="I373" t="inlineStr">
        <is>
          <t>Crew Civil</t>
        </is>
      </c>
      <c r="J373" t="inlineStr">
        <is>
          <t>Zlecenie</t>
        </is>
      </c>
      <c r="K373" t="n">
        <v>8.039999999999999</v>
      </c>
      <c r="L373" t="inlineStr">
        <is>
          <t>384</t>
        </is>
      </c>
      <c r="M373" t="inlineStr">
        <is>
          <t>108120 SBX Warszawa Janki</t>
        </is>
      </c>
      <c r="N373" t="inlineStr">
        <is>
          <t>2026-09-11 19:06</t>
        </is>
      </c>
    </row>
    <row r="374">
      <c r="A374" t="n">
        <v>373</v>
      </c>
      <c r="B374" t="inlineStr">
        <is>
          <t>2026-01-10</t>
        </is>
      </c>
      <c r="C374" t="n">
        <v>2026</v>
      </c>
      <c r="D374" t="inlineStr">
        <is>
          <t>Styczeń</t>
        </is>
      </c>
      <c r="E374" t="inlineStr">
        <is>
          <t>W2</t>
        </is>
      </c>
      <c r="F374" t="inlineStr">
        <is>
          <t>2026_Styczeń_W2</t>
        </is>
      </c>
      <c r="G374" t="inlineStr">
        <is>
          <t>Sob</t>
        </is>
      </c>
      <c r="H374" t="inlineStr">
        <is>
          <t>EBERT, EMILIA</t>
        </is>
      </c>
      <c r="I374" t="inlineStr">
        <is>
          <t>Crew Civil</t>
        </is>
      </c>
      <c r="J374" t="inlineStr">
        <is>
          <t>Zlecenie</t>
        </is>
      </c>
      <c r="K374" t="n">
        <v>8.09</v>
      </c>
      <c r="L374" t="inlineStr">
        <is>
          <t>384</t>
        </is>
      </c>
      <c r="M374" t="inlineStr">
        <is>
          <t>108120 SBX Warszawa Janki</t>
        </is>
      </c>
      <c r="N374" t="inlineStr">
        <is>
          <t>2026-09-11 19:06</t>
        </is>
      </c>
    </row>
    <row r="375">
      <c r="A375" t="n">
        <v>374</v>
      </c>
      <c r="B375" t="inlineStr">
        <is>
          <t>2026-01-13</t>
        </is>
      </c>
      <c r="C375" t="n">
        <v>2026</v>
      </c>
      <c r="D375" t="inlineStr">
        <is>
          <t>Styczeń</t>
        </is>
      </c>
      <c r="E375" t="inlineStr">
        <is>
          <t>W3</t>
        </is>
      </c>
      <c r="F375" t="inlineStr">
        <is>
          <t>2026_Styczeń_W3</t>
        </is>
      </c>
      <c r="G375" t="inlineStr">
        <is>
          <t>Wt</t>
        </is>
      </c>
      <c r="H375" t="inlineStr">
        <is>
          <t>EBERT, EMILIA</t>
        </is>
      </c>
      <c r="I375" t="inlineStr">
        <is>
          <t>Crew Civil</t>
        </is>
      </c>
      <c r="J375" t="inlineStr">
        <is>
          <t>Zlecenie</t>
        </is>
      </c>
      <c r="K375" t="n">
        <v>7.24</v>
      </c>
      <c r="L375" t="inlineStr">
        <is>
          <t>384</t>
        </is>
      </c>
      <c r="M375" t="inlineStr">
        <is>
          <t>108120 SBX Warszawa Janki</t>
        </is>
      </c>
      <c r="N375" t="inlineStr">
        <is>
          <t>2026-09-11 19:06</t>
        </is>
      </c>
    </row>
    <row r="376">
      <c r="A376" t="n">
        <v>375</v>
      </c>
      <c r="B376" t="inlineStr">
        <is>
          <t>2026-01-16</t>
        </is>
      </c>
      <c r="C376" t="n">
        <v>2026</v>
      </c>
      <c r="D376" t="inlineStr">
        <is>
          <t>Styczeń</t>
        </is>
      </c>
      <c r="E376" t="inlineStr">
        <is>
          <t>W3</t>
        </is>
      </c>
      <c r="F376" t="inlineStr">
        <is>
          <t>2026_Styczeń_W3</t>
        </is>
      </c>
      <c r="G376" t="inlineStr">
        <is>
          <t>Pt</t>
        </is>
      </c>
      <c r="H376" t="inlineStr">
        <is>
          <t>EBERT, EMILIA</t>
        </is>
      </c>
      <c r="I376" t="inlineStr">
        <is>
          <t>Crew Civil</t>
        </is>
      </c>
      <c r="J376" t="inlineStr">
        <is>
          <t>Zlecenie</t>
        </is>
      </c>
      <c r="K376" t="n">
        <v>6.09</v>
      </c>
      <c r="L376" t="inlineStr">
        <is>
          <t>384</t>
        </is>
      </c>
      <c r="M376" t="inlineStr">
        <is>
          <t>108120 SBX Warszawa Janki</t>
        </is>
      </c>
      <c r="N376" t="inlineStr">
        <is>
          <t>2026-09-11 19:06</t>
        </is>
      </c>
    </row>
    <row r="377">
      <c r="A377" t="n">
        <v>376</v>
      </c>
      <c r="B377" t="inlineStr">
        <is>
          <t>2026-01-17</t>
        </is>
      </c>
      <c r="C377" t="n">
        <v>2026</v>
      </c>
      <c r="D377" t="inlineStr">
        <is>
          <t>Styczeń</t>
        </is>
      </c>
      <c r="E377" t="inlineStr">
        <is>
          <t>W3</t>
        </is>
      </c>
      <c r="F377" t="inlineStr">
        <is>
          <t>2026_Styczeń_W3</t>
        </is>
      </c>
      <c r="G377" t="inlineStr">
        <is>
          <t>Sob</t>
        </is>
      </c>
      <c r="H377" t="inlineStr">
        <is>
          <t>EBERT, EMILIA</t>
        </is>
      </c>
      <c r="I377" t="inlineStr">
        <is>
          <t>Crew Civil</t>
        </is>
      </c>
      <c r="J377" t="inlineStr">
        <is>
          <t>Zlecenie</t>
        </is>
      </c>
      <c r="K377" t="n">
        <v>7.4</v>
      </c>
      <c r="L377" t="inlineStr">
        <is>
          <t>384</t>
        </is>
      </c>
      <c r="M377" t="inlineStr">
        <is>
          <t>108120 SBX Warszawa Janki</t>
        </is>
      </c>
      <c r="N377" t="inlineStr">
        <is>
          <t>2026-09-11 19:06</t>
        </is>
      </c>
    </row>
    <row r="378">
      <c r="A378" t="n">
        <v>377</v>
      </c>
      <c r="B378" t="inlineStr">
        <is>
          <t>2026-01-24</t>
        </is>
      </c>
      <c r="C378" t="n">
        <v>2026</v>
      </c>
      <c r="D378" t="inlineStr">
        <is>
          <t>Styczeń</t>
        </is>
      </c>
      <c r="E378" t="inlineStr">
        <is>
          <t>W4</t>
        </is>
      </c>
      <c r="F378" t="inlineStr">
        <is>
          <t>2026_Styczeń_W4</t>
        </is>
      </c>
      <c r="G378" t="inlineStr">
        <is>
          <t>Sob</t>
        </is>
      </c>
      <c r="H378" t="inlineStr">
        <is>
          <t>EBERT, EMILIA</t>
        </is>
      </c>
      <c r="I378" t="inlineStr">
        <is>
          <t>Crew Civil</t>
        </is>
      </c>
      <c r="J378" t="inlineStr">
        <is>
          <t>Zlecenie</t>
        </is>
      </c>
      <c r="K378" t="n">
        <v>7.71</v>
      </c>
      <c r="L378" t="inlineStr">
        <is>
          <t>384</t>
        </is>
      </c>
      <c r="M378" t="inlineStr">
        <is>
          <t>108120 SBX Warszawa Janki</t>
        </is>
      </c>
      <c r="N378" t="inlineStr">
        <is>
          <t>2026-09-11 19:06</t>
        </is>
      </c>
    </row>
    <row r="379">
      <c r="A379" t="n">
        <v>378</v>
      </c>
      <c r="B379" t="inlineStr">
        <is>
          <t>2026-02-07</t>
        </is>
      </c>
      <c r="C379" t="n">
        <v>2026</v>
      </c>
      <c r="D379" t="inlineStr">
        <is>
          <t>Luty</t>
        </is>
      </c>
      <c r="E379" t="inlineStr">
        <is>
          <t>W2</t>
        </is>
      </c>
      <c r="F379" t="inlineStr">
        <is>
          <t>2026_Luty_W2</t>
        </is>
      </c>
      <c r="G379" t="inlineStr">
        <is>
          <t>Sob</t>
        </is>
      </c>
      <c r="H379" t="inlineStr">
        <is>
          <t>EBERT, EMILIA</t>
        </is>
      </c>
      <c r="I379" t="inlineStr">
        <is>
          <t>Crew Civil</t>
        </is>
      </c>
      <c r="J379" t="inlineStr">
        <is>
          <t>Zlecenie</t>
        </is>
      </c>
      <c r="K379" t="n">
        <v>8.619999999999999</v>
      </c>
      <c r="L379" t="inlineStr">
        <is>
          <t>384</t>
        </is>
      </c>
      <c r="M379" t="inlineStr">
        <is>
          <t>108120 SBX Warszawa Janki</t>
        </is>
      </c>
      <c r="N379" t="inlineStr">
        <is>
          <t>2026-09-11 19:06</t>
        </is>
      </c>
    </row>
    <row r="380">
      <c r="A380" t="n">
        <v>379</v>
      </c>
      <c r="B380" t="inlineStr">
        <is>
          <t>2026-02-12</t>
        </is>
      </c>
      <c r="C380" t="n">
        <v>2026</v>
      </c>
      <c r="D380" t="inlineStr">
        <is>
          <t>Luty</t>
        </is>
      </c>
      <c r="E380" t="inlineStr">
        <is>
          <t>W3</t>
        </is>
      </c>
      <c r="F380" t="inlineStr">
        <is>
          <t>2026_Luty_W3</t>
        </is>
      </c>
      <c r="G380" t="inlineStr">
        <is>
          <t>Czw</t>
        </is>
      </c>
      <c r="H380" t="inlineStr">
        <is>
          <t>EBERT, EMILIA</t>
        </is>
      </c>
      <c r="I380" t="inlineStr">
        <is>
          <t>Crew Civil</t>
        </is>
      </c>
      <c r="J380" t="inlineStr">
        <is>
          <t>Zlecenie</t>
        </is>
      </c>
      <c r="K380" t="n">
        <v>5.42</v>
      </c>
      <c r="L380" t="inlineStr">
        <is>
          <t>384</t>
        </is>
      </c>
      <c r="M380" t="inlineStr">
        <is>
          <t>108120 SBX Warszawa Janki</t>
        </is>
      </c>
      <c r="N380" t="inlineStr">
        <is>
          <t>2026-09-11 19:06</t>
        </is>
      </c>
    </row>
    <row r="381">
      <c r="A381" t="n">
        <v>380</v>
      </c>
      <c r="B381" t="inlineStr">
        <is>
          <t>2026-02-21</t>
        </is>
      </c>
      <c r="C381" t="n">
        <v>2026</v>
      </c>
      <c r="D381" t="inlineStr">
        <is>
          <t>Luty</t>
        </is>
      </c>
      <c r="E381" t="inlineStr">
        <is>
          <t>W4</t>
        </is>
      </c>
      <c r="F381" t="inlineStr">
        <is>
          <t>2026_Luty_W4</t>
        </is>
      </c>
      <c r="G381" t="inlineStr">
        <is>
          <t>Sob</t>
        </is>
      </c>
      <c r="H381" t="inlineStr">
        <is>
          <t>EBERT, EMILIA</t>
        </is>
      </c>
      <c r="I381" t="inlineStr">
        <is>
          <t>Crew Civil</t>
        </is>
      </c>
      <c r="J381" t="inlineStr">
        <is>
          <t>Zlecenie</t>
        </is>
      </c>
      <c r="K381" t="n">
        <v>8.050000000000001</v>
      </c>
      <c r="L381" t="inlineStr">
        <is>
          <t>384</t>
        </is>
      </c>
      <c r="M381" t="inlineStr">
        <is>
          <t>108120 SBX Warszawa Janki</t>
        </is>
      </c>
      <c r="N381" t="inlineStr">
        <is>
          <t>2026-09-11 19:06</t>
        </is>
      </c>
    </row>
    <row r="382">
      <c r="A382" t="n">
        <v>381</v>
      </c>
      <c r="B382" t="inlineStr">
        <is>
          <t>2026-02-28</t>
        </is>
      </c>
      <c r="C382" t="n">
        <v>2026</v>
      </c>
      <c r="D382" t="inlineStr">
        <is>
          <t>Luty</t>
        </is>
      </c>
      <c r="E382" t="inlineStr">
        <is>
          <t>W5</t>
        </is>
      </c>
      <c r="F382" t="inlineStr">
        <is>
          <t>2026_Luty_W5</t>
        </is>
      </c>
      <c r="G382" t="inlineStr">
        <is>
          <t>Sob</t>
        </is>
      </c>
      <c r="H382" t="inlineStr">
        <is>
          <t>EBERT, EMILIA</t>
        </is>
      </c>
      <c r="I382" t="inlineStr">
        <is>
          <t>Crew Civil</t>
        </is>
      </c>
      <c r="J382" t="inlineStr">
        <is>
          <t>Zlecenie</t>
        </is>
      </c>
      <c r="K382" t="n">
        <v>8.67</v>
      </c>
      <c r="L382" t="inlineStr">
        <is>
          <t>384</t>
        </is>
      </c>
      <c r="M382" t="inlineStr">
        <is>
          <t>108120 SBX Warszawa Janki</t>
        </is>
      </c>
      <c r="N382" t="inlineStr">
        <is>
          <t>2026-09-11 19:06</t>
        </is>
      </c>
    </row>
    <row r="383">
      <c r="A383" t="n">
        <v>382</v>
      </c>
      <c r="B383" t="inlineStr">
        <is>
          <t>2026-03-01</t>
        </is>
      </c>
      <c r="C383" t="n">
        <v>2026</v>
      </c>
      <c r="D383" t="inlineStr">
        <is>
          <t>Marzec</t>
        </is>
      </c>
      <c r="E383" t="inlineStr">
        <is>
          <t>W1</t>
        </is>
      </c>
      <c r="F383" t="inlineStr">
        <is>
          <t>2026_Marzec_W1</t>
        </is>
      </c>
      <c r="G383" t="inlineStr">
        <is>
          <t>Nd</t>
        </is>
      </c>
      <c r="H383" t="inlineStr">
        <is>
          <t>EBERT, EMILIA</t>
        </is>
      </c>
      <c r="I383" t="inlineStr">
        <is>
          <t>Crew Civil</t>
        </is>
      </c>
      <c r="J383" t="inlineStr">
        <is>
          <t>Zlecenie</t>
        </is>
      </c>
      <c r="K383" t="n">
        <v>1.5</v>
      </c>
      <c r="L383" t="inlineStr">
        <is>
          <t>384</t>
        </is>
      </c>
      <c r="M383" t="inlineStr">
        <is>
          <t>108120 SBX Warszawa Janki</t>
        </is>
      </c>
      <c r="N383" t="inlineStr">
        <is>
          <t>2026-09-11 19:06</t>
        </is>
      </c>
    </row>
    <row r="384">
      <c r="A384" t="n">
        <v>383</v>
      </c>
      <c r="B384" t="inlineStr">
        <is>
          <t>2026-03-09</t>
        </is>
      </c>
      <c r="C384" t="n">
        <v>2026</v>
      </c>
      <c r="D384" t="inlineStr">
        <is>
          <t>Marzec</t>
        </is>
      </c>
      <c r="E384" t="inlineStr">
        <is>
          <t>W2</t>
        </is>
      </c>
      <c r="F384" t="inlineStr">
        <is>
          <t>2026_Marzec_W2</t>
        </is>
      </c>
      <c r="G384" t="inlineStr">
        <is>
          <t>Pn</t>
        </is>
      </c>
      <c r="H384" t="inlineStr">
        <is>
          <t>EBERT, EMILIA</t>
        </is>
      </c>
      <c r="I384" t="inlineStr">
        <is>
          <t>Crew Civil</t>
        </is>
      </c>
      <c r="J384" t="inlineStr">
        <is>
          <t>Zlecenie</t>
        </is>
      </c>
      <c r="K384" t="n">
        <v>1.5</v>
      </c>
      <c r="L384" t="inlineStr">
        <is>
          <t>384</t>
        </is>
      </c>
      <c r="M384" t="inlineStr">
        <is>
          <t>108120 SBX Warszawa Janki</t>
        </is>
      </c>
      <c r="N384" t="inlineStr">
        <is>
          <t>2026-09-11 19:06</t>
        </is>
      </c>
    </row>
    <row r="385">
      <c r="A385" t="n">
        <v>384</v>
      </c>
      <c r="B385" t="inlineStr">
        <is>
          <t>2026-03-12</t>
        </is>
      </c>
      <c r="C385" t="n">
        <v>2026</v>
      </c>
      <c r="D385" t="inlineStr">
        <is>
          <t>Marzec</t>
        </is>
      </c>
      <c r="E385" t="inlineStr">
        <is>
          <t>W3</t>
        </is>
      </c>
      <c r="F385" t="inlineStr">
        <is>
          <t>2026_Marzec_W3</t>
        </is>
      </c>
      <c r="G385" t="inlineStr">
        <is>
          <t>Czw</t>
        </is>
      </c>
      <c r="H385" t="inlineStr">
        <is>
          <t>EBERT, EMILIA</t>
        </is>
      </c>
      <c r="I385" t="inlineStr">
        <is>
          <t>Crew Civil</t>
        </is>
      </c>
      <c r="J385" t="inlineStr">
        <is>
          <t>Zlecenie</t>
        </is>
      </c>
      <c r="K385" t="n">
        <v>7.53</v>
      </c>
      <c r="L385" t="inlineStr">
        <is>
          <t>384</t>
        </is>
      </c>
      <c r="M385" t="inlineStr">
        <is>
          <t>108120 SBX Warszawa Janki</t>
        </is>
      </c>
      <c r="N385" t="inlineStr">
        <is>
          <t>2026-09-11 19:06</t>
        </is>
      </c>
    </row>
    <row r="386">
      <c r="A386" t="n">
        <v>385</v>
      </c>
      <c r="B386" t="inlineStr">
        <is>
          <t>2026-03-14</t>
        </is>
      </c>
      <c r="C386" t="n">
        <v>2026</v>
      </c>
      <c r="D386" t="inlineStr">
        <is>
          <t>Marzec</t>
        </is>
      </c>
      <c r="E386" t="inlineStr">
        <is>
          <t>W3</t>
        </is>
      </c>
      <c r="F386" t="inlineStr">
        <is>
          <t>2026_Marzec_W3</t>
        </is>
      </c>
      <c r="G386" t="inlineStr">
        <is>
          <t>Sob</t>
        </is>
      </c>
      <c r="H386" t="inlineStr">
        <is>
          <t>EBERT, EMILIA</t>
        </is>
      </c>
      <c r="I386" t="inlineStr">
        <is>
          <t>Crew Civil</t>
        </is>
      </c>
      <c r="J386" t="inlineStr">
        <is>
          <t>Zlecenie</t>
        </is>
      </c>
      <c r="K386" t="n">
        <v>7.96</v>
      </c>
      <c r="L386" t="inlineStr">
        <is>
          <t>384</t>
        </is>
      </c>
      <c r="M386" t="inlineStr">
        <is>
          <t>108120 SBX Warszawa Janki</t>
        </is>
      </c>
      <c r="N386" t="inlineStr">
        <is>
          <t>2026-09-11 19:06</t>
        </is>
      </c>
    </row>
    <row r="387">
      <c r="A387" t="n">
        <v>386</v>
      </c>
      <c r="B387" t="inlineStr">
        <is>
          <t>2026-03-19</t>
        </is>
      </c>
      <c r="C387" t="n">
        <v>2026</v>
      </c>
      <c r="D387" t="inlineStr">
        <is>
          <t>Marzec</t>
        </is>
      </c>
      <c r="E387" t="inlineStr">
        <is>
          <t>W4</t>
        </is>
      </c>
      <c r="F387" t="inlineStr">
        <is>
          <t>2026_Marzec_W4</t>
        </is>
      </c>
      <c r="G387" t="inlineStr">
        <is>
          <t>Czw</t>
        </is>
      </c>
      <c r="H387" t="inlineStr">
        <is>
          <t>EBERT, EMILIA</t>
        </is>
      </c>
      <c r="I387" t="inlineStr">
        <is>
          <t>Crew Civil</t>
        </is>
      </c>
      <c r="J387" t="inlineStr">
        <is>
          <t>Zlecenie</t>
        </is>
      </c>
      <c r="K387" t="n">
        <v>7.33</v>
      </c>
      <c r="L387" t="inlineStr">
        <is>
          <t>384</t>
        </is>
      </c>
      <c r="M387" t="inlineStr">
        <is>
          <t>108120 SBX Warszawa Janki</t>
        </is>
      </c>
      <c r="N387" t="inlineStr">
        <is>
          <t>2026-09-11 19:06</t>
        </is>
      </c>
    </row>
    <row r="388">
      <c r="A388" t="n">
        <v>387</v>
      </c>
      <c r="B388" t="inlineStr">
        <is>
          <t>2026-03-30</t>
        </is>
      </c>
      <c r="C388" t="n">
        <v>2026</v>
      </c>
      <c r="D388" t="inlineStr">
        <is>
          <t>Marzec</t>
        </is>
      </c>
      <c r="E388" t="inlineStr">
        <is>
          <t>W5</t>
        </is>
      </c>
      <c r="F388" t="inlineStr">
        <is>
          <t>2026_Marzec_W5</t>
        </is>
      </c>
      <c r="G388" t="inlineStr">
        <is>
          <t>Pn</t>
        </is>
      </c>
      <c r="H388" t="inlineStr">
        <is>
          <t>EBERT, EMILIA</t>
        </is>
      </c>
      <c r="I388" t="inlineStr">
        <is>
          <t>Crew Civil</t>
        </is>
      </c>
      <c r="J388" t="inlineStr">
        <is>
          <t>Zlecenie</t>
        </is>
      </c>
      <c r="K388" t="n">
        <v>7.25</v>
      </c>
      <c r="L388" t="inlineStr">
        <is>
          <t>384</t>
        </is>
      </c>
      <c r="M388" t="inlineStr">
        <is>
          <t>108120 SBX Warszawa Janki</t>
        </is>
      </c>
      <c r="N388" t="inlineStr">
        <is>
          <t>2026-09-11 19:06</t>
        </is>
      </c>
    </row>
    <row r="389">
      <c r="A389" t="n">
        <v>388</v>
      </c>
      <c r="B389" t="inlineStr">
        <is>
          <t>2026-04-11</t>
        </is>
      </c>
      <c r="C389" t="n">
        <v>2026</v>
      </c>
      <c r="D389" t="inlineStr">
        <is>
          <t>Kwiecień</t>
        </is>
      </c>
      <c r="E389" t="inlineStr">
        <is>
          <t>W2</t>
        </is>
      </c>
      <c r="F389" t="inlineStr">
        <is>
          <t>2026_Kwiecień_W2</t>
        </is>
      </c>
      <c r="G389" t="inlineStr">
        <is>
          <t>Sob</t>
        </is>
      </c>
      <c r="H389" t="inlineStr">
        <is>
          <t>EBERT, EMILIA</t>
        </is>
      </c>
      <c r="I389" t="inlineStr">
        <is>
          <t>Crew Civil</t>
        </is>
      </c>
      <c r="J389" t="inlineStr">
        <is>
          <t>Zlecenie</t>
        </is>
      </c>
      <c r="K389" t="n">
        <v>7.57</v>
      </c>
      <c r="L389" t="inlineStr">
        <is>
          <t>384</t>
        </is>
      </c>
      <c r="M389" t="inlineStr">
        <is>
          <t>108120 SBX Warszawa Janki</t>
        </is>
      </c>
      <c r="N389" t="inlineStr">
        <is>
          <t>2026-09-11 19:06</t>
        </is>
      </c>
    </row>
    <row r="390">
      <c r="A390" t="n">
        <v>389</v>
      </c>
      <c r="B390" t="inlineStr">
        <is>
          <t>2026-04-14</t>
        </is>
      </c>
      <c r="C390" t="n">
        <v>2026</v>
      </c>
      <c r="D390" t="inlineStr">
        <is>
          <t>Kwiecień</t>
        </is>
      </c>
      <c r="E390" t="inlineStr">
        <is>
          <t>W3</t>
        </is>
      </c>
      <c r="F390" t="inlineStr">
        <is>
          <t>2026_Kwiecień_W3</t>
        </is>
      </c>
      <c r="G390" t="inlineStr">
        <is>
          <t>Wt</t>
        </is>
      </c>
      <c r="H390" t="inlineStr">
        <is>
          <t>EBERT, EMILIA</t>
        </is>
      </c>
      <c r="I390" t="inlineStr">
        <is>
          <t>Crew Civil</t>
        </is>
      </c>
      <c r="J390" t="inlineStr">
        <is>
          <t>Zlecenie</t>
        </is>
      </c>
      <c r="K390" t="n">
        <v>4.18</v>
      </c>
      <c r="L390" t="inlineStr">
        <is>
          <t>384</t>
        </is>
      </c>
      <c r="M390" t="inlineStr">
        <is>
          <t>108120 SBX Warszawa Janki</t>
        </is>
      </c>
      <c r="N390" t="inlineStr">
        <is>
          <t>2026-09-11 19:06</t>
        </is>
      </c>
    </row>
    <row r="391">
      <c r="A391" t="n">
        <v>390</v>
      </c>
      <c r="B391" t="inlineStr">
        <is>
          <t>2026-04-18</t>
        </is>
      </c>
      <c r="C391" t="n">
        <v>2026</v>
      </c>
      <c r="D391" t="inlineStr">
        <is>
          <t>Kwiecień</t>
        </is>
      </c>
      <c r="E391" t="inlineStr">
        <is>
          <t>W3</t>
        </is>
      </c>
      <c r="F391" t="inlineStr">
        <is>
          <t>2026_Kwiecień_W3</t>
        </is>
      </c>
      <c r="G391" t="inlineStr">
        <is>
          <t>Sob</t>
        </is>
      </c>
      <c r="H391" t="inlineStr">
        <is>
          <t>EBERT, EMILIA</t>
        </is>
      </c>
      <c r="I391" t="inlineStr">
        <is>
          <t>Crew Civil</t>
        </is>
      </c>
      <c r="J391" t="inlineStr">
        <is>
          <t>Zlecenie</t>
        </is>
      </c>
      <c r="K391" t="n">
        <v>7.3</v>
      </c>
      <c r="L391" t="inlineStr">
        <is>
          <t>384</t>
        </is>
      </c>
      <c r="M391" t="inlineStr">
        <is>
          <t>108120 SBX Warszawa Janki</t>
        </is>
      </c>
      <c r="N391" t="inlineStr">
        <is>
          <t>2026-09-11 19:06</t>
        </is>
      </c>
    </row>
    <row r="392">
      <c r="A392" t="n">
        <v>391</v>
      </c>
      <c r="B392" t="inlineStr">
        <is>
          <t>2026-04-20</t>
        </is>
      </c>
      <c r="C392" t="n">
        <v>2026</v>
      </c>
      <c r="D392" t="inlineStr">
        <is>
          <t>Kwiecień</t>
        </is>
      </c>
      <c r="E392" t="inlineStr">
        <is>
          <t>W3</t>
        </is>
      </c>
      <c r="F392" t="inlineStr">
        <is>
          <t>2026_Kwiecień_W3</t>
        </is>
      </c>
      <c r="G392" t="inlineStr">
        <is>
          <t>Pn</t>
        </is>
      </c>
      <c r="H392" t="inlineStr">
        <is>
          <t>EBERT, EMILIA</t>
        </is>
      </c>
      <c r="I392" t="inlineStr">
        <is>
          <t>Crew Civil</t>
        </is>
      </c>
      <c r="J392" t="inlineStr">
        <is>
          <t>Zlecenie</t>
        </is>
      </c>
      <c r="K392" t="n">
        <v>8</v>
      </c>
      <c r="L392" t="inlineStr">
        <is>
          <t>384</t>
        </is>
      </c>
      <c r="M392" t="inlineStr">
        <is>
          <t>108120 SBX Warszawa Janki</t>
        </is>
      </c>
      <c r="N392" t="inlineStr">
        <is>
          <t>2026-09-11 19:06</t>
        </is>
      </c>
    </row>
    <row r="393">
      <c r="A393" t="n">
        <v>392</v>
      </c>
      <c r="B393" t="inlineStr">
        <is>
          <t>2026-04-22</t>
        </is>
      </c>
      <c r="C393" t="n">
        <v>2026</v>
      </c>
      <c r="D393" t="inlineStr">
        <is>
          <t>Kwiecień</t>
        </is>
      </c>
      <c r="E393" t="inlineStr">
        <is>
          <t>W4</t>
        </is>
      </c>
      <c r="F393" t="inlineStr">
        <is>
          <t>2026_Kwiecień_W4</t>
        </is>
      </c>
      <c r="G393" t="inlineStr">
        <is>
          <t>Śr</t>
        </is>
      </c>
      <c r="H393" t="inlineStr">
        <is>
          <t>EBERT, EMILIA</t>
        </is>
      </c>
      <c r="I393" t="inlineStr">
        <is>
          <t>Crew Civil</t>
        </is>
      </c>
      <c r="J393" t="inlineStr">
        <is>
          <t>Zlecenie</t>
        </is>
      </c>
      <c r="K393" t="n">
        <v>3.58</v>
      </c>
      <c r="L393" t="inlineStr">
        <is>
          <t>384</t>
        </is>
      </c>
      <c r="M393" t="inlineStr">
        <is>
          <t>108120 SBX Warszawa Janki</t>
        </is>
      </c>
      <c r="N393" t="inlineStr">
        <is>
          <t>2026-09-11 19:06</t>
        </is>
      </c>
    </row>
    <row r="394">
      <c r="A394" t="n">
        <v>393</v>
      </c>
      <c r="B394" t="inlineStr">
        <is>
          <t>2026-04-23</t>
        </is>
      </c>
      <c r="C394" t="n">
        <v>2026</v>
      </c>
      <c r="D394" t="inlineStr">
        <is>
          <t>Kwiecień</t>
        </is>
      </c>
      <c r="E394" t="inlineStr">
        <is>
          <t>W4</t>
        </is>
      </c>
      <c r="F394" t="inlineStr">
        <is>
          <t>2026_Kwiecień_W4</t>
        </is>
      </c>
      <c r="G394" t="inlineStr">
        <is>
          <t>Czw</t>
        </is>
      </c>
      <c r="H394" t="inlineStr">
        <is>
          <t>EBERT, EMILIA</t>
        </is>
      </c>
      <c r="I394" t="inlineStr">
        <is>
          <t>Crew Civil</t>
        </is>
      </c>
      <c r="J394" t="inlineStr">
        <is>
          <t>Zlecenie</t>
        </is>
      </c>
      <c r="K394" t="n">
        <v>6.98</v>
      </c>
      <c r="L394" t="inlineStr">
        <is>
          <t>384</t>
        </is>
      </c>
      <c r="M394" t="inlineStr">
        <is>
          <t>108120 SBX Warszawa Janki</t>
        </is>
      </c>
      <c r="N394" t="inlineStr">
        <is>
          <t>2026-09-11 19:06</t>
        </is>
      </c>
    </row>
    <row r="395">
      <c r="A395" t="n">
        <v>394</v>
      </c>
      <c r="B395" t="inlineStr">
        <is>
          <t>2026-04-28</t>
        </is>
      </c>
      <c r="C395" t="n">
        <v>2026</v>
      </c>
      <c r="D395" t="inlineStr">
        <is>
          <t>Kwiecień</t>
        </is>
      </c>
      <c r="E395" t="inlineStr">
        <is>
          <t>W5</t>
        </is>
      </c>
      <c r="F395" t="inlineStr">
        <is>
          <t>2026_Kwiecień_W5</t>
        </is>
      </c>
      <c r="G395" t="inlineStr">
        <is>
          <t>Wt</t>
        </is>
      </c>
      <c r="H395" t="inlineStr">
        <is>
          <t>EBERT, EMILIA</t>
        </is>
      </c>
      <c r="I395" t="inlineStr">
        <is>
          <t>Crew Civil</t>
        </is>
      </c>
      <c r="J395" t="inlineStr">
        <is>
          <t>Zlecenie</t>
        </is>
      </c>
      <c r="K395" t="n">
        <v>2.5</v>
      </c>
      <c r="L395" t="inlineStr">
        <is>
          <t>384</t>
        </is>
      </c>
      <c r="M395" t="inlineStr">
        <is>
          <t>108120 SBX Warszawa Janki</t>
        </is>
      </c>
      <c r="N395" t="inlineStr">
        <is>
          <t>2026-09-11 19:06</t>
        </is>
      </c>
    </row>
    <row r="396">
      <c r="A396" t="n">
        <v>395</v>
      </c>
      <c r="B396" t="inlineStr">
        <is>
          <t>2026-05-07</t>
        </is>
      </c>
      <c r="C396" t="n">
        <v>2026</v>
      </c>
      <c r="D396" t="inlineStr">
        <is>
          <t>Maj</t>
        </is>
      </c>
      <c r="E396" t="inlineStr">
        <is>
          <t>W2</t>
        </is>
      </c>
      <c r="F396" t="inlineStr">
        <is>
          <t>2026_Maj_W2</t>
        </is>
      </c>
      <c r="G396" t="inlineStr">
        <is>
          <t>Czw</t>
        </is>
      </c>
      <c r="H396" t="inlineStr">
        <is>
          <t>EBERT, EMILIA</t>
        </is>
      </c>
      <c r="I396" t="inlineStr">
        <is>
          <t>Crew Civil</t>
        </is>
      </c>
      <c r="J396" t="inlineStr">
        <is>
          <t>Zlecenie</t>
        </is>
      </c>
      <c r="K396" t="n">
        <v>5.42</v>
      </c>
      <c r="L396" t="inlineStr">
        <is>
          <t>384</t>
        </is>
      </c>
      <c r="M396" t="inlineStr">
        <is>
          <t>108120 SBX Warszawa Janki</t>
        </is>
      </c>
      <c r="N396" t="inlineStr">
        <is>
          <t>2026-09-11 19:06</t>
        </is>
      </c>
    </row>
    <row r="397">
      <c r="A397" t="n">
        <v>396</v>
      </c>
      <c r="B397" t="inlineStr">
        <is>
          <t>2026-05-16</t>
        </is>
      </c>
      <c r="C397" t="n">
        <v>2026</v>
      </c>
      <c r="D397" t="inlineStr">
        <is>
          <t>Maj</t>
        </is>
      </c>
      <c r="E397" t="inlineStr">
        <is>
          <t>W3</t>
        </is>
      </c>
      <c r="F397" t="inlineStr">
        <is>
          <t>2026_Maj_W3</t>
        </is>
      </c>
      <c r="G397" t="inlineStr">
        <is>
          <t>Sob</t>
        </is>
      </c>
      <c r="H397" t="inlineStr">
        <is>
          <t>EBERT, EMILIA</t>
        </is>
      </c>
      <c r="I397" t="inlineStr">
        <is>
          <t>Crew Civil</t>
        </is>
      </c>
      <c r="J397" t="inlineStr">
        <is>
          <t>Zlecenie</t>
        </is>
      </c>
      <c r="K397" t="n">
        <v>7.98</v>
      </c>
      <c r="L397" t="inlineStr">
        <is>
          <t>384</t>
        </is>
      </c>
      <c r="M397" t="inlineStr">
        <is>
          <t>108120 SBX Warszawa Janki</t>
        </is>
      </c>
      <c r="N397" t="inlineStr">
        <is>
          <t>2026-09-11 19:06</t>
        </is>
      </c>
    </row>
    <row r="398">
      <c r="A398" t="n">
        <v>397</v>
      </c>
      <c r="B398" t="inlineStr">
        <is>
          <t>2026-05-19</t>
        </is>
      </c>
      <c r="C398" t="n">
        <v>2026</v>
      </c>
      <c r="D398" t="inlineStr">
        <is>
          <t>Maj</t>
        </is>
      </c>
      <c r="E398" t="inlineStr">
        <is>
          <t>W4</t>
        </is>
      </c>
      <c r="F398" t="inlineStr">
        <is>
          <t>2026_Maj_W4</t>
        </is>
      </c>
      <c r="G398" t="inlineStr">
        <is>
          <t>Wt</t>
        </is>
      </c>
      <c r="H398" t="inlineStr">
        <is>
          <t>EBERT, EMILIA</t>
        </is>
      </c>
      <c r="I398" t="inlineStr">
        <is>
          <t>Crew Civil</t>
        </is>
      </c>
      <c r="J398" t="inlineStr">
        <is>
          <t>Zlecenie</t>
        </is>
      </c>
      <c r="K398" t="n">
        <v>5.6</v>
      </c>
      <c r="L398" t="inlineStr">
        <is>
          <t>384</t>
        </is>
      </c>
      <c r="M398" t="inlineStr">
        <is>
          <t>108120 SBX Warszawa Janki</t>
        </is>
      </c>
      <c r="N398" t="inlineStr">
        <is>
          <t>2026-09-11 19:06</t>
        </is>
      </c>
    </row>
    <row r="399">
      <c r="A399" t="n">
        <v>398</v>
      </c>
      <c r="B399" t="inlineStr">
        <is>
          <t>2026-05-23</t>
        </is>
      </c>
      <c r="C399" t="n">
        <v>2026</v>
      </c>
      <c r="D399" t="inlineStr">
        <is>
          <t>Maj</t>
        </is>
      </c>
      <c r="E399" t="inlineStr">
        <is>
          <t>W4</t>
        </is>
      </c>
      <c r="F399" t="inlineStr">
        <is>
          <t>2026_Maj_W4</t>
        </is>
      </c>
      <c r="G399" t="inlineStr">
        <is>
          <t>Sob</t>
        </is>
      </c>
      <c r="H399" t="inlineStr">
        <is>
          <t>EBERT, EMILIA</t>
        </is>
      </c>
      <c r="I399" t="inlineStr">
        <is>
          <t>Crew Civil</t>
        </is>
      </c>
      <c r="J399" t="inlineStr">
        <is>
          <t>Zlecenie</t>
        </is>
      </c>
      <c r="K399" t="n">
        <v>8.619999999999999</v>
      </c>
      <c r="L399" t="inlineStr">
        <is>
          <t>384</t>
        </is>
      </c>
      <c r="M399" t="inlineStr">
        <is>
          <t>108120 SBX Warszawa Janki</t>
        </is>
      </c>
      <c r="N399" t="inlineStr">
        <is>
          <t>2026-09-11 19:06</t>
        </is>
      </c>
    </row>
    <row r="400">
      <c r="A400" t="n">
        <v>399</v>
      </c>
      <c r="B400" t="inlineStr">
        <is>
          <t>2026-05-25</t>
        </is>
      </c>
      <c r="C400" t="n">
        <v>2026</v>
      </c>
      <c r="D400" t="inlineStr">
        <is>
          <t>Maj</t>
        </is>
      </c>
      <c r="E400" t="inlineStr">
        <is>
          <t>W4</t>
        </is>
      </c>
      <c r="F400" t="inlineStr">
        <is>
          <t>2026_Maj_W4</t>
        </is>
      </c>
      <c r="G400" t="inlineStr">
        <is>
          <t>Pn</t>
        </is>
      </c>
      <c r="H400" t="inlineStr">
        <is>
          <t>EBERT, EMILIA</t>
        </is>
      </c>
      <c r="I400" t="inlineStr">
        <is>
          <t>Crew Civil</t>
        </is>
      </c>
      <c r="J400" t="inlineStr">
        <is>
          <t>Zlecenie</t>
        </is>
      </c>
      <c r="K400" t="n">
        <v>7.22</v>
      </c>
      <c r="L400" t="inlineStr">
        <is>
          <t>384</t>
        </is>
      </c>
      <c r="M400" t="inlineStr">
        <is>
          <t>108120 SBX Warszawa Janki</t>
        </is>
      </c>
      <c r="N400" t="inlineStr">
        <is>
          <t>2026-09-11 19:06</t>
        </is>
      </c>
    </row>
    <row r="401">
      <c r="A401" t="n">
        <v>400</v>
      </c>
      <c r="B401" t="inlineStr">
        <is>
          <t>2026-05-28</t>
        </is>
      </c>
      <c r="C401" t="n">
        <v>2026</v>
      </c>
      <c r="D401" t="inlineStr">
        <is>
          <t>Maj</t>
        </is>
      </c>
      <c r="E401" t="inlineStr">
        <is>
          <t>W5</t>
        </is>
      </c>
      <c r="F401" t="inlineStr">
        <is>
          <t>2026_Maj_W5</t>
        </is>
      </c>
      <c r="G401" t="inlineStr">
        <is>
          <t>Czw</t>
        </is>
      </c>
      <c r="H401" t="inlineStr">
        <is>
          <t>EBERT, EMILIA</t>
        </is>
      </c>
      <c r="I401" t="inlineStr">
        <is>
          <t>Crew Civil</t>
        </is>
      </c>
      <c r="J401" t="inlineStr">
        <is>
          <t>Zlecenie</t>
        </is>
      </c>
      <c r="K401" t="n">
        <v>8.43</v>
      </c>
      <c r="L401" t="inlineStr">
        <is>
          <t>384</t>
        </is>
      </c>
      <c r="M401" t="inlineStr">
        <is>
          <t>108120 SBX Warszawa Janki</t>
        </is>
      </c>
      <c r="N401" t="inlineStr">
        <is>
          <t>2026-09-11 19:06</t>
        </is>
      </c>
    </row>
    <row r="402">
      <c r="A402" t="n">
        <v>401</v>
      </c>
      <c r="B402" t="inlineStr">
        <is>
          <t>2026-05-30</t>
        </is>
      </c>
      <c r="C402" t="n">
        <v>2026</v>
      </c>
      <c r="D402" t="inlineStr">
        <is>
          <t>Maj</t>
        </is>
      </c>
      <c r="E402" t="inlineStr">
        <is>
          <t>W5</t>
        </is>
      </c>
      <c r="F402" t="inlineStr">
        <is>
          <t>2026_Maj_W5</t>
        </is>
      </c>
      <c r="G402" t="inlineStr">
        <is>
          <t>Sob</t>
        </is>
      </c>
      <c r="H402" t="inlineStr">
        <is>
          <t>EBERT, EMILIA</t>
        </is>
      </c>
      <c r="I402" t="inlineStr">
        <is>
          <t>Crew Civil</t>
        </is>
      </c>
      <c r="J402" t="inlineStr">
        <is>
          <t>Zlecenie</t>
        </is>
      </c>
      <c r="K402" t="n">
        <v>7.28</v>
      </c>
      <c r="L402" t="inlineStr">
        <is>
          <t>384</t>
        </is>
      </c>
      <c r="M402" t="inlineStr">
        <is>
          <t>108120 SBX Warszawa Janki</t>
        </is>
      </c>
      <c r="N402" t="inlineStr">
        <is>
          <t>2026-09-11 19:06</t>
        </is>
      </c>
    </row>
    <row r="403">
      <c r="A403" t="n">
        <v>402</v>
      </c>
      <c r="B403" t="inlineStr">
        <is>
          <t>2026-06-01</t>
        </is>
      </c>
      <c r="C403" t="n">
        <v>2026</v>
      </c>
      <c r="D403" t="inlineStr">
        <is>
          <t>Czerwiec</t>
        </is>
      </c>
      <c r="E403" t="inlineStr">
        <is>
          <t>W1</t>
        </is>
      </c>
      <c r="F403" t="inlineStr">
        <is>
          <t>2026_Czerwiec_W1</t>
        </is>
      </c>
      <c r="G403" t="inlineStr">
        <is>
          <t>Pn</t>
        </is>
      </c>
      <c r="H403" t="inlineStr">
        <is>
          <t>EBERT, EMILIA</t>
        </is>
      </c>
      <c r="I403" t="inlineStr">
        <is>
          <t>Crew Civil</t>
        </is>
      </c>
      <c r="J403" t="inlineStr">
        <is>
          <t>Zlecenie</t>
        </is>
      </c>
      <c r="K403" t="n">
        <v>7.48</v>
      </c>
      <c r="L403" t="inlineStr">
        <is>
          <t>384</t>
        </is>
      </c>
      <c r="M403" t="inlineStr">
        <is>
          <t>108120 SBX Warszawa Janki</t>
        </is>
      </c>
      <c r="N403" t="inlineStr">
        <is>
          <t>2026-09-11 19:06</t>
        </is>
      </c>
    </row>
    <row r="404">
      <c r="A404" t="n">
        <v>403</v>
      </c>
      <c r="B404" t="inlineStr">
        <is>
          <t>2026-06-04</t>
        </is>
      </c>
      <c r="C404" t="n">
        <v>2026</v>
      </c>
      <c r="D404" t="inlineStr">
        <is>
          <t>Czerwiec</t>
        </is>
      </c>
      <c r="E404" t="inlineStr">
        <is>
          <t>W2</t>
        </is>
      </c>
      <c r="F404" t="inlineStr">
        <is>
          <t>2026_Czerwiec_W2</t>
        </is>
      </c>
      <c r="G404" t="inlineStr">
        <is>
          <t>Czw</t>
        </is>
      </c>
      <c r="H404" t="inlineStr">
        <is>
          <t>EBERT, EMILIA</t>
        </is>
      </c>
      <c r="I404" t="inlineStr">
        <is>
          <t>Crew Civil</t>
        </is>
      </c>
      <c r="J404" t="inlineStr">
        <is>
          <t>Zlecenie</t>
        </is>
      </c>
      <c r="K404" t="n">
        <v>5.88</v>
      </c>
      <c r="L404" t="inlineStr">
        <is>
          <t>384</t>
        </is>
      </c>
      <c r="M404" t="inlineStr">
        <is>
          <t>108120 SBX Warszawa Janki</t>
        </is>
      </c>
      <c r="N404" t="inlineStr">
        <is>
          <t>2026-09-11 19:06</t>
        </is>
      </c>
    </row>
    <row r="405">
      <c r="A405" t="n">
        <v>404</v>
      </c>
      <c r="B405" t="inlineStr">
        <is>
          <t>2026-06-06</t>
        </is>
      </c>
      <c r="C405" t="n">
        <v>2026</v>
      </c>
      <c r="D405" t="inlineStr">
        <is>
          <t>Czerwiec</t>
        </is>
      </c>
      <c r="E405" t="inlineStr">
        <is>
          <t>W2</t>
        </is>
      </c>
      <c r="F405" t="inlineStr">
        <is>
          <t>2026_Czerwiec_W2</t>
        </is>
      </c>
      <c r="G405" t="inlineStr">
        <is>
          <t>Sob</t>
        </is>
      </c>
      <c r="H405" t="inlineStr">
        <is>
          <t>EBERT, EMILIA</t>
        </is>
      </c>
      <c r="I405" t="inlineStr">
        <is>
          <t>Crew Civil</t>
        </is>
      </c>
      <c r="J405" t="inlineStr">
        <is>
          <t>Zlecenie</t>
        </is>
      </c>
      <c r="K405" t="n">
        <v>4.97</v>
      </c>
      <c r="L405" t="inlineStr">
        <is>
          <t>384</t>
        </is>
      </c>
      <c r="M405" t="inlineStr">
        <is>
          <t>108120 SBX Warszawa Janki</t>
        </is>
      </c>
      <c r="N405" t="inlineStr">
        <is>
          <t>2026-09-11 19:06</t>
        </is>
      </c>
    </row>
    <row r="406">
      <c r="A406" t="n">
        <v>405</v>
      </c>
      <c r="B406" t="inlineStr">
        <is>
          <t>2026-06-08</t>
        </is>
      </c>
      <c r="C406" t="n">
        <v>2026</v>
      </c>
      <c r="D406" t="inlineStr">
        <is>
          <t>Czerwiec</t>
        </is>
      </c>
      <c r="E406" t="inlineStr">
        <is>
          <t>W2</t>
        </is>
      </c>
      <c r="F406" t="inlineStr">
        <is>
          <t>2026_Czerwiec_W2</t>
        </is>
      </c>
      <c r="G406" t="inlineStr">
        <is>
          <t>Pn</t>
        </is>
      </c>
      <c r="H406" t="inlineStr">
        <is>
          <t>EBERT, EMILIA</t>
        </is>
      </c>
      <c r="I406" t="inlineStr">
        <is>
          <t>Crew Civil</t>
        </is>
      </c>
      <c r="J406" t="inlineStr">
        <is>
          <t>Zlecenie</t>
        </is>
      </c>
      <c r="K406" t="n">
        <v>7.4</v>
      </c>
      <c r="L406" t="inlineStr">
        <is>
          <t>384</t>
        </is>
      </c>
      <c r="M406" t="inlineStr">
        <is>
          <t>108120 SBX Warszawa Janki</t>
        </is>
      </c>
      <c r="N406" t="inlineStr">
        <is>
          <t>2026-09-11 19:06</t>
        </is>
      </c>
    </row>
    <row r="407">
      <c r="A407" t="n">
        <v>406</v>
      </c>
      <c r="B407" t="inlineStr">
        <is>
          <t>2026-06-13</t>
        </is>
      </c>
      <c r="C407" t="n">
        <v>2026</v>
      </c>
      <c r="D407" t="inlineStr">
        <is>
          <t>Czerwiec</t>
        </is>
      </c>
      <c r="E407" t="inlineStr">
        <is>
          <t>W3</t>
        </is>
      </c>
      <c r="F407" t="inlineStr">
        <is>
          <t>2026_Czerwiec_W3</t>
        </is>
      </c>
      <c r="G407" t="inlineStr">
        <is>
          <t>Sob</t>
        </is>
      </c>
      <c r="H407" t="inlineStr">
        <is>
          <t>EBERT, EMILIA</t>
        </is>
      </c>
      <c r="I407" t="inlineStr">
        <is>
          <t>Crew Civil</t>
        </is>
      </c>
      <c r="J407" t="inlineStr">
        <is>
          <t>Zlecenie</t>
        </is>
      </c>
      <c r="K407" t="n">
        <v>8.42</v>
      </c>
      <c r="L407" t="inlineStr">
        <is>
          <t>384</t>
        </is>
      </c>
      <c r="M407" t="inlineStr">
        <is>
          <t>108120 SBX Warszawa Janki</t>
        </is>
      </c>
      <c r="N407" t="inlineStr">
        <is>
          <t>2026-09-11 19:06</t>
        </is>
      </c>
    </row>
    <row r="408">
      <c r="A408" t="n">
        <v>407</v>
      </c>
      <c r="B408" t="inlineStr">
        <is>
          <t>2026-06-23</t>
        </is>
      </c>
      <c r="C408" t="n">
        <v>2026</v>
      </c>
      <c r="D408" t="inlineStr">
        <is>
          <t>Czerwiec</t>
        </is>
      </c>
      <c r="E408" t="inlineStr">
        <is>
          <t>W5</t>
        </is>
      </c>
      <c r="F408" t="inlineStr">
        <is>
          <t>2026_Czerwiec_W5</t>
        </is>
      </c>
      <c r="G408" t="inlineStr">
        <is>
          <t>Wt</t>
        </is>
      </c>
      <c r="H408" t="inlineStr">
        <is>
          <t>EBERT, EMILIA</t>
        </is>
      </c>
      <c r="I408" t="inlineStr">
        <is>
          <t>Crew Civil</t>
        </is>
      </c>
      <c r="J408" t="inlineStr">
        <is>
          <t>Zlecenie</t>
        </is>
      </c>
      <c r="K408" t="n">
        <v>7.16</v>
      </c>
      <c r="L408" t="inlineStr">
        <is>
          <t>384</t>
        </is>
      </c>
      <c r="M408" t="inlineStr">
        <is>
          <t>108120 SBX Warszawa Janki</t>
        </is>
      </c>
      <c r="N408" t="inlineStr">
        <is>
          <t>2026-09-11 19:06</t>
        </is>
      </c>
    </row>
    <row r="409">
      <c r="A409" t="n">
        <v>408</v>
      </c>
      <c r="B409" t="inlineStr">
        <is>
          <t>2026-06-25</t>
        </is>
      </c>
      <c r="C409" t="n">
        <v>2026</v>
      </c>
      <c r="D409" t="inlineStr">
        <is>
          <t>Czerwiec</t>
        </is>
      </c>
      <c r="E409" t="inlineStr">
        <is>
          <t>W5</t>
        </is>
      </c>
      <c r="F409" t="inlineStr">
        <is>
          <t>2026_Czerwiec_W5</t>
        </is>
      </c>
      <c r="G409" t="inlineStr">
        <is>
          <t>Czw</t>
        </is>
      </c>
      <c r="H409" t="inlineStr">
        <is>
          <t>EBERT, EMILIA</t>
        </is>
      </c>
      <c r="I409" t="inlineStr">
        <is>
          <t>Crew Civil</t>
        </is>
      </c>
      <c r="J409" t="inlineStr">
        <is>
          <t>Zlecenie</t>
        </is>
      </c>
      <c r="K409" t="n">
        <v>7.16</v>
      </c>
      <c r="L409" t="inlineStr">
        <is>
          <t>384</t>
        </is>
      </c>
      <c r="M409" t="inlineStr">
        <is>
          <t>108120 SBX Warszawa Janki</t>
        </is>
      </c>
      <c r="N409" t="inlineStr">
        <is>
          <t>2026-09-11 19:06</t>
        </is>
      </c>
    </row>
    <row r="410">
      <c r="A410" t="n">
        <v>409</v>
      </c>
      <c r="B410" t="inlineStr">
        <is>
          <t>2026-07-01</t>
        </is>
      </c>
      <c r="C410" t="n">
        <v>2026</v>
      </c>
      <c r="D410" t="inlineStr">
        <is>
          <t>Lipiec</t>
        </is>
      </c>
      <c r="E410" t="inlineStr">
        <is>
          <t>W1</t>
        </is>
      </c>
      <c r="F410" t="inlineStr">
        <is>
          <t>2026_Lipiec_W1</t>
        </is>
      </c>
      <c r="G410" t="inlineStr">
        <is>
          <t>Śr</t>
        </is>
      </c>
      <c r="H410" t="inlineStr">
        <is>
          <t>EBERT, EMILIA</t>
        </is>
      </c>
      <c r="I410" t="inlineStr">
        <is>
          <t>Crew Civil</t>
        </is>
      </c>
      <c r="J410" t="inlineStr">
        <is>
          <t>Zlecenie</t>
        </is>
      </c>
      <c r="K410" t="n">
        <v>5.98</v>
      </c>
      <c r="L410" t="inlineStr">
        <is>
          <t>384</t>
        </is>
      </c>
      <c r="M410" t="inlineStr">
        <is>
          <t>108120 SBX Warszawa Janki</t>
        </is>
      </c>
      <c r="N410" t="inlineStr">
        <is>
          <t>2026-09-11 19:06</t>
        </is>
      </c>
    </row>
    <row r="411">
      <c r="A411" t="n">
        <v>410</v>
      </c>
      <c r="B411" t="inlineStr">
        <is>
          <t>2026-07-02</t>
        </is>
      </c>
      <c r="C411" t="n">
        <v>2026</v>
      </c>
      <c r="D411" t="inlineStr">
        <is>
          <t>Lipiec</t>
        </is>
      </c>
      <c r="E411" t="inlineStr">
        <is>
          <t>W1</t>
        </is>
      </c>
      <c r="F411" t="inlineStr">
        <is>
          <t>2026_Lipiec_W1</t>
        </is>
      </c>
      <c r="G411" t="inlineStr">
        <is>
          <t>Czw</t>
        </is>
      </c>
      <c r="H411" t="inlineStr">
        <is>
          <t>EBERT, EMILIA</t>
        </is>
      </c>
      <c r="I411" t="inlineStr">
        <is>
          <t>Crew Civil</t>
        </is>
      </c>
      <c r="J411" t="inlineStr">
        <is>
          <t>Zlecenie</t>
        </is>
      </c>
      <c r="K411" t="n">
        <v>7.45</v>
      </c>
      <c r="L411" t="inlineStr">
        <is>
          <t>384</t>
        </is>
      </c>
      <c r="M411" t="inlineStr">
        <is>
          <t>108120 SBX Warszawa Janki</t>
        </is>
      </c>
      <c r="N411" t="inlineStr">
        <is>
          <t>2026-09-11 19:06</t>
        </is>
      </c>
    </row>
    <row r="412">
      <c r="A412" t="n">
        <v>411</v>
      </c>
      <c r="B412" t="inlineStr">
        <is>
          <t>2026-07-03</t>
        </is>
      </c>
      <c r="C412" t="n">
        <v>2026</v>
      </c>
      <c r="D412" t="inlineStr">
        <is>
          <t>Lipiec</t>
        </is>
      </c>
      <c r="E412" t="inlineStr">
        <is>
          <t>W1</t>
        </is>
      </c>
      <c r="F412" t="inlineStr">
        <is>
          <t>2026_Lipiec_W1</t>
        </is>
      </c>
      <c r="G412" t="inlineStr">
        <is>
          <t>Pt</t>
        </is>
      </c>
      <c r="H412" t="inlineStr">
        <is>
          <t>EBERT, EMILIA</t>
        </is>
      </c>
      <c r="I412" t="inlineStr">
        <is>
          <t>Crew Civil</t>
        </is>
      </c>
      <c r="J412" t="inlineStr">
        <is>
          <t>Zlecenie</t>
        </is>
      </c>
      <c r="K412" t="n">
        <v>7.65</v>
      </c>
      <c r="L412" t="inlineStr">
        <is>
          <t>384</t>
        </is>
      </c>
      <c r="M412" t="inlineStr">
        <is>
          <t>108120 SBX Warszawa Janki</t>
        </is>
      </c>
      <c r="N412" t="inlineStr">
        <is>
          <t>2026-09-11 19:06</t>
        </is>
      </c>
    </row>
    <row r="413">
      <c r="A413" t="n">
        <v>412</v>
      </c>
      <c r="B413" t="inlineStr">
        <is>
          <t>2026-07-04</t>
        </is>
      </c>
      <c r="C413" t="n">
        <v>2026</v>
      </c>
      <c r="D413" t="inlineStr">
        <is>
          <t>Lipiec</t>
        </is>
      </c>
      <c r="E413" t="inlineStr">
        <is>
          <t>W1</t>
        </is>
      </c>
      <c r="F413" t="inlineStr">
        <is>
          <t>2026_Lipiec_W1</t>
        </is>
      </c>
      <c r="G413" t="inlineStr">
        <is>
          <t>Sob</t>
        </is>
      </c>
      <c r="H413" t="inlineStr">
        <is>
          <t>EBERT, EMILIA</t>
        </is>
      </c>
      <c r="I413" t="inlineStr">
        <is>
          <t>Crew Civil</t>
        </is>
      </c>
      <c r="J413" t="inlineStr">
        <is>
          <t>Zlecenie</t>
        </is>
      </c>
      <c r="K413" t="n">
        <v>7.98</v>
      </c>
      <c r="L413" t="inlineStr">
        <is>
          <t>384</t>
        </is>
      </c>
      <c r="M413" t="inlineStr">
        <is>
          <t>108120 SBX Warszawa Janki</t>
        </is>
      </c>
      <c r="N413" t="inlineStr">
        <is>
          <t>2026-09-11 19:06</t>
        </is>
      </c>
    </row>
    <row r="414">
      <c r="A414" t="n">
        <v>413</v>
      </c>
      <c r="B414" t="inlineStr">
        <is>
          <t>2026-07-06</t>
        </is>
      </c>
      <c r="C414" t="n">
        <v>2026</v>
      </c>
      <c r="D414" t="inlineStr">
        <is>
          <t>Lipiec</t>
        </is>
      </c>
      <c r="E414" t="inlineStr">
        <is>
          <t>W1</t>
        </is>
      </c>
      <c r="F414" t="inlineStr">
        <is>
          <t>2026_Lipiec_W1</t>
        </is>
      </c>
      <c r="G414" t="inlineStr">
        <is>
          <t>Pn</t>
        </is>
      </c>
      <c r="H414" t="inlineStr">
        <is>
          <t>EBERT, EMILIA</t>
        </is>
      </c>
      <c r="I414" t="inlineStr">
        <is>
          <t>Crew Civil</t>
        </is>
      </c>
      <c r="J414" t="inlineStr">
        <is>
          <t>Zlecenie</t>
        </is>
      </c>
      <c r="K414" t="n">
        <v>7.93</v>
      </c>
      <c r="L414" t="inlineStr">
        <is>
          <t>384</t>
        </is>
      </c>
      <c r="M414" t="inlineStr">
        <is>
          <t>108120 SBX Warszawa Janki</t>
        </is>
      </c>
      <c r="N414" t="inlineStr">
        <is>
          <t>2026-09-11 19:06</t>
        </is>
      </c>
    </row>
    <row r="415">
      <c r="A415" t="n">
        <v>414</v>
      </c>
      <c r="B415" t="inlineStr">
        <is>
          <t>2026-07-07</t>
        </is>
      </c>
      <c r="C415" t="n">
        <v>2026</v>
      </c>
      <c r="D415" t="inlineStr">
        <is>
          <t>Lipiec</t>
        </is>
      </c>
      <c r="E415" t="inlineStr">
        <is>
          <t>W2</t>
        </is>
      </c>
      <c r="F415" t="inlineStr">
        <is>
          <t>2026_Lipiec_W2</t>
        </is>
      </c>
      <c r="G415" t="inlineStr">
        <is>
          <t>Wt</t>
        </is>
      </c>
      <c r="H415" t="inlineStr">
        <is>
          <t>EBERT, EMILIA</t>
        </is>
      </c>
      <c r="I415" t="inlineStr">
        <is>
          <t>Crew Civil</t>
        </is>
      </c>
      <c r="J415" t="inlineStr">
        <is>
          <t>Zlecenie</t>
        </is>
      </c>
      <c r="K415" t="n">
        <v>7.56</v>
      </c>
      <c r="L415" t="inlineStr">
        <is>
          <t>384</t>
        </is>
      </c>
      <c r="M415" t="inlineStr">
        <is>
          <t>108120 SBX Warszawa Janki</t>
        </is>
      </c>
      <c r="N415" t="inlineStr">
        <is>
          <t>2026-09-11 19:06</t>
        </is>
      </c>
    </row>
    <row r="416">
      <c r="A416" t="n">
        <v>415</v>
      </c>
      <c r="B416" t="inlineStr">
        <is>
          <t>2026-07-08</t>
        </is>
      </c>
      <c r="C416" t="n">
        <v>2026</v>
      </c>
      <c r="D416" t="inlineStr">
        <is>
          <t>Lipiec</t>
        </is>
      </c>
      <c r="E416" t="inlineStr">
        <is>
          <t>W2</t>
        </is>
      </c>
      <c r="F416" t="inlineStr">
        <is>
          <t>2026_Lipiec_W2</t>
        </is>
      </c>
      <c r="G416" t="inlineStr">
        <is>
          <t>Śr</t>
        </is>
      </c>
      <c r="H416" t="inlineStr">
        <is>
          <t>EBERT, EMILIA</t>
        </is>
      </c>
      <c r="I416" t="inlineStr">
        <is>
          <t>Crew Civil</t>
        </is>
      </c>
      <c r="J416" t="inlineStr">
        <is>
          <t>Zlecenie</t>
        </is>
      </c>
      <c r="K416" t="n">
        <v>7.54</v>
      </c>
      <c r="L416" t="inlineStr">
        <is>
          <t>384</t>
        </is>
      </c>
      <c r="M416" t="inlineStr">
        <is>
          <t>108120 SBX Warszawa Janki</t>
        </is>
      </c>
      <c r="N416" t="inlineStr">
        <is>
          <t>2026-09-11 19:06</t>
        </is>
      </c>
    </row>
    <row r="417">
      <c r="A417" t="n">
        <v>416</v>
      </c>
      <c r="B417" t="inlineStr">
        <is>
          <t>2026-07-10</t>
        </is>
      </c>
      <c r="C417" t="n">
        <v>2026</v>
      </c>
      <c r="D417" t="inlineStr">
        <is>
          <t>Lipiec</t>
        </is>
      </c>
      <c r="E417" t="inlineStr">
        <is>
          <t>W2</t>
        </is>
      </c>
      <c r="F417" t="inlineStr">
        <is>
          <t>2026_Lipiec_W2</t>
        </is>
      </c>
      <c r="G417" t="inlineStr">
        <is>
          <t>Pt</t>
        </is>
      </c>
      <c r="H417" t="inlineStr">
        <is>
          <t>EBERT, EMILIA</t>
        </is>
      </c>
      <c r="I417" t="inlineStr">
        <is>
          <t>Crew Civil</t>
        </is>
      </c>
      <c r="J417" t="inlineStr">
        <is>
          <t>Zlecenie</t>
        </is>
      </c>
      <c r="K417" t="n">
        <v>7.58</v>
      </c>
      <c r="L417" t="inlineStr">
        <is>
          <t>384</t>
        </is>
      </c>
      <c r="M417" t="inlineStr">
        <is>
          <t>108120 SBX Warszawa Janki</t>
        </is>
      </c>
      <c r="N417" t="inlineStr">
        <is>
          <t>2026-09-11 19:06</t>
        </is>
      </c>
    </row>
    <row r="418">
      <c r="A418" t="n">
        <v>417</v>
      </c>
      <c r="B418" t="inlineStr">
        <is>
          <t>2026-07-14</t>
        </is>
      </c>
      <c r="C418" t="n">
        <v>2026</v>
      </c>
      <c r="D418" t="inlineStr">
        <is>
          <t>Lipiec</t>
        </is>
      </c>
      <c r="E418" t="inlineStr">
        <is>
          <t>W3</t>
        </is>
      </c>
      <c r="F418" t="inlineStr">
        <is>
          <t>2026_Lipiec_W3</t>
        </is>
      </c>
      <c r="G418" t="inlineStr">
        <is>
          <t>Wt</t>
        </is>
      </c>
      <c r="H418" t="inlineStr">
        <is>
          <t>EBERT, EMILIA</t>
        </is>
      </c>
      <c r="I418" t="inlineStr">
        <is>
          <t>Crew Civil</t>
        </is>
      </c>
      <c r="J418" t="inlineStr">
        <is>
          <t>Zlecenie</t>
        </is>
      </c>
      <c r="K418" t="n">
        <v>7.68</v>
      </c>
      <c r="L418" t="inlineStr">
        <is>
          <t>384</t>
        </is>
      </c>
      <c r="M418" t="inlineStr">
        <is>
          <t>108120 SBX Warszawa Janki</t>
        </is>
      </c>
      <c r="N418" t="inlineStr">
        <is>
          <t>2026-09-11 19:06</t>
        </is>
      </c>
    </row>
    <row r="419">
      <c r="A419" t="n">
        <v>418</v>
      </c>
      <c r="B419" t="inlineStr">
        <is>
          <t>2026-07-15</t>
        </is>
      </c>
      <c r="C419" t="n">
        <v>2026</v>
      </c>
      <c r="D419" t="inlineStr">
        <is>
          <t>Lipiec</t>
        </is>
      </c>
      <c r="E419" t="inlineStr">
        <is>
          <t>W3</t>
        </is>
      </c>
      <c r="F419" t="inlineStr">
        <is>
          <t>2026_Lipiec_W3</t>
        </is>
      </c>
      <c r="G419" t="inlineStr">
        <is>
          <t>Śr</t>
        </is>
      </c>
      <c r="H419" t="inlineStr">
        <is>
          <t>EBERT, EMILIA</t>
        </is>
      </c>
      <c r="I419" t="inlineStr">
        <is>
          <t>Crew Civil</t>
        </is>
      </c>
      <c r="J419" t="inlineStr">
        <is>
          <t>Zlecenie</t>
        </is>
      </c>
      <c r="K419" t="n">
        <v>7.16</v>
      </c>
      <c r="L419" t="inlineStr">
        <is>
          <t>384</t>
        </is>
      </c>
      <c r="M419" t="inlineStr">
        <is>
          <t>108120 SBX Warszawa Janki</t>
        </is>
      </c>
      <c r="N419" t="inlineStr">
        <is>
          <t>2026-09-11 19:06</t>
        </is>
      </c>
    </row>
    <row r="420">
      <c r="A420" t="n">
        <v>419</v>
      </c>
      <c r="B420" t="inlineStr">
        <is>
          <t>2026-07-17</t>
        </is>
      </c>
      <c r="C420" t="n">
        <v>2026</v>
      </c>
      <c r="D420" t="inlineStr">
        <is>
          <t>Lipiec</t>
        </is>
      </c>
      <c r="E420" t="inlineStr">
        <is>
          <t>W3</t>
        </is>
      </c>
      <c r="F420" t="inlineStr">
        <is>
          <t>2026_Lipiec_W3</t>
        </is>
      </c>
      <c r="G420" t="inlineStr">
        <is>
          <t>Pt</t>
        </is>
      </c>
      <c r="H420" t="inlineStr">
        <is>
          <t>EBERT, EMILIA</t>
        </is>
      </c>
      <c r="I420" t="inlineStr">
        <is>
          <t>Crew Civil</t>
        </is>
      </c>
      <c r="J420" t="inlineStr">
        <is>
          <t>Zlecenie</t>
        </is>
      </c>
      <c r="K420" t="n">
        <v>6.36</v>
      </c>
      <c r="L420" t="inlineStr">
        <is>
          <t>384</t>
        </is>
      </c>
      <c r="M420" t="inlineStr">
        <is>
          <t>108120 SBX Warszawa Janki</t>
        </is>
      </c>
      <c r="N420" t="inlineStr">
        <is>
          <t>2026-09-11 19:06</t>
        </is>
      </c>
    </row>
    <row r="421">
      <c r="A421" t="n">
        <v>420</v>
      </c>
      <c r="B421" t="inlineStr">
        <is>
          <t>2026-07-18</t>
        </is>
      </c>
      <c r="C421" t="n">
        <v>2026</v>
      </c>
      <c r="D421" t="inlineStr">
        <is>
          <t>Lipiec</t>
        </is>
      </c>
      <c r="E421" t="inlineStr">
        <is>
          <t>W3</t>
        </is>
      </c>
      <c r="F421" t="inlineStr">
        <is>
          <t>2026_Lipiec_W3</t>
        </is>
      </c>
      <c r="G421" t="inlineStr">
        <is>
          <t>Sob</t>
        </is>
      </c>
      <c r="H421" t="inlineStr">
        <is>
          <t>EBERT, EMILIA</t>
        </is>
      </c>
      <c r="I421" t="inlineStr">
        <is>
          <t>Crew Civil</t>
        </is>
      </c>
      <c r="J421" t="inlineStr">
        <is>
          <t>Zlecenie</t>
        </is>
      </c>
      <c r="K421" t="n">
        <v>9.25</v>
      </c>
      <c r="L421" t="inlineStr">
        <is>
          <t>384</t>
        </is>
      </c>
      <c r="M421" t="inlineStr">
        <is>
          <t>108120 SBX Warszawa Janki</t>
        </is>
      </c>
      <c r="N421" t="inlineStr">
        <is>
          <t>2026-09-11 19:06</t>
        </is>
      </c>
    </row>
    <row r="422">
      <c r="A422" t="n">
        <v>421</v>
      </c>
      <c r="B422" t="inlineStr">
        <is>
          <t>2026-07-21</t>
        </is>
      </c>
      <c r="C422" t="n">
        <v>2026</v>
      </c>
      <c r="D422" t="inlineStr">
        <is>
          <t>Lipiec</t>
        </is>
      </c>
      <c r="E422" t="inlineStr">
        <is>
          <t>W4</t>
        </is>
      </c>
      <c r="F422" t="inlineStr">
        <is>
          <t>2026_Lipiec_W4</t>
        </is>
      </c>
      <c r="G422" t="inlineStr">
        <is>
          <t>Wt</t>
        </is>
      </c>
      <c r="H422" t="inlineStr">
        <is>
          <t>EBERT, EMILIA</t>
        </is>
      </c>
      <c r="I422" t="inlineStr">
        <is>
          <t>Crew Civil</t>
        </is>
      </c>
      <c r="J422" t="inlineStr">
        <is>
          <t>Zlecenie</t>
        </is>
      </c>
      <c r="K422" t="n">
        <v>5.45</v>
      </c>
      <c r="L422" t="inlineStr">
        <is>
          <t>384</t>
        </is>
      </c>
      <c r="M422" t="inlineStr">
        <is>
          <t>108120 SBX Warszawa Janki</t>
        </is>
      </c>
      <c r="N422" t="inlineStr">
        <is>
          <t>2026-09-11 19:06</t>
        </is>
      </c>
    </row>
    <row r="423">
      <c r="A423" t="n">
        <v>422</v>
      </c>
      <c r="B423" t="inlineStr">
        <is>
          <t>2026-07-24</t>
        </is>
      </c>
      <c r="C423" t="n">
        <v>2026</v>
      </c>
      <c r="D423" t="inlineStr">
        <is>
          <t>Lipiec</t>
        </is>
      </c>
      <c r="E423" t="inlineStr">
        <is>
          <t>W4</t>
        </is>
      </c>
      <c r="F423" t="inlineStr">
        <is>
          <t>2026_Lipiec_W4</t>
        </is>
      </c>
      <c r="G423" t="inlineStr">
        <is>
          <t>Pt</t>
        </is>
      </c>
      <c r="H423" t="inlineStr">
        <is>
          <t>EBERT, EMILIA</t>
        </is>
      </c>
      <c r="I423" t="inlineStr">
        <is>
          <t>Crew Civil</t>
        </is>
      </c>
      <c r="J423" t="inlineStr">
        <is>
          <t>Zlecenie</t>
        </is>
      </c>
      <c r="K423" t="n">
        <v>5.06</v>
      </c>
      <c r="L423" t="inlineStr">
        <is>
          <t>384</t>
        </is>
      </c>
      <c r="M423" t="inlineStr">
        <is>
          <t>108120 SBX Warszawa Janki</t>
        </is>
      </c>
      <c r="N423" t="inlineStr">
        <is>
          <t>2026-09-11 19:06</t>
        </is>
      </c>
    </row>
    <row r="424">
      <c r="A424" t="n">
        <v>423</v>
      </c>
      <c r="B424" t="inlineStr">
        <is>
          <t>2026-07-25</t>
        </is>
      </c>
      <c r="C424" t="n">
        <v>2026</v>
      </c>
      <c r="D424" t="inlineStr">
        <is>
          <t>Lipiec</t>
        </is>
      </c>
      <c r="E424" t="inlineStr">
        <is>
          <t>W4</t>
        </is>
      </c>
      <c r="F424" t="inlineStr">
        <is>
          <t>2026_Lipiec_W4</t>
        </is>
      </c>
      <c r="G424" t="inlineStr">
        <is>
          <t>Sob</t>
        </is>
      </c>
      <c r="H424" t="inlineStr">
        <is>
          <t>EBERT, EMILIA</t>
        </is>
      </c>
      <c r="I424" t="inlineStr">
        <is>
          <t>Crew Civil</t>
        </is>
      </c>
      <c r="J424" t="inlineStr">
        <is>
          <t>Zlecenie</t>
        </is>
      </c>
      <c r="K424" t="n">
        <v>5.26</v>
      </c>
      <c r="L424" t="inlineStr">
        <is>
          <t>384</t>
        </is>
      </c>
      <c r="M424" t="inlineStr">
        <is>
          <t>108120 SBX Warszawa Janki</t>
        </is>
      </c>
      <c r="N424" t="inlineStr">
        <is>
          <t>2026-09-11 19:06</t>
        </is>
      </c>
    </row>
    <row r="425">
      <c r="A425" t="n">
        <v>424</v>
      </c>
      <c r="B425" t="inlineStr">
        <is>
          <t>2026-08-05</t>
        </is>
      </c>
      <c r="C425" t="n">
        <v>2026</v>
      </c>
      <c r="D425" t="inlineStr">
        <is>
          <t>Sierpień</t>
        </is>
      </c>
      <c r="E425" t="inlineStr">
        <is>
          <t>W2</t>
        </is>
      </c>
      <c r="F425" t="inlineStr">
        <is>
          <t>2026_Sierpień_W2</t>
        </is>
      </c>
      <c r="G425" t="inlineStr">
        <is>
          <t>Śr</t>
        </is>
      </c>
      <c r="H425" t="inlineStr">
        <is>
          <t>EBERT, EMILIA</t>
        </is>
      </c>
      <c r="I425" t="inlineStr">
        <is>
          <t>Crew Civil</t>
        </is>
      </c>
      <c r="J425" t="inlineStr">
        <is>
          <t>Zlecenie</t>
        </is>
      </c>
      <c r="K425" t="n">
        <v>7.84</v>
      </c>
      <c r="L425" t="inlineStr">
        <is>
          <t>384</t>
        </is>
      </c>
      <c r="M425" t="inlineStr">
        <is>
          <t>108120 SBX Warszawa Janki</t>
        </is>
      </c>
      <c r="N425" t="inlineStr">
        <is>
          <t>2026-09-11 19:06</t>
        </is>
      </c>
    </row>
    <row r="426">
      <c r="A426" t="n">
        <v>425</v>
      </c>
      <c r="B426" t="inlineStr">
        <is>
          <t>2026-08-06</t>
        </is>
      </c>
      <c r="C426" t="n">
        <v>2026</v>
      </c>
      <c r="D426" t="inlineStr">
        <is>
          <t>Sierpień</t>
        </is>
      </c>
      <c r="E426" t="inlineStr">
        <is>
          <t>W2</t>
        </is>
      </c>
      <c r="F426" t="inlineStr">
        <is>
          <t>2026_Sierpień_W2</t>
        </is>
      </c>
      <c r="G426" t="inlineStr">
        <is>
          <t>Czw</t>
        </is>
      </c>
      <c r="H426" t="inlineStr">
        <is>
          <t>EBERT, EMILIA</t>
        </is>
      </c>
      <c r="I426" t="inlineStr">
        <is>
          <t>Crew Civil</t>
        </is>
      </c>
      <c r="J426" t="inlineStr">
        <is>
          <t>Zlecenie</t>
        </is>
      </c>
      <c r="K426" t="n">
        <v>8.49</v>
      </c>
      <c r="L426" t="inlineStr">
        <is>
          <t>384</t>
        </is>
      </c>
      <c r="M426" t="inlineStr">
        <is>
          <t>108120 SBX Warszawa Janki</t>
        </is>
      </c>
      <c r="N426" t="inlineStr">
        <is>
          <t>2026-09-11 19:06</t>
        </is>
      </c>
    </row>
    <row r="427">
      <c r="A427" t="n">
        <v>426</v>
      </c>
      <c r="B427" t="inlineStr">
        <is>
          <t>2026-08-08</t>
        </is>
      </c>
      <c r="C427" t="n">
        <v>2026</v>
      </c>
      <c r="D427" t="inlineStr">
        <is>
          <t>Sierpień</t>
        </is>
      </c>
      <c r="E427" t="inlineStr">
        <is>
          <t>W2</t>
        </is>
      </c>
      <c r="F427" t="inlineStr">
        <is>
          <t>2026_Sierpień_W2</t>
        </is>
      </c>
      <c r="G427" t="inlineStr">
        <is>
          <t>Sob</t>
        </is>
      </c>
      <c r="H427" t="inlineStr">
        <is>
          <t>EBERT, EMILIA</t>
        </is>
      </c>
      <c r="I427" t="inlineStr">
        <is>
          <t>Crew Civil</t>
        </is>
      </c>
      <c r="J427" t="inlineStr">
        <is>
          <t>Zlecenie</t>
        </is>
      </c>
      <c r="K427" t="n">
        <v>7.41</v>
      </c>
      <c r="L427" t="inlineStr">
        <is>
          <t>384</t>
        </is>
      </c>
      <c r="M427" t="inlineStr">
        <is>
          <t>108120 SBX Warszawa Janki</t>
        </is>
      </c>
      <c r="N427" t="inlineStr">
        <is>
          <t>2026-09-11 19:06</t>
        </is>
      </c>
    </row>
    <row r="428">
      <c r="A428" t="n">
        <v>427</v>
      </c>
      <c r="B428" t="inlineStr">
        <is>
          <t>2026-08-25</t>
        </is>
      </c>
      <c r="C428" t="n">
        <v>2026</v>
      </c>
      <c r="D428" t="inlineStr">
        <is>
          <t>Sierpień</t>
        </is>
      </c>
      <c r="E428" t="inlineStr">
        <is>
          <t>W5</t>
        </is>
      </c>
      <c r="F428" t="inlineStr">
        <is>
          <t>2026_Sierpień_W5</t>
        </is>
      </c>
      <c r="G428" t="inlineStr">
        <is>
          <t>Wt</t>
        </is>
      </c>
      <c r="H428" t="inlineStr">
        <is>
          <t>EBERT, EMILIA</t>
        </is>
      </c>
      <c r="I428" t="inlineStr">
        <is>
          <t>Crew Civil</t>
        </is>
      </c>
      <c r="J428" t="inlineStr">
        <is>
          <t>Zlecenie</t>
        </is>
      </c>
      <c r="K428" t="n">
        <v>5.28</v>
      </c>
      <c r="L428" t="inlineStr">
        <is>
          <t>384</t>
        </is>
      </c>
      <c r="M428" t="inlineStr">
        <is>
          <t>108120 SBX Warszawa Janki</t>
        </is>
      </c>
      <c r="N428" t="inlineStr">
        <is>
          <t>2026-09-11 19:06</t>
        </is>
      </c>
    </row>
    <row r="429">
      <c r="A429" t="n">
        <v>428</v>
      </c>
      <c r="B429" t="inlineStr">
        <is>
          <t>2026-08-29</t>
        </is>
      </c>
      <c r="C429" t="n">
        <v>2026</v>
      </c>
      <c r="D429" t="inlineStr">
        <is>
          <t>Sierpień</t>
        </is>
      </c>
      <c r="E429" t="inlineStr">
        <is>
          <t>W5</t>
        </is>
      </c>
      <c r="F429" t="inlineStr">
        <is>
          <t>2026_Sierpień_W5</t>
        </is>
      </c>
      <c r="G429" t="inlineStr">
        <is>
          <t>Sob</t>
        </is>
      </c>
      <c r="H429" t="inlineStr">
        <is>
          <t>EBERT, EMILIA</t>
        </is>
      </c>
      <c r="I429" t="inlineStr">
        <is>
          <t>Crew Civil</t>
        </is>
      </c>
      <c r="J429" t="inlineStr">
        <is>
          <t>Zlecenie</t>
        </is>
      </c>
      <c r="K429" t="n">
        <v>8</v>
      </c>
      <c r="L429" t="inlineStr">
        <is>
          <t>384</t>
        </is>
      </c>
      <c r="M429" t="inlineStr">
        <is>
          <t>108120 SBX Warszawa Janki</t>
        </is>
      </c>
      <c r="N429" t="inlineStr">
        <is>
          <t>2026-09-11 19:06</t>
        </is>
      </c>
    </row>
    <row r="430">
      <c r="A430" t="n">
        <v>429</v>
      </c>
      <c r="B430" t="inlineStr">
        <is>
          <t>2026-08-30</t>
        </is>
      </c>
      <c r="C430" t="n">
        <v>2026</v>
      </c>
      <c r="D430" t="inlineStr">
        <is>
          <t>Sierpień</t>
        </is>
      </c>
      <c r="E430" t="inlineStr">
        <is>
          <t>W5</t>
        </is>
      </c>
      <c r="F430" t="inlineStr">
        <is>
          <t>2026_Sierpień_W5</t>
        </is>
      </c>
      <c r="G430" t="inlineStr">
        <is>
          <t>Nd</t>
        </is>
      </c>
      <c r="H430" t="inlineStr">
        <is>
          <t>EBERT, EMILIA</t>
        </is>
      </c>
      <c r="I430" t="inlineStr">
        <is>
          <t>Crew Civil</t>
        </is>
      </c>
      <c r="J430" t="inlineStr">
        <is>
          <t>Zlecenie</t>
        </is>
      </c>
      <c r="K430" t="n">
        <v>8.07</v>
      </c>
      <c r="L430" t="inlineStr">
        <is>
          <t>384</t>
        </is>
      </c>
      <c r="M430" t="inlineStr">
        <is>
          <t>108120 SBX Warszawa Janki</t>
        </is>
      </c>
      <c r="N430" t="inlineStr">
        <is>
          <t>2026-09-11 19:06</t>
        </is>
      </c>
    </row>
    <row r="431">
      <c r="A431" t="n">
        <v>430</v>
      </c>
      <c r="B431" t="inlineStr">
        <is>
          <t>2026-08-31</t>
        </is>
      </c>
      <c r="C431" t="n">
        <v>2026</v>
      </c>
      <c r="D431" t="inlineStr">
        <is>
          <t>Sierpień</t>
        </is>
      </c>
      <c r="E431" t="inlineStr">
        <is>
          <t>W5</t>
        </is>
      </c>
      <c r="F431" t="inlineStr">
        <is>
          <t>2026_Sierpień_W5</t>
        </is>
      </c>
      <c r="G431" t="inlineStr">
        <is>
          <t>Pn</t>
        </is>
      </c>
      <c r="H431" t="inlineStr">
        <is>
          <t>EBERT, EMILIA</t>
        </is>
      </c>
      <c r="I431" t="inlineStr">
        <is>
          <t>Crew Civil</t>
        </is>
      </c>
      <c r="J431" t="inlineStr">
        <is>
          <t>Zlecenie</t>
        </is>
      </c>
      <c r="K431" t="n">
        <v>3.79</v>
      </c>
      <c r="L431" t="inlineStr">
        <is>
          <t>384</t>
        </is>
      </c>
      <c r="M431" t="inlineStr">
        <is>
          <t>108120 SBX Warszawa Janki</t>
        </is>
      </c>
      <c r="N431" t="inlineStr">
        <is>
          <t>2026-09-11 19:06</t>
        </is>
      </c>
    </row>
    <row r="432">
      <c r="A432" t="n">
        <v>431</v>
      </c>
      <c r="B432" t="inlineStr">
        <is>
          <t>2026-09-04</t>
        </is>
      </c>
      <c r="C432" t="n">
        <v>2026</v>
      </c>
      <c r="D432" t="inlineStr">
        <is>
          <t>Wrzesień</t>
        </is>
      </c>
      <c r="E432" t="inlineStr">
        <is>
          <t>W1</t>
        </is>
      </c>
      <c r="F432" t="inlineStr">
        <is>
          <t>2026_Wrzesień_W1</t>
        </is>
      </c>
      <c r="G432" t="inlineStr">
        <is>
          <t>Pt</t>
        </is>
      </c>
      <c r="H432" t="inlineStr">
        <is>
          <t>EBERT, EMILIA</t>
        </is>
      </c>
      <c r="I432" t="inlineStr">
        <is>
          <t>Crew Civil</t>
        </is>
      </c>
      <c r="J432" t="inlineStr">
        <is>
          <t>Zlecenie</t>
        </is>
      </c>
      <c r="K432" t="n">
        <v>7.19</v>
      </c>
      <c r="L432" t="inlineStr">
        <is>
          <t>384</t>
        </is>
      </c>
      <c r="M432" t="inlineStr">
        <is>
          <t>108120 SBX Warszawa Janki</t>
        </is>
      </c>
      <c r="N432" t="inlineStr">
        <is>
          <t>2026-09-11 19:06</t>
        </is>
      </c>
    </row>
    <row r="433">
      <c r="A433" t="n">
        <v>432</v>
      </c>
      <c r="B433" t="inlineStr">
        <is>
          <t>2026-09-05</t>
        </is>
      </c>
      <c r="C433" t="n">
        <v>2026</v>
      </c>
      <c r="D433" t="inlineStr">
        <is>
          <t>Wrzesień</t>
        </is>
      </c>
      <c r="E433" t="inlineStr">
        <is>
          <t>W1</t>
        </is>
      </c>
      <c r="F433" t="inlineStr">
        <is>
          <t>2026_Wrzesień_W1</t>
        </is>
      </c>
      <c r="G433" t="inlineStr">
        <is>
          <t>Sob</t>
        </is>
      </c>
      <c r="H433" t="inlineStr">
        <is>
          <t>EBERT, EMILIA</t>
        </is>
      </c>
      <c r="I433" t="inlineStr">
        <is>
          <t>Crew Civil</t>
        </is>
      </c>
      <c r="J433" t="inlineStr">
        <is>
          <t>Zlecenie</t>
        </is>
      </c>
      <c r="K433" t="n">
        <v>7.94</v>
      </c>
      <c r="L433" t="inlineStr">
        <is>
          <t>384</t>
        </is>
      </c>
      <c r="M433" t="inlineStr">
        <is>
          <t>108120 SBX Warszawa Janki</t>
        </is>
      </c>
      <c r="N433" t="inlineStr">
        <is>
          <t>2026-09-11 19:06</t>
        </is>
      </c>
    </row>
    <row r="434">
      <c r="A434" t="n">
        <v>433</v>
      </c>
      <c r="B434" t="inlineStr">
        <is>
          <t>2026-08-18</t>
        </is>
      </c>
      <c r="C434" t="n">
        <v>2026</v>
      </c>
      <c r="D434" t="inlineStr">
        <is>
          <t>Sierpień</t>
        </is>
      </c>
      <c r="E434" t="inlineStr">
        <is>
          <t>W4</t>
        </is>
      </c>
      <c r="F434" t="inlineStr">
        <is>
          <t>2026_Sierpień_W4</t>
        </is>
      </c>
      <c r="G434" t="inlineStr">
        <is>
          <t>Wt</t>
        </is>
      </c>
      <c r="H434" t="inlineStr">
        <is>
          <t>GMUREK, MARIKA</t>
        </is>
      </c>
      <c r="I434" t="inlineStr">
        <is>
          <t>Crew Civil</t>
        </is>
      </c>
      <c r="J434" t="inlineStr">
        <is>
          <t>Zlecenie</t>
        </is>
      </c>
      <c r="K434" t="n">
        <v>6.76</v>
      </c>
      <c r="L434" t="inlineStr">
        <is>
          <t>384</t>
        </is>
      </c>
      <c r="M434" t="inlineStr">
        <is>
          <t>108120 SBX Warszawa Janki</t>
        </is>
      </c>
      <c r="N434" t="inlineStr">
        <is>
          <t>2026-09-11 19:06</t>
        </is>
      </c>
    </row>
    <row r="435">
      <c r="A435" t="n">
        <v>434</v>
      </c>
      <c r="B435" t="inlineStr">
        <is>
          <t>2026-08-23</t>
        </is>
      </c>
      <c r="C435" t="n">
        <v>2026</v>
      </c>
      <c r="D435" t="inlineStr">
        <is>
          <t>Sierpień</t>
        </is>
      </c>
      <c r="E435" t="inlineStr">
        <is>
          <t>W4</t>
        </is>
      </c>
      <c r="F435" t="inlineStr">
        <is>
          <t>2026_Sierpień_W4</t>
        </is>
      </c>
      <c r="G435" t="inlineStr">
        <is>
          <t>Nd</t>
        </is>
      </c>
      <c r="H435" t="inlineStr">
        <is>
          <t>GMUREK, MARIKA</t>
        </is>
      </c>
      <c r="I435" t="inlineStr">
        <is>
          <t>Crew Civil</t>
        </is>
      </c>
      <c r="J435" t="inlineStr">
        <is>
          <t>Zlecenie</t>
        </is>
      </c>
      <c r="K435" t="n">
        <v>5.95</v>
      </c>
      <c r="L435" t="inlineStr">
        <is>
          <t>384</t>
        </is>
      </c>
      <c r="M435" t="inlineStr">
        <is>
          <t>108120 SBX Warszawa Janki</t>
        </is>
      </c>
      <c r="N435" t="inlineStr">
        <is>
          <t>2026-09-11 19:06</t>
        </is>
      </c>
    </row>
    <row r="436">
      <c r="A436" t="n">
        <v>435</v>
      </c>
      <c r="B436" t="inlineStr">
        <is>
          <t>2026-08-24</t>
        </is>
      </c>
      <c r="C436" t="n">
        <v>2026</v>
      </c>
      <c r="D436" t="inlineStr">
        <is>
          <t>Sierpień</t>
        </is>
      </c>
      <c r="E436" t="inlineStr">
        <is>
          <t>W4</t>
        </is>
      </c>
      <c r="F436" t="inlineStr">
        <is>
          <t>2026_Sierpień_W4</t>
        </is>
      </c>
      <c r="G436" t="inlineStr">
        <is>
          <t>Pn</t>
        </is>
      </c>
      <c r="H436" t="inlineStr">
        <is>
          <t>GMUREK, MARIKA</t>
        </is>
      </c>
      <c r="I436" t="inlineStr">
        <is>
          <t>Crew Civil</t>
        </is>
      </c>
      <c r="J436" t="inlineStr">
        <is>
          <t>Zlecenie</t>
        </is>
      </c>
      <c r="K436" t="n">
        <v>7.09</v>
      </c>
      <c r="L436" t="inlineStr">
        <is>
          <t>384</t>
        </is>
      </c>
      <c r="M436" t="inlineStr">
        <is>
          <t>108120 SBX Warszawa Janki</t>
        </is>
      </c>
      <c r="N436" t="inlineStr">
        <is>
          <t>2026-09-11 19:06</t>
        </is>
      </c>
    </row>
    <row r="437">
      <c r="A437" t="n">
        <v>436</v>
      </c>
      <c r="B437" t="inlineStr">
        <is>
          <t>2026-08-25</t>
        </is>
      </c>
      <c r="C437" t="n">
        <v>2026</v>
      </c>
      <c r="D437" t="inlineStr">
        <is>
          <t>Sierpień</t>
        </is>
      </c>
      <c r="E437" t="inlineStr">
        <is>
          <t>W5</t>
        </is>
      </c>
      <c r="F437" t="inlineStr">
        <is>
          <t>2026_Sierpień_W5</t>
        </is>
      </c>
      <c r="G437" t="inlineStr">
        <is>
          <t>Wt</t>
        </is>
      </c>
      <c r="H437" t="inlineStr">
        <is>
          <t>GMUREK, MARIKA</t>
        </is>
      </c>
      <c r="I437" t="inlineStr">
        <is>
          <t>Crew Civil</t>
        </is>
      </c>
      <c r="J437" t="inlineStr">
        <is>
          <t>Zlecenie</t>
        </is>
      </c>
      <c r="K437" t="n">
        <v>7.05</v>
      </c>
      <c r="L437" t="inlineStr">
        <is>
          <t>384</t>
        </is>
      </c>
      <c r="M437" t="inlineStr">
        <is>
          <t>108120 SBX Warszawa Janki</t>
        </is>
      </c>
      <c r="N437" t="inlineStr">
        <is>
          <t>2026-09-11 19:06</t>
        </is>
      </c>
    </row>
    <row r="438">
      <c r="A438" t="n">
        <v>437</v>
      </c>
      <c r="B438" t="inlineStr">
        <is>
          <t>2026-08-26</t>
        </is>
      </c>
      <c r="C438" t="n">
        <v>2026</v>
      </c>
      <c r="D438" t="inlineStr">
        <is>
          <t>Sierpień</t>
        </is>
      </c>
      <c r="E438" t="inlineStr">
        <is>
          <t>W5</t>
        </is>
      </c>
      <c r="F438" t="inlineStr">
        <is>
          <t>2026_Sierpień_W5</t>
        </is>
      </c>
      <c r="G438" t="inlineStr">
        <is>
          <t>Śr</t>
        </is>
      </c>
      <c r="H438" t="inlineStr">
        <is>
          <t>GMUREK, MARIKA</t>
        </is>
      </c>
      <c r="I438" t="inlineStr">
        <is>
          <t>Crew Civil</t>
        </is>
      </c>
      <c r="J438" t="inlineStr">
        <is>
          <t>Zlecenie</t>
        </is>
      </c>
      <c r="K438" t="n">
        <v>8.15</v>
      </c>
      <c r="L438" t="inlineStr">
        <is>
          <t>384</t>
        </is>
      </c>
      <c r="M438" t="inlineStr">
        <is>
          <t>108120 SBX Warszawa Janki</t>
        </is>
      </c>
      <c r="N438" t="inlineStr">
        <is>
          <t>2026-09-11 19:06</t>
        </is>
      </c>
    </row>
    <row r="439">
      <c r="A439" t="n">
        <v>438</v>
      </c>
      <c r="B439" t="inlineStr">
        <is>
          <t>2026-08-28</t>
        </is>
      </c>
      <c r="C439" t="n">
        <v>2026</v>
      </c>
      <c r="D439" t="inlineStr">
        <is>
          <t>Sierpień</t>
        </is>
      </c>
      <c r="E439" t="inlineStr">
        <is>
          <t>W5</t>
        </is>
      </c>
      <c r="F439" t="inlineStr">
        <is>
          <t>2026_Sierpień_W5</t>
        </is>
      </c>
      <c r="G439" t="inlineStr">
        <is>
          <t>Pt</t>
        </is>
      </c>
      <c r="H439" t="inlineStr">
        <is>
          <t>GMUREK, MARIKA</t>
        </is>
      </c>
      <c r="I439" t="inlineStr">
        <is>
          <t>Crew Civil</t>
        </is>
      </c>
      <c r="J439" t="inlineStr">
        <is>
          <t>Zlecenie</t>
        </is>
      </c>
      <c r="K439" t="n">
        <v>7.05</v>
      </c>
      <c r="L439" t="inlineStr">
        <is>
          <t>384</t>
        </is>
      </c>
      <c r="M439" t="inlineStr">
        <is>
          <t>108120 SBX Warszawa Janki</t>
        </is>
      </c>
      <c r="N439" t="inlineStr">
        <is>
          <t>2026-09-11 19:06</t>
        </is>
      </c>
    </row>
    <row r="440">
      <c r="A440" t="n">
        <v>439</v>
      </c>
      <c r="B440" t="inlineStr">
        <is>
          <t>2026-09-05</t>
        </is>
      </c>
      <c r="C440" t="n">
        <v>2026</v>
      </c>
      <c r="D440" t="inlineStr">
        <is>
          <t>Wrzesień</t>
        </is>
      </c>
      <c r="E440" t="inlineStr">
        <is>
          <t>W1</t>
        </is>
      </c>
      <c r="F440" t="inlineStr">
        <is>
          <t>2026_Wrzesień_W1</t>
        </is>
      </c>
      <c r="G440" t="inlineStr">
        <is>
          <t>Sob</t>
        </is>
      </c>
      <c r="H440" t="inlineStr">
        <is>
          <t>GMUREK, MARIKA</t>
        </is>
      </c>
      <c r="I440" t="inlineStr">
        <is>
          <t>Crew Civil</t>
        </is>
      </c>
      <c r="J440" t="inlineStr">
        <is>
          <t>Zlecenie</t>
        </is>
      </c>
      <c r="K440" t="n">
        <v>8.109999999999999</v>
      </c>
      <c r="L440" t="inlineStr">
        <is>
          <t>384</t>
        </is>
      </c>
      <c r="M440" t="inlineStr">
        <is>
          <t>108120 SBX Warszawa Janki</t>
        </is>
      </c>
      <c r="N440" t="inlineStr">
        <is>
          <t>2026-09-11 19:06</t>
        </is>
      </c>
    </row>
    <row r="441">
      <c r="A441" t="n">
        <v>440</v>
      </c>
      <c r="B441" t="inlineStr">
        <is>
          <t>2026-09-07</t>
        </is>
      </c>
      <c r="C441" t="n">
        <v>2026</v>
      </c>
      <c r="D441" t="inlineStr">
        <is>
          <t>Wrzesień</t>
        </is>
      </c>
      <c r="E441" t="inlineStr">
        <is>
          <t>W1</t>
        </is>
      </c>
      <c r="F441" t="inlineStr">
        <is>
          <t>2026_Wrzesień_W1</t>
        </is>
      </c>
      <c r="G441" t="inlineStr">
        <is>
          <t>Pn</t>
        </is>
      </c>
      <c r="H441" t="inlineStr">
        <is>
          <t>GMUREK, MARIKA</t>
        </is>
      </c>
      <c r="I441" t="inlineStr">
        <is>
          <t>Crew Civil</t>
        </is>
      </c>
      <c r="J441" t="inlineStr">
        <is>
          <t>Zlecenie</t>
        </is>
      </c>
      <c r="K441" t="n">
        <v>5.74</v>
      </c>
      <c r="L441" t="inlineStr">
        <is>
          <t>384</t>
        </is>
      </c>
      <c r="M441" t="inlineStr">
        <is>
          <t>108120 SBX Warszawa Janki</t>
        </is>
      </c>
      <c r="N441" t="inlineStr">
        <is>
          <t>2026-09-11 19:06</t>
        </is>
      </c>
    </row>
    <row r="442">
      <c r="A442" t="n">
        <v>441</v>
      </c>
      <c r="B442" t="inlineStr">
        <is>
          <t>2026-01-02</t>
        </is>
      </c>
      <c r="C442" t="n">
        <v>2026</v>
      </c>
      <c r="D442" t="inlineStr">
        <is>
          <t>Styczeń</t>
        </is>
      </c>
      <c r="E442" t="inlineStr">
        <is>
          <t>W1</t>
        </is>
      </c>
      <c r="F442" t="inlineStr">
        <is>
          <t>2026_Styczeń_W1</t>
        </is>
      </c>
      <c r="G442" t="inlineStr">
        <is>
          <t>Pt</t>
        </is>
      </c>
      <c r="H442" t="inlineStr">
        <is>
          <t>KAMIŃSKI, KAMIL</t>
        </is>
      </c>
      <c r="I442" t="inlineStr">
        <is>
          <t>Shift manager/Supervisor</t>
        </is>
      </c>
      <c r="J442" t="inlineStr">
        <is>
          <t>Standard 1,0|40h</t>
        </is>
      </c>
      <c r="K442" t="n">
        <v>8</v>
      </c>
      <c r="L442" t="inlineStr">
        <is>
          <t>384</t>
        </is>
      </c>
      <c r="M442" t="inlineStr">
        <is>
          <t>108120 SBX Warszawa Janki</t>
        </is>
      </c>
      <c r="N442" t="inlineStr">
        <is>
          <t>2026-09-11 19:06</t>
        </is>
      </c>
    </row>
    <row r="443">
      <c r="A443" t="n">
        <v>442</v>
      </c>
      <c r="B443" t="inlineStr">
        <is>
          <t>2026-01-03</t>
        </is>
      </c>
      <c r="C443" t="n">
        <v>2026</v>
      </c>
      <c r="D443" t="inlineStr">
        <is>
          <t>Styczeń</t>
        </is>
      </c>
      <c r="E443" t="inlineStr">
        <is>
          <t>W1</t>
        </is>
      </c>
      <c r="F443" t="inlineStr">
        <is>
          <t>2026_Styczeń_W1</t>
        </is>
      </c>
      <c r="G443" t="inlineStr">
        <is>
          <t>Sob</t>
        </is>
      </c>
      <c r="H443" t="inlineStr">
        <is>
          <t>KAMIŃSKI, KAMIL</t>
        </is>
      </c>
      <c r="I443" t="inlineStr">
        <is>
          <t>Shift manager/Supervisor</t>
        </is>
      </c>
      <c r="J443" t="inlineStr">
        <is>
          <t>Standard 1,0|40h</t>
        </is>
      </c>
      <c r="K443" t="n">
        <v>8.81</v>
      </c>
      <c r="L443" t="inlineStr">
        <is>
          <t>384</t>
        </is>
      </c>
      <c r="M443" t="inlineStr">
        <is>
          <t>108120 SBX Warszawa Janki</t>
        </is>
      </c>
      <c r="N443" t="inlineStr">
        <is>
          <t>2026-09-11 19:06</t>
        </is>
      </c>
    </row>
    <row r="444">
      <c r="A444" t="n">
        <v>443</v>
      </c>
      <c r="B444" t="inlineStr">
        <is>
          <t>2026-01-05</t>
        </is>
      </c>
      <c r="C444" t="n">
        <v>2026</v>
      </c>
      <c r="D444" t="inlineStr">
        <is>
          <t>Styczeń</t>
        </is>
      </c>
      <c r="E444" t="inlineStr">
        <is>
          <t>W1</t>
        </is>
      </c>
      <c r="F444" t="inlineStr">
        <is>
          <t>2026_Styczeń_W1</t>
        </is>
      </c>
      <c r="G444" t="inlineStr">
        <is>
          <t>Pn</t>
        </is>
      </c>
      <c r="H444" t="inlineStr">
        <is>
          <t>KAMIŃSKI, KAMIL</t>
        </is>
      </c>
      <c r="I444" t="inlineStr">
        <is>
          <t>Shift manager/Supervisor</t>
        </is>
      </c>
      <c r="J444" t="inlineStr">
        <is>
          <t>Standard 1,0|40h</t>
        </is>
      </c>
      <c r="K444" t="n">
        <v>8.25</v>
      </c>
      <c r="L444" t="inlineStr">
        <is>
          <t>384</t>
        </is>
      </c>
      <c r="M444" t="inlineStr">
        <is>
          <t>108120 SBX Warszawa Janki</t>
        </is>
      </c>
      <c r="N444" t="inlineStr">
        <is>
          <t>2026-09-11 19:06</t>
        </is>
      </c>
    </row>
    <row r="445">
      <c r="A445" t="n">
        <v>444</v>
      </c>
      <c r="B445" t="inlineStr">
        <is>
          <t>2026-01-06</t>
        </is>
      </c>
      <c r="C445" t="n">
        <v>2026</v>
      </c>
      <c r="D445" t="inlineStr">
        <is>
          <t>Styczeń</t>
        </is>
      </c>
      <c r="E445" t="inlineStr">
        <is>
          <t>W2</t>
        </is>
      </c>
      <c r="F445" t="inlineStr">
        <is>
          <t>2026_Styczeń_W2</t>
        </is>
      </c>
      <c r="G445" t="inlineStr">
        <is>
          <t>Wt</t>
        </is>
      </c>
      <c r="H445" t="inlineStr">
        <is>
          <t>KAMIŃSKI, KAMIL</t>
        </is>
      </c>
      <c r="I445" t="inlineStr">
        <is>
          <t>Shift manager/Supervisor</t>
        </is>
      </c>
      <c r="J445" t="inlineStr">
        <is>
          <t>Standard 1,0|40h</t>
        </is>
      </c>
      <c r="K445" t="n">
        <v>5.54</v>
      </c>
      <c r="L445" t="inlineStr">
        <is>
          <t>384</t>
        </is>
      </c>
      <c r="M445" t="inlineStr">
        <is>
          <t>108120 SBX Warszawa Janki</t>
        </is>
      </c>
      <c r="N445" t="inlineStr">
        <is>
          <t>2026-09-11 19:06</t>
        </is>
      </c>
    </row>
    <row r="446">
      <c r="A446" t="n">
        <v>445</v>
      </c>
      <c r="B446" t="inlineStr">
        <is>
          <t>2026-01-08</t>
        </is>
      </c>
      <c r="C446" t="n">
        <v>2026</v>
      </c>
      <c r="D446" t="inlineStr">
        <is>
          <t>Styczeń</t>
        </is>
      </c>
      <c r="E446" t="inlineStr">
        <is>
          <t>W2</t>
        </is>
      </c>
      <c r="F446" t="inlineStr">
        <is>
          <t>2026_Styczeń_W2</t>
        </is>
      </c>
      <c r="G446" t="inlineStr">
        <is>
          <t>Czw</t>
        </is>
      </c>
      <c r="H446" t="inlineStr">
        <is>
          <t>KAMIŃSKI, KAMIL</t>
        </is>
      </c>
      <c r="I446" t="inlineStr">
        <is>
          <t>Shift manager/Supervisor</t>
        </is>
      </c>
      <c r="J446" t="inlineStr">
        <is>
          <t>Standard 1,0|40h</t>
        </is>
      </c>
      <c r="K446" t="n">
        <v>8.17</v>
      </c>
      <c r="L446" t="inlineStr">
        <is>
          <t>384</t>
        </is>
      </c>
      <c r="M446" t="inlineStr">
        <is>
          <t>108120 SBX Warszawa Janki</t>
        </is>
      </c>
      <c r="N446" t="inlineStr">
        <is>
          <t>2026-09-11 19:06</t>
        </is>
      </c>
    </row>
    <row r="447">
      <c r="A447" t="n">
        <v>446</v>
      </c>
      <c r="B447" t="inlineStr">
        <is>
          <t>2026-01-09</t>
        </is>
      </c>
      <c r="C447" t="n">
        <v>2026</v>
      </c>
      <c r="D447" t="inlineStr">
        <is>
          <t>Styczeń</t>
        </is>
      </c>
      <c r="E447" t="inlineStr">
        <is>
          <t>W2</t>
        </is>
      </c>
      <c r="F447" t="inlineStr">
        <is>
          <t>2026_Styczeń_W2</t>
        </is>
      </c>
      <c r="G447" t="inlineStr">
        <is>
          <t>Pt</t>
        </is>
      </c>
      <c r="H447" t="inlineStr">
        <is>
          <t>KAMIŃSKI, KAMIL</t>
        </is>
      </c>
      <c r="I447" t="inlineStr">
        <is>
          <t>Shift manager/Supervisor</t>
        </is>
      </c>
      <c r="J447" t="inlineStr">
        <is>
          <t>Standard 1,0|40h</t>
        </is>
      </c>
      <c r="K447" t="n">
        <v>8.550000000000001</v>
      </c>
      <c r="L447" t="inlineStr">
        <is>
          <t>384</t>
        </is>
      </c>
      <c r="M447" t="inlineStr">
        <is>
          <t>108120 SBX Warszawa Janki</t>
        </is>
      </c>
      <c r="N447" t="inlineStr">
        <is>
          <t>2026-09-11 19:06</t>
        </is>
      </c>
    </row>
    <row r="448">
      <c r="A448" t="n">
        <v>447</v>
      </c>
      <c r="B448" t="inlineStr">
        <is>
          <t>2026-01-12</t>
        </is>
      </c>
      <c r="C448" t="n">
        <v>2026</v>
      </c>
      <c r="D448" t="inlineStr">
        <is>
          <t>Styczeń</t>
        </is>
      </c>
      <c r="E448" t="inlineStr">
        <is>
          <t>W2</t>
        </is>
      </c>
      <c r="F448" t="inlineStr">
        <is>
          <t>2026_Styczeń_W2</t>
        </is>
      </c>
      <c r="G448" t="inlineStr">
        <is>
          <t>Pn</t>
        </is>
      </c>
      <c r="H448" t="inlineStr">
        <is>
          <t>KAMIŃSKI, KAMIL</t>
        </is>
      </c>
      <c r="I448" t="inlineStr">
        <is>
          <t>Shift manager/Supervisor</t>
        </is>
      </c>
      <c r="J448" t="inlineStr">
        <is>
          <t>Standard 1,0|40h</t>
        </is>
      </c>
      <c r="K448" t="n">
        <v>8</v>
      </c>
      <c r="L448" t="inlineStr">
        <is>
          <t>384</t>
        </is>
      </c>
      <c r="M448" t="inlineStr">
        <is>
          <t>108120 SBX Warszawa Janki</t>
        </is>
      </c>
      <c r="N448" t="inlineStr">
        <is>
          <t>2026-09-11 19:06</t>
        </is>
      </c>
    </row>
    <row r="449">
      <c r="A449" t="n">
        <v>448</v>
      </c>
      <c r="B449" t="inlineStr">
        <is>
          <t>2026-01-13</t>
        </is>
      </c>
      <c r="C449" t="n">
        <v>2026</v>
      </c>
      <c r="D449" t="inlineStr">
        <is>
          <t>Styczeń</t>
        </is>
      </c>
      <c r="E449" t="inlineStr">
        <is>
          <t>W3</t>
        </is>
      </c>
      <c r="F449" t="inlineStr">
        <is>
          <t>2026_Styczeń_W3</t>
        </is>
      </c>
      <c r="G449" t="inlineStr">
        <is>
          <t>Wt</t>
        </is>
      </c>
      <c r="H449" t="inlineStr">
        <is>
          <t>KAMIŃSKI, KAMIL</t>
        </is>
      </c>
      <c r="I449" t="inlineStr">
        <is>
          <t>Shift manager/Supervisor</t>
        </is>
      </c>
      <c r="J449" t="inlineStr">
        <is>
          <t>Standard 1,0|40h</t>
        </is>
      </c>
      <c r="K449" t="n">
        <v>7.93</v>
      </c>
      <c r="L449" t="inlineStr">
        <is>
          <t>384</t>
        </is>
      </c>
      <c r="M449" t="inlineStr">
        <is>
          <t>108120 SBX Warszawa Janki</t>
        </is>
      </c>
      <c r="N449" t="inlineStr">
        <is>
          <t>2026-09-11 19:06</t>
        </is>
      </c>
    </row>
    <row r="450">
      <c r="A450" t="n">
        <v>449</v>
      </c>
      <c r="B450" t="inlineStr">
        <is>
          <t>2026-01-14</t>
        </is>
      </c>
      <c r="C450" t="n">
        <v>2026</v>
      </c>
      <c r="D450" t="inlineStr">
        <is>
          <t>Styczeń</t>
        </is>
      </c>
      <c r="E450" t="inlineStr">
        <is>
          <t>W3</t>
        </is>
      </c>
      <c r="F450" t="inlineStr">
        <is>
          <t>2026_Styczeń_W3</t>
        </is>
      </c>
      <c r="G450" t="inlineStr">
        <is>
          <t>Śr</t>
        </is>
      </c>
      <c r="H450" t="inlineStr">
        <is>
          <t>KAMIŃSKI, KAMIL</t>
        </is>
      </c>
      <c r="I450" t="inlineStr">
        <is>
          <t>Shift manager/Supervisor</t>
        </is>
      </c>
      <c r="J450" t="inlineStr">
        <is>
          <t>Standard 1,0|40h</t>
        </is>
      </c>
      <c r="K450" t="n">
        <v>0</v>
      </c>
      <c r="L450" t="inlineStr">
        <is>
          <t>384</t>
        </is>
      </c>
      <c r="M450" t="inlineStr">
        <is>
          <t>108120 SBX Warszawa Janki</t>
        </is>
      </c>
      <c r="N450" t="inlineStr">
        <is>
          <t>2026-09-11 19:06</t>
        </is>
      </c>
    </row>
    <row r="451">
      <c r="A451" t="n">
        <v>450</v>
      </c>
      <c r="B451" t="inlineStr">
        <is>
          <t>2026-01-14</t>
        </is>
      </c>
      <c r="C451" t="n">
        <v>2026</v>
      </c>
      <c r="D451" t="inlineStr">
        <is>
          <t>Styczeń</t>
        </is>
      </c>
      <c r="E451" t="inlineStr">
        <is>
          <t>W3</t>
        </is>
      </c>
      <c r="F451" t="inlineStr">
        <is>
          <t>2026_Styczeń_W3</t>
        </is>
      </c>
      <c r="G451" t="inlineStr">
        <is>
          <t>Śr</t>
        </is>
      </c>
      <c r="H451" t="inlineStr">
        <is>
          <t>KAMIŃSKI, KAMIL</t>
        </is>
      </c>
      <c r="I451" t="inlineStr">
        <is>
          <t>Shift manager/Supervisor</t>
        </is>
      </c>
      <c r="J451" t="inlineStr">
        <is>
          <t>Standard 1,0|40h</t>
        </is>
      </c>
      <c r="K451" t="n">
        <v>8</v>
      </c>
      <c r="L451" t="inlineStr">
        <is>
          <t>384</t>
        </is>
      </c>
      <c r="M451" t="inlineStr">
        <is>
          <t>108120 SBX Warszawa Janki</t>
        </is>
      </c>
      <c r="N451" t="inlineStr">
        <is>
          <t>2026-09-11 19:06</t>
        </is>
      </c>
    </row>
    <row r="452">
      <c r="A452" t="n">
        <v>451</v>
      </c>
      <c r="B452" t="inlineStr">
        <is>
          <t>2026-01-16</t>
        </is>
      </c>
      <c r="C452" t="n">
        <v>2026</v>
      </c>
      <c r="D452" t="inlineStr">
        <is>
          <t>Styczeń</t>
        </is>
      </c>
      <c r="E452" t="inlineStr">
        <is>
          <t>W3</t>
        </is>
      </c>
      <c r="F452" t="inlineStr">
        <is>
          <t>2026_Styczeń_W3</t>
        </is>
      </c>
      <c r="G452" t="inlineStr">
        <is>
          <t>Pt</t>
        </is>
      </c>
      <c r="H452" t="inlineStr">
        <is>
          <t>KAMIŃSKI, KAMIL</t>
        </is>
      </c>
      <c r="I452" t="inlineStr">
        <is>
          <t>Shift manager/Supervisor</t>
        </is>
      </c>
      <c r="J452" t="inlineStr">
        <is>
          <t>Standard 1,0|40h</t>
        </is>
      </c>
      <c r="K452" t="n">
        <v>8.57</v>
      </c>
      <c r="L452" t="inlineStr">
        <is>
          <t>384</t>
        </is>
      </c>
      <c r="M452" t="inlineStr">
        <is>
          <t>108120 SBX Warszawa Janki</t>
        </is>
      </c>
      <c r="N452" t="inlineStr">
        <is>
          <t>2026-09-11 19:06</t>
        </is>
      </c>
    </row>
    <row r="453">
      <c r="A453" t="n">
        <v>452</v>
      </c>
      <c r="B453" t="inlineStr">
        <is>
          <t>2026-01-17</t>
        </is>
      </c>
      <c r="C453" t="n">
        <v>2026</v>
      </c>
      <c r="D453" t="inlineStr">
        <is>
          <t>Styczeń</t>
        </is>
      </c>
      <c r="E453" t="inlineStr">
        <is>
          <t>W3</t>
        </is>
      </c>
      <c r="F453" t="inlineStr">
        <is>
          <t>2026_Styczeń_W3</t>
        </is>
      </c>
      <c r="G453" t="inlineStr">
        <is>
          <t>Sob</t>
        </is>
      </c>
      <c r="H453" t="inlineStr">
        <is>
          <t>KAMIŃSKI, KAMIL</t>
        </is>
      </c>
      <c r="I453" t="inlineStr">
        <is>
          <t>Shift manager/Supervisor</t>
        </is>
      </c>
      <c r="J453" t="inlineStr">
        <is>
          <t>Standard 1,0|40h</t>
        </is>
      </c>
      <c r="K453" t="n">
        <v>8.83</v>
      </c>
      <c r="L453" t="inlineStr">
        <is>
          <t>384</t>
        </is>
      </c>
      <c r="M453" t="inlineStr">
        <is>
          <t>108120 SBX Warszawa Janki</t>
        </is>
      </c>
      <c r="N453" t="inlineStr">
        <is>
          <t>2026-09-11 19:06</t>
        </is>
      </c>
    </row>
    <row r="454">
      <c r="A454" t="n">
        <v>453</v>
      </c>
      <c r="B454" t="inlineStr">
        <is>
          <t>2026-01-18</t>
        </is>
      </c>
      <c r="C454" t="n">
        <v>2026</v>
      </c>
      <c r="D454" t="inlineStr">
        <is>
          <t>Styczeń</t>
        </is>
      </c>
      <c r="E454" t="inlineStr">
        <is>
          <t>W3</t>
        </is>
      </c>
      <c r="F454" t="inlineStr">
        <is>
          <t>2026_Styczeń_W3</t>
        </is>
      </c>
      <c r="G454" t="inlineStr">
        <is>
          <t>Nd</t>
        </is>
      </c>
      <c r="H454" t="inlineStr">
        <is>
          <t>KAMIŃSKI, KAMIL</t>
        </is>
      </c>
      <c r="I454" t="inlineStr">
        <is>
          <t>Shift manager/Supervisor</t>
        </is>
      </c>
      <c r="J454" t="inlineStr">
        <is>
          <t>Standard 1,0|40h</t>
        </is>
      </c>
      <c r="K454" t="n">
        <v>6.39</v>
      </c>
      <c r="L454" t="inlineStr">
        <is>
          <t>384</t>
        </is>
      </c>
      <c r="M454" t="inlineStr">
        <is>
          <t>108120 SBX Warszawa Janki</t>
        </is>
      </c>
      <c r="N454" t="inlineStr">
        <is>
          <t>2026-09-11 19:06</t>
        </is>
      </c>
    </row>
    <row r="455">
      <c r="A455" t="n">
        <v>454</v>
      </c>
      <c r="B455" t="inlineStr">
        <is>
          <t>2026-01-19</t>
        </is>
      </c>
      <c r="C455" t="n">
        <v>2026</v>
      </c>
      <c r="D455" t="inlineStr">
        <is>
          <t>Styczeń</t>
        </is>
      </c>
      <c r="E455" t="inlineStr">
        <is>
          <t>W3</t>
        </is>
      </c>
      <c r="F455" t="inlineStr">
        <is>
          <t>2026_Styczeń_W3</t>
        </is>
      </c>
      <c r="G455" t="inlineStr">
        <is>
          <t>Pn</t>
        </is>
      </c>
      <c r="H455" t="inlineStr">
        <is>
          <t>KAMIŃSKI, KAMIL</t>
        </is>
      </c>
      <c r="I455" t="inlineStr">
        <is>
          <t>Shift manager/Supervisor</t>
        </is>
      </c>
      <c r="J455" t="inlineStr">
        <is>
          <t>Standard 1,0|40h</t>
        </is>
      </c>
      <c r="K455" t="n">
        <v>7.96</v>
      </c>
      <c r="L455" t="inlineStr">
        <is>
          <t>384</t>
        </is>
      </c>
      <c r="M455" t="inlineStr">
        <is>
          <t>108120 SBX Warszawa Janki</t>
        </is>
      </c>
      <c r="N455" t="inlineStr">
        <is>
          <t>2026-09-11 19:06</t>
        </is>
      </c>
    </row>
    <row r="456">
      <c r="A456" t="n">
        <v>455</v>
      </c>
      <c r="B456" t="inlineStr">
        <is>
          <t>2026-01-20</t>
        </is>
      </c>
      <c r="C456" t="n">
        <v>2026</v>
      </c>
      <c r="D456" t="inlineStr">
        <is>
          <t>Styczeń</t>
        </is>
      </c>
      <c r="E456" t="inlineStr">
        <is>
          <t>W4</t>
        </is>
      </c>
      <c r="F456" t="inlineStr">
        <is>
          <t>2026_Styczeń_W4</t>
        </is>
      </c>
      <c r="G456" t="inlineStr">
        <is>
          <t>Wt</t>
        </is>
      </c>
      <c r="H456" t="inlineStr">
        <is>
          <t>KAMIŃSKI, KAMIL</t>
        </is>
      </c>
      <c r="I456" t="inlineStr">
        <is>
          <t>Shift manager/Supervisor</t>
        </is>
      </c>
      <c r="J456" t="inlineStr">
        <is>
          <t>Standard 1,0|40h</t>
        </is>
      </c>
      <c r="K456" t="n">
        <v>7.68</v>
      </c>
      <c r="L456" t="inlineStr">
        <is>
          <t>384</t>
        </is>
      </c>
      <c r="M456" t="inlineStr">
        <is>
          <t>108120 SBX Warszawa Janki</t>
        </is>
      </c>
      <c r="N456" t="inlineStr">
        <is>
          <t>2026-09-11 19:06</t>
        </is>
      </c>
    </row>
    <row r="457">
      <c r="A457" t="n">
        <v>456</v>
      </c>
      <c r="B457" t="inlineStr">
        <is>
          <t>2026-01-22</t>
        </is>
      </c>
      <c r="C457" t="n">
        <v>2026</v>
      </c>
      <c r="D457" t="inlineStr">
        <is>
          <t>Styczeń</t>
        </is>
      </c>
      <c r="E457" t="inlineStr">
        <is>
          <t>W4</t>
        </is>
      </c>
      <c r="F457" t="inlineStr">
        <is>
          <t>2026_Styczeń_W4</t>
        </is>
      </c>
      <c r="G457" t="inlineStr">
        <is>
          <t>Czw</t>
        </is>
      </c>
      <c r="H457" t="inlineStr">
        <is>
          <t>KAMIŃSKI, KAMIL</t>
        </is>
      </c>
      <c r="I457" t="inlineStr">
        <is>
          <t>Shift manager/Supervisor</t>
        </is>
      </c>
      <c r="J457" t="inlineStr">
        <is>
          <t>Standard 1,0|40h</t>
        </is>
      </c>
      <c r="K457" t="n">
        <v>8.27</v>
      </c>
      <c r="L457" t="inlineStr">
        <is>
          <t>384</t>
        </is>
      </c>
      <c r="M457" t="inlineStr">
        <is>
          <t>108120 SBX Warszawa Janki</t>
        </is>
      </c>
      <c r="N457" t="inlineStr">
        <is>
          <t>2026-09-11 19:06</t>
        </is>
      </c>
    </row>
    <row r="458">
      <c r="A458" t="n">
        <v>457</v>
      </c>
      <c r="B458" t="inlineStr">
        <is>
          <t>2026-01-23</t>
        </is>
      </c>
      <c r="C458" t="n">
        <v>2026</v>
      </c>
      <c r="D458" t="inlineStr">
        <is>
          <t>Styczeń</t>
        </is>
      </c>
      <c r="E458" t="inlineStr">
        <is>
          <t>W4</t>
        </is>
      </c>
      <c r="F458" t="inlineStr">
        <is>
          <t>2026_Styczeń_W4</t>
        </is>
      </c>
      <c r="G458" t="inlineStr">
        <is>
          <t>Pt</t>
        </is>
      </c>
      <c r="H458" t="inlineStr">
        <is>
          <t>KAMIŃSKI, KAMIL</t>
        </is>
      </c>
      <c r="I458" t="inlineStr">
        <is>
          <t>Shift manager/Supervisor</t>
        </is>
      </c>
      <c r="J458" t="inlineStr">
        <is>
          <t>Standard 1,0|40h</t>
        </is>
      </c>
      <c r="K458" t="n">
        <v>8.970000000000001</v>
      </c>
      <c r="L458" t="inlineStr">
        <is>
          <t>384</t>
        </is>
      </c>
      <c r="M458" t="inlineStr">
        <is>
          <t>108120 SBX Warszawa Janki</t>
        </is>
      </c>
      <c r="N458" t="inlineStr">
        <is>
          <t>2026-09-11 19:06</t>
        </is>
      </c>
    </row>
    <row r="459">
      <c r="A459" t="n">
        <v>458</v>
      </c>
      <c r="B459" t="inlineStr">
        <is>
          <t>2026-01-26</t>
        </is>
      </c>
      <c r="C459" t="n">
        <v>2026</v>
      </c>
      <c r="D459" t="inlineStr">
        <is>
          <t>Styczeń</t>
        </is>
      </c>
      <c r="E459" t="inlineStr">
        <is>
          <t>W4</t>
        </is>
      </c>
      <c r="F459" t="inlineStr">
        <is>
          <t>2026_Styczeń_W4</t>
        </is>
      </c>
      <c r="G459" t="inlineStr">
        <is>
          <t>Pn</t>
        </is>
      </c>
      <c r="H459" t="inlineStr">
        <is>
          <t>KAMIŃSKI, KAMIL</t>
        </is>
      </c>
      <c r="I459" t="inlineStr">
        <is>
          <t>Shift manager/Supervisor</t>
        </is>
      </c>
      <c r="J459" t="inlineStr">
        <is>
          <t>Standard 1,0|40h</t>
        </is>
      </c>
      <c r="K459" t="n">
        <v>7.53</v>
      </c>
      <c r="L459" t="inlineStr">
        <is>
          <t>384</t>
        </is>
      </c>
      <c r="M459" t="inlineStr">
        <is>
          <t>108120 SBX Warszawa Janki</t>
        </is>
      </c>
      <c r="N459" t="inlineStr">
        <is>
          <t>2026-09-11 19:06</t>
        </is>
      </c>
    </row>
    <row r="460">
      <c r="A460" t="n">
        <v>459</v>
      </c>
      <c r="B460" t="inlineStr">
        <is>
          <t>2026-01-27</t>
        </is>
      </c>
      <c r="C460" t="n">
        <v>2026</v>
      </c>
      <c r="D460" t="inlineStr">
        <is>
          <t>Styczeń</t>
        </is>
      </c>
      <c r="E460" t="inlineStr">
        <is>
          <t>W5</t>
        </is>
      </c>
      <c r="F460" t="inlineStr">
        <is>
          <t>2026_Styczeń_W5</t>
        </is>
      </c>
      <c r="G460" t="inlineStr">
        <is>
          <t>Wt</t>
        </is>
      </c>
      <c r="H460" t="inlineStr">
        <is>
          <t>KAMIŃSKI, KAMIL</t>
        </is>
      </c>
      <c r="I460" t="inlineStr">
        <is>
          <t>Shift manager/Supervisor</t>
        </is>
      </c>
      <c r="J460" t="inlineStr">
        <is>
          <t>Standard 1,0|40h</t>
        </is>
      </c>
      <c r="K460" t="n">
        <v>8.300000000000001</v>
      </c>
      <c r="L460" t="inlineStr">
        <is>
          <t>384</t>
        </is>
      </c>
      <c r="M460" t="inlineStr">
        <is>
          <t>108120 SBX Warszawa Janki</t>
        </is>
      </c>
      <c r="N460" t="inlineStr">
        <is>
          <t>2026-09-11 19:06</t>
        </is>
      </c>
    </row>
    <row r="461">
      <c r="A461" t="n">
        <v>460</v>
      </c>
      <c r="B461" t="inlineStr">
        <is>
          <t>2026-01-28</t>
        </is>
      </c>
      <c r="C461" t="n">
        <v>2026</v>
      </c>
      <c r="D461" t="inlineStr">
        <is>
          <t>Styczeń</t>
        </is>
      </c>
      <c r="E461" t="inlineStr">
        <is>
          <t>W5</t>
        </is>
      </c>
      <c r="F461" t="inlineStr">
        <is>
          <t>2026_Styczeń_W5</t>
        </is>
      </c>
      <c r="G461" t="inlineStr">
        <is>
          <t>Śr</t>
        </is>
      </c>
      <c r="H461" t="inlineStr">
        <is>
          <t>KAMIŃSKI, KAMIL</t>
        </is>
      </c>
      <c r="I461" t="inlineStr">
        <is>
          <t>Shift manager/Supervisor</t>
        </is>
      </c>
      <c r="J461" t="inlineStr">
        <is>
          <t>Standard 1,0|40h</t>
        </is>
      </c>
      <c r="K461" t="n">
        <v>7.9</v>
      </c>
      <c r="L461" t="inlineStr">
        <is>
          <t>384</t>
        </is>
      </c>
      <c r="M461" t="inlineStr">
        <is>
          <t>108120 SBX Warszawa Janki</t>
        </is>
      </c>
      <c r="N461" t="inlineStr">
        <is>
          <t>2026-09-11 19:06</t>
        </is>
      </c>
    </row>
    <row r="462">
      <c r="A462" t="n">
        <v>461</v>
      </c>
      <c r="B462" t="inlineStr">
        <is>
          <t>2026-01-29</t>
        </is>
      </c>
      <c r="C462" t="n">
        <v>2026</v>
      </c>
      <c r="D462" t="inlineStr">
        <is>
          <t>Styczeń</t>
        </is>
      </c>
      <c r="E462" t="inlineStr">
        <is>
          <t>W5</t>
        </is>
      </c>
      <c r="F462" t="inlineStr">
        <is>
          <t>2026_Styczeń_W5</t>
        </is>
      </c>
      <c r="G462" t="inlineStr">
        <is>
          <t>Czw</t>
        </is>
      </c>
      <c r="H462" t="inlineStr">
        <is>
          <t>KAMIŃSKI, KAMIL</t>
        </is>
      </c>
      <c r="I462" t="inlineStr">
        <is>
          <t>Shift manager/Supervisor</t>
        </is>
      </c>
      <c r="J462" t="inlineStr">
        <is>
          <t>Standard 1,0|40h</t>
        </is>
      </c>
      <c r="K462" t="n">
        <v>7.94</v>
      </c>
      <c r="L462" t="inlineStr">
        <is>
          <t>384</t>
        </is>
      </c>
      <c r="M462" t="inlineStr">
        <is>
          <t>108120 SBX Warszawa Janki</t>
        </is>
      </c>
      <c r="N462" t="inlineStr">
        <is>
          <t>2026-09-11 19:06</t>
        </is>
      </c>
    </row>
    <row r="463">
      <c r="A463" t="n">
        <v>462</v>
      </c>
      <c r="B463" t="inlineStr">
        <is>
          <t>2026-02-08</t>
        </is>
      </c>
      <c r="C463" t="n">
        <v>2026</v>
      </c>
      <c r="D463" t="inlineStr">
        <is>
          <t>Luty</t>
        </is>
      </c>
      <c r="E463" t="inlineStr">
        <is>
          <t>W2</t>
        </is>
      </c>
      <c r="F463" t="inlineStr">
        <is>
          <t>2026_Luty_W2</t>
        </is>
      </c>
      <c r="G463" t="inlineStr">
        <is>
          <t>Nd</t>
        </is>
      </c>
      <c r="H463" t="inlineStr">
        <is>
          <t>KAMIŃSKI, KAMIL</t>
        </is>
      </c>
      <c r="I463" t="inlineStr">
        <is>
          <t>Shift manager/Supervisor</t>
        </is>
      </c>
      <c r="J463" t="inlineStr">
        <is>
          <t>Standard 1,0|40h</t>
        </is>
      </c>
      <c r="K463" t="n">
        <v>5.67</v>
      </c>
      <c r="L463" t="inlineStr">
        <is>
          <t>384</t>
        </is>
      </c>
      <c r="M463" t="inlineStr">
        <is>
          <t>108120 SBX Warszawa Janki</t>
        </is>
      </c>
      <c r="N463" t="inlineStr">
        <is>
          <t>2026-09-11 19:06</t>
        </is>
      </c>
    </row>
    <row r="464">
      <c r="A464" t="n">
        <v>463</v>
      </c>
      <c r="B464" t="inlineStr">
        <is>
          <t>2026-02-10</t>
        </is>
      </c>
      <c r="C464" t="n">
        <v>2026</v>
      </c>
      <c r="D464" t="inlineStr">
        <is>
          <t>Luty</t>
        </is>
      </c>
      <c r="E464" t="inlineStr">
        <is>
          <t>W3</t>
        </is>
      </c>
      <c r="F464" t="inlineStr">
        <is>
          <t>2026_Luty_W3</t>
        </is>
      </c>
      <c r="G464" t="inlineStr">
        <is>
          <t>Wt</t>
        </is>
      </c>
      <c r="H464" t="inlineStr">
        <is>
          <t>KAMIŃSKI, KAMIL</t>
        </is>
      </c>
      <c r="I464" t="inlineStr">
        <is>
          <t>Shift manager/Supervisor</t>
        </is>
      </c>
      <c r="J464" t="inlineStr">
        <is>
          <t>Standard 1,0|40h</t>
        </is>
      </c>
      <c r="K464" t="n">
        <v>7.99</v>
      </c>
      <c r="L464" t="inlineStr">
        <is>
          <t>384</t>
        </is>
      </c>
      <c r="M464" t="inlineStr">
        <is>
          <t>108120 SBX Warszawa Janki</t>
        </is>
      </c>
      <c r="N464" t="inlineStr">
        <is>
          <t>2026-09-11 19:06</t>
        </is>
      </c>
    </row>
    <row r="465">
      <c r="A465" t="n">
        <v>464</v>
      </c>
      <c r="B465" t="inlineStr">
        <is>
          <t>2026-02-11</t>
        </is>
      </c>
      <c r="C465" t="n">
        <v>2026</v>
      </c>
      <c r="D465" t="inlineStr">
        <is>
          <t>Luty</t>
        </is>
      </c>
      <c r="E465" t="inlineStr">
        <is>
          <t>W3</t>
        </is>
      </c>
      <c r="F465" t="inlineStr">
        <is>
          <t>2026_Luty_W3</t>
        </is>
      </c>
      <c r="G465" t="inlineStr">
        <is>
          <t>Śr</t>
        </is>
      </c>
      <c r="H465" t="inlineStr">
        <is>
          <t>KAMIŃSKI, KAMIL</t>
        </is>
      </c>
      <c r="I465" t="inlineStr">
        <is>
          <t>Shift manager/Supervisor</t>
        </is>
      </c>
      <c r="J465" t="inlineStr">
        <is>
          <t>Standard 1,0|40h</t>
        </is>
      </c>
      <c r="K465" t="n">
        <v>8</v>
      </c>
      <c r="L465" t="inlineStr">
        <is>
          <t>384</t>
        </is>
      </c>
      <c r="M465" t="inlineStr">
        <is>
          <t>108120 SBX Warszawa Janki</t>
        </is>
      </c>
      <c r="N465" t="inlineStr">
        <is>
          <t>2026-09-11 19:06</t>
        </is>
      </c>
    </row>
    <row r="466">
      <c r="A466" t="n">
        <v>465</v>
      </c>
      <c r="B466" t="inlineStr">
        <is>
          <t>2026-02-13</t>
        </is>
      </c>
      <c r="C466" t="n">
        <v>2026</v>
      </c>
      <c r="D466" t="inlineStr">
        <is>
          <t>Luty</t>
        </is>
      </c>
      <c r="E466" t="inlineStr">
        <is>
          <t>W3</t>
        </is>
      </c>
      <c r="F466" t="inlineStr">
        <is>
          <t>2026_Luty_W3</t>
        </is>
      </c>
      <c r="G466" t="inlineStr">
        <is>
          <t>Pt</t>
        </is>
      </c>
      <c r="H466" t="inlineStr">
        <is>
          <t>KAMIŃSKI, KAMIL</t>
        </is>
      </c>
      <c r="I466" t="inlineStr">
        <is>
          <t>Shift manager/Supervisor</t>
        </is>
      </c>
      <c r="J466" t="inlineStr">
        <is>
          <t>Standard 1,0|40h</t>
        </is>
      </c>
      <c r="K466" t="n">
        <v>8.02</v>
      </c>
      <c r="L466" t="inlineStr">
        <is>
          <t>384</t>
        </is>
      </c>
      <c r="M466" t="inlineStr">
        <is>
          <t>108120 SBX Warszawa Janki</t>
        </is>
      </c>
      <c r="N466" t="inlineStr">
        <is>
          <t>2026-09-11 19:06</t>
        </is>
      </c>
    </row>
    <row r="467">
      <c r="A467" t="n">
        <v>466</v>
      </c>
      <c r="B467" t="inlineStr">
        <is>
          <t>2026-02-14</t>
        </is>
      </c>
      <c r="C467" t="n">
        <v>2026</v>
      </c>
      <c r="D467" t="inlineStr">
        <is>
          <t>Luty</t>
        </is>
      </c>
      <c r="E467" t="inlineStr">
        <is>
          <t>W3</t>
        </is>
      </c>
      <c r="F467" t="inlineStr">
        <is>
          <t>2026_Luty_W3</t>
        </is>
      </c>
      <c r="G467" t="inlineStr">
        <is>
          <t>Sob</t>
        </is>
      </c>
      <c r="H467" t="inlineStr">
        <is>
          <t>KAMIŃSKI, KAMIL</t>
        </is>
      </c>
      <c r="I467" t="inlineStr">
        <is>
          <t>Shift manager/Supervisor</t>
        </is>
      </c>
      <c r="J467" t="inlineStr">
        <is>
          <t>Standard 1,0|40h</t>
        </is>
      </c>
      <c r="K467" t="n">
        <v>7.94</v>
      </c>
      <c r="L467" t="inlineStr">
        <is>
          <t>384</t>
        </is>
      </c>
      <c r="M467" t="inlineStr">
        <is>
          <t>108120 SBX Warszawa Janki</t>
        </is>
      </c>
      <c r="N467" t="inlineStr">
        <is>
          <t>2026-09-11 19:06</t>
        </is>
      </c>
    </row>
    <row r="468">
      <c r="A468" t="n">
        <v>467</v>
      </c>
      <c r="B468" t="inlineStr">
        <is>
          <t>2026-02-15</t>
        </is>
      </c>
      <c r="C468" t="n">
        <v>2026</v>
      </c>
      <c r="D468" t="inlineStr">
        <is>
          <t>Luty</t>
        </is>
      </c>
      <c r="E468" t="inlineStr">
        <is>
          <t>W3</t>
        </is>
      </c>
      <c r="F468" t="inlineStr">
        <is>
          <t>2026_Luty_W3</t>
        </is>
      </c>
      <c r="G468" t="inlineStr">
        <is>
          <t>Nd</t>
        </is>
      </c>
      <c r="H468" t="inlineStr">
        <is>
          <t>KAMIŃSKI, KAMIL</t>
        </is>
      </c>
      <c r="I468" t="inlineStr">
        <is>
          <t>Shift manager/Supervisor</t>
        </is>
      </c>
      <c r="J468" t="inlineStr">
        <is>
          <t>Standard 1,0|40h</t>
        </is>
      </c>
      <c r="K468" t="n">
        <v>6.05</v>
      </c>
      <c r="L468" t="inlineStr">
        <is>
          <t>384</t>
        </is>
      </c>
      <c r="M468" t="inlineStr">
        <is>
          <t>108120 SBX Warszawa Janki</t>
        </is>
      </c>
      <c r="N468" t="inlineStr">
        <is>
          <t>2026-09-11 19:06</t>
        </is>
      </c>
    </row>
    <row r="469">
      <c r="A469" t="n">
        <v>468</v>
      </c>
      <c r="B469" t="inlineStr">
        <is>
          <t>2026-02-16</t>
        </is>
      </c>
      <c r="C469" t="n">
        <v>2026</v>
      </c>
      <c r="D469" t="inlineStr">
        <is>
          <t>Luty</t>
        </is>
      </c>
      <c r="E469" t="inlineStr">
        <is>
          <t>W3</t>
        </is>
      </c>
      <c r="F469" t="inlineStr">
        <is>
          <t>2026_Luty_W3</t>
        </is>
      </c>
      <c r="G469" t="inlineStr">
        <is>
          <t>Pn</t>
        </is>
      </c>
      <c r="H469" t="inlineStr">
        <is>
          <t>KAMIŃSKI, KAMIL</t>
        </is>
      </c>
      <c r="I469" t="inlineStr">
        <is>
          <t>Shift manager/Supervisor</t>
        </is>
      </c>
      <c r="J469" t="inlineStr">
        <is>
          <t>Standard 1,0|40h</t>
        </is>
      </c>
      <c r="K469" t="n">
        <v>7.63</v>
      </c>
      <c r="L469" t="inlineStr">
        <is>
          <t>384</t>
        </is>
      </c>
      <c r="M469" t="inlineStr">
        <is>
          <t>108120 SBX Warszawa Janki</t>
        </is>
      </c>
      <c r="N469" t="inlineStr">
        <is>
          <t>2026-09-11 19:06</t>
        </is>
      </c>
    </row>
    <row r="470">
      <c r="A470" t="n">
        <v>469</v>
      </c>
      <c r="B470" t="inlineStr">
        <is>
          <t>2026-02-18</t>
        </is>
      </c>
      <c r="C470" t="n">
        <v>2026</v>
      </c>
      <c r="D470" t="inlineStr">
        <is>
          <t>Luty</t>
        </is>
      </c>
      <c r="E470" t="inlineStr">
        <is>
          <t>W4</t>
        </is>
      </c>
      <c r="F470" t="inlineStr">
        <is>
          <t>2026_Luty_W4</t>
        </is>
      </c>
      <c r="G470" t="inlineStr">
        <is>
          <t>Śr</t>
        </is>
      </c>
      <c r="H470" t="inlineStr">
        <is>
          <t>KAMIŃSKI, KAMIL</t>
        </is>
      </c>
      <c r="I470" t="inlineStr">
        <is>
          <t>Shift manager/Supervisor</t>
        </is>
      </c>
      <c r="J470" t="inlineStr">
        <is>
          <t>Standard 1,0|40h</t>
        </is>
      </c>
      <c r="K470" t="n">
        <v>0.45</v>
      </c>
      <c r="L470" t="inlineStr">
        <is>
          <t>384</t>
        </is>
      </c>
      <c r="M470" t="inlineStr">
        <is>
          <t>108120 SBX Warszawa Janki</t>
        </is>
      </c>
      <c r="N470" t="inlineStr">
        <is>
          <t>2026-09-11 19:06</t>
        </is>
      </c>
    </row>
    <row r="471">
      <c r="A471" t="n">
        <v>470</v>
      </c>
      <c r="B471" t="inlineStr">
        <is>
          <t>2026-02-18</t>
        </is>
      </c>
      <c r="C471" t="n">
        <v>2026</v>
      </c>
      <c r="D471" t="inlineStr">
        <is>
          <t>Luty</t>
        </is>
      </c>
      <c r="E471" t="inlineStr">
        <is>
          <t>W4</t>
        </is>
      </c>
      <c r="F471" t="inlineStr">
        <is>
          <t>2026_Luty_W4</t>
        </is>
      </c>
      <c r="G471" t="inlineStr">
        <is>
          <t>Śr</t>
        </is>
      </c>
      <c r="H471" t="inlineStr">
        <is>
          <t>KAMIŃSKI, KAMIL</t>
        </is>
      </c>
      <c r="I471" t="inlineStr">
        <is>
          <t>Shift manager/Supervisor</t>
        </is>
      </c>
      <c r="J471" t="inlineStr">
        <is>
          <t>Standard 1,0|40h</t>
        </is>
      </c>
      <c r="K471" t="n">
        <v>7.15</v>
      </c>
      <c r="L471" t="inlineStr">
        <is>
          <t>384</t>
        </is>
      </c>
      <c r="M471" t="inlineStr">
        <is>
          <t>108120 SBX Warszawa Janki</t>
        </is>
      </c>
      <c r="N471" t="inlineStr">
        <is>
          <t>2026-09-11 19:06</t>
        </is>
      </c>
    </row>
    <row r="472">
      <c r="A472" t="n">
        <v>471</v>
      </c>
      <c r="B472" t="inlineStr">
        <is>
          <t>2026-02-20</t>
        </is>
      </c>
      <c r="C472" t="n">
        <v>2026</v>
      </c>
      <c r="D472" t="inlineStr">
        <is>
          <t>Luty</t>
        </is>
      </c>
      <c r="E472" t="inlineStr">
        <is>
          <t>W4</t>
        </is>
      </c>
      <c r="F472" t="inlineStr">
        <is>
          <t>2026_Luty_W4</t>
        </is>
      </c>
      <c r="G472" t="inlineStr">
        <is>
          <t>Pt</t>
        </is>
      </c>
      <c r="H472" t="inlineStr">
        <is>
          <t>KAMIŃSKI, KAMIL</t>
        </is>
      </c>
      <c r="I472" t="inlineStr">
        <is>
          <t>Shift manager/Supervisor</t>
        </is>
      </c>
      <c r="J472" t="inlineStr">
        <is>
          <t>Standard 1,0|40h</t>
        </is>
      </c>
      <c r="K472" t="n">
        <v>8.15</v>
      </c>
      <c r="L472" t="inlineStr">
        <is>
          <t>384</t>
        </is>
      </c>
      <c r="M472" t="inlineStr">
        <is>
          <t>108120 SBX Warszawa Janki</t>
        </is>
      </c>
      <c r="N472" t="inlineStr">
        <is>
          <t>2026-09-11 19:06</t>
        </is>
      </c>
    </row>
    <row r="473">
      <c r="A473" t="n">
        <v>472</v>
      </c>
      <c r="B473" t="inlineStr">
        <is>
          <t>2026-02-22</t>
        </is>
      </c>
      <c r="C473" t="n">
        <v>2026</v>
      </c>
      <c r="D473" t="inlineStr">
        <is>
          <t>Luty</t>
        </is>
      </c>
      <c r="E473" t="inlineStr">
        <is>
          <t>W4</t>
        </is>
      </c>
      <c r="F473" t="inlineStr">
        <is>
          <t>2026_Luty_W4</t>
        </is>
      </c>
      <c r="G473" t="inlineStr">
        <is>
          <t>Nd</t>
        </is>
      </c>
      <c r="H473" t="inlineStr">
        <is>
          <t>KAMIŃSKI, KAMIL</t>
        </is>
      </c>
      <c r="I473" t="inlineStr">
        <is>
          <t>Shift manager/Supervisor</t>
        </is>
      </c>
      <c r="J473" t="inlineStr">
        <is>
          <t>Standard 1,0|40h</t>
        </is>
      </c>
      <c r="K473" t="n">
        <v>6.83</v>
      </c>
      <c r="L473" t="inlineStr">
        <is>
          <t>384</t>
        </is>
      </c>
      <c r="M473" t="inlineStr">
        <is>
          <t>108120 SBX Warszawa Janki</t>
        </is>
      </c>
      <c r="N473" t="inlineStr">
        <is>
          <t>2026-09-11 19:06</t>
        </is>
      </c>
    </row>
    <row r="474">
      <c r="A474" t="n">
        <v>473</v>
      </c>
      <c r="B474" t="inlineStr">
        <is>
          <t>2026-02-24</t>
        </is>
      </c>
      <c r="C474" t="n">
        <v>2026</v>
      </c>
      <c r="D474" t="inlineStr">
        <is>
          <t>Luty</t>
        </is>
      </c>
      <c r="E474" t="inlineStr">
        <is>
          <t>W5</t>
        </is>
      </c>
      <c r="F474" t="inlineStr">
        <is>
          <t>2026_Luty_W5</t>
        </is>
      </c>
      <c r="G474" t="inlineStr">
        <is>
          <t>Wt</t>
        </is>
      </c>
      <c r="H474" t="inlineStr">
        <is>
          <t>KAMIŃSKI, KAMIL</t>
        </is>
      </c>
      <c r="I474" t="inlineStr">
        <is>
          <t>Shift manager/Supervisor</t>
        </is>
      </c>
      <c r="J474" t="inlineStr">
        <is>
          <t>Standard 1,0|40h</t>
        </is>
      </c>
      <c r="K474" t="n">
        <v>8.16</v>
      </c>
      <c r="L474" t="inlineStr">
        <is>
          <t>384</t>
        </is>
      </c>
      <c r="M474" t="inlineStr">
        <is>
          <t>108120 SBX Warszawa Janki</t>
        </is>
      </c>
      <c r="N474" t="inlineStr">
        <is>
          <t>2026-09-11 19:06</t>
        </is>
      </c>
    </row>
    <row r="475">
      <c r="A475" t="n">
        <v>474</v>
      </c>
      <c r="B475" t="inlineStr">
        <is>
          <t>2026-02-25</t>
        </is>
      </c>
      <c r="C475" t="n">
        <v>2026</v>
      </c>
      <c r="D475" t="inlineStr">
        <is>
          <t>Luty</t>
        </is>
      </c>
      <c r="E475" t="inlineStr">
        <is>
          <t>W5</t>
        </is>
      </c>
      <c r="F475" t="inlineStr">
        <is>
          <t>2026_Luty_W5</t>
        </is>
      </c>
      <c r="G475" t="inlineStr">
        <is>
          <t>Śr</t>
        </is>
      </c>
      <c r="H475" t="inlineStr">
        <is>
          <t>KAMIŃSKI, KAMIL</t>
        </is>
      </c>
      <c r="I475" t="inlineStr">
        <is>
          <t>Shift manager/Supervisor</t>
        </is>
      </c>
      <c r="J475" t="inlineStr">
        <is>
          <t>Standard 1,0|40h</t>
        </is>
      </c>
      <c r="K475" t="n">
        <v>7.88</v>
      </c>
      <c r="L475" t="inlineStr">
        <is>
          <t>384</t>
        </is>
      </c>
      <c r="M475" t="inlineStr">
        <is>
          <t>108120 SBX Warszawa Janki</t>
        </is>
      </c>
      <c r="N475" t="inlineStr">
        <is>
          <t>2026-09-11 19:06</t>
        </is>
      </c>
    </row>
    <row r="476">
      <c r="A476" t="n">
        <v>475</v>
      </c>
      <c r="B476" t="inlineStr">
        <is>
          <t>2026-02-27</t>
        </is>
      </c>
      <c r="C476" t="n">
        <v>2026</v>
      </c>
      <c r="D476" t="inlineStr">
        <is>
          <t>Luty</t>
        </is>
      </c>
      <c r="E476" t="inlineStr">
        <is>
          <t>W5</t>
        </is>
      </c>
      <c r="F476" t="inlineStr">
        <is>
          <t>2026_Luty_W5</t>
        </is>
      </c>
      <c r="G476" t="inlineStr">
        <is>
          <t>Pt</t>
        </is>
      </c>
      <c r="H476" t="inlineStr">
        <is>
          <t>KAMIŃSKI, KAMIL</t>
        </is>
      </c>
      <c r="I476" t="inlineStr">
        <is>
          <t>Shift manager/Supervisor</t>
        </is>
      </c>
      <c r="J476" t="inlineStr">
        <is>
          <t>Standard 1,0|40h</t>
        </is>
      </c>
      <c r="K476" t="n">
        <v>7.77</v>
      </c>
      <c r="L476" t="inlineStr">
        <is>
          <t>384</t>
        </is>
      </c>
      <c r="M476" t="inlineStr">
        <is>
          <t>108120 SBX Warszawa Janki</t>
        </is>
      </c>
      <c r="N476" t="inlineStr">
        <is>
          <t>2026-09-11 19:06</t>
        </is>
      </c>
    </row>
    <row r="477">
      <c r="A477" t="n">
        <v>476</v>
      </c>
      <c r="B477" t="inlineStr">
        <is>
          <t>2026-03-09</t>
        </is>
      </c>
      <c r="C477" t="n">
        <v>2026</v>
      </c>
      <c r="D477" t="inlineStr">
        <is>
          <t>Marzec</t>
        </is>
      </c>
      <c r="E477" t="inlineStr">
        <is>
          <t>W2</t>
        </is>
      </c>
      <c r="F477" t="inlineStr">
        <is>
          <t>2026_Marzec_W2</t>
        </is>
      </c>
      <c r="G477" t="inlineStr">
        <is>
          <t>Pn</t>
        </is>
      </c>
      <c r="H477" t="inlineStr">
        <is>
          <t>KAMIŃSKI, KAMIL</t>
        </is>
      </c>
      <c r="I477" t="inlineStr">
        <is>
          <t>Shift manager/Supervisor</t>
        </is>
      </c>
      <c r="J477" t="inlineStr">
        <is>
          <t>Standard 1,0|40h</t>
        </is>
      </c>
      <c r="K477" t="n">
        <v>5.5</v>
      </c>
      <c r="L477" t="inlineStr">
        <is>
          <t>384</t>
        </is>
      </c>
      <c r="M477" t="inlineStr">
        <is>
          <t>108120 SBX Warszawa Janki</t>
        </is>
      </c>
      <c r="N477" t="inlineStr">
        <is>
          <t>2026-09-11 19:06</t>
        </is>
      </c>
    </row>
    <row r="478">
      <c r="A478" t="n">
        <v>477</v>
      </c>
      <c r="B478" t="inlineStr">
        <is>
          <t>2026-03-11</t>
        </is>
      </c>
      <c r="C478" t="n">
        <v>2026</v>
      </c>
      <c r="D478" t="inlineStr">
        <is>
          <t>Marzec</t>
        </is>
      </c>
      <c r="E478" t="inlineStr">
        <is>
          <t>W3</t>
        </is>
      </c>
      <c r="F478" t="inlineStr">
        <is>
          <t>2026_Marzec_W3</t>
        </is>
      </c>
      <c r="G478" t="inlineStr">
        <is>
          <t>Śr</t>
        </is>
      </c>
      <c r="H478" t="inlineStr">
        <is>
          <t>KAMIŃSKI, KAMIL</t>
        </is>
      </c>
      <c r="I478" t="inlineStr">
        <is>
          <t>Shift manager/Supervisor</t>
        </is>
      </c>
      <c r="J478" t="inlineStr">
        <is>
          <t>Standard 1,0|40h</t>
        </is>
      </c>
      <c r="K478" t="n">
        <v>8</v>
      </c>
      <c r="L478" t="inlineStr">
        <is>
          <t>384</t>
        </is>
      </c>
      <c r="M478" t="inlineStr">
        <is>
          <t>108120 SBX Warszawa Janki</t>
        </is>
      </c>
      <c r="N478" t="inlineStr">
        <is>
          <t>2026-09-11 19:06</t>
        </is>
      </c>
    </row>
    <row r="479">
      <c r="A479" t="n">
        <v>478</v>
      </c>
      <c r="B479" t="inlineStr">
        <is>
          <t>2026-03-13</t>
        </is>
      </c>
      <c r="C479" t="n">
        <v>2026</v>
      </c>
      <c r="D479" t="inlineStr">
        <is>
          <t>Marzec</t>
        </is>
      </c>
      <c r="E479" t="inlineStr">
        <is>
          <t>W3</t>
        </is>
      </c>
      <c r="F479" t="inlineStr">
        <is>
          <t>2026_Marzec_W3</t>
        </is>
      </c>
      <c r="G479" t="inlineStr">
        <is>
          <t>Pt</t>
        </is>
      </c>
      <c r="H479" t="inlineStr">
        <is>
          <t>KAMIŃSKI, KAMIL</t>
        </is>
      </c>
      <c r="I479" t="inlineStr">
        <is>
          <t>Shift manager/Supervisor</t>
        </is>
      </c>
      <c r="J479" t="inlineStr">
        <is>
          <t>Standard 1,0|40h</t>
        </is>
      </c>
      <c r="K479" t="n">
        <v>8</v>
      </c>
      <c r="L479" t="inlineStr">
        <is>
          <t>384</t>
        </is>
      </c>
      <c r="M479" t="inlineStr">
        <is>
          <t>108120 SBX Warszawa Janki</t>
        </is>
      </c>
      <c r="N479" t="inlineStr">
        <is>
          <t>2026-09-11 19:06</t>
        </is>
      </c>
    </row>
    <row r="480">
      <c r="A480" t="n">
        <v>479</v>
      </c>
      <c r="B480" t="inlineStr">
        <is>
          <t>2026-03-16</t>
        </is>
      </c>
      <c r="C480" t="n">
        <v>2026</v>
      </c>
      <c r="D480" t="inlineStr">
        <is>
          <t>Marzec</t>
        </is>
      </c>
      <c r="E480" t="inlineStr">
        <is>
          <t>W3</t>
        </is>
      </c>
      <c r="F480" t="inlineStr">
        <is>
          <t>2026_Marzec_W3</t>
        </is>
      </c>
      <c r="G480" t="inlineStr">
        <is>
          <t>Pn</t>
        </is>
      </c>
      <c r="H480" t="inlineStr">
        <is>
          <t>KAMIŃSKI, KAMIL</t>
        </is>
      </c>
      <c r="I480" t="inlineStr">
        <is>
          <t>Shift manager/Supervisor</t>
        </is>
      </c>
      <c r="J480" t="inlineStr">
        <is>
          <t>Standard 1,0|40h</t>
        </is>
      </c>
      <c r="K480" t="n">
        <v>8</v>
      </c>
      <c r="L480" t="inlineStr">
        <is>
          <t>384</t>
        </is>
      </c>
      <c r="M480" t="inlineStr">
        <is>
          <t>108120 SBX Warszawa Janki</t>
        </is>
      </c>
      <c r="N480" t="inlineStr">
        <is>
          <t>2026-09-11 19:06</t>
        </is>
      </c>
    </row>
    <row r="481">
      <c r="A481" t="n">
        <v>480</v>
      </c>
      <c r="B481" t="inlineStr">
        <is>
          <t>2026-03-20</t>
        </is>
      </c>
      <c r="C481" t="n">
        <v>2026</v>
      </c>
      <c r="D481" t="inlineStr">
        <is>
          <t>Marzec</t>
        </is>
      </c>
      <c r="E481" t="inlineStr">
        <is>
          <t>W4</t>
        </is>
      </c>
      <c r="F481" t="inlineStr">
        <is>
          <t>2026_Marzec_W4</t>
        </is>
      </c>
      <c r="G481" t="inlineStr">
        <is>
          <t>Pt</t>
        </is>
      </c>
      <c r="H481" t="inlineStr">
        <is>
          <t>KAMIŃSKI, KAMIL</t>
        </is>
      </c>
      <c r="I481" t="inlineStr">
        <is>
          <t>Shift manager/Supervisor</t>
        </is>
      </c>
      <c r="J481" t="inlineStr">
        <is>
          <t>Standard 1,0|40h</t>
        </is>
      </c>
      <c r="K481" t="n">
        <v>8</v>
      </c>
      <c r="L481" t="inlineStr">
        <is>
          <t>384</t>
        </is>
      </c>
      <c r="M481" t="inlineStr">
        <is>
          <t>108120 SBX Warszawa Janki</t>
        </is>
      </c>
      <c r="N481" t="inlineStr">
        <is>
          <t>2026-09-11 19:06</t>
        </is>
      </c>
    </row>
    <row r="482">
      <c r="A482" t="n">
        <v>481</v>
      </c>
      <c r="B482" t="inlineStr">
        <is>
          <t>2026-03-22</t>
        </is>
      </c>
      <c r="C482" t="n">
        <v>2026</v>
      </c>
      <c r="D482" t="inlineStr">
        <is>
          <t>Marzec</t>
        </is>
      </c>
      <c r="E482" t="inlineStr">
        <is>
          <t>W4</t>
        </is>
      </c>
      <c r="F482" t="inlineStr">
        <is>
          <t>2026_Marzec_W4</t>
        </is>
      </c>
      <c r="G482" t="inlineStr">
        <is>
          <t>Nd</t>
        </is>
      </c>
      <c r="H482" t="inlineStr">
        <is>
          <t>KAMIŃSKI, KAMIL</t>
        </is>
      </c>
      <c r="I482" t="inlineStr">
        <is>
          <t>Shift manager/Supervisor</t>
        </is>
      </c>
      <c r="J482" t="inlineStr">
        <is>
          <t>Standard 1,0|40h</t>
        </is>
      </c>
      <c r="K482" t="n">
        <v>5.5</v>
      </c>
      <c r="L482" t="inlineStr">
        <is>
          <t>384</t>
        </is>
      </c>
      <c r="M482" t="inlineStr">
        <is>
          <t>108120 SBX Warszawa Janki</t>
        </is>
      </c>
      <c r="N482" t="inlineStr">
        <is>
          <t>2026-09-11 19:06</t>
        </is>
      </c>
    </row>
    <row r="483">
      <c r="A483" t="n">
        <v>482</v>
      </c>
      <c r="B483" t="inlineStr">
        <is>
          <t>2026-03-23</t>
        </is>
      </c>
      <c r="C483" t="n">
        <v>2026</v>
      </c>
      <c r="D483" t="inlineStr">
        <is>
          <t>Marzec</t>
        </is>
      </c>
      <c r="E483" t="inlineStr">
        <is>
          <t>W4</t>
        </is>
      </c>
      <c r="F483" t="inlineStr">
        <is>
          <t>2026_Marzec_W4</t>
        </is>
      </c>
      <c r="G483" t="inlineStr">
        <is>
          <t>Pn</t>
        </is>
      </c>
      <c r="H483" t="inlineStr">
        <is>
          <t>KAMIŃSKI, KAMIL</t>
        </is>
      </c>
      <c r="I483" t="inlineStr">
        <is>
          <t>Shift manager/Supervisor</t>
        </is>
      </c>
      <c r="J483" t="inlineStr">
        <is>
          <t>Standard 1,0|40h</t>
        </is>
      </c>
      <c r="K483" t="n">
        <v>8</v>
      </c>
      <c r="L483" t="inlineStr">
        <is>
          <t>384</t>
        </is>
      </c>
      <c r="M483" t="inlineStr">
        <is>
          <t>108120 SBX Warszawa Janki</t>
        </is>
      </c>
      <c r="N483" t="inlineStr">
        <is>
          <t>2026-09-11 19:06</t>
        </is>
      </c>
    </row>
    <row r="484">
      <c r="A484" t="n">
        <v>483</v>
      </c>
      <c r="B484" t="inlineStr">
        <is>
          <t>2026-03-25</t>
        </is>
      </c>
      <c r="C484" t="n">
        <v>2026</v>
      </c>
      <c r="D484" t="inlineStr">
        <is>
          <t>Marzec</t>
        </is>
      </c>
      <c r="E484" t="inlineStr">
        <is>
          <t>W5</t>
        </is>
      </c>
      <c r="F484" t="inlineStr">
        <is>
          <t>2026_Marzec_W5</t>
        </is>
      </c>
      <c r="G484" t="inlineStr">
        <is>
          <t>Śr</t>
        </is>
      </c>
      <c r="H484" t="inlineStr">
        <is>
          <t>KAMIŃSKI, KAMIL</t>
        </is>
      </c>
      <c r="I484" t="inlineStr">
        <is>
          <t>Shift manager/Supervisor</t>
        </is>
      </c>
      <c r="J484" t="inlineStr">
        <is>
          <t>Standard 1,0|40h</t>
        </is>
      </c>
      <c r="K484" t="n">
        <v>8</v>
      </c>
      <c r="L484" t="inlineStr">
        <is>
          <t>384</t>
        </is>
      </c>
      <c r="M484" t="inlineStr">
        <is>
          <t>108120 SBX Warszawa Janki</t>
        </is>
      </c>
      <c r="N484" t="inlineStr">
        <is>
          <t>2026-09-11 19:06</t>
        </is>
      </c>
    </row>
    <row r="485">
      <c r="A485" t="n">
        <v>484</v>
      </c>
      <c r="B485" t="inlineStr">
        <is>
          <t>2026-03-26</t>
        </is>
      </c>
      <c r="C485" t="n">
        <v>2026</v>
      </c>
      <c r="D485" t="inlineStr">
        <is>
          <t>Marzec</t>
        </is>
      </c>
      <c r="E485" t="inlineStr">
        <is>
          <t>W5</t>
        </is>
      </c>
      <c r="F485" t="inlineStr">
        <is>
          <t>2026_Marzec_W5</t>
        </is>
      </c>
      <c r="G485" t="inlineStr">
        <is>
          <t>Czw</t>
        </is>
      </c>
      <c r="H485" t="inlineStr">
        <is>
          <t>KAMIŃSKI, KAMIL</t>
        </is>
      </c>
      <c r="I485" t="inlineStr">
        <is>
          <t>Shift manager/Supervisor</t>
        </is>
      </c>
      <c r="J485" t="inlineStr">
        <is>
          <t>Standard 1,0|40h</t>
        </is>
      </c>
      <c r="K485" t="n">
        <v>8</v>
      </c>
      <c r="L485" t="inlineStr">
        <is>
          <t>384</t>
        </is>
      </c>
      <c r="M485" t="inlineStr">
        <is>
          <t>108120 SBX Warszawa Janki</t>
        </is>
      </c>
      <c r="N485" t="inlineStr">
        <is>
          <t>2026-09-11 19:06</t>
        </is>
      </c>
    </row>
    <row r="486">
      <c r="A486" t="n">
        <v>485</v>
      </c>
      <c r="B486" t="inlineStr">
        <is>
          <t>2026-03-27</t>
        </is>
      </c>
      <c r="C486" t="n">
        <v>2026</v>
      </c>
      <c r="D486" t="inlineStr">
        <is>
          <t>Marzec</t>
        </is>
      </c>
      <c r="E486" t="inlineStr">
        <is>
          <t>W5</t>
        </is>
      </c>
      <c r="F486" t="inlineStr">
        <is>
          <t>2026_Marzec_W5</t>
        </is>
      </c>
      <c r="G486" t="inlineStr">
        <is>
          <t>Pt</t>
        </is>
      </c>
      <c r="H486" t="inlineStr">
        <is>
          <t>KAMIŃSKI, KAMIL</t>
        </is>
      </c>
      <c r="I486" t="inlineStr">
        <is>
          <t>Shift manager/Supervisor</t>
        </is>
      </c>
      <c r="J486" t="inlineStr">
        <is>
          <t>Standard 1,0|40h</t>
        </is>
      </c>
      <c r="K486" t="n">
        <v>8</v>
      </c>
      <c r="L486" t="inlineStr">
        <is>
          <t>384</t>
        </is>
      </c>
      <c r="M486" t="inlineStr">
        <is>
          <t>108120 SBX Warszawa Janki</t>
        </is>
      </c>
      <c r="N486" t="inlineStr">
        <is>
          <t>2026-09-11 19:06</t>
        </is>
      </c>
    </row>
    <row r="487">
      <c r="A487" t="n">
        <v>486</v>
      </c>
      <c r="B487" t="inlineStr">
        <is>
          <t>2026-03-30</t>
        </is>
      </c>
      <c r="C487" t="n">
        <v>2026</v>
      </c>
      <c r="D487" t="inlineStr">
        <is>
          <t>Marzec</t>
        </is>
      </c>
      <c r="E487" t="inlineStr">
        <is>
          <t>W5</t>
        </is>
      </c>
      <c r="F487" t="inlineStr">
        <is>
          <t>2026_Marzec_W5</t>
        </is>
      </c>
      <c r="G487" t="inlineStr">
        <is>
          <t>Pn</t>
        </is>
      </c>
      <c r="H487" t="inlineStr">
        <is>
          <t>KAMIŃSKI, KAMIL</t>
        </is>
      </c>
      <c r="I487" t="inlineStr">
        <is>
          <t>Shift manager/Supervisor</t>
        </is>
      </c>
      <c r="J487" t="inlineStr">
        <is>
          <t>Standard 1,0|40h</t>
        </is>
      </c>
      <c r="K487" t="n">
        <v>8.25</v>
      </c>
      <c r="L487" t="inlineStr">
        <is>
          <t>384</t>
        </is>
      </c>
      <c r="M487" t="inlineStr">
        <is>
          <t>108120 SBX Warszawa Janki</t>
        </is>
      </c>
      <c r="N487" t="inlineStr">
        <is>
          <t>2026-09-11 19:06</t>
        </is>
      </c>
    </row>
    <row r="488">
      <c r="A488" t="n">
        <v>487</v>
      </c>
      <c r="B488" t="inlineStr">
        <is>
          <t>2026-03-31</t>
        </is>
      </c>
      <c r="C488" t="n">
        <v>2026</v>
      </c>
      <c r="D488" t="inlineStr">
        <is>
          <t>Marzec</t>
        </is>
      </c>
      <c r="E488" t="inlineStr">
        <is>
          <t>W6</t>
        </is>
      </c>
      <c r="F488" t="inlineStr">
        <is>
          <t>2026_Marzec_W6</t>
        </is>
      </c>
      <c r="G488" t="inlineStr">
        <is>
          <t>Wt</t>
        </is>
      </c>
      <c r="H488" t="inlineStr">
        <is>
          <t>KAMIŃSKI, KAMIL</t>
        </is>
      </c>
      <c r="I488" t="inlineStr">
        <is>
          <t>Shift manager/Supervisor</t>
        </is>
      </c>
      <c r="J488" t="inlineStr">
        <is>
          <t>Standard 1,0|40h</t>
        </is>
      </c>
      <c r="K488" t="n">
        <v>8</v>
      </c>
      <c r="L488" t="inlineStr">
        <is>
          <t>384</t>
        </is>
      </c>
      <c r="M488" t="inlineStr">
        <is>
          <t>108120 SBX Warszawa Janki</t>
        </is>
      </c>
      <c r="N488" t="inlineStr">
        <is>
          <t>2026-09-11 19:06</t>
        </is>
      </c>
    </row>
    <row r="489">
      <c r="A489" t="n">
        <v>488</v>
      </c>
      <c r="B489" t="inlineStr">
        <is>
          <t>2026-04-01</t>
        </is>
      </c>
      <c r="C489" t="n">
        <v>2026</v>
      </c>
      <c r="D489" t="inlineStr">
        <is>
          <t>Kwiecień</t>
        </is>
      </c>
      <c r="E489" t="inlineStr">
        <is>
          <t>W1</t>
        </is>
      </c>
      <c r="F489" t="inlineStr">
        <is>
          <t>2026_Kwiecień_W1</t>
        </is>
      </c>
      <c r="G489" t="inlineStr">
        <is>
          <t>Śr</t>
        </is>
      </c>
      <c r="H489" t="inlineStr">
        <is>
          <t>KAMIŃSKI, KAMIL</t>
        </is>
      </c>
      <c r="I489" t="inlineStr">
        <is>
          <t>Shift manager/Supervisor</t>
        </is>
      </c>
      <c r="J489" t="inlineStr">
        <is>
          <t>Standard 1,0|40h</t>
        </is>
      </c>
      <c r="K489" t="n">
        <v>8</v>
      </c>
      <c r="L489" t="inlineStr">
        <is>
          <t>384</t>
        </is>
      </c>
      <c r="M489" t="inlineStr">
        <is>
          <t>108120 SBX Warszawa Janki</t>
        </is>
      </c>
      <c r="N489" t="inlineStr">
        <is>
          <t>2026-09-11 19:06</t>
        </is>
      </c>
    </row>
    <row r="490">
      <c r="A490" t="n">
        <v>489</v>
      </c>
      <c r="B490" t="inlineStr">
        <is>
          <t>2026-04-07</t>
        </is>
      </c>
      <c r="C490" t="n">
        <v>2026</v>
      </c>
      <c r="D490" t="inlineStr">
        <is>
          <t>Kwiecień</t>
        </is>
      </c>
      <c r="E490" t="inlineStr">
        <is>
          <t>W2</t>
        </is>
      </c>
      <c r="F490" t="inlineStr">
        <is>
          <t>2026_Kwiecień_W2</t>
        </is>
      </c>
      <c r="G490" t="inlineStr">
        <is>
          <t>Wt</t>
        </is>
      </c>
      <c r="H490" t="inlineStr">
        <is>
          <t>KAMIŃSKI, KAMIL</t>
        </is>
      </c>
      <c r="I490" t="inlineStr">
        <is>
          <t>Shift manager/Supervisor</t>
        </is>
      </c>
      <c r="J490" t="inlineStr">
        <is>
          <t>Standard 1,0|40h</t>
        </is>
      </c>
      <c r="K490" t="n">
        <v>8</v>
      </c>
      <c r="L490" t="inlineStr">
        <is>
          <t>384</t>
        </is>
      </c>
      <c r="M490" t="inlineStr">
        <is>
          <t>108120 SBX Warszawa Janki</t>
        </is>
      </c>
      <c r="N490" t="inlineStr">
        <is>
          <t>2026-09-11 19:06</t>
        </is>
      </c>
    </row>
    <row r="491">
      <c r="A491" t="n">
        <v>490</v>
      </c>
      <c r="B491" t="inlineStr">
        <is>
          <t>2026-04-08</t>
        </is>
      </c>
      <c r="C491" t="n">
        <v>2026</v>
      </c>
      <c r="D491" t="inlineStr">
        <is>
          <t>Kwiecień</t>
        </is>
      </c>
      <c r="E491" t="inlineStr">
        <is>
          <t>W2</t>
        </is>
      </c>
      <c r="F491" t="inlineStr">
        <is>
          <t>2026_Kwiecień_W2</t>
        </is>
      </c>
      <c r="G491" t="inlineStr">
        <is>
          <t>Śr</t>
        </is>
      </c>
      <c r="H491" t="inlineStr">
        <is>
          <t>KAMIŃSKI, KAMIL</t>
        </is>
      </c>
      <c r="I491" t="inlineStr">
        <is>
          <t>Shift manager/Supervisor</t>
        </is>
      </c>
      <c r="J491" t="inlineStr">
        <is>
          <t>Standard 1,0|40h</t>
        </is>
      </c>
      <c r="K491" t="n">
        <v>8</v>
      </c>
      <c r="L491" t="inlineStr">
        <is>
          <t>384</t>
        </is>
      </c>
      <c r="M491" t="inlineStr">
        <is>
          <t>108120 SBX Warszawa Janki</t>
        </is>
      </c>
      <c r="N491" t="inlineStr">
        <is>
          <t>2026-09-11 19:06</t>
        </is>
      </c>
    </row>
    <row r="492">
      <c r="A492" t="n">
        <v>491</v>
      </c>
      <c r="B492" t="inlineStr">
        <is>
          <t>2026-04-09</t>
        </is>
      </c>
      <c r="C492" t="n">
        <v>2026</v>
      </c>
      <c r="D492" t="inlineStr">
        <is>
          <t>Kwiecień</t>
        </is>
      </c>
      <c r="E492" t="inlineStr">
        <is>
          <t>W2</t>
        </is>
      </c>
      <c r="F492" t="inlineStr">
        <is>
          <t>2026_Kwiecień_W2</t>
        </is>
      </c>
      <c r="G492" t="inlineStr">
        <is>
          <t>Czw</t>
        </is>
      </c>
      <c r="H492" t="inlineStr">
        <is>
          <t>KAMIŃSKI, KAMIL</t>
        </is>
      </c>
      <c r="I492" t="inlineStr">
        <is>
          <t>Shift manager/Supervisor</t>
        </is>
      </c>
      <c r="J492" t="inlineStr">
        <is>
          <t>Standard 1,0|40h</t>
        </is>
      </c>
      <c r="K492" t="n">
        <v>8</v>
      </c>
      <c r="L492" t="inlineStr">
        <is>
          <t>384</t>
        </is>
      </c>
      <c r="M492" t="inlineStr">
        <is>
          <t>108120 SBX Warszawa Janki</t>
        </is>
      </c>
      <c r="N492" t="inlineStr">
        <is>
          <t>2026-09-11 19:06</t>
        </is>
      </c>
    </row>
    <row r="493">
      <c r="A493" t="n">
        <v>492</v>
      </c>
      <c r="B493" t="inlineStr">
        <is>
          <t>2026-04-10</t>
        </is>
      </c>
      <c r="C493" t="n">
        <v>2026</v>
      </c>
      <c r="D493" t="inlineStr">
        <is>
          <t>Kwiecień</t>
        </is>
      </c>
      <c r="E493" t="inlineStr">
        <is>
          <t>W2</t>
        </is>
      </c>
      <c r="F493" t="inlineStr">
        <is>
          <t>2026_Kwiecień_W2</t>
        </is>
      </c>
      <c r="G493" t="inlineStr">
        <is>
          <t>Pt</t>
        </is>
      </c>
      <c r="H493" t="inlineStr">
        <is>
          <t>KAMIŃSKI, KAMIL</t>
        </is>
      </c>
      <c r="I493" t="inlineStr">
        <is>
          <t>Shift manager/Supervisor</t>
        </is>
      </c>
      <c r="J493" t="inlineStr">
        <is>
          <t>Standard 1,0|40h</t>
        </is>
      </c>
      <c r="K493" t="n">
        <v>8</v>
      </c>
      <c r="L493" t="inlineStr">
        <is>
          <t>384</t>
        </is>
      </c>
      <c r="M493" t="inlineStr">
        <is>
          <t>108120 SBX Warszawa Janki</t>
        </is>
      </c>
      <c r="N493" t="inlineStr">
        <is>
          <t>2026-09-11 19:06</t>
        </is>
      </c>
    </row>
    <row r="494">
      <c r="A494" t="n">
        <v>493</v>
      </c>
      <c r="B494" t="inlineStr">
        <is>
          <t>2026-04-13</t>
        </is>
      </c>
      <c r="C494" t="n">
        <v>2026</v>
      </c>
      <c r="D494" t="inlineStr">
        <is>
          <t>Kwiecień</t>
        </is>
      </c>
      <c r="E494" t="inlineStr">
        <is>
          <t>W2</t>
        </is>
      </c>
      <c r="F494" t="inlineStr">
        <is>
          <t>2026_Kwiecień_W2</t>
        </is>
      </c>
      <c r="G494" t="inlineStr">
        <is>
          <t>Pn</t>
        </is>
      </c>
      <c r="H494" t="inlineStr">
        <is>
          <t>KAMIŃSKI, KAMIL</t>
        </is>
      </c>
      <c r="I494" t="inlineStr">
        <is>
          <t>Shift manager/Supervisor</t>
        </is>
      </c>
      <c r="J494" t="inlineStr">
        <is>
          <t>Standard 1,0|40h</t>
        </is>
      </c>
      <c r="K494" t="n">
        <v>8</v>
      </c>
      <c r="L494" t="inlineStr">
        <is>
          <t>384</t>
        </is>
      </c>
      <c r="M494" t="inlineStr">
        <is>
          <t>108120 SBX Warszawa Janki</t>
        </is>
      </c>
      <c r="N494" t="inlineStr">
        <is>
          <t>2026-09-11 19:06</t>
        </is>
      </c>
    </row>
    <row r="495">
      <c r="A495" t="n">
        <v>494</v>
      </c>
      <c r="B495" t="inlineStr">
        <is>
          <t>2026-04-14</t>
        </is>
      </c>
      <c r="C495" t="n">
        <v>2026</v>
      </c>
      <c r="D495" t="inlineStr">
        <is>
          <t>Kwiecień</t>
        </is>
      </c>
      <c r="E495" t="inlineStr">
        <is>
          <t>W3</t>
        </is>
      </c>
      <c r="F495" t="inlineStr">
        <is>
          <t>2026_Kwiecień_W3</t>
        </is>
      </c>
      <c r="G495" t="inlineStr">
        <is>
          <t>Wt</t>
        </is>
      </c>
      <c r="H495" t="inlineStr">
        <is>
          <t>KAMIŃSKI, KAMIL</t>
        </is>
      </c>
      <c r="I495" t="inlineStr">
        <is>
          <t>Shift manager/Supervisor</t>
        </is>
      </c>
      <c r="J495" t="inlineStr">
        <is>
          <t>Standard 1,0|40h</t>
        </is>
      </c>
      <c r="K495" t="n">
        <v>8</v>
      </c>
      <c r="L495" t="inlineStr">
        <is>
          <t>384</t>
        </is>
      </c>
      <c r="M495" t="inlineStr">
        <is>
          <t>108120 SBX Warszawa Janki</t>
        </is>
      </c>
      <c r="N495" t="inlineStr">
        <is>
          <t>2026-09-11 19:06</t>
        </is>
      </c>
    </row>
    <row r="496">
      <c r="A496" t="n">
        <v>495</v>
      </c>
      <c r="B496" t="inlineStr">
        <is>
          <t>2026-04-16</t>
        </is>
      </c>
      <c r="C496" t="n">
        <v>2026</v>
      </c>
      <c r="D496" t="inlineStr">
        <is>
          <t>Kwiecień</t>
        </is>
      </c>
      <c r="E496" t="inlineStr">
        <is>
          <t>W3</t>
        </is>
      </c>
      <c r="F496" t="inlineStr">
        <is>
          <t>2026_Kwiecień_W3</t>
        </is>
      </c>
      <c r="G496" t="inlineStr">
        <is>
          <t>Czw</t>
        </is>
      </c>
      <c r="H496" t="inlineStr">
        <is>
          <t>KAMIŃSKI, KAMIL</t>
        </is>
      </c>
      <c r="I496" t="inlineStr">
        <is>
          <t>Shift manager/Supervisor</t>
        </is>
      </c>
      <c r="J496" t="inlineStr">
        <is>
          <t>Standard 1,0|40h</t>
        </is>
      </c>
      <c r="K496" t="n">
        <v>8</v>
      </c>
      <c r="L496" t="inlineStr">
        <is>
          <t>384</t>
        </is>
      </c>
      <c r="M496" t="inlineStr">
        <is>
          <t>108120 SBX Warszawa Janki</t>
        </is>
      </c>
      <c r="N496" t="inlineStr">
        <is>
          <t>2026-09-11 19:06</t>
        </is>
      </c>
    </row>
    <row r="497">
      <c r="A497" t="n">
        <v>496</v>
      </c>
      <c r="B497" t="inlineStr">
        <is>
          <t>2026-04-17</t>
        </is>
      </c>
      <c r="C497" t="n">
        <v>2026</v>
      </c>
      <c r="D497" t="inlineStr">
        <is>
          <t>Kwiecień</t>
        </is>
      </c>
      <c r="E497" t="inlineStr">
        <is>
          <t>W3</t>
        </is>
      </c>
      <c r="F497" t="inlineStr">
        <is>
          <t>2026_Kwiecień_W3</t>
        </is>
      </c>
      <c r="G497" t="inlineStr">
        <is>
          <t>Pt</t>
        </is>
      </c>
      <c r="H497" t="inlineStr">
        <is>
          <t>KAMIŃSKI, KAMIL</t>
        </is>
      </c>
      <c r="I497" t="inlineStr">
        <is>
          <t>Shift manager/Supervisor</t>
        </is>
      </c>
      <c r="J497" t="inlineStr">
        <is>
          <t>Standard 1,0|40h</t>
        </is>
      </c>
      <c r="K497" t="n">
        <v>8</v>
      </c>
      <c r="L497" t="inlineStr">
        <is>
          <t>384</t>
        </is>
      </c>
      <c r="M497" t="inlineStr">
        <is>
          <t>108120 SBX Warszawa Janki</t>
        </is>
      </c>
      <c r="N497" t="inlineStr">
        <is>
          <t>2026-09-11 19:06</t>
        </is>
      </c>
    </row>
    <row r="498">
      <c r="A498" t="n">
        <v>497</v>
      </c>
      <c r="B498" t="inlineStr">
        <is>
          <t>2026-04-20</t>
        </is>
      </c>
      <c r="C498" t="n">
        <v>2026</v>
      </c>
      <c r="D498" t="inlineStr">
        <is>
          <t>Kwiecień</t>
        </is>
      </c>
      <c r="E498" t="inlineStr">
        <is>
          <t>W3</t>
        </is>
      </c>
      <c r="F498" t="inlineStr">
        <is>
          <t>2026_Kwiecień_W3</t>
        </is>
      </c>
      <c r="G498" t="inlineStr">
        <is>
          <t>Pn</t>
        </is>
      </c>
      <c r="H498" t="inlineStr">
        <is>
          <t>KAMIŃSKI, KAMIL</t>
        </is>
      </c>
      <c r="I498" t="inlineStr">
        <is>
          <t>Shift manager/Supervisor</t>
        </is>
      </c>
      <c r="J498" t="inlineStr">
        <is>
          <t>Standard 1,0|40h</t>
        </is>
      </c>
      <c r="K498" t="n">
        <v>8</v>
      </c>
      <c r="L498" t="inlineStr">
        <is>
          <t>384</t>
        </is>
      </c>
      <c r="M498" t="inlineStr">
        <is>
          <t>108120 SBX Warszawa Janki</t>
        </is>
      </c>
      <c r="N498" t="inlineStr">
        <is>
          <t>2026-09-11 19:06</t>
        </is>
      </c>
    </row>
    <row r="499">
      <c r="A499" t="n">
        <v>498</v>
      </c>
      <c r="B499" t="inlineStr">
        <is>
          <t>2026-04-21</t>
        </is>
      </c>
      <c r="C499" t="n">
        <v>2026</v>
      </c>
      <c r="D499" t="inlineStr">
        <is>
          <t>Kwiecień</t>
        </is>
      </c>
      <c r="E499" t="inlineStr">
        <is>
          <t>W4</t>
        </is>
      </c>
      <c r="F499" t="inlineStr">
        <is>
          <t>2026_Kwiecień_W4</t>
        </is>
      </c>
      <c r="G499" t="inlineStr">
        <is>
          <t>Wt</t>
        </is>
      </c>
      <c r="H499" t="inlineStr">
        <is>
          <t>KAMIŃSKI, KAMIL</t>
        </is>
      </c>
      <c r="I499" t="inlineStr">
        <is>
          <t>Shift manager/Supervisor</t>
        </is>
      </c>
      <c r="J499" t="inlineStr">
        <is>
          <t>Standard 1,0|40h</t>
        </is>
      </c>
      <c r="K499" t="n">
        <v>8</v>
      </c>
      <c r="L499" t="inlineStr">
        <is>
          <t>384</t>
        </is>
      </c>
      <c r="M499" t="inlineStr">
        <is>
          <t>108120 SBX Warszawa Janki</t>
        </is>
      </c>
      <c r="N499" t="inlineStr">
        <is>
          <t>2026-09-11 19:06</t>
        </is>
      </c>
    </row>
    <row r="500">
      <c r="A500" t="n">
        <v>499</v>
      </c>
      <c r="B500" t="inlineStr">
        <is>
          <t>2026-04-23</t>
        </is>
      </c>
      <c r="C500" t="n">
        <v>2026</v>
      </c>
      <c r="D500" t="inlineStr">
        <is>
          <t>Kwiecień</t>
        </is>
      </c>
      <c r="E500" t="inlineStr">
        <is>
          <t>W4</t>
        </is>
      </c>
      <c r="F500" t="inlineStr">
        <is>
          <t>2026_Kwiecień_W4</t>
        </is>
      </c>
      <c r="G500" t="inlineStr">
        <is>
          <t>Czw</t>
        </is>
      </c>
      <c r="H500" t="inlineStr">
        <is>
          <t>KAMIŃSKI, KAMIL</t>
        </is>
      </c>
      <c r="I500" t="inlineStr">
        <is>
          <t>Shift manager/Supervisor</t>
        </is>
      </c>
      <c r="J500" t="inlineStr">
        <is>
          <t>Standard 1,0|40h</t>
        </is>
      </c>
      <c r="K500" t="n">
        <v>8</v>
      </c>
      <c r="L500" t="inlineStr">
        <is>
          <t>384</t>
        </is>
      </c>
      <c r="M500" t="inlineStr">
        <is>
          <t>108120 SBX Warszawa Janki</t>
        </is>
      </c>
      <c r="N500" t="inlineStr">
        <is>
          <t>2026-09-11 19:06</t>
        </is>
      </c>
    </row>
    <row r="501">
      <c r="A501" t="n">
        <v>500</v>
      </c>
      <c r="B501" t="inlineStr">
        <is>
          <t>2026-04-24</t>
        </is>
      </c>
      <c r="C501" t="n">
        <v>2026</v>
      </c>
      <c r="D501" t="inlineStr">
        <is>
          <t>Kwiecień</t>
        </is>
      </c>
      <c r="E501" t="inlineStr">
        <is>
          <t>W4</t>
        </is>
      </c>
      <c r="F501" t="inlineStr">
        <is>
          <t>2026_Kwiecień_W4</t>
        </is>
      </c>
      <c r="G501" t="inlineStr">
        <is>
          <t>Pt</t>
        </is>
      </c>
      <c r="H501" t="inlineStr">
        <is>
          <t>KAMIŃSKI, KAMIL</t>
        </is>
      </c>
      <c r="I501" t="inlineStr">
        <is>
          <t>Shift manager/Supervisor</t>
        </is>
      </c>
      <c r="J501" t="inlineStr">
        <is>
          <t>Standard 1,0|40h</t>
        </is>
      </c>
      <c r="K501" t="n">
        <v>8</v>
      </c>
      <c r="L501" t="inlineStr">
        <is>
          <t>384</t>
        </is>
      </c>
      <c r="M501" t="inlineStr">
        <is>
          <t>108120 SBX Warszawa Janki</t>
        </is>
      </c>
      <c r="N501" t="inlineStr">
        <is>
          <t>2026-09-11 19:06</t>
        </is>
      </c>
    </row>
    <row r="502">
      <c r="A502" t="n">
        <v>501</v>
      </c>
      <c r="B502" t="inlineStr">
        <is>
          <t>2026-04-27</t>
        </is>
      </c>
      <c r="C502" t="n">
        <v>2026</v>
      </c>
      <c r="D502" t="inlineStr">
        <is>
          <t>Kwiecień</t>
        </is>
      </c>
      <c r="E502" t="inlineStr">
        <is>
          <t>W4</t>
        </is>
      </c>
      <c r="F502" t="inlineStr">
        <is>
          <t>2026_Kwiecień_W4</t>
        </is>
      </c>
      <c r="G502" t="inlineStr">
        <is>
          <t>Pn</t>
        </is>
      </c>
      <c r="H502" t="inlineStr">
        <is>
          <t>KAMIŃSKI, KAMIL</t>
        </is>
      </c>
      <c r="I502" t="inlineStr">
        <is>
          <t>Shift manager/Supervisor</t>
        </is>
      </c>
      <c r="J502" t="inlineStr">
        <is>
          <t>Standard 1,0|40h</t>
        </is>
      </c>
      <c r="K502" t="n">
        <v>8</v>
      </c>
      <c r="L502" t="inlineStr">
        <is>
          <t>384</t>
        </is>
      </c>
      <c r="M502" t="inlineStr">
        <is>
          <t>108120 SBX Warszawa Janki</t>
        </is>
      </c>
      <c r="N502" t="inlineStr">
        <is>
          <t>2026-09-11 19:06</t>
        </is>
      </c>
    </row>
    <row r="503">
      <c r="A503" t="n">
        <v>502</v>
      </c>
      <c r="B503" t="inlineStr">
        <is>
          <t>2026-04-28</t>
        </is>
      </c>
      <c r="C503" t="n">
        <v>2026</v>
      </c>
      <c r="D503" t="inlineStr">
        <is>
          <t>Kwiecień</t>
        </is>
      </c>
      <c r="E503" t="inlineStr">
        <is>
          <t>W5</t>
        </is>
      </c>
      <c r="F503" t="inlineStr">
        <is>
          <t>2026_Kwiecień_W5</t>
        </is>
      </c>
      <c r="G503" t="inlineStr">
        <is>
          <t>Wt</t>
        </is>
      </c>
      <c r="H503" t="inlineStr">
        <is>
          <t>KAMIŃSKI, KAMIL</t>
        </is>
      </c>
      <c r="I503" t="inlineStr">
        <is>
          <t>Shift manager/Supervisor</t>
        </is>
      </c>
      <c r="J503" t="inlineStr">
        <is>
          <t>Standard 1,0|40h</t>
        </is>
      </c>
      <c r="K503" t="n">
        <v>10</v>
      </c>
      <c r="L503" t="inlineStr">
        <is>
          <t>384</t>
        </is>
      </c>
      <c r="M503" t="inlineStr">
        <is>
          <t>108120 SBX Warszawa Janki</t>
        </is>
      </c>
      <c r="N503" t="inlineStr">
        <is>
          <t>2026-09-11 19:06</t>
        </is>
      </c>
    </row>
    <row r="504">
      <c r="A504" t="n">
        <v>503</v>
      </c>
      <c r="B504" t="inlineStr">
        <is>
          <t>2026-04-29</t>
        </is>
      </c>
      <c r="C504" t="n">
        <v>2026</v>
      </c>
      <c r="D504" t="inlineStr">
        <is>
          <t>Kwiecień</t>
        </is>
      </c>
      <c r="E504" t="inlineStr">
        <is>
          <t>W5</t>
        </is>
      </c>
      <c r="F504" t="inlineStr">
        <is>
          <t>2026_Kwiecień_W5</t>
        </is>
      </c>
      <c r="G504" t="inlineStr">
        <is>
          <t>Śr</t>
        </is>
      </c>
      <c r="H504" t="inlineStr">
        <is>
          <t>KAMIŃSKI, KAMIL</t>
        </is>
      </c>
      <c r="I504" t="inlineStr">
        <is>
          <t>Shift manager/Supervisor</t>
        </is>
      </c>
      <c r="J504" t="inlineStr">
        <is>
          <t>Standard 1,0|40h</t>
        </is>
      </c>
      <c r="K504" t="n">
        <v>8</v>
      </c>
      <c r="L504" t="inlineStr">
        <is>
          <t>384</t>
        </is>
      </c>
      <c r="M504" t="inlineStr">
        <is>
          <t>108120 SBX Warszawa Janki</t>
        </is>
      </c>
      <c r="N504" t="inlineStr">
        <is>
          <t>2026-09-11 19:06</t>
        </is>
      </c>
    </row>
    <row r="505">
      <c r="A505" t="n">
        <v>504</v>
      </c>
      <c r="B505" t="inlineStr">
        <is>
          <t>2026-04-30</t>
        </is>
      </c>
      <c r="C505" t="n">
        <v>2026</v>
      </c>
      <c r="D505" t="inlineStr">
        <is>
          <t>Kwiecień</t>
        </is>
      </c>
      <c r="E505" t="inlineStr">
        <is>
          <t>W5</t>
        </is>
      </c>
      <c r="F505" t="inlineStr">
        <is>
          <t>2026_Kwiecień_W5</t>
        </is>
      </c>
      <c r="G505" t="inlineStr">
        <is>
          <t>Czw</t>
        </is>
      </c>
      <c r="H505" t="inlineStr">
        <is>
          <t>KAMIŃSKI, KAMIL</t>
        </is>
      </c>
      <c r="I505" t="inlineStr">
        <is>
          <t>Shift manager/Supervisor</t>
        </is>
      </c>
      <c r="J505" t="inlineStr">
        <is>
          <t>Standard 1,0|40h</t>
        </is>
      </c>
      <c r="K505" t="n">
        <v>7.62</v>
      </c>
      <c r="L505" t="inlineStr">
        <is>
          <t>384</t>
        </is>
      </c>
      <c r="M505" t="inlineStr">
        <is>
          <t>108120 SBX Warszawa Janki</t>
        </is>
      </c>
      <c r="N505" t="inlineStr">
        <is>
          <t>2026-09-11 19:06</t>
        </is>
      </c>
    </row>
    <row r="506">
      <c r="A506" t="n">
        <v>505</v>
      </c>
      <c r="B506" t="inlineStr">
        <is>
          <t>2026-05-02</t>
        </is>
      </c>
      <c r="C506" t="n">
        <v>2026</v>
      </c>
      <c r="D506" t="inlineStr">
        <is>
          <t>Maj</t>
        </is>
      </c>
      <c r="E506" t="inlineStr">
        <is>
          <t>W1</t>
        </is>
      </c>
      <c r="F506" t="inlineStr">
        <is>
          <t>2026_Maj_W1</t>
        </is>
      </c>
      <c r="G506" t="inlineStr">
        <is>
          <t>Sob</t>
        </is>
      </c>
      <c r="H506" t="inlineStr">
        <is>
          <t>KAMIŃSKI, KAMIL</t>
        </is>
      </c>
      <c r="I506" t="inlineStr">
        <is>
          <t>Shift manager/Supervisor</t>
        </is>
      </c>
      <c r="J506" t="inlineStr">
        <is>
          <t>Standard 1,0|40h</t>
        </is>
      </c>
      <c r="K506" t="n">
        <v>8.24</v>
      </c>
      <c r="L506" t="inlineStr">
        <is>
          <t>384</t>
        </is>
      </c>
      <c r="M506" t="inlineStr">
        <is>
          <t>108120 SBX Warszawa Janki</t>
        </is>
      </c>
      <c r="N506" t="inlineStr">
        <is>
          <t>2026-09-11 19:06</t>
        </is>
      </c>
    </row>
    <row r="507">
      <c r="A507" t="n">
        <v>506</v>
      </c>
      <c r="B507" t="inlineStr">
        <is>
          <t>2026-05-04</t>
        </is>
      </c>
      <c r="C507" t="n">
        <v>2026</v>
      </c>
      <c r="D507" t="inlineStr">
        <is>
          <t>Maj</t>
        </is>
      </c>
      <c r="E507" t="inlineStr">
        <is>
          <t>W1</t>
        </is>
      </c>
      <c r="F507" t="inlineStr">
        <is>
          <t>2026_Maj_W1</t>
        </is>
      </c>
      <c r="G507" t="inlineStr">
        <is>
          <t>Pn</t>
        </is>
      </c>
      <c r="H507" t="inlineStr">
        <is>
          <t>KAMIŃSKI, KAMIL</t>
        </is>
      </c>
      <c r="I507" t="inlineStr">
        <is>
          <t>Shift manager/Supervisor</t>
        </is>
      </c>
      <c r="J507" t="inlineStr">
        <is>
          <t>Standard 1,0|40h</t>
        </is>
      </c>
      <c r="K507" t="n">
        <v>0</v>
      </c>
      <c r="L507" t="inlineStr">
        <is>
          <t>384</t>
        </is>
      </c>
      <c r="M507" t="inlineStr">
        <is>
          <t>108120 SBX Warszawa Janki</t>
        </is>
      </c>
      <c r="N507" t="inlineStr">
        <is>
          <t>2026-09-11 19:06</t>
        </is>
      </c>
    </row>
    <row r="508">
      <c r="A508" t="n">
        <v>507</v>
      </c>
      <c r="B508" t="inlineStr">
        <is>
          <t>2026-05-04</t>
        </is>
      </c>
      <c r="C508" t="n">
        <v>2026</v>
      </c>
      <c r="D508" t="inlineStr">
        <is>
          <t>Maj</t>
        </is>
      </c>
      <c r="E508" t="inlineStr">
        <is>
          <t>W1</t>
        </is>
      </c>
      <c r="F508" t="inlineStr">
        <is>
          <t>2026_Maj_W1</t>
        </is>
      </c>
      <c r="G508" t="inlineStr">
        <is>
          <t>Pn</t>
        </is>
      </c>
      <c r="H508" t="inlineStr">
        <is>
          <t>KAMIŃSKI, KAMIL</t>
        </is>
      </c>
      <c r="I508" t="inlineStr">
        <is>
          <t>Shift manager/Supervisor</t>
        </is>
      </c>
      <c r="J508" t="inlineStr">
        <is>
          <t>Standard 1,0|40h</t>
        </is>
      </c>
      <c r="K508" t="n">
        <v>7.75</v>
      </c>
      <c r="L508" t="inlineStr">
        <is>
          <t>384</t>
        </is>
      </c>
      <c r="M508" t="inlineStr">
        <is>
          <t>108120 SBX Warszawa Janki</t>
        </is>
      </c>
      <c r="N508" t="inlineStr">
        <is>
          <t>2026-09-11 19:06</t>
        </is>
      </c>
    </row>
    <row r="509">
      <c r="A509" t="n">
        <v>508</v>
      </c>
      <c r="B509" t="inlineStr">
        <is>
          <t>2026-05-05</t>
        </is>
      </c>
      <c r="C509" t="n">
        <v>2026</v>
      </c>
      <c r="D509" t="inlineStr">
        <is>
          <t>Maj</t>
        </is>
      </c>
      <c r="E509" t="inlineStr">
        <is>
          <t>W2</t>
        </is>
      </c>
      <c r="F509" t="inlineStr">
        <is>
          <t>2026_Maj_W2</t>
        </is>
      </c>
      <c r="G509" t="inlineStr">
        <is>
          <t>Wt</t>
        </is>
      </c>
      <c r="H509" t="inlineStr">
        <is>
          <t>KAMIŃSKI, KAMIL</t>
        </is>
      </c>
      <c r="I509" t="inlineStr">
        <is>
          <t>Shift manager/Supervisor</t>
        </is>
      </c>
      <c r="J509" t="inlineStr">
        <is>
          <t>Standard 1,0|40h</t>
        </is>
      </c>
      <c r="K509" t="n">
        <v>8.449999999999999</v>
      </c>
      <c r="L509" t="inlineStr">
        <is>
          <t>384</t>
        </is>
      </c>
      <c r="M509" t="inlineStr">
        <is>
          <t>108120 SBX Warszawa Janki</t>
        </is>
      </c>
      <c r="N509" t="inlineStr">
        <is>
          <t>2026-09-11 19:06</t>
        </is>
      </c>
    </row>
    <row r="510">
      <c r="A510" t="n">
        <v>509</v>
      </c>
      <c r="B510" t="inlineStr">
        <is>
          <t>2026-05-07</t>
        </is>
      </c>
      <c r="C510" t="n">
        <v>2026</v>
      </c>
      <c r="D510" t="inlineStr">
        <is>
          <t>Maj</t>
        </is>
      </c>
      <c r="E510" t="inlineStr">
        <is>
          <t>W2</t>
        </is>
      </c>
      <c r="F510" t="inlineStr">
        <is>
          <t>2026_Maj_W2</t>
        </is>
      </c>
      <c r="G510" t="inlineStr">
        <is>
          <t>Czw</t>
        </is>
      </c>
      <c r="H510" t="inlineStr">
        <is>
          <t>KAMIŃSKI, KAMIL</t>
        </is>
      </c>
      <c r="I510" t="inlineStr">
        <is>
          <t>Shift manager/Supervisor</t>
        </is>
      </c>
      <c r="J510" t="inlineStr">
        <is>
          <t>Standard 1,0|40h</t>
        </is>
      </c>
      <c r="K510" t="n">
        <v>8.18</v>
      </c>
      <c r="L510" t="inlineStr">
        <is>
          <t>384</t>
        </is>
      </c>
      <c r="M510" t="inlineStr">
        <is>
          <t>108120 SBX Warszawa Janki</t>
        </is>
      </c>
      <c r="N510" t="inlineStr">
        <is>
          <t>2026-09-11 19:06</t>
        </is>
      </c>
    </row>
    <row r="511">
      <c r="A511" t="n">
        <v>510</v>
      </c>
      <c r="B511" t="inlineStr">
        <is>
          <t>2026-05-08</t>
        </is>
      </c>
      <c r="C511" t="n">
        <v>2026</v>
      </c>
      <c r="D511" t="inlineStr">
        <is>
          <t>Maj</t>
        </is>
      </c>
      <c r="E511" t="inlineStr">
        <is>
          <t>W2</t>
        </is>
      </c>
      <c r="F511" t="inlineStr">
        <is>
          <t>2026_Maj_W2</t>
        </is>
      </c>
      <c r="G511" t="inlineStr">
        <is>
          <t>Pt</t>
        </is>
      </c>
      <c r="H511" t="inlineStr">
        <is>
          <t>KAMIŃSKI, KAMIL</t>
        </is>
      </c>
      <c r="I511" t="inlineStr">
        <is>
          <t>Shift manager/Supervisor</t>
        </is>
      </c>
      <c r="J511" t="inlineStr">
        <is>
          <t>Standard 1,0|40h</t>
        </is>
      </c>
      <c r="K511" t="n">
        <v>4.25</v>
      </c>
      <c r="L511" t="inlineStr">
        <is>
          <t>384</t>
        </is>
      </c>
      <c r="M511" t="inlineStr">
        <is>
          <t>108120 SBX Warszawa Janki</t>
        </is>
      </c>
      <c r="N511" t="inlineStr">
        <is>
          <t>2026-09-11 19:06</t>
        </is>
      </c>
    </row>
    <row r="512">
      <c r="A512" t="n">
        <v>511</v>
      </c>
      <c r="B512" t="inlineStr">
        <is>
          <t>2026-05-08</t>
        </is>
      </c>
      <c r="C512" t="n">
        <v>2026</v>
      </c>
      <c r="D512" t="inlineStr">
        <is>
          <t>Maj</t>
        </is>
      </c>
      <c r="E512" t="inlineStr">
        <is>
          <t>W2</t>
        </is>
      </c>
      <c r="F512" t="inlineStr">
        <is>
          <t>2026_Maj_W2</t>
        </is>
      </c>
      <c r="G512" t="inlineStr">
        <is>
          <t>Pt</t>
        </is>
      </c>
      <c r="H512" t="inlineStr">
        <is>
          <t>KAMIŃSKI, KAMIL</t>
        </is>
      </c>
      <c r="I512" t="inlineStr">
        <is>
          <t>Shift manager/Supervisor</t>
        </is>
      </c>
      <c r="J512" t="inlineStr">
        <is>
          <t>Standard 1,0|40h</t>
        </is>
      </c>
      <c r="K512" t="n">
        <v>3.77</v>
      </c>
      <c r="L512" t="inlineStr">
        <is>
          <t>384</t>
        </is>
      </c>
      <c r="M512" t="inlineStr">
        <is>
          <t>108120 SBX Warszawa Janki</t>
        </is>
      </c>
      <c r="N512" t="inlineStr">
        <is>
          <t>2026-09-11 19:06</t>
        </is>
      </c>
    </row>
    <row r="513">
      <c r="A513" t="n">
        <v>512</v>
      </c>
      <c r="B513" t="inlineStr">
        <is>
          <t>2026-05-09</t>
        </is>
      </c>
      <c r="C513" t="n">
        <v>2026</v>
      </c>
      <c r="D513" t="inlineStr">
        <is>
          <t>Maj</t>
        </is>
      </c>
      <c r="E513" t="inlineStr">
        <is>
          <t>W2</t>
        </is>
      </c>
      <c r="F513" t="inlineStr">
        <is>
          <t>2026_Maj_W2</t>
        </is>
      </c>
      <c r="G513" t="inlineStr">
        <is>
          <t>Sob</t>
        </is>
      </c>
      <c r="H513" t="inlineStr">
        <is>
          <t>KAMIŃSKI, KAMIL</t>
        </is>
      </c>
      <c r="I513" t="inlineStr">
        <is>
          <t>Shift manager/Supervisor</t>
        </is>
      </c>
      <c r="J513" t="inlineStr">
        <is>
          <t>Standard 1,0|40h</t>
        </is>
      </c>
      <c r="K513" t="n">
        <v>7.93</v>
      </c>
      <c r="L513" t="inlineStr">
        <is>
          <t>384</t>
        </is>
      </c>
      <c r="M513" t="inlineStr">
        <is>
          <t>108120 SBX Warszawa Janki</t>
        </is>
      </c>
      <c r="N513" t="inlineStr">
        <is>
          <t>2026-09-11 19:06</t>
        </is>
      </c>
    </row>
    <row r="514">
      <c r="A514" t="n">
        <v>513</v>
      </c>
      <c r="B514" t="inlineStr">
        <is>
          <t>2026-05-10</t>
        </is>
      </c>
      <c r="C514" t="n">
        <v>2026</v>
      </c>
      <c r="D514" t="inlineStr">
        <is>
          <t>Maj</t>
        </is>
      </c>
      <c r="E514" t="inlineStr">
        <is>
          <t>W2</t>
        </is>
      </c>
      <c r="F514" t="inlineStr">
        <is>
          <t>2026_Maj_W2</t>
        </is>
      </c>
      <c r="G514" t="inlineStr">
        <is>
          <t>Nd</t>
        </is>
      </c>
      <c r="H514" t="inlineStr">
        <is>
          <t>KAMIŃSKI, KAMIL</t>
        </is>
      </c>
      <c r="I514" t="inlineStr">
        <is>
          <t>Shift manager/Supervisor</t>
        </is>
      </c>
      <c r="J514" t="inlineStr">
        <is>
          <t>Standard 1,0|40h</t>
        </is>
      </c>
      <c r="K514" t="n">
        <v>5.95</v>
      </c>
      <c r="L514" t="inlineStr">
        <is>
          <t>384</t>
        </is>
      </c>
      <c r="M514" t="inlineStr">
        <is>
          <t>108120 SBX Warszawa Janki</t>
        </is>
      </c>
      <c r="N514" t="inlineStr">
        <is>
          <t>2026-09-11 19:06</t>
        </is>
      </c>
    </row>
    <row r="515">
      <c r="A515" t="n">
        <v>514</v>
      </c>
      <c r="B515" t="inlineStr">
        <is>
          <t>2026-05-11</t>
        </is>
      </c>
      <c r="C515" t="n">
        <v>2026</v>
      </c>
      <c r="D515" t="inlineStr">
        <is>
          <t>Maj</t>
        </is>
      </c>
      <c r="E515" t="inlineStr">
        <is>
          <t>W2</t>
        </is>
      </c>
      <c r="F515" t="inlineStr">
        <is>
          <t>2026_Maj_W2</t>
        </is>
      </c>
      <c r="G515" t="inlineStr">
        <is>
          <t>Pn</t>
        </is>
      </c>
      <c r="H515" t="inlineStr">
        <is>
          <t>KAMIŃSKI, KAMIL</t>
        </is>
      </c>
      <c r="I515" t="inlineStr">
        <is>
          <t>Shift manager/Supervisor</t>
        </is>
      </c>
      <c r="J515" t="inlineStr">
        <is>
          <t>Standard 1,0|40h</t>
        </is>
      </c>
      <c r="K515" t="n">
        <v>8.08</v>
      </c>
      <c r="L515" t="inlineStr">
        <is>
          <t>384</t>
        </is>
      </c>
      <c r="M515" t="inlineStr">
        <is>
          <t>108120 SBX Warszawa Janki</t>
        </is>
      </c>
      <c r="N515" t="inlineStr">
        <is>
          <t>2026-09-11 19:06</t>
        </is>
      </c>
    </row>
    <row r="516">
      <c r="A516" t="n">
        <v>515</v>
      </c>
      <c r="B516" t="inlineStr">
        <is>
          <t>2026-05-13</t>
        </is>
      </c>
      <c r="C516" t="n">
        <v>2026</v>
      </c>
      <c r="D516" t="inlineStr">
        <is>
          <t>Maj</t>
        </is>
      </c>
      <c r="E516" t="inlineStr">
        <is>
          <t>W3</t>
        </is>
      </c>
      <c r="F516" t="inlineStr">
        <is>
          <t>2026_Maj_W3</t>
        </is>
      </c>
      <c r="G516" t="inlineStr">
        <is>
          <t>Śr</t>
        </is>
      </c>
      <c r="H516" t="inlineStr">
        <is>
          <t>KAMIŃSKI, KAMIL</t>
        </is>
      </c>
      <c r="I516" t="inlineStr">
        <is>
          <t>Shift manager/Supervisor</t>
        </is>
      </c>
      <c r="J516" t="inlineStr">
        <is>
          <t>Standard 1,0|40h</t>
        </is>
      </c>
      <c r="K516" t="n">
        <v>8</v>
      </c>
      <c r="L516" t="inlineStr">
        <is>
          <t>384</t>
        </is>
      </c>
      <c r="M516" t="inlineStr">
        <is>
          <t>108120 SBX Warszawa Janki</t>
        </is>
      </c>
      <c r="N516" t="inlineStr">
        <is>
          <t>2026-09-11 19:06</t>
        </is>
      </c>
    </row>
    <row r="517">
      <c r="A517" t="n">
        <v>516</v>
      </c>
      <c r="B517" t="inlineStr">
        <is>
          <t>2026-05-15</t>
        </is>
      </c>
      <c r="C517" t="n">
        <v>2026</v>
      </c>
      <c r="D517" t="inlineStr">
        <is>
          <t>Maj</t>
        </is>
      </c>
      <c r="E517" t="inlineStr">
        <is>
          <t>W3</t>
        </is>
      </c>
      <c r="F517" t="inlineStr">
        <is>
          <t>2026_Maj_W3</t>
        </is>
      </c>
      <c r="G517" t="inlineStr">
        <is>
          <t>Pt</t>
        </is>
      </c>
      <c r="H517" t="inlineStr">
        <is>
          <t>KAMIŃSKI, KAMIL</t>
        </is>
      </c>
      <c r="I517" t="inlineStr">
        <is>
          <t>Shift manager/Supervisor</t>
        </is>
      </c>
      <c r="J517" t="inlineStr">
        <is>
          <t>Standard 1,0|40h</t>
        </is>
      </c>
      <c r="K517" t="n">
        <v>8</v>
      </c>
      <c r="L517" t="inlineStr">
        <is>
          <t>384</t>
        </is>
      </c>
      <c r="M517" t="inlineStr">
        <is>
          <t>108120 SBX Warszawa Janki</t>
        </is>
      </c>
      <c r="N517" t="inlineStr">
        <is>
          <t>2026-09-11 19:06</t>
        </is>
      </c>
    </row>
    <row r="518">
      <c r="A518" t="n">
        <v>517</v>
      </c>
      <c r="B518" t="inlineStr">
        <is>
          <t>2026-05-18</t>
        </is>
      </c>
      <c r="C518" t="n">
        <v>2026</v>
      </c>
      <c r="D518" t="inlineStr">
        <is>
          <t>Maj</t>
        </is>
      </c>
      <c r="E518" t="inlineStr">
        <is>
          <t>W3</t>
        </is>
      </c>
      <c r="F518" t="inlineStr">
        <is>
          <t>2026_Maj_W3</t>
        </is>
      </c>
      <c r="G518" t="inlineStr">
        <is>
          <t>Pn</t>
        </is>
      </c>
      <c r="H518" t="inlineStr">
        <is>
          <t>KAMIŃSKI, KAMIL</t>
        </is>
      </c>
      <c r="I518" t="inlineStr">
        <is>
          <t>Shift manager/Supervisor</t>
        </is>
      </c>
      <c r="J518" t="inlineStr">
        <is>
          <t>Standard 1,0|40h</t>
        </is>
      </c>
      <c r="K518" t="n">
        <v>7.23</v>
      </c>
      <c r="L518" t="inlineStr">
        <is>
          <t>384</t>
        </is>
      </c>
      <c r="M518" t="inlineStr">
        <is>
          <t>108120 SBX Warszawa Janki</t>
        </is>
      </c>
      <c r="N518" t="inlineStr">
        <is>
          <t>2026-09-11 19:06</t>
        </is>
      </c>
    </row>
    <row r="519">
      <c r="A519" t="n">
        <v>518</v>
      </c>
      <c r="B519" t="inlineStr">
        <is>
          <t>2026-05-19</t>
        </is>
      </c>
      <c r="C519" t="n">
        <v>2026</v>
      </c>
      <c r="D519" t="inlineStr">
        <is>
          <t>Maj</t>
        </is>
      </c>
      <c r="E519" t="inlineStr">
        <is>
          <t>W4</t>
        </is>
      </c>
      <c r="F519" t="inlineStr">
        <is>
          <t>2026_Maj_W4</t>
        </is>
      </c>
      <c r="G519" t="inlineStr">
        <is>
          <t>Wt</t>
        </is>
      </c>
      <c r="H519" t="inlineStr">
        <is>
          <t>KAMIŃSKI, KAMIL</t>
        </is>
      </c>
      <c r="I519" t="inlineStr">
        <is>
          <t>Shift manager/Supervisor</t>
        </is>
      </c>
      <c r="J519" t="inlineStr">
        <is>
          <t>Standard 1,0|40h</t>
        </is>
      </c>
      <c r="K519" t="n">
        <v>8.220000000000001</v>
      </c>
      <c r="L519" t="inlineStr">
        <is>
          <t>384</t>
        </is>
      </c>
      <c r="M519" t="inlineStr">
        <is>
          <t>108120 SBX Warszawa Janki</t>
        </is>
      </c>
      <c r="N519" t="inlineStr">
        <is>
          <t>2026-09-11 19:06</t>
        </is>
      </c>
    </row>
    <row r="520">
      <c r="A520" t="n">
        <v>519</v>
      </c>
      <c r="B520" t="inlineStr">
        <is>
          <t>2026-05-20</t>
        </is>
      </c>
      <c r="C520" t="n">
        <v>2026</v>
      </c>
      <c r="D520" t="inlineStr">
        <is>
          <t>Maj</t>
        </is>
      </c>
      <c r="E520" t="inlineStr">
        <is>
          <t>W4</t>
        </is>
      </c>
      <c r="F520" t="inlineStr">
        <is>
          <t>2026_Maj_W4</t>
        </is>
      </c>
      <c r="G520" t="inlineStr">
        <is>
          <t>Śr</t>
        </is>
      </c>
      <c r="H520" t="inlineStr">
        <is>
          <t>KAMIŃSKI, KAMIL</t>
        </is>
      </c>
      <c r="I520" t="inlineStr">
        <is>
          <t>Shift manager/Supervisor</t>
        </is>
      </c>
      <c r="J520" t="inlineStr">
        <is>
          <t>Standard 1,0|40h</t>
        </is>
      </c>
      <c r="K520" t="n">
        <v>7.92</v>
      </c>
      <c r="L520" t="inlineStr">
        <is>
          <t>384</t>
        </is>
      </c>
      <c r="M520" t="inlineStr">
        <is>
          <t>108120 SBX Warszawa Janki</t>
        </is>
      </c>
      <c r="N520" t="inlineStr">
        <is>
          <t>2026-09-11 19:06</t>
        </is>
      </c>
    </row>
    <row r="521">
      <c r="A521" t="n">
        <v>520</v>
      </c>
      <c r="B521" t="inlineStr">
        <is>
          <t>2026-05-21</t>
        </is>
      </c>
      <c r="C521" t="n">
        <v>2026</v>
      </c>
      <c r="D521" t="inlineStr">
        <is>
          <t>Maj</t>
        </is>
      </c>
      <c r="E521" t="inlineStr">
        <is>
          <t>W4</t>
        </is>
      </c>
      <c r="F521" t="inlineStr">
        <is>
          <t>2026_Maj_W4</t>
        </is>
      </c>
      <c r="G521" t="inlineStr">
        <is>
          <t>Czw</t>
        </is>
      </c>
      <c r="H521" t="inlineStr">
        <is>
          <t>KAMIŃSKI, KAMIL</t>
        </is>
      </c>
      <c r="I521" t="inlineStr">
        <is>
          <t>Shift manager/Supervisor</t>
        </is>
      </c>
      <c r="J521" t="inlineStr">
        <is>
          <t>Standard 1,0|40h</t>
        </is>
      </c>
      <c r="K521" t="n">
        <v>8.050000000000001</v>
      </c>
      <c r="L521" t="inlineStr">
        <is>
          <t>384</t>
        </is>
      </c>
      <c r="M521" t="inlineStr">
        <is>
          <t>108120 SBX Warszawa Janki</t>
        </is>
      </c>
      <c r="N521" t="inlineStr">
        <is>
          <t>2026-09-11 19:06</t>
        </is>
      </c>
    </row>
    <row r="522">
      <c r="A522" t="n">
        <v>521</v>
      </c>
      <c r="B522" t="inlineStr">
        <is>
          <t>2026-05-26</t>
        </is>
      </c>
      <c r="C522" t="n">
        <v>2026</v>
      </c>
      <c r="D522" t="inlineStr">
        <is>
          <t>Maj</t>
        </is>
      </c>
      <c r="E522" t="inlineStr">
        <is>
          <t>W5</t>
        </is>
      </c>
      <c r="F522" t="inlineStr">
        <is>
          <t>2026_Maj_W5</t>
        </is>
      </c>
      <c r="G522" t="inlineStr">
        <is>
          <t>Wt</t>
        </is>
      </c>
      <c r="H522" t="inlineStr">
        <is>
          <t>KAMIŃSKI, KAMIL</t>
        </is>
      </c>
      <c r="I522" t="inlineStr">
        <is>
          <t>Shift manager/Supervisor</t>
        </is>
      </c>
      <c r="J522" t="inlineStr">
        <is>
          <t>Standard 1,0|40h</t>
        </is>
      </c>
      <c r="K522" t="n">
        <v>7.99</v>
      </c>
      <c r="L522" t="inlineStr">
        <is>
          <t>384</t>
        </is>
      </c>
      <c r="M522" t="inlineStr">
        <is>
          <t>108120 SBX Warszawa Janki</t>
        </is>
      </c>
      <c r="N522" t="inlineStr">
        <is>
          <t>2026-09-11 19:06</t>
        </is>
      </c>
    </row>
    <row r="523">
      <c r="A523" t="n">
        <v>522</v>
      </c>
      <c r="B523" t="inlineStr">
        <is>
          <t>2026-05-28</t>
        </is>
      </c>
      <c r="C523" t="n">
        <v>2026</v>
      </c>
      <c r="D523" t="inlineStr">
        <is>
          <t>Maj</t>
        </is>
      </c>
      <c r="E523" t="inlineStr">
        <is>
          <t>W5</t>
        </is>
      </c>
      <c r="F523" t="inlineStr">
        <is>
          <t>2026_Maj_W5</t>
        </is>
      </c>
      <c r="G523" t="inlineStr">
        <is>
          <t>Czw</t>
        </is>
      </c>
      <c r="H523" t="inlineStr">
        <is>
          <t>KAMIŃSKI, KAMIL</t>
        </is>
      </c>
      <c r="I523" t="inlineStr">
        <is>
          <t>Shift manager/Supervisor</t>
        </is>
      </c>
      <c r="J523" t="inlineStr">
        <is>
          <t>Standard 1,0|40h</t>
        </is>
      </c>
      <c r="K523" t="n">
        <v>8.34</v>
      </c>
      <c r="L523" t="inlineStr">
        <is>
          <t>384</t>
        </is>
      </c>
      <c r="M523" t="inlineStr">
        <is>
          <t>108120 SBX Warszawa Janki</t>
        </is>
      </c>
      <c r="N523" t="inlineStr">
        <is>
          <t>2026-09-11 19:06</t>
        </is>
      </c>
    </row>
    <row r="524">
      <c r="A524" t="n">
        <v>523</v>
      </c>
      <c r="B524" t="inlineStr">
        <is>
          <t>2026-05-29</t>
        </is>
      </c>
      <c r="C524" t="n">
        <v>2026</v>
      </c>
      <c r="D524" t="inlineStr">
        <is>
          <t>Maj</t>
        </is>
      </c>
      <c r="E524" t="inlineStr">
        <is>
          <t>W5</t>
        </is>
      </c>
      <c r="F524" t="inlineStr">
        <is>
          <t>2026_Maj_W5</t>
        </is>
      </c>
      <c r="G524" t="inlineStr">
        <is>
          <t>Pt</t>
        </is>
      </c>
      <c r="H524" t="inlineStr">
        <is>
          <t>KAMIŃSKI, KAMIL</t>
        </is>
      </c>
      <c r="I524" t="inlineStr">
        <is>
          <t>Shift manager/Supervisor</t>
        </is>
      </c>
      <c r="J524" t="inlineStr">
        <is>
          <t>Standard 1,0|40h</t>
        </is>
      </c>
      <c r="K524" t="n">
        <v>7.03</v>
      </c>
      <c r="L524" t="inlineStr">
        <is>
          <t>384</t>
        </is>
      </c>
      <c r="M524" t="inlineStr">
        <is>
          <t>108120 SBX Warszawa Janki</t>
        </is>
      </c>
      <c r="N524" t="inlineStr">
        <is>
          <t>2026-09-11 19:06</t>
        </is>
      </c>
    </row>
    <row r="525">
      <c r="A525" t="n">
        <v>524</v>
      </c>
      <c r="B525" t="inlineStr">
        <is>
          <t>2026-06-01</t>
        </is>
      </c>
      <c r="C525" t="n">
        <v>2026</v>
      </c>
      <c r="D525" t="inlineStr">
        <is>
          <t>Czerwiec</t>
        </is>
      </c>
      <c r="E525" t="inlineStr">
        <is>
          <t>W1</t>
        </is>
      </c>
      <c r="F525" t="inlineStr">
        <is>
          <t>2026_Czerwiec_W1</t>
        </is>
      </c>
      <c r="G525" t="inlineStr">
        <is>
          <t>Pn</t>
        </is>
      </c>
      <c r="H525" t="inlineStr">
        <is>
          <t>KAMIŃSKI, KAMIL</t>
        </is>
      </c>
      <c r="I525" t="inlineStr">
        <is>
          <t>Shift manager/Supervisor</t>
        </is>
      </c>
      <c r="J525" t="inlineStr">
        <is>
          <t>Standard 1,0|40h</t>
        </is>
      </c>
      <c r="K525" t="n">
        <v>8.529999999999999</v>
      </c>
      <c r="L525" t="inlineStr">
        <is>
          <t>384</t>
        </is>
      </c>
      <c r="M525" t="inlineStr">
        <is>
          <t>108120 SBX Warszawa Janki</t>
        </is>
      </c>
      <c r="N525" t="inlineStr">
        <is>
          <t>2026-09-11 19:06</t>
        </is>
      </c>
    </row>
    <row r="526">
      <c r="A526" t="n">
        <v>525</v>
      </c>
      <c r="B526" t="inlineStr">
        <is>
          <t>2026-06-03</t>
        </is>
      </c>
      <c r="C526" t="n">
        <v>2026</v>
      </c>
      <c r="D526" t="inlineStr">
        <is>
          <t>Czerwiec</t>
        </is>
      </c>
      <c r="E526" t="inlineStr">
        <is>
          <t>W2</t>
        </is>
      </c>
      <c r="F526" t="inlineStr">
        <is>
          <t>2026_Czerwiec_W2</t>
        </is>
      </c>
      <c r="G526" t="inlineStr">
        <is>
          <t>Śr</t>
        </is>
      </c>
      <c r="H526" t="inlineStr">
        <is>
          <t>KAMIŃSKI, KAMIL</t>
        </is>
      </c>
      <c r="I526" t="inlineStr">
        <is>
          <t>Shift manager/Supervisor</t>
        </is>
      </c>
      <c r="J526" t="inlineStr">
        <is>
          <t>Standard 1,0|40h</t>
        </is>
      </c>
      <c r="K526" t="n">
        <v>8.869999999999999</v>
      </c>
      <c r="L526" t="inlineStr">
        <is>
          <t>384</t>
        </is>
      </c>
      <c r="M526" t="inlineStr">
        <is>
          <t>108120 SBX Warszawa Janki</t>
        </is>
      </c>
      <c r="N526" t="inlineStr">
        <is>
          <t>2026-09-11 19:06</t>
        </is>
      </c>
    </row>
    <row r="527">
      <c r="A527" t="n">
        <v>526</v>
      </c>
      <c r="B527" t="inlineStr">
        <is>
          <t>2026-06-05</t>
        </is>
      </c>
      <c r="C527" t="n">
        <v>2026</v>
      </c>
      <c r="D527" t="inlineStr">
        <is>
          <t>Czerwiec</t>
        </is>
      </c>
      <c r="E527" t="inlineStr">
        <is>
          <t>W2</t>
        </is>
      </c>
      <c r="F527" t="inlineStr">
        <is>
          <t>2026_Czerwiec_W2</t>
        </is>
      </c>
      <c r="G527" t="inlineStr">
        <is>
          <t>Pt</t>
        </is>
      </c>
      <c r="H527" t="inlineStr">
        <is>
          <t>KAMIŃSKI, KAMIL</t>
        </is>
      </c>
      <c r="I527" t="inlineStr">
        <is>
          <t>Shift manager/Supervisor</t>
        </is>
      </c>
      <c r="J527" t="inlineStr">
        <is>
          <t>Standard 1,0|40h</t>
        </is>
      </c>
      <c r="K527" t="n">
        <v>8.039999999999999</v>
      </c>
      <c r="L527" t="inlineStr">
        <is>
          <t>384</t>
        </is>
      </c>
      <c r="M527" t="inlineStr">
        <is>
          <t>108120 SBX Warszawa Janki</t>
        </is>
      </c>
      <c r="N527" t="inlineStr">
        <is>
          <t>2026-09-11 19:06</t>
        </is>
      </c>
    </row>
    <row r="528">
      <c r="A528" t="n">
        <v>527</v>
      </c>
      <c r="B528" t="inlineStr">
        <is>
          <t>2026-06-09</t>
        </is>
      </c>
      <c r="C528" t="n">
        <v>2026</v>
      </c>
      <c r="D528" t="inlineStr">
        <is>
          <t>Czerwiec</t>
        </is>
      </c>
      <c r="E528" t="inlineStr">
        <is>
          <t>W3</t>
        </is>
      </c>
      <c r="F528" t="inlineStr">
        <is>
          <t>2026_Czerwiec_W3</t>
        </is>
      </c>
      <c r="G528" t="inlineStr">
        <is>
          <t>Wt</t>
        </is>
      </c>
      <c r="H528" t="inlineStr">
        <is>
          <t>KAMIŃSKI, KAMIL</t>
        </is>
      </c>
      <c r="I528" t="inlineStr">
        <is>
          <t>Shift manager/Supervisor</t>
        </is>
      </c>
      <c r="J528" t="inlineStr">
        <is>
          <t>Standard 1,0|40h</t>
        </is>
      </c>
      <c r="K528" t="n">
        <v>8.130000000000001</v>
      </c>
      <c r="L528" t="inlineStr">
        <is>
          <t>384</t>
        </is>
      </c>
      <c r="M528" t="inlineStr">
        <is>
          <t>108120 SBX Warszawa Janki</t>
        </is>
      </c>
      <c r="N528" t="inlineStr">
        <is>
          <t>2026-09-11 19:06</t>
        </is>
      </c>
    </row>
    <row r="529">
      <c r="A529" t="n">
        <v>528</v>
      </c>
      <c r="B529" t="inlineStr">
        <is>
          <t>2026-06-10</t>
        </is>
      </c>
      <c r="C529" t="n">
        <v>2026</v>
      </c>
      <c r="D529" t="inlineStr">
        <is>
          <t>Czerwiec</t>
        </is>
      </c>
      <c r="E529" t="inlineStr">
        <is>
          <t>W3</t>
        </is>
      </c>
      <c r="F529" t="inlineStr">
        <is>
          <t>2026_Czerwiec_W3</t>
        </is>
      </c>
      <c r="G529" t="inlineStr">
        <is>
          <t>Śr</t>
        </is>
      </c>
      <c r="H529" t="inlineStr">
        <is>
          <t>KAMIŃSKI, KAMIL</t>
        </is>
      </c>
      <c r="I529" t="inlineStr">
        <is>
          <t>Shift manager/Supervisor</t>
        </is>
      </c>
      <c r="J529" t="inlineStr">
        <is>
          <t>Standard 1,0|40h</t>
        </is>
      </c>
      <c r="K529" t="n">
        <v>8.130000000000001</v>
      </c>
      <c r="L529" t="inlineStr">
        <is>
          <t>384</t>
        </is>
      </c>
      <c r="M529" t="inlineStr">
        <is>
          <t>108120 SBX Warszawa Janki</t>
        </is>
      </c>
      <c r="N529" t="inlineStr">
        <is>
          <t>2026-09-11 19:06</t>
        </is>
      </c>
    </row>
    <row r="530">
      <c r="A530" t="n">
        <v>529</v>
      </c>
      <c r="B530" t="inlineStr">
        <is>
          <t>2026-06-12</t>
        </is>
      </c>
      <c r="C530" t="n">
        <v>2026</v>
      </c>
      <c r="D530" t="inlineStr">
        <is>
          <t>Czerwiec</t>
        </is>
      </c>
      <c r="E530" t="inlineStr">
        <is>
          <t>W3</t>
        </is>
      </c>
      <c r="F530" t="inlineStr">
        <is>
          <t>2026_Czerwiec_W3</t>
        </is>
      </c>
      <c r="G530" t="inlineStr">
        <is>
          <t>Pt</t>
        </is>
      </c>
      <c r="H530" t="inlineStr">
        <is>
          <t>KAMIŃSKI, KAMIL</t>
        </is>
      </c>
      <c r="I530" t="inlineStr">
        <is>
          <t>Shift manager/Supervisor</t>
        </is>
      </c>
      <c r="J530" t="inlineStr">
        <is>
          <t>Standard 1,0|40h</t>
        </is>
      </c>
      <c r="K530" t="n">
        <v>8.109999999999999</v>
      </c>
      <c r="L530" t="inlineStr">
        <is>
          <t>384</t>
        </is>
      </c>
      <c r="M530" t="inlineStr">
        <is>
          <t>108120 SBX Warszawa Janki</t>
        </is>
      </c>
      <c r="N530" t="inlineStr">
        <is>
          <t>2026-09-11 19:06</t>
        </is>
      </c>
    </row>
    <row r="531">
      <c r="A531" t="n">
        <v>530</v>
      </c>
      <c r="B531" t="inlineStr">
        <is>
          <t>2026-06-14</t>
        </is>
      </c>
      <c r="C531" t="n">
        <v>2026</v>
      </c>
      <c r="D531" t="inlineStr">
        <is>
          <t>Czerwiec</t>
        </is>
      </c>
      <c r="E531" t="inlineStr">
        <is>
          <t>W3</t>
        </is>
      </c>
      <c r="F531" t="inlineStr">
        <is>
          <t>2026_Czerwiec_W3</t>
        </is>
      </c>
      <c r="G531" t="inlineStr">
        <is>
          <t>Nd</t>
        </is>
      </c>
      <c r="H531" t="inlineStr">
        <is>
          <t>KAMIŃSKI, KAMIL</t>
        </is>
      </c>
      <c r="I531" t="inlineStr">
        <is>
          <t>Shift manager/Supervisor</t>
        </is>
      </c>
      <c r="J531" t="inlineStr">
        <is>
          <t>Standard 1,0|40h</t>
        </is>
      </c>
      <c r="K531" t="n">
        <v>6.75</v>
      </c>
      <c r="L531" t="inlineStr">
        <is>
          <t>384</t>
        </is>
      </c>
      <c r="M531" t="inlineStr">
        <is>
          <t>108120 SBX Warszawa Janki</t>
        </is>
      </c>
      <c r="N531" t="inlineStr">
        <is>
          <t>2026-09-11 19:06</t>
        </is>
      </c>
    </row>
    <row r="532">
      <c r="A532" t="n">
        <v>531</v>
      </c>
      <c r="B532" t="inlineStr">
        <is>
          <t>2026-06-16</t>
        </is>
      </c>
      <c r="C532" t="n">
        <v>2026</v>
      </c>
      <c r="D532" t="inlineStr">
        <is>
          <t>Czerwiec</t>
        </is>
      </c>
      <c r="E532" t="inlineStr">
        <is>
          <t>W4</t>
        </is>
      </c>
      <c r="F532" t="inlineStr">
        <is>
          <t>2026_Czerwiec_W4</t>
        </is>
      </c>
      <c r="G532" t="inlineStr">
        <is>
          <t>Wt</t>
        </is>
      </c>
      <c r="H532" t="inlineStr">
        <is>
          <t>KAMIŃSKI, KAMIL</t>
        </is>
      </c>
      <c r="I532" t="inlineStr">
        <is>
          <t>Shift manager/Supervisor</t>
        </is>
      </c>
      <c r="J532" t="inlineStr">
        <is>
          <t>Standard 1,0|40h</t>
        </is>
      </c>
      <c r="K532" t="n">
        <v>8.029999999999999</v>
      </c>
      <c r="L532" t="inlineStr">
        <is>
          <t>384</t>
        </is>
      </c>
      <c r="M532" t="inlineStr">
        <is>
          <t>108120 SBX Warszawa Janki</t>
        </is>
      </c>
      <c r="N532" t="inlineStr">
        <is>
          <t>2026-09-11 19:06</t>
        </is>
      </c>
    </row>
    <row r="533">
      <c r="A533" t="n">
        <v>532</v>
      </c>
      <c r="B533" t="inlineStr">
        <is>
          <t>2026-06-23</t>
        </is>
      </c>
      <c r="C533" t="n">
        <v>2026</v>
      </c>
      <c r="D533" t="inlineStr">
        <is>
          <t>Czerwiec</t>
        </is>
      </c>
      <c r="E533" t="inlineStr">
        <is>
          <t>W5</t>
        </is>
      </c>
      <c r="F533" t="inlineStr">
        <is>
          <t>2026_Czerwiec_W5</t>
        </is>
      </c>
      <c r="G533" t="inlineStr">
        <is>
          <t>Wt</t>
        </is>
      </c>
      <c r="H533" t="inlineStr">
        <is>
          <t>KAMIŃSKI, KAMIL</t>
        </is>
      </c>
      <c r="I533" t="inlineStr">
        <is>
          <t>Shift manager/Supervisor</t>
        </is>
      </c>
      <c r="J533" t="inlineStr">
        <is>
          <t>Standard 1,0|40h</t>
        </is>
      </c>
      <c r="K533" t="n">
        <v>8.07</v>
      </c>
      <c r="L533" t="inlineStr">
        <is>
          <t>384</t>
        </is>
      </c>
      <c r="M533" t="inlineStr">
        <is>
          <t>108120 SBX Warszawa Janki</t>
        </is>
      </c>
      <c r="N533" t="inlineStr">
        <is>
          <t>2026-09-11 19:06</t>
        </is>
      </c>
    </row>
    <row r="534">
      <c r="A534" t="n">
        <v>533</v>
      </c>
      <c r="B534" t="inlineStr">
        <is>
          <t>2026-06-24</t>
        </is>
      </c>
      <c r="C534" t="n">
        <v>2026</v>
      </c>
      <c r="D534" t="inlineStr">
        <is>
          <t>Czerwiec</t>
        </is>
      </c>
      <c r="E534" t="inlineStr">
        <is>
          <t>W5</t>
        </is>
      </c>
      <c r="F534" t="inlineStr">
        <is>
          <t>2026_Czerwiec_W5</t>
        </is>
      </c>
      <c r="G534" t="inlineStr">
        <is>
          <t>Śr</t>
        </is>
      </c>
      <c r="H534" t="inlineStr">
        <is>
          <t>KAMIŃSKI, KAMIL</t>
        </is>
      </c>
      <c r="I534" t="inlineStr">
        <is>
          <t>Shift manager/Supervisor</t>
        </is>
      </c>
      <c r="J534" t="inlineStr">
        <is>
          <t>Standard 1,0|40h</t>
        </is>
      </c>
      <c r="K534" t="n">
        <v>8</v>
      </c>
      <c r="L534" t="inlineStr">
        <is>
          <t>384</t>
        </is>
      </c>
      <c r="M534" t="inlineStr">
        <is>
          <t>108120 SBX Warszawa Janki</t>
        </is>
      </c>
      <c r="N534" t="inlineStr">
        <is>
          <t>2026-09-11 19:06</t>
        </is>
      </c>
    </row>
    <row r="535">
      <c r="A535" t="n">
        <v>534</v>
      </c>
      <c r="B535" t="inlineStr">
        <is>
          <t>2026-06-25</t>
        </is>
      </c>
      <c r="C535" t="n">
        <v>2026</v>
      </c>
      <c r="D535" t="inlineStr">
        <is>
          <t>Czerwiec</t>
        </is>
      </c>
      <c r="E535" t="inlineStr">
        <is>
          <t>W5</t>
        </is>
      </c>
      <c r="F535" t="inlineStr">
        <is>
          <t>2026_Czerwiec_W5</t>
        </is>
      </c>
      <c r="G535" t="inlineStr">
        <is>
          <t>Czw</t>
        </is>
      </c>
      <c r="H535" t="inlineStr">
        <is>
          <t>KAMIŃSKI, KAMIL</t>
        </is>
      </c>
      <c r="I535" t="inlineStr">
        <is>
          <t>Shift manager/Supervisor</t>
        </is>
      </c>
      <c r="J535" t="inlineStr">
        <is>
          <t>Standard 1,0|40h</t>
        </is>
      </c>
      <c r="K535" t="n">
        <v>8.02</v>
      </c>
      <c r="L535" t="inlineStr">
        <is>
          <t>384</t>
        </is>
      </c>
      <c r="M535" t="inlineStr">
        <is>
          <t>108120 SBX Warszawa Janki</t>
        </is>
      </c>
      <c r="N535" t="inlineStr">
        <is>
          <t>2026-09-11 19:06</t>
        </is>
      </c>
    </row>
    <row r="536">
      <c r="A536" t="n">
        <v>535</v>
      </c>
      <c r="B536" t="inlineStr">
        <is>
          <t>2026-06-26</t>
        </is>
      </c>
      <c r="C536" t="n">
        <v>2026</v>
      </c>
      <c r="D536" t="inlineStr">
        <is>
          <t>Czerwiec</t>
        </is>
      </c>
      <c r="E536" t="inlineStr">
        <is>
          <t>W5</t>
        </is>
      </c>
      <c r="F536" t="inlineStr">
        <is>
          <t>2026_Czerwiec_W5</t>
        </is>
      </c>
      <c r="G536" t="inlineStr">
        <is>
          <t>Pt</t>
        </is>
      </c>
      <c r="H536" t="inlineStr">
        <is>
          <t>KAMIŃSKI, KAMIL</t>
        </is>
      </c>
      <c r="I536" t="inlineStr">
        <is>
          <t>Shift manager/Supervisor</t>
        </is>
      </c>
      <c r="J536" t="inlineStr">
        <is>
          <t>Standard 1,0|40h</t>
        </is>
      </c>
      <c r="K536" t="n">
        <v>7.85</v>
      </c>
      <c r="L536" t="inlineStr">
        <is>
          <t>384</t>
        </is>
      </c>
      <c r="M536" t="inlineStr">
        <is>
          <t>108120 SBX Warszawa Janki</t>
        </is>
      </c>
      <c r="N536" t="inlineStr">
        <is>
          <t>2026-09-11 19:06</t>
        </is>
      </c>
    </row>
    <row r="537">
      <c r="A537" t="n">
        <v>536</v>
      </c>
      <c r="B537" t="inlineStr">
        <is>
          <t>2026-07-08</t>
        </is>
      </c>
      <c r="C537" t="n">
        <v>2026</v>
      </c>
      <c r="D537" t="inlineStr">
        <is>
          <t>Lipiec</t>
        </is>
      </c>
      <c r="E537" t="inlineStr">
        <is>
          <t>W2</t>
        </is>
      </c>
      <c r="F537" t="inlineStr">
        <is>
          <t>2026_Lipiec_W2</t>
        </is>
      </c>
      <c r="G537" t="inlineStr">
        <is>
          <t>Śr</t>
        </is>
      </c>
      <c r="H537" t="inlineStr">
        <is>
          <t>KAMIŃSKI, KAMIL</t>
        </is>
      </c>
      <c r="I537" t="inlineStr">
        <is>
          <t>Shift manager/Supervisor</t>
        </is>
      </c>
      <c r="J537" t="inlineStr">
        <is>
          <t>Standard 1,0|40h</t>
        </is>
      </c>
      <c r="K537" t="n">
        <v>8</v>
      </c>
      <c r="L537" t="inlineStr">
        <is>
          <t>384</t>
        </is>
      </c>
      <c r="M537" t="inlineStr">
        <is>
          <t>108120 SBX Warszawa Janki</t>
        </is>
      </c>
      <c r="N537" t="inlineStr">
        <is>
          <t>2026-09-11 19:06</t>
        </is>
      </c>
    </row>
    <row r="538">
      <c r="A538" t="n">
        <v>537</v>
      </c>
      <c r="B538" t="inlineStr">
        <is>
          <t>2026-07-15</t>
        </is>
      </c>
      <c r="C538" t="n">
        <v>2026</v>
      </c>
      <c r="D538" t="inlineStr">
        <is>
          <t>Lipiec</t>
        </is>
      </c>
      <c r="E538" t="inlineStr">
        <is>
          <t>W3</t>
        </is>
      </c>
      <c r="F538" t="inlineStr">
        <is>
          <t>2026_Lipiec_W3</t>
        </is>
      </c>
      <c r="G538" t="inlineStr">
        <is>
          <t>Śr</t>
        </is>
      </c>
      <c r="H538" t="inlineStr">
        <is>
          <t>KAMIŃSKI, KAMIL</t>
        </is>
      </c>
      <c r="I538" t="inlineStr">
        <is>
          <t>Shift manager/Supervisor</t>
        </is>
      </c>
      <c r="J538" t="inlineStr">
        <is>
          <t>Standard 1,0|40h</t>
        </is>
      </c>
      <c r="K538" t="n">
        <v>8</v>
      </c>
      <c r="L538" t="inlineStr">
        <is>
          <t>384</t>
        </is>
      </c>
      <c r="M538" t="inlineStr">
        <is>
          <t>108120 SBX Warszawa Janki</t>
        </is>
      </c>
      <c r="N538" t="inlineStr">
        <is>
          <t>2026-09-11 19:06</t>
        </is>
      </c>
    </row>
    <row r="539">
      <c r="A539" t="n">
        <v>538</v>
      </c>
      <c r="B539" t="inlineStr">
        <is>
          <t>2026-07-16</t>
        </is>
      </c>
      <c r="C539" t="n">
        <v>2026</v>
      </c>
      <c r="D539" t="inlineStr">
        <is>
          <t>Lipiec</t>
        </is>
      </c>
      <c r="E539" t="inlineStr">
        <is>
          <t>W3</t>
        </is>
      </c>
      <c r="F539" t="inlineStr">
        <is>
          <t>2026_Lipiec_W3</t>
        </is>
      </c>
      <c r="G539" t="inlineStr">
        <is>
          <t>Czw</t>
        </is>
      </c>
      <c r="H539" t="inlineStr">
        <is>
          <t>KAMIŃSKI, KAMIL</t>
        </is>
      </c>
      <c r="I539" t="inlineStr">
        <is>
          <t>Shift manager/Supervisor</t>
        </is>
      </c>
      <c r="J539" t="inlineStr">
        <is>
          <t>Standard 1,0|40h</t>
        </is>
      </c>
      <c r="K539" t="n">
        <v>8</v>
      </c>
      <c r="L539" t="inlineStr">
        <is>
          <t>384</t>
        </is>
      </c>
      <c r="M539" t="inlineStr">
        <is>
          <t>108120 SBX Warszawa Janki</t>
        </is>
      </c>
      <c r="N539" t="inlineStr">
        <is>
          <t>2026-09-11 19:06</t>
        </is>
      </c>
    </row>
    <row r="540">
      <c r="A540" t="n">
        <v>539</v>
      </c>
      <c r="B540" t="inlineStr">
        <is>
          <t>2026-07-22</t>
        </is>
      </c>
      <c r="C540" t="n">
        <v>2026</v>
      </c>
      <c r="D540" t="inlineStr">
        <is>
          <t>Lipiec</t>
        </is>
      </c>
      <c r="E540" t="inlineStr">
        <is>
          <t>W4</t>
        </is>
      </c>
      <c r="F540" t="inlineStr">
        <is>
          <t>2026_Lipiec_W4</t>
        </is>
      </c>
      <c r="G540" t="inlineStr">
        <is>
          <t>Śr</t>
        </is>
      </c>
      <c r="H540" t="inlineStr">
        <is>
          <t>KAMIŃSKI, KAMIL</t>
        </is>
      </c>
      <c r="I540" t="inlineStr">
        <is>
          <t>Shift manager/Supervisor</t>
        </is>
      </c>
      <c r="J540" t="inlineStr">
        <is>
          <t>Standard 1,0|40h</t>
        </is>
      </c>
      <c r="K540" t="n">
        <v>8</v>
      </c>
      <c r="L540" t="inlineStr">
        <is>
          <t>384</t>
        </is>
      </c>
      <c r="M540" t="inlineStr">
        <is>
          <t>108120 SBX Warszawa Janki</t>
        </is>
      </c>
      <c r="N540" t="inlineStr">
        <is>
          <t>2026-09-11 19:06</t>
        </is>
      </c>
    </row>
    <row r="541">
      <c r="A541" t="n">
        <v>540</v>
      </c>
      <c r="B541" t="inlineStr">
        <is>
          <t>2026-07-23</t>
        </is>
      </c>
      <c r="C541" t="n">
        <v>2026</v>
      </c>
      <c r="D541" t="inlineStr">
        <is>
          <t>Lipiec</t>
        </is>
      </c>
      <c r="E541" t="inlineStr">
        <is>
          <t>W4</t>
        </is>
      </c>
      <c r="F541" t="inlineStr">
        <is>
          <t>2026_Lipiec_W4</t>
        </is>
      </c>
      <c r="G541" t="inlineStr">
        <is>
          <t>Czw</t>
        </is>
      </c>
      <c r="H541" t="inlineStr">
        <is>
          <t>KAMIŃSKI, KAMIL</t>
        </is>
      </c>
      <c r="I541" t="inlineStr">
        <is>
          <t>Shift manager/Supervisor</t>
        </is>
      </c>
      <c r="J541" t="inlineStr">
        <is>
          <t>Standard 1,0|40h</t>
        </is>
      </c>
      <c r="K541" t="n">
        <v>6.14</v>
      </c>
      <c r="L541" t="inlineStr">
        <is>
          <t>384</t>
        </is>
      </c>
      <c r="M541" t="inlineStr">
        <is>
          <t>108120 SBX Warszawa Janki</t>
        </is>
      </c>
      <c r="N541" t="inlineStr">
        <is>
          <t>2026-09-11 19:06</t>
        </is>
      </c>
    </row>
    <row r="542">
      <c r="A542" t="n">
        <v>541</v>
      </c>
      <c r="B542" t="inlineStr">
        <is>
          <t>2026-07-25</t>
        </is>
      </c>
      <c r="C542" t="n">
        <v>2026</v>
      </c>
      <c r="D542" t="inlineStr">
        <is>
          <t>Lipiec</t>
        </is>
      </c>
      <c r="E542" t="inlineStr">
        <is>
          <t>W4</t>
        </is>
      </c>
      <c r="F542" t="inlineStr">
        <is>
          <t>2026_Lipiec_W4</t>
        </is>
      </c>
      <c r="G542" t="inlineStr">
        <is>
          <t>Sob</t>
        </is>
      </c>
      <c r="H542" t="inlineStr">
        <is>
          <t>KAMIŃSKI, KAMIL</t>
        </is>
      </c>
      <c r="I542" t="inlineStr">
        <is>
          <t>Shift manager/Supervisor</t>
        </is>
      </c>
      <c r="J542" t="inlineStr">
        <is>
          <t>Standard 1,0|40h</t>
        </is>
      </c>
      <c r="K542" t="n">
        <v>8.029999999999999</v>
      </c>
      <c r="L542" t="inlineStr">
        <is>
          <t>384</t>
        </is>
      </c>
      <c r="M542" t="inlineStr">
        <is>
          <t>108120 SBX Warszawa Janki</t>
        </is>
      </c>
      <c r="N542" t="inlineStr">
        <is>
          <t>2026-09-11 19:06</t>
        </is>
      </c>
    </row>
    <row r="543">
      <c r="A543" t="n">
        <v>542</v>
      </c>
      <c r="B543" t="inlineStr">
        <is>
          <t>2026-07-28</t>
        </is>
      </c>
      <c r="C543" t="n">
        <v>2026</v>
      </c>
      <c r="D543" t="inlineStr">
        <is>
          <t>Lipiec</t>
        </is>
      </c>
      <c r="E543" t="inlineStr">
        <is>
          <t>W5</t>
        </is>
      </c>
      <c r="F543" t="inlineStr">
        <is>
          <t>2026_Lipiec_W5</t>
        </is>
      </c>
      <c r="G543" t="inlineStr">
        <is>
          <t>Wt</t>
        </is>
      </c>
      <c r="H543" t="inlineStr">
        <is>
          <t>KAMIŃSKI, KAMIL</t>
        </is>
      </c>
      <c r="I543" t="inlineStr">
        <is>
          <t>Shift manager/Supervisor</t>
        </is>
      </c>
      <c r="J543" t="inlineStr">
        <is>
          <t>Standard 1,0|40h</t>
        </is>
      </c>
      <c r="K543" t="n">
        <v>8</v>
      </c>
      <c r="L543" t="inlineStr">
        <is>
          <t>384</t>
        </is>
      </c>
      <c r="M543" t="inlineStr">
        <is>
          <t>108120 SBX Warszawa Janki</t>
        </is>
      </c>
      <c r="N543" t="inlineStr">
        <is>
          <t>2026-09-11 19:06</t>
        </is>
      </c>
    </row>
    <row r="544">
      <c r="A544" t="n">
        <v>543</v>
      </c>
      <c r="B544" t="inlineStr">
        <is>
          <t>2026-07-29</t>
        </is>
      </c>
      <c r="C544" t="n">
        <v>2026</v>
      </c>
      <c r="D544" t="inlineStr">
        <is>
          <t>Lipiec</t>
        </is>
      </c>
      <c r="E544" t="inlineStr">
        <is>
          <t>W5</t>
        </is>
      </c>
      <c r="F544" t="inlineStr">
        <is>
          <t>2026_Lipiec_W5</t>
        </is>
      </c>
      <c r="G544" t="inlineStr">
        <is>
          <t>Śr</t>
        </is>
      </c>
      <c r="H544" t="inlineStr">
        <is>
          <t>KAMIŃSKI, KAMIL</t>
        </is>
      </c>
      <c r="I544" t="inlineStr">
        <is>
          <t>Shift manager/Supervisor</t>
        </is>
      </c>
      <c r="J544" t="inlineStr">
        <is>
          <t>Standard 1,0|40h</t>
        </is>
      </c>
      <c r="K544" t="n">
        <v>5</v>
      </c>
      <c r="L544" t="inlineStr">
        <is>
          <t>384</t>
        </is>
      </c>
      <c r="M544" t="inlineStr">
        <is>
          <t>108120 SBX Warszawa Janki</t>
        </is>
      </c>
      <c r="N544" t="inlineStr">
        <is>
          <t>2026-09-11 19:06</t>
        </is>
      </c>
    </row>
    <row r="545">
      <c r="A545" t="n">
        <v>544</v>
      </c>
      <c r="B545" t="inlineStr">
        <is>
          <t>2026-07-31</t>
        </is>
      </c>
      <c r="C545" t="n">
        <v>2026</v>
      </c>
      <c r="D545" t="inlineStr">
        <is>
          <t>Lipiec</t>
        </is>
      </c>
      <c r="E545" t="inlineStr">
        <is>
          <t>W5</t>
        </is>
      </c>
      <c r="F545" t="inlineStr">
        <is>
          <t>2026_Lipiec_W5</t>
        </is>
      </c>
      <c r="G545" t="inlineStr">
        <is>
          <t>Pt</t>
        </is>
      </c>
      <c r="H545" t="inlineStr">
        <is>
          <t>KAMIŃSKI, KAMIL</t>
        </is>
      </c>
      <c r="I545" t="inlineStr">
        <is>
          <t>Shift manager/Supervisor</t>
        </is>
      </c>
      <c r="J545" t="inlineStr">
        <is>
          <t>Standard 1,0|40h</t>
        </is>
      </c>
      <c r="K545" t="n">
        <v>7.84</v>
      </c>
      <c r="L545" t="inlineStr">
        <is>
          <t>384</t>
        </is>
      </c>
      <c r="M545" t="inlineStr">
        <is>
          <t>108120 SBX Warszawa Janki</t>
        </is>
      </c>
      <c r="N545" t="inlineStr">
        <is>
          <t>2026-09-11 19:06</t>
        </is>
      </c>
    </row>
    <row r="546">
      <c r="A546" t="n">
        <v>545</v>
      </c>
      <c r="B546" t="inlineStr">
        <is>
          <t>2026-08-01</t>
        </is>
      </c>
      <c r="C546" t="n">
        <v>2026</v>
      </c>
      <c r="D546" t="inlineStr">
        <is>
          <t>Sierpień</t>
        </is>
      </c>
      <c r="E546" t="inlineStr">
        <is>
          <t>W1</t>
        </is>
      </c>
      <c r="F546" t="inlineStr">
        <is>
          <t>2026_Sierpień_W1</t>
        </is>
      </c>
      <c r="G546" t="inlineStr">
        <is>
          <t>Sob</t>
        </is>
      </c>
      <c r="H546" t="inlineStr">
        <is>
          <t>KAMIŃSKI, KAMIL</t>
        </is>
      </c>
      <c r="I546" t="inlineStr">
        <is>
          <t>Shift manager/Supervisor</t>
        </is>
      </c>
      <c r="J546" t="inlineStr">
        <is>
          <t>Standard 1,0|40h</t>
        </is>
      </c>
      <c r="K546" t="n">
        <v>8.369999999999999</v>
      </c>
      <c r="L546" t="inlineStr">
        <is>
          <t>384</t>
        </is>
      </c>
      <c r="M546" t="inlineStr">
        <is>
          <t>108120 SBX Warszawa Janki</t>
        </is>
      </c>
      <c r="N546" t="inlineStr">
        <is>
          <t>2026-09-11 19:06</t>
        </is>
      </c>
    </row>
    <row r="547">
      <c r="A547" t="n">
        <v>546</v>
      </c>
      <c r="B547" t="inlineStr">
        <is>
          <t>2026-08-05</t>
        </is>
      </c>
      <c r="C547" t="n">
        <v>2026</v>
      </c>
      <c r="D547" t="inlineStr">
        <is>
          <t>Sierpień</t>
        </is>
      </c>
      <c r="E547" t="inlineStr">
        <is>
          <t>W2</t>
        </is>
      </c>
      <c r="F547" t="inlineStr">
        <is>
          <t>2026_Sierpień_W2</t>
        </is>
      </c>
      <c r="G547" t="inlineStr">
        <is>
          <t>Śr</t>
        </is>
      </c>
      <c r="H547" t="inlineStr">
        <is>
          <t>KAMIŃSKI, KAMIL</t>
        </is>
      </c>
      <c r="I547" t="inlineStr">
        <is>
          <t>Shift manager/Supervisor</t>
        </is>
      </c>
      <c r="J547" t="inlineStr">
        <is>
          <t>Standard 1,0|40h</t>
        </is>
      </c>
      <c r="K547" t="n">
        <v>7.89</v>
      </c>
      <c r="L547" t="inlineStr">
        <is>
          <t>384</t>
        </is>
      </c>
      <c r="M547" t="inlineStr">
        <is>
          <t>108120 SBX Warszawa Janki</t>
        </is>
      </c>
      <c r="N547" t="inlineStr">
        <is>
          <t>2026-09-11 19:06</t>
        </is>
      </c>
    </row>
    <row r="548">
      <c r="A548" t="n">
        <v>547</v>
      </c>
      <c r="B548" t="inlineStr">
        <is>
          <t>2026-08-06</t>
        </is>
      </c>
      <c r="C548" t="n">
        <v>2026</v>
      </c>
      <c r="D548" t="inlineStr">
        <is>
          <t>Sierpień</t>
        </is>
      </c>
      <c r="E548" t="inlineStr">
        <is>
          <t>W2</t>
        </is>
      </c>
      <c r="F548" t="inlineStr">
        <is>
          <t>2026_Sierpień_W2</t>
        </is>
      </c>
      <c r="G548" t="inlineStr">
        <is>
          <t>Czw</t>
        </is>
      </c>
      <c r="H548" t="inlineStr">
        <is>
          <t>KAMIŃSKI, KAMIL</t>
        </is>
      </c>
      <c r="I548" t="inlineStr">
        <is>
          <t>Shift manager/Supervisor</t>
        </is>
      </c>
      <c r="J548" t="inlineStr">
        <is>
          <t>Standard 1,0|40h</t>
        </is>
      </c>
      <c r="K548" t="n">
        <v>8</v>
      </c>
      <c r="L548" t="inlineStr">
        <is>
          <t>384</t>
        </is>
      </c>
      <c r="M548" t="inlineStr">
        <is>
          <t>108120 SBX Warszawa Janki</t>
        </is>
      </c>
      <c r="N548" t="inlineStr">
        <is>
          <t>2026-09-11 19:06</t>
        </is>
      </c>
    </row>
    <row r="549">
      <c r="A549" t="n">
        <v>548</v>
      </c>
      <c r="B549" t="inlineStr">
        <is>
          <t>2026-08-07</t>
        </is>
      </c>
      <c r="C549" t="n">
        <v>2026</v>
      </c>
      <c r="D549" t="inlineStr">
        <is>
          <t>Sierpień</t>
        </is>
      </c>
      <c r="E549" t="inlineStr">
        <is>
          <t>W2</t>
        </is>
      </c>
      <c r="F549" t="inlineStr">
        <is>
          <t>2026_Sierpień_W2</t>
        </is>
      </c>
      <c r="G549" t="inlineStr">
        <is>
          <t>Pt</t>
        </is>
      </c>
      <c r="H549" t="inlineStr">
        <is>
          <t>KAMIŃSKI, KAMIL</t>
        </is>
      </c>
      <c r="I549" t="inlineStr">
        <is>
          <t>Shift manager/Supervisor</t>
        </is>
      </c>
      <c r="J549" t="inlineStr">
        <is>
          <t>Standard 1,0|40h</t>
        </is>
      </c>
      <c r="K549" t="n">
        <v>8.25</v>
      </c>
      <c r="L549" t="inlineStr">
        <is>
          <t>384</t>
        </is>
      </c>
      <c r="M549" t="inlineStr">
        <is>
          <t>108120 SBX Warszawa Janki</t>
        </is>
      </c>
      <c r="N549" t="inlineStr">
        <is>
          <t>2026-09-11 19:06</t>
        </is>
      </c>
    </row>
    <row r="550">
      <c r="A550" t="n">
        <v>549</v>
      </c>
      <c r="B550" t="inlineStr">
        <is>
          <t>2026-08-08</t>
        </is>
      </c>
      <c r="C550" t="n">
        <v>2026</v>
      </c>
      <c r="D550" t="inlineStr">
        <is>
          <t>Sierpień</t>
        </is>
      </c>
      <c r="E550" t="inlineStr">
        <is>
          <t>W2</t>
        </is>
      </c>
      <c r="F550" t="inlineStr">
        <is>
          <t>2026_Sierpień_W2</t>
        </is>
      </c>
      <c r="G550" t="inlineStr">
        <is>
          <t>Sob</t>
        </is>
      </c>
      <c r="H550" t="inlineStr">
        <is>
          <t>KAMIŃSKI, KAMIL</t>
        </is>
      </c>
      <c r="I550" t="inlineStr">
        <is>
          <t>Shift manager/Supervisor</t>
        </is>
      </c>
      <c r="J550" t="inlineStr">
        <is>
          <t>Standard 1,0|40h</t>
        </is>
      </c>
      <c r="K550" t="n">
        <v>8.09</v>
      </c>
      <c r="L550" t="inlineStr">
        <is>
          <t>384</t>
        </is>
      </c>
      <c r="M550" t="inlineStr">
        <is>
          <t>108120 SBX Warszawa Janki</t>
        </is>
      </c>
      <c r="N550" t="inlineStr">
        <is>
          <t>2026-09-11 19:06</t>
        </is>
      </c>
    </row>
    <row r="551">
      <c r="A551" t="n">
        <v>550</v>
      </c>
      <c r="B551" t="inlineStr">
        <is>
          <t>2026-08-09</t>
        </is>
      </c>
      <c r="C551" t="n">
        <v>2026</v>
      </c>
      <c r="D551" t="inlineStr">
        <is>
          <t>Sierpień</t>
        </is>
      </c>
      <c r="E551" t="inlineStr">
        <is>
          <t>W2</t>
        </is>
      </c>
      <c r="F551" t="inlineStr">
        <is>
          <t>2026_Sierpień_W2</t>
        </is>
      </c>
      <c r="G551" t="inlineStr">
        <is>
          <t>Nd</t>
        </is>
      </c>
      <c r="H551" t="inlineStr">
        <is>
          <t>KAMIŃSKI, KAMIL</t>
        </is>
      </c>
      <c r="I551" t="inlineStr">
        <is>
          <t>Shift manager/Supervisor</t>
        </is>
      </c>
      <c r="J551" t="inlineStr">
        <is>
          <t>Standard 1,0|40h</t>
        </is>
      </c>
      <c r="K551" t="n">
        <v>6.94</v>
      </c>
      <c r="L551" t="inlineStr">
        <is>
          <t>384</t>
        </is>
      </c>
      <c r="M551" t="inlineStr">
        <is>
          <t>108120 SBX Warszawa Janki</t>
        </is>
      </c>
      <c r="N551" t="inlineStr">
        <is>
          <t>2026-09-11 19:06</t>
        </is>
      </c>
    </row>
    <row r="552">
      <c r="A552" t="n">
        <v>551</v>
      </c>
      <c r="B552" t="inlineStr">
        <is>
          <t>2026-08-11</t>
        </is>
      </c>
      <c r="C552" t="n">
        <v>2026</v>
      </c>
      <c r="D552" t="inlineStr">
        <is>
          <t>Sierpień</t>
        </is>
      </c>
      <c r="E552" t="inlineStr">
        <is>
          <t>W3</t>
        </is>
      </c>
      <c r="F552" t="inlineStr">
        <is>
          <t>2026_Sierpień_W3</t>
        </is>
      </c>
      <c r="G552" t="inlineStr">
        <is>
          <t>Wt</t>
        </is>
      </c>
      <c r="H552" t="inlineStr">
        <is>
          <t>KAMIŃSKI, KAMIL</t>
        </is>
      </c>
      <c r="I552" t="inlineStr">
        <is>
          <t>Shift manager/Supervisor</t>
        </is>
      </c>
      <c r="J552" t="inlineStr">
        <is>
          <t>Standard 1,0|40h</t>
        </is>
      </c>
      <c r="K552" t="n">
        <v>8</v>
      </c>
      <c r="L552" t="inlineStr">
        <is>
          <t>384</t>
        </is>
      </c>
      <c r="M552" t="inlineStr">
        <is>
          <t>108120 SBX Warszawa Janki</t>
        </is>
      </c>
      <c r="N552" t="inlineStr">
        <is>
          <t>2026-09-11 19:06</t>
        </is>
      </c>
    </row>
    <row r="553">
      <c r="A553" t="n">
        <v>552</v>
      </c>
      <c r="B553" t="inlineStr">
        <is>
          <t>2026-08-12</t>
        </is>
      </c>
      <c r="C553" t="n">
        <v>2026</v>
      </c>
      <c r="D553" t="inlineStr">
        <is>
          <t>Sierpień</t>
        </is>
      </c>
      <c r="E553" t="inlineStr">
        <is>
          <t>W3</t>
        </is>
      </c>
      <c r="F553" t="inlineStr">
        <is>
          <t>2026_Sierpień_W3</t>
        </is>
      </c>
      <c r="G553" t="inlineStr">
        <is>
          <t>Śr</t>
        </is>
      </c>
      <c r="H553" t="inlineStr">
        <is>
          <t>KAMIŃSKI, KAMIL</t>
        </is>
      </c>
      <c r="I553" t="inlineStr">
        <is>
          <t>Shift manager/Supervisor</t>
        </is>
      </c>
      <c r="J553" t="inlineStr">
        <is>
          <t>Standard 1,0|40h</t>
        </is>
      </c>
      <c r="K553" t="n">
        <v>8</v>
      </c>
      <c r="L553" t="inlineStr">
        <is>
          <t>384</t>
        </is>
      </c>
      <c r="M553" t="inlineStr">
        <is>
          <t>108120 SBX Warszawa Janki</t>
        </is>
      </c>
      <c r="N553" t="inlineStr">
        <is>
          <t>2026-09-11 19:06</t>
        </is>
      </c>
    </row>
    <row r="554">
      <c r="A554" t="n">
        <v>553</v>
      </c>
      <c r="B554" t="inlineStr">
        <is>
          <t>2026-08-13</t>
        </is>
      </c>
      <c r="C554" t="n">
        <v>2026</v>
      </c>
      <c r="D554" t="inlineStr">
        <is>
          <t>Sierpień</t>
        </is>
      </c>
      <c r="E554" t="inlineStr">
        <is>
          <t>W3</t>
        </is>
      </c>
      <c r="F554" t="inlineStr">
        <is>
          <t>2026_Sierpień_W3</t>
        </is>
      </c>
      <c r="G554" t="inlineStr">
        <is>
          <t>Czw</t>
        </is>
      </c>
      <c r="H554" t="inlineStr">
        <is>
          <t>KAMIŃSKI, KAMIL</t>
        </is>
      </c>
      <c r="I554" t="inlineStr">
        <is>
          <t>Shift manager/Supervisor</t>
        </is>
      </c>
      <c r="J554" t="inlineStr">
        <is>
          <t>Standard 1,0|40h</t>
        </is>
      </c>
      <c r="K554" t="n">
        <v>8</v>
      </c>
      <c r="L554" t="inlineStr">
        <is>
          <t>384</t>
        </is>
      </c>
      <c r="M554" t="inlineStr">
        <is>
          <t>108120 SBX Warszawa Janki</t>
        </is>
      </c>
      <c r="N554" t="inlineStr">
        <is>
          <t>2026-09-11 19:06</t>
        </is>
      </c>
    </row>
    <row r="555">
      <c r="A555" t="n">
        <v>554</v>
      </c>
      <c r="B555" t="inlineStr">
        <is>
          <t>2026-08-20</t>
        </is>
      </c>
      <c r="C555" t="n">
        <v>2026</v>
      </c>
      <c r="D555" t="inlineStr">
        <is>
          <t>Sierpień</t>
        </is>
      </c>
      <c r="E555" t="inlineStr">
        <is>
          <t>W4</t>
        </is>
      </c>
      <c r="F555" t="inlineStr">
        <is>
          <t>2026_Sierpień_W4</t>
        </is>
      </c>
      <c r="G555" t="inlineStr">
        <is>
          <t>Czw</t>
        </is>
      </c>
      <c r="H555" t="inlineStr">
        <is>
          <t>KAMIŃSKI, KAMIL</t>
        </is>
      </c>
      <c r="I555" t="inlineStr">
        <is>
          <t>Shift manager/Supervisor</t>
        </is>
      </c>
      <c r="J555" t="inlineStr">
        <is>
          <t>Standard 1,0|40h</t>
        </is>
      </c>
      <c r="K555" t="n">
        <v>7.71</v>
      </c>
      <c r="L555" t="inlineStr">
        <is>
          <t>384</t>
        </is>
      </c>
      <c r="M555" t="inlineStr">
        <is>
          <t>108120 SBX Warszawa Janki</t>
        </is>
      </c>
      <c r="N555" t="inlineStr">
        <is>
          <t>2026-09-11 19:06</t>
        </is>
      </c>
    </row>
    <row r="556">
      <c r="A556" t="n">
        <v>555</v>
      </c>
      <c r="B556" t="inlineStr">
        <is>
          <t>2026-08-21</t>
        </is>
      </c>
      <c r="C556" t="n">
        <v>2026</v>
      </c>
      <c r="D556" t="inlineStr">
        <is>
          <t>Sierpień</t>
        </is>
      </c>
      <c r="E556" t="inlineStr">
        <is>
          <t>W4</t>
        </is>
      </c>
      <c r="F556" t="inlineStr">
        <is>
          <t>2026_Sierpień_W4</t>
        </is>
      </c>
      <c r="G556" t="inlineStr">
        <is>
          <t>Pt</t>
        </is>
      </c>
      <c r="H556" t="inlineStr">
        <is>
          <t>KAMIŃSKI, KAMIL</t>
        </is>
      </c>
      <c r="I556" t="inlineStr">
        <is>
          <t>Shift manager/Supervisor</t>
        </is>
      </c>
      <c r="J556" t="inlineStr">
        <is>
          <t>Standard 1,0|40h</t>
        </is>
      </c>
      <c r="K556" t="n">
        <v>7.81</v>
      </c>
      <c r="L556" t="inlineStr">
        <is>
          <t>384</t>
        </is>
      </c>
      <c r="M556" t="inlineStr">
        <is>
          <t>108120 SBX Warszawa Janki</t>
        </is>
      </c>
      <c r="N556" t="inlineStr">
        <is>
          <t>2026-09-11 19:06</t>
        </is>
      </c>
    </row>
    <row r="557">
      <c r="A557" t="n">
        <v>556</v>
      </c>
      <c r="B557" t="inlineStr">
        <is>
          <t>2026-08-24</t>
        </is>
      </c>
      <c r="C557" t="n">
        <v>2026</v>
      </c>
      <c r="D557" t="inlineStr">
        <is>
          <t>Sierpień</t>
        </is>
      </c>
      <c r="E557" t="inlineStr">
        <is>
          <t>W4</t>
        </is>
      </c>
      <c r="F557" t="inlineStr">
        <is>
          <t>2026_Sierpień_W4</t>
        </is>
      </c>
      <c r="G557" t="inlineStr">
        <is>
          <t>Pn</t>
        </is>
      </c>
      <c r="H557" t="inlineStr">
        <is>
          <t>KAMIŃSKI, KAMIL</t>
        </is>
      </c>
      <c r="I557" t="inlineStr">
        <is>
          <t>Shift manager/Supervisor</t>
        </is>
      </c>
      <c r="J557" t="inlineStr">
        <is>
          <t>Standard 1,0|40h</t>
        </is>
      </c>
      <c r="K557" t="n">
        <v>8.33</v>
      </c>
      <c r="L557" t="inlineStr">
        <is>
          <t>384</t>
        </is>
      </c>
      <c r="M557" t="inlineStr">
        <is>
          <t>108120 SBX Warszawa Janki</t>
        </is>
      </c>
      <c r="N557" t="inlineStr">
        <is>
          <t>2026-09-11 19:06</t>
        </is>
      </c>
    </row>
    <row r="558">
      <c r="A558" t="n">
        <v>557</v>
      </c>
      <c r="B558" t="inlineStr">
        <is>
          <t>2026-08-26</t>
        </is>
      </c>
      <c r="C558" t="n">
        <v>2026</v>
      </c>
      <c r="D558" t="inlineStr">
        <is>
          <t>Sierpień</t>
        </is>
      </c>
      <c r="E558" t="inlineStr">
        <is>
          <t>W5</t>
        </is>
      </c>
      <c r="F558" t="inlineStr">
        <is>
          <t>2026_Sierpień_W5</t>
        </is>
      </c>
      <c r="G558" t="inlineStr">
        <is>
          <t>Śr</t>
        </is>
      </c>
      <c r="H558" t="inlineStr">
        <is>
          <t>KAMIŃSKI, KAMIL</t>
        </is>
      </c>
      <c r="I558" t="inlineStr">
        <is>
          <t>Shift manager/Supervisor</t>
        </is>
      </c>
      <c r="J558" t="inlineStr">
        <is>
          <t>Standard 1,0|40h</t>
        </is>
      </c>
      <c r="K558" t="n">
        <v>7.99</v>
      </c>
      <c r="L558" t="inlineStr">
        <is>
          <t>384</t>
        </is>
      </c>
      <c r="M558" t="inlineStr">
        <is>
          <t>108120 SBX Warszawa Janki</t>
        </is>
      </c>
      <c r="N558" t="inlineStr">
        <is>
          <t>2026-09-11 19:06</t>
        </is>
      </c>
    </row>
    <row r="559">
      <c r="A559" t="n">
        <v>558</v>
      </c>
      <c r="B559" t="inlineStr">
        <is>
          <t>2026-08-27</t>
        </is>
      </c>
      <c r="C559" t="n">
        <v>2026</v>
      </c>
      <c r="D559" t="inlineStr">
        <is>
          <t>Sierpień</t>
        </is>
      </c>
      <c r="E559" t="inlineStr">
        <is>
          <t>W5</t>
        </is>
      </c>
      <c r="F559" t="inlineStr">
        <is>
          <t>2026_Sierpień_W5</t>
        </is>
      </c>
      <c r="G559" t="inlineStr">
        <is>
          <t>Czw</t>
        </is>
      </c>
      <c r="H559" t="inlineStr">
        <is>
          <t>KAMIŃSKI, KAMIL</t>
        </is>
      </c>
      <c r="I559" t="inlineStr">
        <is>
          <t>Shift manager/Supervisor</t>
        </is>
      </c>
      <c r="J559" t="inlineStr">
        <is>
          <t>Standard 1,0|40h</t>
        </is>
      </c>
      <c r="K559" t="n">
        <v>7.5</v>
      </c>
      <c r="L559" t="inlineStr">
        <is>
          <t>384</t>
        </is>
      </c>
      <c r="M559" t="inlineStr">
        <is>
          <t>108120 SBX Warszawa Janki</t>
        </is>
      </c>
      <c r="N559" t="inlineStr">
        <is>
          <t>2026-09-11 19:06</t>
        </is>
      </c>
    </row>
    <row r="560">
      <c r="A560" t="n">
        <v>559</v>
      </c>
      <c r="B560" t="inlineStr">
        <is>
          <t>2026-08-28</t>
        </is>
      </c>
      <c r="C560" t="n">
        <v>2026</v>
      </c>
      <c r="D560" t="inlineStr">
        <is>
          <t>Sierpień</t>
        </is>
      </c>
      <c r="E560" t="inlineStr">
        <is>
          <t>W5</t>
        </is>
      </c>
      <c r="F560" t="inlineStr">
        <is>
          <t>2026_Sierpień_W5</t>
        </is>
      </c>
      <c r="G560" t="inlineStr">
        <is>
          <t>Pt</t>
        </is>
      </c>
      <c r="H560" t="inlineStr">
        <is>
          <t>KAMIŃSKI, KAMIL</t>
        </is>
      </c>
      <c r="I560" t="inlineStr">
        <is>
          <t>Shift manager/Supervisor</t>
        </is>
      </c>
      <c r="J560" t="inlineStr">
        <is>
          <t>Standard 1,0|40h</t>
        </is>
      </c>
      <c r="K560" t="n">
        <v>8</v>
      </c>
      <c r="L560" t="inlineStr">
        <is>
          <t>384</t>
        </is>
      </c>
      <c r="M560" t="inlineStr">
        <is>
          <t>108120 SBX Warszawa Janki</t>
        </is>
      </c>
      <c r="N560" t="inlineStr">
        <is>
          <t>2026-09-11 19:06</t>
        </is>
      </c>
    </row>
    <row r="561">
      <c r="A561" t="n">
        <v>560</v>
      </c>
      <c r="B561" t="inlineStr">
        <is>
          <t>2026-08-29</t>
        </is>
      </c>
      <c r="C561" t="n">
        <v>2026</v>
      </c>
      <c r="D561" t="inlineStr">
        <is>
          <t>Sierpień</t>
        </is>
      </c>
      <c r="E561" t="inlineStr">
        <is>
          <t>W5</t>
        </is>
      </c>
      <c r="F561" t="inlineStr">
        <is>
          <t>2026_Sierpień_W5</t>
        </is>
      </c>
      <c r="G561" t="inlineStr">
        <is>
          <t>Sob</t>
        </is>
      </c>
      <c r="H561" t="inlineStr">
        <is>
          <t>KAMIŃSKI, KAMIL</t>
        </is>
      </c>
      <c r="I561" t="inlineStr">
        <is>
          <t>Shift manager/Supervisor</t>
        </is>
      </c>
      <c r="J561" t="inlineStr">
        <is>
          <t>Standard 1,0|40h</t>
        </is>
      </c>
      <c r="K561" t="n">
        <v>8</v>
      </c>
      <c r="L561" t="inlineStr">
        <is>
          <t>384</t>
        </is>
      </c>
      <c r="M561" t="inlineStr">
        <is>
          <t>108120 SBX Warszawa Janki</t>
        </is>
      </c>
      <c r="N561" t="inlineStr">
        <is>
          <t>2026-09-11 19:06</t>
        </is>
      </c>
    </row>
    <row r="562">
      <c r="A562" t="n">
        <v>561</v>
      </c>
      <c r="B562" t="inlineStr">
        <is>
          <t>2026-09-01</t>
        </is>
      </c>
      <c r="C562" t="n">
        <v>2026</v>
      </c>
      <c r="D562" t="inlineStr">
        <is>
          <t>Wrzesień</t>
        </is>
      </c>
      <c r="E562" t="inlineStr">
        <is>
          <t>W1</t>
        </is>
      </c>
      <c r="F562" t="inlineStr">
        <is>
          <t>2026_Wrzesień_W1</t>
        </is>
      </c>
      <c r="G562" t="inlineStr">
        <is>
          <t>Wt</t>
        </is>
      </c>
      <c r="H562" t="inlineStr">
        <is>
          <t>KAMIŃSKI, KAMIL</t>
        </is>
      </c>
      <c r="I562" t="inlineStr">
        <is>
          <t>Shift manager/Supervisor</t>
        </is>
      </c>
      <c r="J562" t="inlineStr">
        <is>
          <t>Standard 1,0|40h</t>
        </is>
      </c>
      <c r="K562" t="n">
        <v>8</v>
      </c>
      <c r="L562" t="inlineStr">
        <is>
          <t>384</t>
        </is>
      </c>
      <c r="M562" t="inlineStr">
        <is>
          <t>108120 SBX Warszawa Janki</t>
        </is>
      </c>
      <c r="N562" t="inlineStr">
        <is>
          <t>2026-09-11 19:06</t>
        </is>
      </c>
    </row>
    <row r="563">
      <c r="A563" t="n">
        <v>562</v>
      </c>
      <c r="B563" t="inlineStr">
        <is>
          <t>2026-09-03</t>
        </is>
      </c>
      <c r="C563" t="n">
        <v>2026</v>
      </c>
      <c r="D563" t="inlineStr">
        <is>
          <t>Wrzesień</t>
        </is>
      </c>
      <c r="E563" t="inlineStr">
        <is>
          <t>W1</t>
        </is>
      </c>
      <c r="F563" t="inlineStr">
        <is>
          <t>2026_Wrzesień_W1</t>
        </is>
      </c>
      <c r="G563" t="inlineStr">
        <is>
          <t>Czw</t>
        </is>
      </c>
      <c r="H563" t="inlineStr">
        <is>
          <t>KAMIŃSKI, KAMIL</t>
        </is>
      </c>
      <c r="I563" t="inlineStr">
        <is>
          <t>Shift manager/Supervisor</t>
        </is>
      </c>
      <c r="J563" t="inlineStr">
        <is>
          <t>Standard 1,0|40h</t>
        </is>
      </c>
      <c r="K563" t="n">
        <v>8.460000000000001</v>
      </c>
      <c r="L563" t="inlineStr">
        <is>
          <t>384</t>
        </is>
      </c>
      <c r="M563" t="inlineStr">
        <is>
          <t>108120 SBX Warszawa Janki</t>
        </is>
      </c>
      <c r="N563" t="inlineStr">
        <is>
          <t>2026-09-11 19:06</t>
        </is>
      </c>
    </row>
    <row r="564">
      <c r="A564" t="n">
        <v>563</v>
      </c>
      <c r="B564" t="inlineStr">
        <is>
          <t>2026-09-06</t>
        </is>
      </c>
      <c r="C564" t="n">
        <v>2026</v>
      </c>
      <c r="D564" t="inlineStr">
        <is>
          <t>Wrzesień</t>
        </is>
      </c>
      <c r="E564" t="inlineStr">
        <is>
          <t>W1</t>
        </is>
      </c>
      <c r="F564" t="inlineStr">
        <is>
          <t>2026_Wrzesień_W1</t>
        </is>
      </c>
      <c r="G564" t="inlineStr">
        <is>
          <t>Nd</t>
        </is>
      </c>
      <c r="H564" t="inlineStr">
        <is>
          <t>KAMIŃSKI, KAMIL</t>
        </is>
      </c>
      <c r="I564" t="inlineStr">
        <is>
          <t>Shift manager/Supervisor</t>
        </is>
      </c>
      <c r="J564" t="inlineStr">
        <is>
          <t>Standard 1,0|40h</t>
        </is>
      </c>
      <c r="K564" t="n">
        <v>7.48</v>
      </c>
      <c r="L564" t="inlineStr">
        <is>
          <t>384</t>
        </is>
      </c>
      <c r="M564" t="inlineStr">
        <is>
          <t>108120 SBX Warszawa Janki</t>
        </is>
      </c>
      <c r="N564" t="inlineStr">
        <is>
          <t>2026-09-11 19:06</t>
        </is>
      </c>
    </row>
    <row r="565">
      <c r="A565" t="n">
        <v>564</v>
      </c>
      <c r="B565" t="inlineStr">
        <is>
          <t>2026-09-07</t>
        </is>
      </c>
      <c r="C565" t="n">
        <v>2026</v>
      </c>
      <c r="D565" t="inlineStr">
        <is>
          <t>Wrzesień</t>
        </is>
      </c>
      <c r="E565" t="inlineStr">
        <is>
          <t>W1</t>
        </is>
      </c>
      <c r="F565" t="inlineStr">
        <is>
          <t>2026_Wrzesień_W1</t>
        </is>
      </c>
      <c r="G565" t="inlineStr">
        <is>
          <t>Pn</t>
        </is>
      </c>
      <c r="H565" t="inlineStr">
        <is>
          <t>KAMIŃSKI, KAMIL</t>
        </is>
      </c>
      <c r="I565" t="inlineStr">
        <is>
          <t>Shift manager/Supervisor</t>
        </is>
      </c>
      <c r="J565" t="inlineStr">
        <is>
          <t>Standard 1,0|40h</t>
        </is>
      </c>
      <c r="K565" t="n">
        <v>7.85</v>
      </c>
      <c r="L565" t="inlineStr">
        <is>
          <t>384</t>
        </is>
      </c>
      <c r="M565" t="inlineStr">
        <is>
          <t>108120 SBX Warszawa Janki</t>
        </is>
      </c>
      <c r="N565" t="inlineStr">
        <is>
          <t>2026-09-11 19:06</t>
        </is>
      </c>
    </row>
    <row r="566">
      <c r="A566" t="n">
        <v>565</v>
      </c>
      <c r="B566" t="inlineStr">
        <is>
          <t>2026-09-08</t>
        </is>
      </c>
      <c r="C566" t="n">
        <v>2026</v>
      </c>
      <c r="D566" t="inlineStr">
        <is>
          <t>Wrzesień</t>
        </is>
      </c>
      <c r="E566" t="inlineStr">
        <is>
          <t>W2</t>
        </is>
      </c>
      <c r="F566" t="inlineStr">
        <is>
          <t>2026_Wrzesień_W2</t>
        </is>
      </c>
      <c r="G566" t="inlineStr">
        <is>
          <t>Wt</t>
        </is>
      </c>
      <c r="H566" t="inlineStr">
        <is>
          <t>KAMIŃSKI, KAMIL</t>
        </is>
      </c>
      <c r="I566" t="inlineStr">
        <is>
          <t>Shift manager/Supervisor</t>
        </is>
      </c>
      <c r="J566" t="inlineStr">
        <is>
          <t>Standard 1,0|40h</t>
        </is>
      </c>
      <c r="K566" t="n">
        <v>7.84</v>
      </c>
      <c r="L566" t="inlineStr">
        <is>
          <t>384</t>
        </is>
      </c>
      <c r="M566" t="inlineStr">
        <is>
          <t>108120 SBX Warszawa Janki</t>
        </is>
      </c>
      <c r="N566" t="inlineStr">
        <is>
          <t>2026-09-11 19:06</t>
        </is>
      </c>
    </row>
    <row r="567">
      <c r="A567" t="n">
        <v>566</v>
      </c>
      <c r="B567" t="inlineStr">
        <is>
          <t>2026-01-02</t>
        </is>
      </c>
      <c r="C567" t="n">
        <v>2026</v>
      </c>
      <c r="D567" t="inlineStr">
        <is>
          <t>Styczeń</t>
        </is>
      </c>
      <c r="E567" t="inlineStr">
        <is>
          <t>W1</t>
        </is>
      </c>
      <c r="F567" t="inlineStr">
        <is>
          <t>2026_Styczeń_W1</t>
        </is>
      </c>
      <c r="G567" t="inlineStr">
        <is>
          <t>Pt</t>
        </is>
      </c>
      <c r="H567" t="inlineStr">
        <is>
          <t>Kręt, Małgorzata</t>
        </is>
      </c>
      <c r="I567" t="inlineStr">
        <is>
          <t>Crew Civil</t>
        </is>
      </c>
      <c r="J567" t="inlineStr">
        <is>
          <t>Zlecenie</t>
        </is>
      </c>
      <c r="K567" t="n">
        <v>6.55</v>
      </c>
      <c r="L567" t="inlineStr">
        <is>
          <t>384</t>
        </is>
      </c>
      <c r="M567" t="inlineStr">
        <is>
          <t>108120 SBX Warszawa Janki</t>
        </is>
      </c>
      <c r="N567" t="inlineStr">
        <is>
          <t>2026-09-11 19:06</t>
        </is>
      </c>
    </row>
    <row r="568">
      <c r="A568" t="n">
        <v>567</v>
      </c>
      <c r="B568" t="inlineStr">
        <is>
          <t>2026-01-07</t>
        </is>
      </c>
      <c r="C568" t="n">
        <v>2026</v>
      </c>
      <c r="D568" t="inlineStr">
        <is>
          <t>Styczeń</t>
        </is>
      </c>
      <c r="E568" t="inlineStr">
        <is>
          <t>W2</t>
        </is>
      </c>
      <c r="F568" t="inlineStr">
        <is>
          <t>2026_Styczeń_W2</t>
        </is>
      </c>
      <c r="G568" t="inlineStr">
        <is>
          <t>Śr</t>
        </is>
      </c>
      <c r="H568" t="inlineStr">
        <is>
          <t>Kręt, Małgorzata</t>
        </is>
      </c>
      <c r="I568" t="inlineStr">
        <is>
          <t>Crew Civil</t>
        </is>
      </c>
      <c r="J568" t="inlineStr">
        <is>
          <t>Zlecenie</t>
        </is>
      </c>
      <c r="K568" t="n">
        <v>8</v>
      </c>
      <c r="L568" t="inlineStr">
        <is>
          <t>384</t>
        </is>
      </c>
      <c r="M568" t="inlineStr">
        <is>
          <t>108120 SBX Warszawa Janki</t>
        </is>
      </c>
      <c r="N568" t="inlineStr">
        <is>
          <t>2026-09-11 19:06</t>
        </is>
      </c>
    </row>
    <row r="569">
      <c r="A569" t="n">
        <v>568</v>
      </c>
      <c r="B569" t="inlineStr">
        <is>
          <t>2026-01-09</t>
        </is>
      </c>
      <c r="C569" t="n">
        <v>2026</v>
      </c>
      <c r="D569" t="inlineStr">
        <is>
          <t>Styczeń</t>
        </is>
      </c>
      <c r="E569" t="inlineStr">
        <is>
          <t>W2</t>
        </is>
      </c>
      <c r="F569" t="inlineStr">
        <is>
          <t>2026_Styczeń_W2</t>
        </is>
      </c>
      <c r="G569" t="inlineStr">
        <is>
          <t>Pt</t>
        </is>
      </c>
      <c r="H569" t="inlineStr">
        <is>
          <t>Kręt, Małgorzata</t>
        </is>
      </c>
      <c r="I569" t="inlineStr">
        <is>
          <t>Crew Civil</t>
        </is>
      </c>
      <c r="J569" t="inlineStr">
        <is>
          <t>Zlecenie</t>
        </is>
      </c>
      <c r="K569" t="n">
        <v>6.49</v>
      </c>
      <c r="L569" t="inlineStr">
        <is>
          <t>384</t>
        </is>
      </c>
      <c r="M569" t="inlineStr">
        <is>
          <t>108120 SBX Warszawa Janki</t>
        </is>
      </c>
      <c r="N569" t="inlineStr">
        <is>
          <t>2026-09-11 19:06</t>
        </is>
      </c>
    </row>
    <row r="570">
      <c r="A570" t="n">
        <v>569</v>
      </c>
      <c r="B570" t="inlineStr">
        <is>
          <t>2026-01-15</t>
        </is>
      </c>
      <c r="C570" t="n">
        <v>2026</v>
      </c>
      <c r="D570" t="inlineStr">
        <is>
          <t>Styczeń</t>
        </is>
      </c>
      <c r="E570" t="inlineStr">
        <is>
          <t>W3</t>
        </is>
      </c>
      <c r="F570" t="inlineStr">
        <is>
          <t>2026_Styczeń_W3</t>
        </is>
      </c>
      <c r="G570" t="inlineStr">
        <is>
          <t>Czw</t>
        </is>
      </c>
      <c r="H570" t="inlineStr">
        <is>
          <t>Kręt, Małgorzata</t>
        </is>
      </c>
      <c r="I570" t="inlineStr">
        <is>
          <t>Crew Civil</t>
        </is>
      </c>
      <c r="J570" t="inlineStr">
        <is>
          <t>Zlecenie</t>
        </is>
      </c>
      <c r="K570" t="n">
        <v>7.01</v>
      </c>
      <c r="L570" t="inlineStr">
        <is>
          <t>384</t>
        </is>
      </c>
      <c r="M570" t="inlineStr">
        <is>
          <t>108120 SBX Warszawa Janki</t>
        </is>
      </c>
      <c r="N570" t="inlineStr">
        <is>
          <t>2026-09-11 19:06</t>
        </is>
      </c>
    </row>
    <row r="571">
      <c r="A571" t="n">
        <v>570</v>
      </c>
      <c r="B571" t="inlineStr">
        <is>
          <t>2026-01-19</t>
        </is>
      </c>
      <c r="C571" t="n">
        <v>2026</v>
      </c>
      <c r="D571" t="inlineStr">
        <is>
          <t>Styczeń</t>
        </is>
      </c>
      <c r="E571" t="inlineStr">
        <is>
          <t>W3</t>
        </is>
      </c>
      <c r="F571" t="inlineStr">
        <is>
          <t>2026_Styczeń_W3</t>
        </is>
      </c>
      <c r="G571" t="inlineStr">
        <is>
          <t>Pn</t>
        </is>
      </c>
      <c r="H571" t="inlineStr">
        <is>
          <t>Kręt, Małgorzata</t>
        </is>
      </c>
      <c r="I571" t="inlineStr">
        <is>
          <t>Crew Civil</t>
        </is>
      </c>
      <c r="J571" t="inlineStr">
        <is>
          <t>Zlecenie</t>
        </is>
      </c>
      <c r="K571" t="n">
        <v>3.12</v>
      </c>
      <c r="L571" t="inlineStr">
        <is>
          <t>384</t>
        </is>
      </c>
      <c r="M571" t="inlineStr">
        <is>
          <t>108120 SBX Warszawa Janki</t>
        </is>
      </c>
      <c r="N571" t="inlineStr">
        <is>
          <t>2026-09-11 19:06</t>
        </is>
      </c>
    </row>
    <row r="572">
      <c r="A572" t="n">
        <v>571</v>
      </c>
      <c r="B572" t="inlineStr">
        <is>
          <t>2026-01-22</t>
        </is>
      </c>
      <c r="C572" t="n">
        <v>2026</v>
      </c>
      <c r="D572" t="inlineStr">
        <is>
          <t>Styczeń</t>
        </is>
      </c>
      <c r="E572" t="inlineStr">
        <is>
          <t>W4</t>
        </is>
      </c>
      <c r="F572" t="inlineStr">
        <is>
          <t>2026_Styczeń_W4</t>
        </is>
      </c>
      <c r="G572" t="inlineStr">
        <is>
          <t>Czw</t>
        </is>
      </c>
      <c r="H572" t="inlineStr">
        <is>
          <t>Kręt, Małgorzata</t>
        </is>
      </c>
      <c r="I572" t="inlineStr">
        <is>
          <t>Crew Civil</t>
        </is>
      </c>
      <c r="J572" t="inlineStr">
        <is>
          <t>Zlecenie</t>
        </is>
      </c>
      <c r="K572" t="n">
        <v>5.7</v>
      </c>
      <c r="L572" t="inlineStr">
        <is>
          <t>384</t>
        </is>
      </c>
      <c r="M572" t="inlineStr">
        <is>
          <t>108120 SBX Warszawa Janki</t>
        </is>
      </c>
      <c r="N572" t="inlineStr">
        <is>
          <t>2026-09-11 19:06</t>
        </is>
      </c>
    </row>
    <row r="573">
      <c r="A573" t="n">
        <v>572</v>
      </c>
      <c r="B573" t="inlineStr">
        <is>
          <t>2026-01-28</t>
        </is>
      </c>
      <c r="C573" t="n">
        <v>2026</v>
      </c>
      <c r="D573" t="inlineStr">
        <is>
          <t>Styczeń</t>
        </is>
      </c>
      <c r="E573" t="inlineStr">
        <is>
          <t>W5</t>
        </is>
      </c>
      <c r="F573" t="inlineStr">
        <is>
          <t>2026_Styczeń_W5</t>
        </is>
      </c>
      <c r="G573" t="inlineStr">
        <is>
          <t>Śr</t>
        </is>
      </c>
      <c r="H573" t="inlineStr">
        <is>
          <t>Kręt, Małgorzata</t>
        </is>
      </c>
      <c r="I573" t="inlineStr">
        <is>
          <t>Crew Civil</t>
        </is>
      </c>
      <c r="J573" t="inlineStr">
        <is>
          <t>Zlecenie</t>
        </is>
      </c>
      <c r="K573" t="n">
        <v>6.16</v>
      </c>
      <c r="L573" t="inlineStr">
        <is>
          <t>384</t>
        </is>
      </c>
      <c r="M573" t="inlineStr">
        <is>
          <t>108120 SBX Warszawa Janki</t>
        </is>
      </c>
      <c r="N573" t="inlineStr">
        <is>
          <t>2026-09-11 19:06</t>
        </is>
      </c>
    </row>
    <row r="574">
      <c r="A574" t="n">
        <v>573</v>
      </c>
      <c r="B574" t="inlineStr">
        <is>
          <t>2026-02-04</t>
        </is>
      </c>
      <c r="C574" t="n">
        <v>2026</v>
      </c>
      <c r="D574" t="inlineStr">
        <is>
          <t>Luty</t>
        </is>
      </c>
      <c r="E574" t="inlineStr">
        <is>
          <t>W2</t>
        </is>
      </c>
      <c r="F574" t="inlineStr">
        <is>
          <t>2026_Luty_W2</t>
        </is>
      </c>
      <c r="G574" t="inlineStr">
        <is>
          <t>Śr</t>
        </is>
      </c>
      <c r="H574" t="inlineStr">
        <is>
          <t>Kręt, Małgorzata</t>
        </is>
      </c>
      <c r="I574" t="inlineStr">
        <is>
          <t>Crew Civil</t>
        </is>
      </c>
      <c r="J574" t="inlineStr">
        <is>
          <t>Zlecenie</t>
        </is>
      </c>
      <c r="K574" t="n">
        <v>6.55</v>
      </c>
      <c r="L574" t="inlineStr">
        <is>
          <t>384</t>
        </is>
      </c>
      <c r="M574" t="inlineStr">
        <is>
          <t>108120 SBX Warszawa Janki</t>
        </is>
      </c>
      <c r="N574" t="inlineStr">
        <is>
          <t>2026-09-11 19:06</t>
        </is>
      </c>
    </row>
    <row r="575">
      <c r="A575" t="n">
        <v>574</v>
      </c>
      <c r="B575" t="inlineStr">
        <is>
          <t>2026-02-09</t>
        </is>
      </c>
      <c r="C575" t="n">
        <v>2026</v>
      </c>
      <c r="D575" t="inlineStr">
        <is>
          <t>Luty</t>
        </is>
      </c>
      <c r="E575" t="inlineStr">
        <is>
          <t>W2</t>
        </is>
      </c>
      <c r="F575" t="inlineStr">
        <is>
          <t>2026_Luty_W2</t>
        </is>
      </c>
      <c r="G575" t="inlineStr">
        <is>
          <t>Pn</t>
        </is>
      </c>
      <c r="H575" t="inlineStr">
        <is>
          <t>Kręt, Małgorzata</t>
        </is>
      </c>
      <c r="I575" t="inlineStr">
        <is>
          <t>Crew Civil</t>
        </is>
      </c>
      <c r="J575" t="inlineStr">
        <is>
          <t>Zlecenie</t>
        </is>
      </c>
      <c r="K575" t="n">
        <v>6.34</v>
      </c>
      <c r="L575" t="inlineStr">
        <is>
          <t>384</t>
        </is>
      </c>
      <c r="M575" t="inlineStr">
        <is>
          <t>108120 SBX Warszawa Janki</t>
        </is>
      </c>
      <c r="N575" t="inlineStr">
        <is>
          <t>2026-09-11 19:06</t>
        </is>
      </c>
    </row>
    <row r="576">
      <c r="A576" t="n">
        <v>575</v>
      </c>
      <c r="B576" t="inlineStr">
        <is>
          <t>2026-02-28</t>
        </is>
      </c>
      <c r="C576" t="n">
        <v>2026</v>
      </c>
      <c r="D576" t="inlineStr">
        <is>
          <t>Luty</t>
        </is>
      </c>
      <c r="E576" t="inlineStr">
        <is>
          <t>W5</t>
        </is>
      </c>
      <c r="F576" t="inlineStr">
        <is>
          <t>2026_Luty_W5</t>
        </is>
      </c>
      <c r="G576" t="inlineStr">
        <is>
          <t>Sob</t>
        </is>
      </c>
      <c r="H576" t="inlineStr">
        <is>
          <t>Kręt, Małgorzata</t>
        </is>
      </c>
      <c r="I576" t="inlineStr">
        <is>
          <t>Crew Civil</t>
        </is>
      </c>
      <c r="J576" t="inlineStr">
        <is>
          <t>Zlecenie</t>
        </is>
      </c>
      <c r="K576" t="n">
        <v>8.4</v>
      </c>
      <c r="L576" t="inlineStr">
        <is>
          <t>384</t>
        </is>
      </c>
      <c r="M576" t="inlineStr">
        <is>
          <t>108120 SBX Warszawa Janki</t>
        </is>
      </c>
      <c r="N576" t="inlineStr">
        <is>
          <t>2026-09-11 19:06</t>
        </is>
      </c>
    </row>
    <row r="577">
      <c r="A577" t="n">
        <v>576</v>
      </c>
      <c r="B577" t="inlineStr">
        <is>
          <t>2026-03-09</t>
        </is>
      </c>
      <c r="C577" t="n">
        <v>2026</v>
      </c>
      <c r="D577" t="inlineStr">
        <is>
          <t>Marzec</t>
        </is>
      </c>
      <c r="E577" t="inlineStr">
        <is>
          <t>W2</t>
        </is>
      </c>
      <c r="F577" t="inlineStr">
        <is>
          <t>2026_Marzec_W2</t>
        </is>
      </c>
      <c r="G577" t="inlineStr">
        <is>
          <t>Pn</t>
        </is>
      </c>
      <c r="H577" t="inlineStr">
        <is>
          <t>Kręt, Małgorzata</t>
        </is>
      </c>
      <c r="I577" t="inlineStr">
        <is>
          <t>Crew Civil</t>
        </is>
      </c>
      <c r="J577" t="inlineStr">
        <is>
          <t>Zlecenie</t>
        </is>
      </c>
      <c r="K577" t="n">
        <v>1.5</v>
      </c>
      <c r="L577" t="inlineStr">
        <is>
          <t>384</t>
        </is>
      </c>
      <c r="M577" t="inlineStr">
        <is>
          <t>108120 SBX Warszawa Janki</t>
        </is>
      </c>
      <c r="N577" t="inlineStr">
        <is>
          <t>2026-09-11 19:06</t>
        </is>
      </c>
    </row>
    <row r="578">
      <c r="A578" t="n">
        <v>577</v>
      </c>
      <c r="B578" t="inlineStr">
        <is>
          <t>2026-03-11</t>
        </is>
      </c>
      <c r="C578" t="n">
        <v>2026</v>
      </c>
      <c r="D578" t="inlineStr">
        <is>
          <t>Marzec</t>
        </is>
      </c>
      <c r="E578" t="inlineStr">
        <is>
          <t>W3</t>
        </is>
      </c>
      <c r="F578" t="inlineStr">
        <is>
          <t>2026_Marzec_W3</t>
        </is>
      </c>
      <c r="G578" t="inlineStr">
        <is>
          <t>Śr</t>
        </is>
      </c>
      <c r="H578" t="inlineStr">
        <is>
          <t>Kręt, Małgorzata</t>
        </is>
      </c>
      <c r="I578" t="inlineStr">
        <is>
          <t>Crew Civil</t>
        </is>
      </c>
      <c r="J578" t="inlineStr">
        <is>
          <t>Zlecenie</t>
        </is>
      </c>
      <c r="K578" t="n">
        <v>4.62</v>
      </c>
      <c r="L578" t="inlineStr">
        <is>
          <t>384</t>
        </is>
      </c>
      <c r="M578" t="inlineStr">
        <is>
          <t>108120 SBX Warszawa Janki</t>
        </is>
      </c>
      <c r="N578" t="inlineStr">
        <is>
          <t>2026-09-11 19:06</t>
        </is>
      </c>
    </row>
    <row r="579">
      <c r="A579" t="n">
        <v>578</v>
      </c>
      <c r="B579" t="inlineStr">
        <is>
          <t>2026-03-23</t>
        </is>
      </c>
      <c r="C579" t="n">
        <v>2026</v>
      </c>
      <c r="D579" t="inlineStr">
        <is>
          <t>Marzec</t>
        </is>
      </c>
      <c r="E579" t="inlineStr">
        <is>
          <t>W4</t>
        </is>
      </c>
      <c r="F579" t="inlineStr">
        <is>
          <t>2026_Marzec_W4</t>
        </is>
      </c>
      <c r="G579" t="inlineStr">
        <is>
          <t>Pn</t>
        </is>
      </c>
      <c r="H579" t="inlineStr">
        <is>
          <t>Kręt, Małgorzata</t>
        </is>
      </c>
      <c r="I579" t="inlineStr">
        <is>
          <t>Crew Civil</t>
        </is>
      </c>
      <c r="J579" t="inlineStr">
        <is>
          <t>Zlecenie</t>
        </is>
      </c>
      <c r="K579" t="n">
        <v>8.220000000000001</v>
      </c>
      <c r="L579" t="inlineStr">
        <is>
          <t>384</t>
        </is>
      </c>
      <c r="M579" t="inlineStr">
        <is>
          <t>108120 SBX Warszawa Janki</t>
        </is>
      </c>
      <c r="N579" t="inlineStr">
        <is>
          <t>2026-09-11 19:06</t>
        </is>
      </c>
    </row>
    <row r="580">
      <c r="A580" t="n">
        <v>579</v>
      </c>
      <c r="B580" t="inlineStr">
        <is>
          <t>2026-01-15</t>
        </is>
      </c>
      <c r="C580" t="n">
        <v>2026</v>
      </c>
      <c r="D580" t="inlineStr">
        <is>
          <t>Styczeń</t>
        </is>
      </c>
      <c r="E580" t="inlineStr">
        <is>
          <t>W3</t>
        </is>
      </c>
      <c r="F580" t="inlineStr">
        <is>
          <t>2026_Styczeń_W3</t>
        </is>
      </c>
      <c r="G580" t="inlineStr">
        <is>
          <t>Czw</t>
        </is>
      </c>
      <c r="H580" t="inlineStr">
        <is>
          <t>Kurowska, Aleksandra</t>
        </is>
      </c>
      <c r="I580" t="inlineStr">
        <is>
          <t>Crew Civil</t>
        </is>
      </c>
      <c r="J580" t="inlineStr">
        <is>
          <t>Zlecenie</t>
        </is>
      </c>
      <c r="K580" t="n">
        <v>7.13</v>
      </c>
      <c r="L580" t="inlineStr">
        <is>
          <t>384</t>
        </is>
      </c>
      <c r="M580" t="inlineStr">
        <is>
          <t>108120 SBX Warszawa Janki</t>
        </is>
      </c>
      <c r="N580" t="inlineStr">
        <is>
          <t>2026-09-11 19:06</t>
        </is>
      </c>
    </row>
    <row r="581">
      <c r="A581" t="n">
        <v>580</v>
      </c>
      <c r="B581" t="inlineStr">
        <is>
          <t>2026-01-29</t>
        </is>
      </c>
      <c r="C581" t="n">
        <v>2026</v>
      </c>
      <c r="D581" t="inlineStr">
        <is>
          <t>Styczeń</t>
        </is>
      </c>
      <c r="E581" t="inlineStr">
        <is>
          <t>W5</t>
        </is>
      </c>
      <c r="F581" t="inlineStr">
        <is>
          <t>2026_Styczeń_W5</t>
        </is>
      </c>
      <c r="G581" t="inlineStr">
        <is>
          <t>Czw</t>
        </is>
      </c>
      <c r="H581" t="inlineStr">
        <is>
          <t>Kurowska, Aleksandra</t>
        </is>
      </c>
      <c r="I581" t="inlineStr">
        <is>
          <t>Crew Civil</t>
        </is>
      </c>
      <c r="J581" t="inlineStr">
        <is>
          <t>Zlecenie</t>
        </is>
      </c>
      <c r="K581" t="n">
        <v>6.4</v>
      </c>
      <c r="L581" t="inlineStr">
        <is>
          <t>384</t>
        </is>
      </c>
      <c r="M581" t="inlineStr">
        <is>
          <t>108120 SBX Warszawa Janki</t>
        </is>
      </c>
      <c r="N581" t="inlineStr">
        <is>
          <t>2026-09-11 19:06</t>
        </is>
      </c>
    </row>
    <row r="582">
      <c r="A582" t="n">
        <v>581</v>
      </c>
      <c r="B582" t="inlineStr">
        <is>
          <t>2026-01-05</t>
        </is>
      </c>
      <c r="C582" t="n">
        <v>2026</v>
      </c>
      <c r="D582" t="inlineStr">
        <is>
          <t>Styczeń</t>
        </is>
      </c>
      <c r="E582" t="inlineStr">
        <is>
          <t>W1</t>
        </is>
      </c>
      <c r="F582" t="inlineStr">
        <is>
          <t>2026_Styczeń_W1</t>
        </is>
      </c>
      <c r="G582" t="inlineStr">
        <is>
          <t>Pn</t>
        </is>
      </c>
      <c r="H582" t="inlineStr">
        <is>
          <t>LENART, WIKTORIA</t>
        </is>
      </c>
      <c r="I582" t="inlineStr">
        <is>
          <t>Crew Civil</t>
        </is>
      </c>
      <c r="J582" t="inlineStr">
        <is>
          <t>Zlecenie</t>
        </is>
      </c>
      <c r="K582" t="n">
        <v>7.5</v>
      </c>
      <c r="L582" t="inlineStr">
        <is>
          <t>384</t>
        </is>
      </c>
      <c r="M582" t="inlineStr">
        <is>
          <t>108120 SBX Warszawa Janki</t>
        </is>
      </c>
      <c r="N582" t="inlineStr">
        <is>
          <t>2026-09-11 19:06</t>
        </is>
      </c>
    </row>
    <row r="583">
      <c r="A583" t="n">
        <v>582</v>
      </c>
      <c r="B583" t="inlineStr">
        <is>
          <t>2026-01-09</t>
        </is>
      </c>
      <c r="C583" t="n">
        <v>2026</v>
      </c>
      <c r="D583" t="inlineStr">
        <is>
          <t>Styczeń</t>
        </is>
      </c>
      <c r="E583" t="inlineStr">
        <is>
          <t>W2</t>
        </is>
      </c>
      <c r="F583" t="inlineStr">
        <is>
          <t>2026_Styczeń_W2</t>
        </is>
      </c>
      <c r="G583" t="inlineStr">
        <is>
          <t>Pt</t>
        </is>
      </c>
      <c r="H583" t="inlineStr">
        <is>
          <t>LENART, WIKTORIA</t>
        </is>
      </c>
      <c r="I583" t="inlineStr">
        <is>
          <t>Crew Civil</t>
        </is>
      </c>
      <c r="J583" t="inlineStr">
        <is>
          <t>Zlecenie</t>
        </is>
      </c>
      <c r="K583" t="n">
        <v>4.51</v>
      </c>
      <c r="L583" t="inlineStr">
        <is>
          <t>384</t>
        </is>
      </c>
      <c r="M583" t="inlineStr">
        <is>
          <t>108120 SBX Warszawa Janki</t>
        </is>
      </c>
      <c r="N583" t="inlineStr">
        <is>
          <t>2026-09-11 19:06</t>
        </is>
      </c>
    </row>
    <row r="584">
      <c r="A584" t="n">
        <v>583</v>
      </c>
      <c r="B584" t="inlineStr">
        <is>
          <t>2026-01-10</t>
        </is>
      </c>
      <c r="C584" t="n">
        <v>2026</v>
      </c>
      <c r="D584" t="inlineStr">
        <is>
          <t>Styczeń</t>
        </is>
      </c>
      <c r="E584" t="inlineStr">
        <is>
          <t>W2</t>
        </is>
      </c>
      <c r="F584" t="inlineStr">
        <is>
          <t>2026_Styczeń_W2</t>
        </is>
      </c>
      <c r="G584" t="inlineStr">
        <is>
          <t>Sob</t>
        </is>
      </c>
      <c r="H584" t="inlineStr">
        <is>
          <t>LENART, WIKTORIA</t>
        </is>
      </c>
      <c r="I584" t="inlineStr">
        <is>
          <t>Crew Civil</t>
        </is>
      </c>
      <c r="J584" t="inlineStr">
        <is>
          <t>Zlecenie</t>
        </is>
      </c>
      <c r="K584" t="n">
        <v>7.17</v>
      </c>
      <c r="L584" t="inlineStr">
        <is>
          <t>384</t>
        </is>
      </c>
      <c r="M584" t="inlineStr">
        <is>
          <t>108120 SBX Warszawa Janki</t>
        </is>
      </c>
      <c r="N584" t="inlineStr">
        <is>
          <t>2026-09-11 19:06</t>
        </is>
      </c>
    </row>
    <row r="585">
      <c r="A585" t="n">
        <v>584</v>
      </c>
      <c r="B585" t="inlineStr">
        <is>
          <t>2026-01-13</t>
        </is>
      </c>
      <c r="C585" t="n">
        <v>2026</v>
      </c>
      <c r="D585" t="inlineStr">
        <is>
          <t>Styczeń</t>
        </is>
      </c>
      <c r="E585" t="inlineStr">
        <is>
          <t>W3</t>
        </is>
      </c>
      <c r="F585" t="inlineStr">
        <is>
          <t>2026_Styczeń_W3</t>
        </is>
      </c>
      <c r="G585" t="inlineStr">
        <is>
          <t>Wt</t>
        </is>
      </c>
      <c r="H585" t="inlineStr">
        <is>
          <t>LENART, WIKTORIA</t>
        </is>
      </c>
      <c r="I585" t="inlineStr">
        <is>
          <t>Crew Civil</t>
        </is>
      </c>
      <c r="J585" t="inlineStr">
        <is>
          <t>Zlecenie</t>
        </is>
      </c>
      <c r="K585" t="n">
        <v>5.9</v>
      </c>
      <c r="L585" t="inlineStr">
        <is>
          <t>384</t>
        </is>
      </c>
      <c r="M585" t="inlineStr">
        <is>
          <t>108120 SBX Warszawa Janki</t>
        </is>
      </c>
      <c r="N585" t="inlineStr">
        <is>
          <t>2026-09-11 19:06</t>
        </is>
      </c>
    </row>
    <row r="586">
      <c r="A586" t="n">
        <v>585</v>
      </c>
      <c r="B586" t="inlineStr">
        <is>
          <t>2026-01-14</t>
        </is>
      </c>
      <c r="C586" t="n">
        <v>2026</v>
      </c>
      <c r="D586" t="inlineStr">
        <is>
          <t>Styczeń</t>
        </is>
      </c>
      <c r="E586" t="inlineStr">
        <is>
          <t>W3</t>
        </is>
      </c>
      <c r="F586" t="inlineStr">
        <is>
          <t>2026_Styczeń_W3</t>
        </is>
      </c>
      <c r="G586" t="inlineStr">
        <is>
          <t>Śr</t>
        </is>
      </c>
      <c r="H586" t="inlineStr">
        <is>
          <t>LENART, WIKTORIA</t>
        </is>
      </c>
      <c r="I586" t="inlineStr">
        <is>
          <t>Crew Civil</t>
        </is>
      </c>
      <c r="J586" t="inlineStr">
        <is>
          <t>Zlecenie</t>
        </is>
      </c>
      <c r="K586" t="n">
        <v>7.86</v>
      </c>
      <c r="L586" t="inlineStr">
        <is>
          <t>384</t>
        </is>
      </c>
      <c r="M586" t="inlineStr">
        <is>
          <t>108120 SBX Warszawa Janki</t>
        </is>
      </c>
      <c r="N586" t="inlineStr">
        <is>
          <t>2026-09-11 19:06</t>
        </is>
      </c>
    </row>
    <row r="587">
      <c r="A587" t="n">
        <v>586</v>
      </c>
      <c r="B587" t="inlineStr">
        <is>
          <t>2026-01-20</t>
        </is>
      </c>
      <c r="C587" t="n">
        <v>2026</v>
      </c>
      <c r="D587" t="inlineStr">
        <is>
          <t>Styczeń</t>
        </is>
      </c>
      <c r="E587" t="inlineStr">
        <is>
          <t>W4</t>
        </is>
      </c>
      <c r="F587" t="inlineStr">
        <is>
          <t>2026_Styczeń_W4</t>
        </is>
      </c>
      <c r="G587" t="inlineStr">
        <is>
          <t>Wt</t>
        </is>
      </c>
      <c r="H587" t="inlineStr">
        <is>
          <t>LENART, WIKTORIA</t>
        </is>
      </c>
      <c r="I587" t="inlineStr">
        <is>
          <t>Crew Civil</t>
        </is>
      </c>
      <c r="J587" t="inlineStr">
        <is>
          <t>Zlecenie</t>
        </is>
      </c>
      <c r="K587" t="n">
        <v>5.04</v>
      </c>
      <c r="L587" t="inlineStr">
        <is>
          <t>384</t>
        </is>
      </c>
      <c r="M587" t="inlineStr">
        <is>
          <t>108120 SBX Warszawa Janki</t>
        </is>
      </c>
      <c r="N587" t="inlineStr">
        <is>
          <t>2026-09-11 19:06</t>
        </is>
      </c>
    </row>
    <row r="588">
      <c r="A588" t="n">
        <v>587</v>
      </c>
      <c r="B588" t="inlineStr">
        <is>
          <t>2026-01-21</t>
        </is>
      </c>
      <c r="C588" t="n">
        <v>2026</v>
      </c>
      <c r="D588" t="inlineStr">
        <is>
          <t>Styczeń</t>
        </is>
      </c>
      <c r="E588" t="inlineStr">
        <is>
          <t>W4</t>
        </is>
      </c>
      <c r="F588" t="inlineStr">
        <is>
          <t>2026_Styczeń_W4</t>
        </is>
      </c>
      <c r="G588" t="inlineStr">
        <is>
          <t>Śr</t>
        </is>
      </c>
      <c r="H588" t="inlineStr">
        <is>
          <t>LENART, WIKTORIA</t>
        </is>
      </c>
      <c r="I588" t="inlineStr">
        <is>
          <t>Crew Civil</t>
        </is>
      </c>
      <c r="J588" t="inlineStr">
        <is>
          <t>Zlecenie</t>
        </is>
      </c>
      <c r="K588" t="n">
        <v>6.46</v>
      </c>
      <c r="L588" t="inlineStr">
        <is>
          <t>384</t>
        </is>
      </c>
      <c r="M588" t="inlineStr">
        <is>
          <t>108120 SBX Warszawa Janki</t>
        </is>
      </c>
      <c r="N588" t="inlineStr">
        <is>
          <t>2026-09-11 19:06</t>
        </is>
      </c>
    </row>
    <row r="589">
      <c r="A589" t="n">
        <v>588</v>
      </c>
      <c r="B589" t="inlineStr">
        <is>
          <t>2026-01-23</t>
        </is>
      </c>
      <c r="C589" t="n">
        <v>2026</v>
      </c>
      <c r="D589" t="inlineStr">
        <is>
          <t>Styczeń</t>
        </is>
      </c>
      <c r="E589" t="inlineStr">
        <is>
          <t>W4</t>
        </is>
      </c>
      <c r="F589" t="inlineStr">
        <is>
          <t>2026_Styczeń_W4</t>
        </is>
      </c>
      <c r="G589" t="inlineStr">
        <is>
          <t>Pt</t>
        </is>
      </c>
      <c r="H589" t="inlineStr">
        <is>
          <t>LENART, WIKTORIA</t>
        </is>
      </c>
      <c r="I589" t="inlineStr">
        <is>
          <t>Crew Civil</t>
        </is>
      </c>
      <c r="J589" t="inlineStr">
        <is>
          <t>Zlecenie</t>
        </is>
      </c>
      <c r="K589" t="n">
        <v>8.029999999999999</v>
      </c>
      <c r="L589" t="inlineStr">
        <is>
          <t>384</t>
        </is>
      </c>
      <c r="M589" t="inlineStr">
        <is>
          <t>108120 SBX Warszawa Janki</t>
        </is>
      </c>
      <c r="N589" t="inlineStr">
        <is>
          <t>2026-09-11 19:06</t>
        </is>
      </c>
    </row>
    <row r="590">
      <c r="A590" t="n">
        <v>589</v>
      </c>
      <c r="B590" t="inlineStr">
        <is>
          <t>2026-01-24</t>
        </is>
      </c>
      <c r="C590" t="n">
        <v>2026</v>
      </c>
      <c r="D590" t="inlineStr">
        <is>
          <t>Styczeń</t>
        </is>
      </c>
      <c r="E590" t="inlineStr">
        <is>
          <t>W4</t>
        </is>
      </c>
      <c r="F590" t="inlineStr">
        <is>
          <t>2026_Styczeń_W4</t>
        </is>
      </c>
      <c r="G590" t="inlineStr">
        <is>
          <t>Sob</t>
        </is>
      </c>
      <c r="H590" t="inlineStr">
        <is>
          <t>LENART, WIKTORIA</t>
        </is>
      </c>
      <c r="I590" t="inlineStr">
        <is>
          <t>Crew Civil</t>
        </is>
      </c>
      <c r="J590" t="inlineStr">
        <is>
          <t>Zlecenie</t>
        </is>
      </c>
      <c r="K590" t="n">
        <v>7.54</v>
      </c>
      <c r="L590" t="inlineStr">
        <is>
          <t>384</t>
        </is>
      </c>
      <c r="M590" t="inlineStr">
        <is>
          <t>108120 SBX Warszawa Janki</t>
        </is>
      </c>
      <c r="N590" t="inlineStr">
        <is>
          <t>2026-09-11 19:06</t>
        </is>
      </c>
    </row>
    <row r="591">
      <c r="A591" t="n">
        <v>590</v>
      </c>
      <c r="B591" t="inlineStr">
        <is>
          <t>2026-01-25</t>
        </is>
      </c>
      <c r="C591" t="n">
        <v>2026</v>
      </c>
      <c r="D591" t="inlineStr">
        <is>
          <t>Styczeń</t>
        </is>
      </c>
      <c r="E591" t="inlineStr">
        <is>
          <t>W4</t>
        </is>
      </c>
      <c r="F591" t="inlineStr">
        <is>
          <t>2026_Styczeń_W4</t>
        </is>
      </c>
      <c r="G591" t="inlineStr">
        <is>
          <t>Nd</t>
        </is>
      </c>
      <c r="H591" t="inlineStr">
        <is>
          <t>LENART, WIKTORIA</t>
        </is>
      </c>
      <c r="I591" t="inlineStr">
        <is>
          <t>Crew Civil</t>
        </is>
      </c>
      <c r="J591" t="inlineStr">
        <is>
          <t>Zlecenie</t>
        </is>
      </c>
      <c r="K591" t="n">
        <v>4.66</v>
      </c>
      <c r="L591" t="inlineStr">
        <is>
          <t>384</t>
        </is>
      </c>
      <c r="M591" t="inlineStr">
        <is>
          <t>108120 SBX Warszawa Janki</t>
        </is>
      </c>
      <c r="N591" t="inlineStr">
        <is>
          <t>2026-09-11 19:06</t>
        </is>
      </c>
    </row>
    <row r="592">
      <c r="A592" t="n">
        <v>591</v>
      </c>
      <c r="B592" t="inlineStr">
        <is>
          <t>2026-01-30</t>
        </is>
      </c>
      <c r="C592" t="n">
        <v>2026</v>
      </c>
      <c r="D592" t="inlineStr">
        <is>
          <t>Styczeń</t>
        </is>
      </c>
      <c r="E592" t="inlineStr">
        <is>
          <t>W5</t>
        </is>
      </c>
      <c r="F592" t="inlineStr">
        <is>
          <t>2026_Styczeń_W5</t>
        </is>
      </c>
      <c r="G592" t="inlineStr">
        <is>
          <t>Pt</t>
        </is>
      </c>
      <c r="H592" t="inlineStr">
        <is>
          <t>LENART, WIKTORIA</t>
        </is>
      </c>
      <c r="I592" t="inlineStr">
        <is>
          <t>Crew Civil</t>
        </is>
      </c>
      <c r="J592" t="inlineStr">
        <is>
          <t>Zlecenie</t>
        </is>
      </c>
      <c r="K592" t="n">
        <v>2.73</v>
      </c>
      <c r="L592" t="inlineStr">
        <is>
          <t>384</t>
        </is>
      </c>
      <c r="M592" t="inlineStr">
        <is>
          <t>108120 SBX Warszawa Janki</t>
        </is>
      </c>
      <c r="N592" t="inlineStr">
        <is>
          <t>2026-09-11 19:06</t>
        </is>
      </c>
    </row>
    <row r="593">
      <c r="A593" t="n">
        <v>592</v>
      </c>
      <c r="B593" t="inlineStr">
        <is>
          <t>2026-01-31</t>
        </is>
      </c>
      <c r="C593" t="n">
        <v>2026</v>
      </c>
      <c r="D593" t="inlineStr">
        <is>
          <t>Styczeń</t>
        </is>
      </c>
      <c r="E593" t="inlineStr">
        <is>
          <t>W5</t>
        </is>
      </c>
      <c r="F593" t="inlineStr">
        <is>
          <t>2026_Styczeń_W5</t>
        </is>
      </c>
      <c r="G593" t="inlineStr">
        <is>
          <t>Sob</t>
        </is>
      </c>
      <c r="H593" t="inlineStr">
        <is>
          <t>LENART, WIKTORIA</t>
        </is>
      </c>
      <c r="I593" t="inlineStr">
        <is>
          <t>Crew Civil</t>
        </is>
      </c>
      <c r="J593" t="inlineStr">
        <is>
          <t>Zlecenie</t>
        </is>
      </c>
      <c r="K593" t="n">
        <v>7.13</v>
      </c>
      <c r="L593" t="inlineStr">
        <is>
          <t>384</t>
        </is>
      </c>
      <c r="M593" t="inlineStr">
        <is>
          <t>108120 SBX Warszawa Janki</t>
        </is>
      </c>
      <c r="N593" t="inlineStr">
        <is>
          <t>2026-09-11 19:06</t>
        </is>
      </c>
    </row>
    <row r="594">
      <c r="A594" t="n">
        <v>593</v>
      </c>
      <c r="B594" t="inlineStr">
        <is>
          <t>2026-02-02</t>
        </is>
      </c>
      <c r="C594" t="n">
        <v>2026</v>
      </c>
      <c r="D594" t="inlineStr">
        <is>
          <t>Luty</t>
        </is>
      </c>
      <c r="E594" t="inlineStr">
        <is>
          <t>W1</t>
        </is>
      </c>
      <c r="F594" t="inlineStr">
        <is>
          <t>2026_Luty_W1</t>
        </is>
      </c>
      <c r="G594" t="inlineStr">
        <is>
          <t>Pn</t>
        </is>
      </c>
      <c r="H594" t="inlineStr">
        <is>
          <t>LENART, WIKTORIA</t>
        </is>
      </c>
      <c r="I594" t="inlineStr">
        <is>
          <t>Crew Civil</t>
        </is>
      </c>
      <c r="J594" t="inlineStr">
        <is>
          <t>Zlecenie</t>
        </is>
      </c>
      <c r="K594" t="n">
        <v>7.98</v>
      </c>
      <c r="L594" t="inlineStr">
        <is>
          <t>384</t>
        </is>
      </c>
      <c r="M594" t="inlineStr">
        <is>
          <t>108120 SBX Warszawa Janki</t>
        </is>
      </c>
      <c r="N594" t="inlineStr">
        <is>
          <t>2026-09-11 19:06</t>
        </is>
      </c>
    </row>
    <row r="595">
      <c r="A595" t="n">
        <v>594</v>
      </c>
      <c r="B595" t="inlineStr">
        <is>
          <t>2026-02-07</t>
        </is>
      </c>
      <c r="C595" t="n">
        <v>2026</v>
      </c>
      <c r="D595" t="inlineStr">
        <is>
          <t>Luty</t>
        </is>
      </c>
      <c r="E595" t="inlineStr">
        <is>
          <t>W2</t>
        </is>
      </c>
      <c r="F595" t="inlineStr">
        <is>
          <t>2026_Luty_W2</t>
        </is>
      </c>
      <c r="G595" t="inlineStr">
        <is>
          <t>Sob</t>
        </is>
      </c>
      <c r="H595" t="inlineStr">
        <is>
          <t>LENART, WIKTORIA</t>
        </is>
      </c>
      <c r="I595" t="inlineStr">
        <is>
          <t>Crew Civil</t>
        </is>
      </c>
      <c r="J595" t="inlineStr">
        <is>
          <t>Zlecenie</t>
        </is>
      </c>
      <c r="K595" t="n">
        <v>7.56</v>
      </c>
      <c r="L595" t="inlineStr">
        <is>
          <t>384</t>
        </is>
      </c>
      <c r="M595" t="inlineStr">
        <is>
          <t>108120 SBX Warszawa Janki</t>
        </is>
      </c>
      <c r="N595" t="inlineStr">
        <is>
          <t>2026-09-11 19:06</t>
        </is>
      </c>
    </row>
    <row r="596">
      <c r="A596" t="n">
        <v>595</v>
      </c>
      <c r="B596" t="inlineStr">
        <is>
          <t>2026-02-12</t>
        </is>
      </c>
      <c r="C596" t="n">
        <v>2026</v>
      </c>
      <c r="D596" t="inlineStr">
        <is>
          <t>Luty</t>
        </is>
      </c>
      <c r="E596" t="inlineStr">
        <is>
          <t>W3</t>
        </is>
      </c>
      <c r="F596" t="inlineStr">
        <is>
          <t>2026_Luty_W3</t>
        </is>
      </c>
      <c r="G596" t="inlineStr">
        <is>
          <t>Czw</t>
        </is>
      </c>
      <c r="H596" t="inlineStr">
        <is>
          <t>LENART, WIKTORIA</t>
        </is>
      </c>
      <c r="I596" t="inlineStr">
        <is>
          <t>Crew Civil</t>
        </is>
      </c>
      <c r="J596" t="inlineStr">
        <is>
          <t>Zlecenie</t>
        </is>
      </c>
      <c r="K596" t="n">
        <v>5.5</v>
      </c>
      <c r="L596" t="inlineStr">
        <is>
          <t>384</t>
        </is>
      </c>
      <c r="M596" t="inlineStr">
        <is>
          <t>108120 SBX Warszawa Janki</t>
        </is>
      </c>
      <c r="N596" t="inlineStr">
        <is>
          <t>2026-09-11 19:06</t>
        </is>
      </c>
    </row>
    <row r="597">
      <c r="A597" t="n">
        <v>596</v>
      </c>
      <c r="B597" t="inlineStr">
        <is>
          <t>2026-02-14</t>
        </is>
      </c>
      <c r="C597" t="n">
        <v>2026</v>
      </c>
      <c r="D597" t="inlineStr">
        <is>
          <t>Luty</t>
        </is>
      </c>
      <c r="E597" t="inlineStr">
        <is>
          <t>W3</t>
        </is>
      </c>
      <c r="F597" t="inlineStr">
        <is>
          <t>2026_Luty_W3</t>
        </is>
      </c>
      <c r="G597" t="inlineStr">
        <is>
          <t>Sob</t>
        </is>
      </c>
      <c r="H597" t="inlineStr">
        <is>
          <t>LENART, WIKTORIA</t>
        </is>
      </c>
      <c r="I597" t="inlineStr">
        <is>
          <t>Crew Civil</t>
        </is>
      </c>
      <c r="J597" t="inlineStr">
        <is>
          <t>Zlecenie</t>
        </is>
      </c>
      <c r="K597" t="n">
        <v>8.199999999999999</v>
      </c>
      <c r="L597" t="inlineStr">
        <is>
          <t>384</t>
        </is>
      </c>
      <c r="M597" t="inlineStr">
        <is>
          <t>108120 SBX Warszawa Janki</t>
        </is>
      </c>
      <c r="N597" t="inlineStr">
        <is>
          <t>2026-09-11 19:06</t>
        </is>
      </c>
    </row>
    <row r="598">
      <c r="A598" t="n">
        <v>597</v>
      </c>
      <c r="B598" t="inlineStr">
        <is>
          <t>2026-02-19</t>
        </is>
      </c>
      <c r="C598" t="n">
        <v>2026</v>
      </c>
      <c r="D598" t="inlineStr">
        <is>
          <t>Luty</t>
        </is>
      </c>
      <c r="E598" t="inlineStr">
        <is>
          <t>W4</t>
        </is>
      </c>
      <c r="F598" t="inlineStr">
        <is>
          <t>2026_Luty_W4</t>
        </is>
      </c>
      <c r="G598" t="inlineStr">
        <is>
          <t>Czw</t>
        </is>
      </c>
      <c r="H598" t="inlineStr">
        <is>
          <t>LENART, WIKTORIA</t>
        </is>
      </c>
      <c r="I598" t="inlineStr">
        <is>
          <t>Crew Civil</t>
        </is>
      </c>
      <c r="J598" t="inlineStr">
        <is>
          <t>Zlecenie</t>
        </is>
      </c>
      <c r="K598" t="n">
        <v>4.29</v>
      </c>
      <c r="L598" t="inlineStr">
        <is>
          <t>384</t>
        </is>
      </c>
      <c r="M598" t="inlineStr">
        <is>
          <t>108120 SBX Warszawa Janki</t>
        </is>
      </c>
      <c r="N598" t="inlineStr">
        <is>
          <t>2026-09-11 19:06</t>
        </is>
      </c>
    </row>
    <row r="599">
      <c r="A599" t="n">
        <v>598</v>
      </c>
      <c r="B599" t="inlineStr">
        <is>
          <t>2026-02-26</t>
        </is>
      </c>
      <c r="C599" t="n">
        <v>2026</v>
      </c>
      <c r="D599" t="inlineStr">
        <is>
          <t>Luty</t>
        </is>
      </c>
      <c r="E599" t="inlineStr">
        <is>
          <t>W5</t>
        </is>
      </c>
      <c r="F599" t="inlineStr">
        <is>
          <t>2026_Luty_W5</t>
        </is>
      </c>
      <c r="G599" t="inlineStr">
        <is>
          <t>Czw</t>
        </is>
      </c>
      <c r="H599" t="inlineStr">
        <is>
          <t>LENART, WIKTORIA</t>
        </is>
      </c>
      <c r="I599" t="inlineStr">
        <is>
          <t>Crew Civil</t>
        </is>
      </c>
      <c r="J599" t="inlineStr">
        <is>
          <t>Zlecenie</t>
        </is>
      </c>
      <c r="K599" t="n">
        <v>4.87</v>
      </c>
      <c r="L599" t="inlineStr">
        <is>
          <t>384</t>
        </is>
      </c>
      <c r="M599" t="inlineStr">
        <is>
          <t>108120 SBX Warszawa Janki</t>
        </is>
      </c>
      <c r="N599" t="inlineStr">
        <is>
          <t>2026-09-11 19:06</t>
        </is>
      </c>
    </row>
    <row r="600">
      <c r="A600" t="n">
        <v>599</v>
      </c>
      <c r="B600" t="inlineStr">
        <is>
          <t>2026-02-27</t>
        </is>
      </c>
      <c r="C600" t="n">
        <v>2026</v>
      </c>
      <c r="D600" t="inlineStr">
        <is>
          <t>Luty</t>
        </is>
      </c>
      <c r="E600" t="inlineStr">
        <is>
          <t>W5</t>
        </is>
      </c>
      <c r="F600" t="inlineStr">
        <is>
          <t>2026_Luty_W5</t>
        </is>
      </c>
      <c r="G600" t="inlineStr">
        <is>
          <t>Pt</t>
        </is>
      </c>
      <c r="H600" t="inlineStr">
        <is>
          <t>LENART, WIKTORIA</t>
        </is>
      </c>
      <c r="I600" t="inlineStr">
        <is>
          <t>Crew Civil</t>
        </is>
      </c>
      <c r="J600" t="inlineStr">
        <is>
          <t>Zlecenie</t>
        </is>
      </c>
      <c r="K600" t="n">
        <v>7.9</v>
      </c>
      <c r="L600" t="inlineStr">
        <is>
          <t>384</t>
        </is>
      </c>
      <c r="M600" t="inlineStr">
        <is>
          <t>108120 SBX Warszawa Janki</t>
        </is>
      </c>
      <c r="N600" t="inlineStr">
        <is>
          <t>2026-09-11 19:06</t>
        </is>
      </c>
    </row>
    <row r="601">
      <c r="A601" t="n">
        <v>600</v>
      </c>
      <c r="B601" t="inlineStr">
        <is>
          <t>2026-03-09</t>
        </is>
      </c>
      <c r="C601" t="n">
        <v>2026</v>
      </c>
      <c r="D601" t="inlineStr">
        <is>
          <t>Marzec</t>
        </is>
      </c>
      <c r="E601" t="inlineStr">
        <is>
          <t>W2</t>
        </is>
      </c>
      <c r="F601" t="inlineStr">
        <is>
          <t>2026_Marzec_W2</t>
        </is>
      </c>
      <c r="G601" t="inlineStr">
        <is>
          <t>Pn</t>
        </is>
      </c>
      <c r="H601" t="inlineStr">
        <is>
          <t>LENART, WIKTORIA</t>
        </is>
      </c>
      <c r="I601" t="inlineStr">
        <is>
          <t>Crew Civil</t>
        </is>
      </c>
      <c r="J601" t="inlineStr">
        <is>
          <t>Zlecenie</t>
        </is>
      </c>
      <c r="K601" t="n">
        <v>1.5</v>
      </c>
      <c r="L601" t="inlineStr">
        <is>
          <t>384</t>
        </is>
      </c>
      <c r="M601" t="inlineStr">
        <is>
          <t>108120 SBX Warszawa Janki</t>
        </is>
      </c>
      <c r="N601" t="inlineStr">
        <is>
          <t>2026-09-11 19:06</t>
        </is>
      </c>
    </row>
    <row r="602">
      <c r="A602" t="n">
        <v>601</v>
      </c>
      <c r="B602" t="inlineStr">
        <is>
          <t>2026-03-10</t>
        </is>
      </c>
      <c r="C602" t="n">
        <v>2026</v>
      </c>
      <c r="D602" t="inlineStr">
        <is>
          <t>Marzec</t>
        </is>
      </c>
      <c r="E602" t="inlineStr">
        <is>
          <t>W3</t>
        </is>
      </c>
      <c r="F602" t="inlineStr">
        <is>
          <t>2026_Marzec_W3</t>
        </is>
      </c>
      <c r="G602" t="inlineStr">
        <is>
          <t>Wt</t>
        </is>
      </c>
      <c r="H602" t="inlineStr">
        <is>
          <t>LENART, WIKTORIA</t>
        </is>
      </c>
      <c r="I602" t="inlineStr">
        <is>
          <t>Crew Civil</t>
        </is>
      </c>
      <c r="J602" t="inlineStr">
        <is>
          <t>Zlecenie</t>
        </is>
      </c>
      <c r="K602" t="n">
        <v>8.25</v>
      </c>
      <c r="L602" t="inlineStr">
        <is>
          <t>384</t>
        </is>
      </c>
      <c r="M602" t="inlineStr">
        <is>
          <t>108120 SBX Warszawa Janki</t>
        </is>
      </c>
      <c r="N602" t="inlineStr">
        <is>
          <t>2026-09-11 19:06</t>
        </is>
      </c>
    </row>
    <row r="603">
      <c r="A603" t="n">
        <v>602</v>
      </c>
      <c r="B603" t="inlineStr">
        <is>
          <t>2026-03-11</t>
        </is>
      </c>
      <c r="C603" t="n">
        <v>2026</v>
      </c>
      <c r="D603" t="inlineStr">
        <is>
          <t>Marzec</t>
        </is>
      </c>
      <c r="E603" t="inlineStr">
        <is>
          <t>W3</t>
        </is>
      </c>
      <c r="F603" t="inlineStr">
        <is>
          <t>2026_Marzec_W3</t>
        </is>
      </c>
      <c r="G603" t="inlineStr">
        <is>
          <t>Śr</t>
        </is>
      </c>
      <c r="H603" t="inlineStr">
        <is>
          <t>LENART, WIKTORIA</t>
        </is>
      </c>
      <c r="I603" t="inlineStr">
        <is>
          <t>Crew Civil</t>
        </is>
      </c>
      <c r="J603" t="inlineStr">
        <is>
          <t>Zlecenie</t>
        </is>
      </c>
      <c r="K603" t="n">
        <v>7.5</v>
      </c>
      <c r="L603" t="inlineStr">
        <is>
          <t>384</t>
        </is>
      </c>
      <c r="M603" t="inlineStr">
        <is>
          <t>108120 SBX Warszawa Janki</t>
        </is>
      </c>
      <c r="N603" t="inlineStr">
        <is>
          <t>2026-09-11 19:06</t>
        </is>
      </c>
    </row>
    <row r="604">
      <c r="A604" t="n">
        <v>603</v>
      </c>
      <c r="B604" t="inlineStr">
        <is>
          <t>2026-03-15</t>
        </is>
      </c>
      <c r="C604" t="n">
        <v>2026</v>
      </c>
      <c r="D604" t="inlineStr">
        <is>
          <t>Marzec</t>
        </is>
      </c>
      <c r="E604" t="inlineStr">
        <is>
          <t>W3</t>
        </is>
      </c>
      <c r="F604" t="inlineStr">
        <is>
          <t>2026_Marzec_W3</t>
        </is>
      </c>
      <c r="G604" t="inlineStr">
        <is>
          <t>Nd</t>
        </is>
      </c>
      <c r="H604" t="inlineStr">
        <is>
          <t>LENART, WIKTORIA</t>
        </is>
      </c>
      <c r="I604" t="inlineStr">
        <is>
          <t>Crew Civil</t>
        </is>
      </c>
      <c r="J604" t="inlineStr">
        <is>
          <t>Zlecenie</t>
        </is>
      </c>
      <c r="K604" t="n">
        <v>5</v>
      </c>
      <c r="L604" t="inlineStr">
        <is>
          <t>384</t>
        </is>
      </c>
      <c r="M604" t="inlineStr">
        <is>
          <t>108120 SBX Warszawa Janki</t>
        </is>
      </c>
      <c r="N604" t="inlineStr">
        <is>
          <t>2026-09-11 19:06</t>
        </is>
      </c>
    </row>
    <row r="605">
      <c r="A605" t="n">
        <v>604</v>
      </c>
      <c r="B605" t="inlineStr">
        <is>
          <t>2026-03-17</t>
        </is>
      </c>
      <c r="C605" t="n">
        <v>2026</v>
      </c>
      <c r="D605" t="inlineStr">
        <is>
          <t>Marzec</t>
        </is>
      </c>
      <c r="E605" t="inlineStr">
        <is>
          <t>W4</t>
        </is>
      </c>
      <c r="F605" t="inlineStr">
        <is>
          <t>2026_Marzec_W4</t>
        </is>
      </c>
      <c r="G605" t="inlineStr">
        <is>
          <t>Wt</t>
        </is>
      </c>
      <c r="H605" t="inlineStr">
        <is>
          <t>LENART, WIKTORIA</t>
        </is>
      </c>
      <c r="I605" t="inlineStr">
        <is>
          <t>Crew Civil</t>
        </is>
      </c>
      <c r="J605" t="inlineStr">
        <is>
          <t>Zlecenie</t>
        </is>
      </c>
      <c r="K605" t="n">
        <v>7</v>
      </c>
      <c r="L605" t="inlineStr">
        <is>
          <t>384</t>
        </is>
      </c>
      <c r="M605" t="inlineStr">
        <is>
          <t>108120 SBX Warszawa Janki</t>
        </is>
      </c>
      <c r="N605" t="inlineStr">
        <is>
          <t>2026-09-11 19:06</t>
        </is>
      </c>
    </row>
    <row r="606">
      <c r="A606" t="n">
        <v>605</v>
      </c>
      <c r="B606" t="inlineStr">
        <is>
          <t>2026-03-28</t>
        </is>
      </c>
      <c r="C606" t="n">
        <v>2026</v>
      </c>
      <c r="D606" t="inlineStr">
        <is>
          <t>Marzec</t>
        </is>
      </c>
      <c r="E606" t="inlineStr">
        <is>
          <t>W5</t>
        </is>
      </c>
      <c r="F606" t="inlineStr">
        <is>
          <t>2026_Marzec_W5</t>
        </is>
      </c>
      <c r="G606" t="inlineStr">
        <is>
          <t>Sob</t>
        </is>
      </c>
      <c r="H606" t="inlineStr">
        <is>
          <t>LENART, WIKTORIA</t>
        </is>
      </c>
      <c r="I606" t="inlineStr">
        <is>
          <t>Crew Civil</t>
        </is>
      </c>
      <c r="J606" t="inlineStr">
        <is>
          <t>Zlecenie</t>
        </is>
      </c>
      <c r="K606" t="n">
        <v>7</v>
      </c>
      <c r="L606" t="inlineStr">
        <is>
          <t>384</t>
        </is>
      </c>
      <c r="M606" t="inlineStr">
        <is>
          <t>108120 SBX Warszawa Janki</t>
        </is>
      </c>
      <c r="N606" t="inlineStr">
        <is>
          <t>2026-09-11 19:06</t>
        </is>
      </c>
    </row>
    <row r="607">
      <c r="A607" t="n">
        <v>606</v>
      </c>
      <c r="B607" t="inlineStr">
        <is>
          <t>2026-03-28</t>
        </is>
      </c>
      <c r="C607" t="n">
        <v>2026</v>
      </c>
      <c r="D607" t="inlineStr">
        <is>
          <t>Marzec</t>
        </is>
      </c>
      <c r="E607" t="inlineStr">
        <is>
          <t>W5</t>
        </is>
      </c>
      <c r="F607" t="inlineStr">
        <is>
          <t>2026_Marzec_W5</t>
        </is>
      </c>
      <c r="G607" t="inlineStr">
        <is>
          <t>Sob</t>
        </is>
      </c>
      <c r="H607" t="inlineStr">
        <is>
          <t>LENART, WIKTORIA</t>
        </is>
      </c>
      <c r="I607" t="inlineStr">
        <is>
          <t>Crew Civil</t>
        </is>
      </c>
      <c r="J607" t="inlineStr">
        <is>
          <t>Zlecenie</t>
        </is>
      </c>
      <c r="K607" t="n">
        <v>0</v>
      </c>
      <c r="L607" t="inlineStr">
        <is>
          <t>384</t>
        </is>
      </c>
      <c r="M607" t="inlineStr">
        <is>
          <t>108120 SBX Warszawa Janki</t>
        </is>
      </c>
      <c r="N607" t="inlineStr">
        <is>
          <t>2026-09-11 19:06</t>
        </is>
      </c>
    </row>
    <row r="608">
      <c r="A608" t="n">
        <v>607</v>
      </c>
      <c r="B608" t="inlineStr">
        <is>
          <t>2026-03-29</t>
        </is>
      </c>
      <c r="C608" t="n">
        <v>2026</v>
      </c>
      <c r="D608" t="inlineStr">
        <is>
          <t>Marzec</t>
        </is>
      </c>
      <c r="E608" t="inlineStr">
        <is>
          <t>W5</t>
        </is>
      </c>
      <c r="F608" t="inlineStr">
        <is>
          <t>2026_Marzec_W5</t>
        </is>
      </c>
      <c r="G608" t="inlineStr">
        <is>
          <t>Nd</t>
        </is>
      </c>
      <c r="H608" t="inlineStr">
        <is>
          <t>LENART, WIKTORIA</t>
        </is>
      </c>
      <c r="I608" t="inlineStr">
        <is>
          <t>Crew Civil</t>
        </is>
      </c>
      <c r="J608" t="inlineStr">
        <is>
          <t>Zlecenie</t>
        </is>
      </c>
      <c r="K608" t="n">
        <v>7.96</v>
      </c>
      <c r="L608" t="inlineStr">
        <is>
          <t>384</t>
        </is>
      </c>
      <c r="M608" t="inlineStr">
        <is>
          <t>108120 SBX Warszawa Janki</t>
        </is>
      </c>
      <c r="N608" t="inlineStr">
        <is>
          <t>2026-09-11 19:06</t>
        </is>
      </c>
    </row>
    <row r="609">
      <c r="A609" t="n">
        <v>608</v>
      </c>
      <c r="B609" t="inlineStr">
        <is>
          <t>2026-03-31</t>
        </is>
      </c>
      <c r="C609" t="n">
        <v>2026</v>
      </c>
      <c r="D609" t="inlineStr">
        <is>
          <t>Marzec</t>
        </is>
      </c>
      <c r="E609" t="inlineStr">
        <is>
          <t>W6</t>
        </is>
      </c>
      <c r="F609" t="inlineStr">
        <is>
          <t>2026_Marzec_W6</t>
        </is>
      </c>
      <c r="G609" t="inlineStr">
        <is>
          <t>Wt</t>
        </is>
      </c>
      <c r="H609" t="inlineStr">
        <is>
          <t>LENART, WIKTORIA</t>
        </is>
      </c>
      <c r="I609" t="inlineStr">
        <is>
          <t>Crew Civil</t>
        </is>
      </c>
      <c r="J609" t="inlineStr">
        <is>
          <t>Zlecenie</t>
        </is>
      </c>
      <c r="K609" t="n">
        <v>7.08</v>
      </c>
      <c r="L609" t="inlineStr">
        <is>
          <t>384</t>
        </is>
      </c>
      <c r="M609" t="inlineStr">
        <is>
          <t>108120 SBX Warszawa Janki</t>
        </is>
      </c>
      <c r="N609" t="inlineStr">
        <is>
          <t>2026-09-11 19:06</t>
        </is>
      </c>
    </row>
    <row r="610">
      <c r="A610" t="n">
        <v>609</v>
      </c>
      <c r="B610" t="inlineStr">
        <is>
          <t>2026-04-01</t>
        </is>
      </c>
      <c r="C610" t="n">
        <v>2026</v>
      </c>
      <c r="D610" t="inlineStr">
        <is>
          <t>Kwiecień</t>
        </is>
      </c>
      <c r="E610" t="inlineStr">
        <is>
          <t>W1</t>
        </is>
      </c>
      <c r="F610" t="inlineStr">
        <is>
          <t>2026_Kwiecień_W1</t>
        </is>
      </c>
      <c r="G610" t="inlineStr">
        <is>
          <t>Śr</t>
        </is>
      </c>
      <c r="H610" t="inlineStr">
        <is>
          <t>LENART, WIKTORIA</t>
        </is>
      </c>
      <c r="I610" t="inlineStr">
        <is>
          <t>Crew Civil</t>
        </is>
      </c>
      <c r="J610" t="inlineStr">
        <is>
          <t>Zlecenie</t>
        </is>
      </c>
      <c r="K610" t="n">
        <v>4.26</v>
      </c>
      <c r="L610" t="inlineStr">
        <is>
          <t>384</t>
        </is>
      </c>
      <c r="M610" t="inlineStr">
        <is>
          <t>108120 SBX Warszawa Janki</t>
        </is>
      </c>
      <c r="N610" t="inlineStr">
        <is>
          <t>2026-09-11 19:06</t>
        </is>
      </c>
    </row>
    <row r="611">
      <c r="A611" t="n">
        <v>610</v>
      </c>
      <c r="B611" t="inlineStr">
        <is>
          <t>2026-04-04</t>
        </is>
      </c>
      <c r="C611" t="n">
        <v>2026</v>
      </c>
      <c r="D611" t="inlineStr">
        <is>
          <t>Kwiecień</t>
        </is>
      </c>
      <c r="E611" t="inlineStr">
        <is>
          <t>W1</t>
        </is>
      </c>
      <c r="F611" t="inlineStr">
        <is>
          <t>2026_Kwiecień_W1</t>
        </is>
      </c>
      <c r="G611" t="inlineStr">
        <is>
          <t>Sob</t>
        </is>
      </c>
      <c r="H611" t="inlineStr">
        <is>
          <t>LENART, WIKTORIA</t>
        </is>
      </c>
      <c r="I611" t="inlineStr">
        <is>
          <t>Crew Civil</t>
        </is>
      </c>
      <c r="J611" t="inlineStr">
        <is>
          <t>Zlecenie</t>
        </is>
      </c>
      <c r="K611" t="n">
        <v>7.15</v>
      </c>
      <c r="L611" t="inlineStr">
        <is>
          <t>384</t>
        </is>
      </c>
      <c r="M611" t="inlineStr">
        <is>
          <t>108120 SBX Warszawa Janki</t>
        </is>
      </c>
      <c r="N611" t="inlineStr">
        <is>
          <t>2026-09-11 19:06</t>
        </is>
      </c>
    </row>
    <row r="612">
      <c r="A612" t="n">
        <v>611</v>
      </c>
      <c r="B612" t="inlineStr">
        <is>
          <t>2026-04-11</t>
        </is>
      </c>
      <c r="C612" t="n">
        <v>2026</v>
      </c>
      <c r="D612" t="inlineStr">
        <is>
          <t>Kwiecień</t>
        </is>
      </c>
      <c r="E612" t="inlineStr">
        <is>
          <t>W2</t>
        </is>
      </c>
      <c r="F612" t="inlineStr">
        <is>
          <t>2026_Kwiecień_W2</t>
        </is>
      </c>
      <c r="G612" t="inlineStr">
        <is>
          <t>Sob</t>
        </is>
      </c>
      <c r="H612" t="inlineStr">
        <is>
          <t>LENART, WIKTORIA</t>
        </is>
      </c>
      <c r="I612" t="inlineStr">
        <is>
          <t>Crew Civil</t>
        </is>
      </c>
      <c r="J612" t="inlineStr">
        <is>
          <t>Zlecenie</t>
        </is>
      </c>
      <c r="K612" t="n">
        <v>7.97</v>
      </c>
      <c r="L612" t="inlineStr">
        <is>
          <t>384</t>
        </is>
      </c>
      <c r="M612" t="inlineStr">
        <is>
          <t>108120 SBX Warszawa Janki</t>
        </is>
      </c>
      <c r="N612" t="inlineStr">
        <is>
          <t>2026-09-11 19:06</t>
        </is>
      </c>
    </row>
    <row r="613">
      <c r="A613" t="n">
        <v>612</v>
      </c>
      <c r="B613" t="inlineStr">
        <is>
          <t>2026-04-14</t>
        </is>
      </c>
      <c r="C613" t="n">
        <v>2026</v>
      </c>
      <c r="D613" t="inlineStr">
        <is>
          <t>Kwiecień</t>
        </is>
      </c>
      <c r="E613" t="inlineStr">
        <is>
          <t>W3</t>
        </is>
      </c>
      <c r="F613" t="inlineStr">
        <is>
          <t>2026_Kwiecień_W3</t>
        </is>
      </c>
      <c r="G613" t="inlineStr">
        <is>
          <t>Wt</t>
        </is>
      </c>
      <c r="H613" t="inlineStr">
        <is>
          <t>LENART, WIKTORIA</t>
        </is>
      </c>
      <c r="I613" t="inlineStr">
        <is>
          <t>Crew Civil</t>
        </is>
      </c>
      <c r="J613" t="inlineStr">
        <is>
          <t>Zlecenie</t>
        </is>
      </c>
      <c r="K613" t="n">
        <v>7.03</v>
      </c>
      <c r="L613" t="inlineStr">
        <is>
          <t>384</t>
        </is>
      </c>
      <c r="M613" t="inlineStr">
        <is>
          <t>108120 SBX Warszawa Janki</t>
        </is>
      </c>
      <c r="N613" t="inlineStr">
        <is>
          <t>2026-09-11 19:06</t>
        </is>
      </c>
    </row>
    <row r="614">
      <c r="A614" t="n">
        <v>613</v>
      </c>
      <c r="B614" t="inlineStr">
        <is>
          <t>2026-04-18</t>
        </is>
      </c>
      <c r="C614" t="n">
        <v>2026</v>
      </c>
      <c r="D614" t="inlineStr">
        <is>
          <t>Kwiecień</t>
        </is>
      </c>
      <c r="E614" t="inlineStr">
        <is>
          <t>W3</t>
        </is>
      </c>
      <c r="F614" t="inlineStr">
        <is>
          <t>2026_Kwiecień_W3</t>
        </is>
      </c>
      <c r="G614" t="inlineStr">
        <is>
          <t>Sob</t>
        </is>
      </c>
      <c r="H614" t="inlineStr">
        <is>
          <t>LENART, WIKTORIA</t>
        </is>
      </c>
      <c r="I614" t="inlineStr">
        <is>
          <t>Crew Civil</t>
        </is>
      </c>
      <c r="J614" t="inlineStr">
        <is>
          <t>Zlecenie</t>
        </is>
      </c>
      <c r="K614" t="n">
        <v>7.44</v>
      </c>
      <c r="L614" t="inlineStr">
        <is>
          <t>384</t>
        </is>
      </c>
      <c r="M614" t="inlineStr">
        <is>
          <t>108120 SBX Warszawa Janki</t>
        </is>
      </c>
      <c r="N614" t="inlineStr">
        <is>
          <t>2026-09-11 19:06</t>
        </is>
      </c>
    </row>
    <row r="615">
      <c r="A615" t="n">
        <v>614</v>
      </c>
      <c r="B615" t="inlineStr">
        <is>
          <t>2026-04-19</t>
        </is>
      </c>
      <c r="C615" t="n">
        <v>2026</v>
      </c>
      <c r="D615" t="inlineStr">
        <is>
          <t>Kwiecień</t>
        </is>
      </c>
      <c r="E615" t="inlineStr">
        <is>
          <t>W3</t>
        </is>
      </c>
      <c r="F615" t="inlineStr">
        <is>
          <t>2026_Kwiecień_W3</t>
        </is>
      </c>
      <c r="G615" t="inlineStr">
        <is>
          <t>Nd</t>
        </is>
      </c>
      <c r="H615" t="inlineStr">
        <is>
          <t>LENART, WIKTORIA</t>
        </is>
      </c>
      <c r="I615" t="inlineStr">
        <is>
          <t>Crew Civil</t>
        </is>
      </c>
      <c r="J615" t="inlineStr">
        <is>
          <t>Zlecenie</t>
        </is>
      </c>
      <c r="K615" t="n">
        <v>6.9</v>
      </c>
      <c r="L615" t="inlineStr">
        <is>
          <t>384</t>
        </is>
      </c>
      <c r="M615" t="inlineStr">
        <is>
          <t>108120 SBX Warszawa Janki</t>
        </is>
      </c>
      <c r="N615" t="inlineStr">
        <is>
          <t>2026-09-11 19:06</t>
        </is>
      </c>
    </row>
    <row r="616">
      <c r="A616" t="n">
        <v>615</v>
      </c>
      <c r="B616" t="inlineStr">
        <is>
          <t>2026-04-21</t>
        </is>
      </c>
      <c r="C616" t="n">
        <v>2026</v>
      </c>
      <c r="D616" t="inlineStr">
        <is>
          <t>Kwiecień</t>
        </is>
      </c>
      <c r="E616" t="inlineStr">
        <is>
          <t>W4</t>
        </is>
      </c>
      <c r="F616" t="inlineStr">
        <is>
          <t>2026_Kwiecień_W4</t>
        </is>
      </c>
      <c r="G616" t="inlineStr">
        <is>
          <t>Wt</t>
        </is>
      </c>
      <c r="H616" t="inlineStr">
        <is>
          <t>LENART, WIKTORIA</t>
        </is>
      </c>
      <c r="I616" t="inlineStr">
        <is>
          <t>Crew Civil</t>
        </is>
      </c>
      <c r="J616" t="inlineStr">
        <is>
          <t>Zlecenie</t>
        </is>
      </c>
      <c r="K616" t="n">
        <v>7.93</v>
      </c>
      <c r="L616" t="inlineStr">
        <is>
          <t>384</t>
        </is>
      </c>
      <c r="M616" t="inlineStr">
        <is>
          <t>108120 SBX Warszawa Janki</t>
        </is>
      </c>
      <c r="N616" t="inlineStr">
        <is>
          <t>2026-09-11 19:06</t>
        </is>
      </c>
    </row>
    <row r="617">
      <c r="A617" t="n">
        <v>616</v>
      </c>
      <c r="B617" t="inlineStr">
        <is>
          <t>2026-04-25</t>
        </is>
      </c>
      <c r="C617" t="n">
        <v>2026</v>
      </c>
      <c r="D617" t="inlineStr">
        <is>
          <t>Kwiecień</t>
        </is>
      </c>
      <c r="E617" t="inlineStr">
        <is>
          <t>W4</t>
        </is>
      </c>
      <c r="F617" t="inlineStr">
        <is>
          <t>2026_Kwiecień_W4</t>
        </is>
      </c>
      <c r="G617" t="inlineStr">
        <is>
          <t>Sob</t>
        </is>
      </c>
      <c r="H617" t="inlineStr">
        <is>
          <t>LENART, WIKTORIA</t>
        </is>
      </c>
      <c r="I617" t="inlineStr">
        <is>
          <t>Crew Civil</t>
        </is>
      </c>
      <c r="J617" t="inlineStr">
        <is>
          <t>Zlecenie</t>
        </is>
      </c>
      <c r="K617" t="n">
        <v>8.039999999999999</v>
      </c>
      <c r="L617" t="inlineStr">
        <is>
          <t>384</t>
        </is>
      </c>
      <c r="M617" t="inlineStr">
        <is>
          <t>108120 SBX Warszawa Janki</t>
        </is>
      </c>
      <c r="N617" t="inlineStr">
        <is>
          <t>2026-09-11 19:06</t>
        </is>
      </c>
    </row>
    <row r="618">
      <c r="A618" t="n">
        <v>617</v>
      </c>
      <c r="B618" t="inlineStr">
        <is>
          <t>2026-04-28</t>
        </is>
      </c>
      <c r="C618" t="n">
        <v>2026</v>
      </c>
      <c r="D618" t="inlineStr">
        <is>
          <t>Kwiecień</t>
        </is>
      </c>
      <c r="E618" t="inlineStr">
        <is>
          <t>W5</t>
        </is>
      </c>
      <c r="F618" t="inlineStr">
        <is>
          <t>2026_Kwiecień_W5</t>
        </is>
      </c>
      <c r="G618" t="inlineStr">
        <is>
          <t>Wt</t>
        </is>
      </c>
      <c r="H618" t="inlineStr">
        <is>
          <t>LENART, WIKTORIA</t>
        </is>
      </c>
      <c r="I618" t="inlineStr">
        <is>
          <t>Crew Civil</t>
        </is>
      </c>
      <c r="J618" t="inlineStr">
        <is>
          <t>Zlecenie</t>
        </is>
      </c>
      <c r="K618" t="n">
        <v>8.029999999999999</v>
      </c>
      <c r="L618" t="inlineStr">
        <is>
          <t>384</t>
        </is>
      </c>
      <c r="M618" t="inlineStr">
        <is>
          <t>108120 SBX Warszawa Janki</t>
        </is>
      </c>
      <c r="N618" t="inlineStr">
        <is>
          <t>2026-09-11 19:06</t>
        </is>
      </c>
    </row>
    <row r="619">
      <c r="A619" t="n">
        <v>618</v>
      </c>
      <c r="B619" t="inlineStr">
        <is>
          <t>2026-04-29</t>
        </is>
      </c>
      <c r="C619" t="n">
        <v>2026</v>
      </c>
      <c r="D619" t="inlineStr">
        <is>
          <t>Kwiecień</t>
        </is>
      </c>
      <c r="E619" t="inlineStr">
        <is>
          <t>W5</t>
        </is>
      </c>
      <c r="F619" t="inlineStr">
        <is>
          <t>2026_Kwiecień_W5</t>
        </is>
      </c>
      <c r="G619" t="inlineStr">
        <is>
          <t>Śr</t>
        </is>
      </c>
      <c r="H619" t="inlineStr">
        <is>
          <t>LENART, WIKTORIA</t>
        </is>
      </c>
      <c r="I619" t="inlineStr">
        <is>
          <t>Crew Civil</t>
        </is>
      </c>
      <c r="J619" t="inlineStr">
        <is>
          <t>Zlecenie</t>
        </is>
      </c>
      <c r="K619" t="n">
        <v>7.67</v>
      </c>
      <c r="L619" t="inlineStr">
        <is>
          <t>384</t>
        </is>
      </c>
      <c r="M619" t="inlineStr">
        <is>
          <t>108120 SBX Warszawa Janki</t>
        </is>
      </c>
      <c r="N619" t="inlineStr">
        <is>
          <t>2026-09-11 19:06</t>
        </is>
      </c>
    </row>
    <row r="620">
      <c r="A620" t="n">
        <v>619</v>
      </c>
      <c r="B620" t="inlineStr">
        <is>
          <t>2026-05-05</t>
        </is>
      </c>
      <c r="C620" t="n">
        <v>2026</v>
      </c>
      <c r="D620" t="inlineStr">
        <is>
          <t>Maj</t>
        </is>
      </c>
      <c r="E620" t="inlineStr">
        <is>
          <t>W2</t>
        </is>
      </c>
      <c r="F620" t="inlineStr">
        <is>
          <t>2026_Maj_W2</t>
        </is>
      </c>
      <c r="G620" t="inlineStr">
        <is>
          <t>Wt</t>
        </is>
      </c>
      <c r="H620" t="inlineStr">
        <is>
          <t>LENART, WIKTORIA</t>
        </is>
      </c>
      <c r="I620" t="inlineStr">
        <is>
          <t>Crew Civil</t>
        </is>
      </c>
      <c r="J620" t="inlineStr">
        <is>
          <t>Zlecenie</t>
        </is>
      </c>
      <c r="K620" t="n">
        <v>7.24</v>
      </c>
      <c r="L620" t="inlineStr">
        <is>
          <t>384</t>
        </is>
      </c>
      <c r="M620" t="inlineStr">
        <is>
          <t>108120 SBX Warszawa Janki</t>
        </is>
      </c>
      <c r="N620" t="inlineStr">
        <is>
          <t>2026-09-11 19:06</t>
        </is>
      </c>
    </row>
    <row r="621">
      <c r="A621" t="n">
        <v>620</v>
      </c>
      <c r="B621" t="inlineStr">
        <is>
          <t>2026-05-09</t>
        </is>
      </c>
      <c r="C621" t="n">
        <v>2026</v>
      </c>
      <c r="D621" t="inlineStr">
        <is>
          <t>Maj</t>
        </is>
      </c>
      <c r="E621" t="inlineStr">
        <is>
          <t>W2</t>
        </is>
      </c>
      <c r="F621" t="inlineStr">
        <is>
          <t>2026_Maj_W2</t>
        </is>
      </c>
      <c r="G621" t="inlineStr">
        <is>
          <t>Sob</t>
        </is>
      </c>
      <c r="H621" t="inlineStr">
        <is>
          <t>LENART, WIKTORIA</t>
        </is>
      </c>
      <c r="I621" t="inlineStr">
        <is>
          <t>Crew Civil</t>
        </is>
      </c>
      <c r="J621" t="inlineStr">
        <is>
          <t>Zlecenie</t>
        </is>
      </c>
      <c r="K621" t="n">
        <v>7.92</v>
      </c>
      <c r="L621" t="inlineStr">
        <is>
          <t>384</t>
        </is>
      </c>
      <c r="M621" t="inlineStr">
        <is>
          <t>108120 SBX Warszawa Janki</t>
        </is>
      </c>
      <c r="N621" t="inlineStr">
        <is>
          <t>2026-09-11 19:06</t>
        </is>
      </c>
    </row>
    <row r="622">
      <c r="A622" t="n">
        <v>621</v>
      </c>
      <c r="B622" t="inlineStr">
        <is>
          <t>2026-05-10</t>
        </is>
      </c>
      <c r="C622" t="n">
        <v>2026</v>
      </c>
      <c r="D622" t="inlineStr">
        <is>
          <t>Maj</t>
        </is>
      </c>
      <c r="E622" t="inlineStr">
        <is>
          <t>W2</t>
        </is>
      </c>
      <c r="F622" t="inlineStr">
        <is>
          <t>2026_Maj_W2</t>
        </is>
      </c>
      <c r="G622" t="inlineStr">
        <is>
          <t>Nd</t>
        </is>
      </c>
      <c r="H622" t="inlineStr">
        <is>
          <t>LENART, WIKTORIA</t>
        </is>
      </c>
      <c r="I622" t="inlineStr">
        <is>
          <t>Crew Civil</t>
        </is>
      </c>
      <c r="J622" t="inlineStr">
        <is>
          <t>Zlecenie</t>
        </is>
      </c>
      <c r="K622" t="n">
        <v>5.22</v>
      </c>
      <c r="L622" t="inlineStr">
        <is>
          <t>384</t>
        </is>
      </c>
      <c r="M622" t="inlineStr">
        <is>
          <t>108120 SBX Warszawa Janki</t>
        </is>
      </c>
      <c r="N622" t="inlineStr">
        <is>
          <t>2026-09-11 19:06</t>
        </is>
      </c>
    </row>
    <row r="623">
      <c r="A623" t="n">
        <v>622</v>
      </c>
      <c r="B623" t="inlineStr">
        <is>
          <t>2026-05-12</t>
        </is>
      </c>
      <c r="C623" t="n">
        <v>2026</v>
      </c>
      <c r="D623" t="inlineStr">
        <is>
          <t>Maj</t>
        </is>
      </c>
      <c r="E623" t="inlineStr">
        <is>
          <t>W3</t>
        </is>
      </c>
      <c r="F623" t="inlineStr">
        <is>
          <t>2026_Maj_W3</t>
        </is>
      </c>
      <c r="G623" t="inlineStr">
        <is>
          <t>Wt</t>
        </is>
      </c>
      <c r="H623" t="inlineStr">
        <is>
          <t>LENART, WIKTORIA</t>
        </is>
      </c>
      <c r="I623" t="inlineStr">
        <is>
          <t>Crew Civil</t>
        </is>
      </c>
      <c r="J623" t="inlineStr">
        <is>
          <t>Zlecenie</t>
        </is>
      </c>
      <c r="K623" t="n">
        <v>7.98</v>
      </c>
      <c r="L623" t="inlineStr">
        <is>
          <t>384</t>
        </is>
      </c>
      <c r="M623" t="inlineStr">
        <is>
          <t>108120 SBX Warszawa Janki</t>
        </is>
      </c>
      <c r="N623" t="inlineStr">
        <is>
          <t>2026-09-11 19:06</t>
        </is>
      </c>
    </row>
    <row r="624">
      <c r="A624" t="n">
        <v>623</v>
      </c>
      <c r="B624" t="inlineStr">
        <is>
          <t>2026-05-16</t>
        </is>
      </c>
      <c r="C624" t="n">
        <v>2026</v>
      </c>
      <c r="D624" t="inlineStr">
        <is>
          <t>Maj</t>
        </is>
      </c>
      <c r="E624" t="inlineStr">
        <is>
          <t>W3</t>
        </is>
      </c>
      <c r="F624" t="inlineStr">
        <is>
          <t>2026_Maj_W3</t>
        </is>
      </c>
      <c r="G624" t="inlineStr">
        <is>
          <t>Sob</t>
        </is>
      </c>
      <c r="H624" t="inlineStr">
        <is>
          <t>LENART, WIKTORIA</t>
        </is>
      </c>
      <c r="I624" t="inlineStr">
        <is>
          <t>Crew Civil</t>
        </is>
      </c>
      <c r="J624" t="inlineStr">
        <is>
          <t>Zlecenie</t>
        </is>
      </c>
      <c r="K624" t="n">
        <v>6.44</v>
      </c>
      <c r="L624" t="inlineStr">
        <is>
          <t>384</t>
        </is>
      </c>
      <c r="M624" t="inlineStr">
        <is>
          <t>108120 SBX Warszawa Janki</t>
        </is>
      </c>
      <c r="N624" t="inlineStr">
        <is>
          <t>2026-09-11 19:06</t>
        </is>
      </c>
    </row>
    <row r="625">
      <c r="A625" t="n">
        <v>624</v>
      </c>
      <c r="B625" t="inlineStr">
        <is>
          <t>2026-05-17</t>
        </is>
      </c>
      <c r="C625" t="n">
        <v>2026</v>
      </c>
      <c r="D625" t="inlineStr">
        <is>
          <t>Maj</t>
        </is>
      </c>
      <c r="E625" t="inlineStr">
        <is>
          <t>W3</t>
        </is>
      </c>
      <c r="F625" t="inlineStr">
        <is>
          <t>2026_Maj_W3</t>
        </is>
      </c>
      <c r="G625" t="inlineStr">
        <is>
          <t>Nd</t>
        </is>
      </c>
      <c r="H625" t="inlineStr">
        <is>
          <t>LENART, WIKTORIA</t>
        </is>
      </c>
      <c r="I625" t="inlineStr">
        <is>
          <t>Crew Civil</t>
        </is>
      </c>
      <c r="J625" t="inlineStr">
        <is>
          <t>Zlecenie</t>
        </is>
      </c>
      <c r="K625" t="n">
        <v>5.92</v>
      </c>
      <c r="L625" t="inlineStr">
        <is>
          <t>384</t>
        </is>
      </c>
      <c r="M625" t="inlineStr">
        <is>
          <t>108120 SBX Warszawa Janki</t>
        </is>
      </c>
      <c r="N625" t="inlineStr">
        <is>
          <t>2026-09-11 19:06</t>
        </is>
      </c>
    </row>
    <row r="626">
      <c r="A626" t="n">
        <v>625</v>
      </c>
      <c r="B626" t="inlineStr">
        <is>
          <t>2026-05-19</t>
        </is>
      </c>
      <c r="C626" t="n">
        <v>2026</v>
      </c>
      <c r="D626" t="inlineStr">
        <is>
          <t>Maj</t>
        </is>
      </c>
      <c r="E626" t="inlineStr">
        <is>
          <t>W4</t>
        </is>
      </c>
      <c r="F626" t="inlineStr">
        <is>
          <t>2026_Maj_W4</t>
        </is>
      </c>
      <c r="G626" t="inlineStr">
        <is>
          <t>Wt</t>
        </is>
      </c>
      <c r="H626" t="inlineStr">
        <is>
          <t>LENART, WIKTORIA</t>
        </is>
      </c>
      <c r="I626" t="inlineStr">
        <is>
          <t>Crew Civil</t>
        </is>
      </c>
      <c r="J626" t="inlineStr">
        <is>
          <t>Zlecenie</t>
        </is>
      </c>
      <c r="K626" t="n">
        <v>5.96</v>
      </c>
      <c r="L626" t="inlineStr">
        <is>
          <t>384</t>
        </is>
      </c>
      <c r="M626" t="inlineStr">
        <is>
          <t>108120 SBX Warszawa Janki</t>
        </is>
      </c>
      <c r="N626" t="inlineStr">
        <is>
          <t>2026-09-11 19:06</t>
        </is>
      </c>
    </row>
    <row r="627">
      <c r="A627" t="n">
        <v>626</v>
      </c>
      <c r="B627" t="inlineStr">
        <is>
          <t>2026-05-26</t>
        </is>
      </c>
      <c r="C627" t="n">
        <v>2026</v>
      </c>
      <c r="D627" t="inlineStr">
        <is>
          <t>Maj</t>
        </is>
      </c>
      <c r="E627" t="inlineStr">
        <is>
          <t>W5</t>
        </is>
      </c>
      <c r="F627" t="inlineStr">
        <is>
          <t>2026_Maj_W5</t>
        </is>
      </c>
      <c r="G627" t="inlineStr">
        <is>
          <t>Wt</t>
        </is>
      </c>
      <c r="H627" t="inlineStr">
        <is>
          <t>LENART, WIKTORIA</t>
        </is>
      </c>
      <c r="I627" t="inlineStr">
        <is>
          <t>Crew Civil</t>
        </is>
      </c>
      <c r="J627" t="inlineStr">
        <is>
          <t>Zlecenie</t>
        </is>
      </c>
      <c r="K627" t="n">
        <v>6.97</v>
      </c>
      <c r="L627" t="inlineStr">
        <is>
          <t>384</t>
        </is>
      </c>
      <c r="M627" t="inlineStr">
        <is>
          <t>108120 SBX Warszawa Janki</t>
        </is>
      </c>
      <c r="N627" t="inlineStr">
        <is>
          <t>2026-09-11 19:06</t>
        </is>
      </c>
    </row>
    <row r="628">
      <c r="A628" t="n">
        <v>627</v>
      </c>
      <c r="B628" t="inlineStr">
        <is>
          <t>2026-06-02</t>
        </is>
      </c>
      <c r="C628" t="n">
        <v>2026</v>
      </c>
      <c r="D628" t="inlineStr">
        <is>
          <t>Czerwiec</t>
        </is>
      </c>
      <c r="E628" t="inlineStr">
        <is>
          <t>W2</t>
        </is>
      </c>
      <c r="F628" t="inlineStr">
        <is>
          <t>2026_Czerwiec_W2</t>
        </is>
      </c>
      <c r="G628" t="inlineStr">
        <is>
          <t>Wt</t>
        </is>
      </c>
      <c r="H628" t="inlineStr">
        <is>
          <t>LENART, WIKTORIA</t>
        </is>
      </c>
      <c r="I628" t="inlineStr">
        <is>
          <t>Crew Civil</t>
        </is>
      </c>
      <c r="J628" t="inlineStr">
        <is>
          <t>Zlecenie</t>
        </is>
      </c>
      <c r="K628" t="n">
        <v>8.76</v>
      </c>
      <c r="L628" t="inlineStr">
        <is>
          <t>384</t>
        </is>
      </c>
      <c r="M628" t="inlineStr">
        <is>
          <t>108120 SBX Warszawa Janki</t>
        </is>
      </c>
      <c r="N628" t="inlineStr">
        <is>
          <t>2026-09-11 19:06</t>
        </is>
      </c>
    </row>
    <row r="629">
      <c r="A629" t="n">
        <v>628</v>
      </c>
      <c r="B629" t="inlineStr">
        <is>
          <t>2026-06-03</t>
        </is>
      </c>
      <c r="C629" t="n">
        <v>2026</v>
      </c>
      <c r="D629" t="inlineStr">
        <is>
          <t>Czerwiec</t>
        </is>
      </c>
      <c r="E629" t="inlineStr">
        <is>
          <t>W2</t>
        </is>
      </c>
      <c r="F629" t="inlineStr">
        <is>
          <t>2026_Czerwiec_W2</t>
        </is>
      </c>
      <c r="G629" t="inlineStr">
        <is>
          <t>Śr</t>
        </is>
      </c>
      <c r="H629" t="inlineStr">
        <is>
          <t>LENART, WIKTORIA</t>
        </is>
      </c>
      <c r="I629" t="inlineStr">
        <is>
          <t>Crew Civil</t>
        </is>
      </c>
      <c r="J629" t="inlineStr">
        <is>
          <t>Zlecenie</t>
        </is>
      </c>
      <c r="K629" t="n">
        <v>8.67</v>
      </c>
      <c r="L629" t="inlineStr">
        <is>
          <t>384</t>
        </is>
      </c>
      <c r="M629" t="inlineStr">
        <is>
          <t>108120 SBX Warszawa Janki</t>
        </is>
      </c>
      <c r="N629" t="inlineStr">
        <is>
          <t>2026-09-11 19:06</t>
        </is>
      </c>
    </row>
    <row r="630">
      <c r="A630" t="n">
        <v>629</v>
      </c>
      <c r="B630" t="inlineStr">
        <is>
          <t>2026-06-05</t>
        </is>
      </c>
      <c r="C630" t="n">
        <v>2026</v>
      </c>
      <c r="D630" t="inlineStr">
        <is>
          <t>Czerwiec</t>
        </is>
      </c>
      <c r="E630" t="inlineStr">
        <is>
          <t>W2</t>
        </is>
      </c>
      <c r="F630" t="inlineStr">
        <is>
          <t>2026_Czerwiec_W2</t>
        </is>
      </c>
      <c r="G630" t="inlineStr">
        <is>
          <t>Pt</t>
        </is>
      </c>
      <c r="H630" t="inlineStr">
        <is>
          <t>LENART, WIKTORIA</t>
        </is>
      </c>
      <c r="I630" t="inlineStr">
        <is>
          <t>Crew Civil</t>
        </is>
      </c>
      <c r="J630" t="inlineStr">
        <is>
          <t>Zlecenie</t>
        </is>
      </c>
      <c r="K630" t="n">
        <v>7.9</v>
      </c>
      <c r="L630" t="inlineStr">
        <is>
          <t>384</t>
        </is>
      </c>
      <c r="M630" t="inlineStr">
        <is>
          <t>108120 SBX Warszawa Janki</t>
        </is>
      </c>
      <c r="N630" t="inlineStr">
        <is>
          <t>2026-09-11 19:06</t>
        </is>
      </c>
    </row>
    <row r="631">
      <c r="A631" t="n">
        <v>630</v>
      </c>
      <c r="B631" t="inlineStr">
        <is>
          <t>2026-06-07</t>
        </is>
      </c>
      <c r="C631" t="n">
        <v>2026</v>
      </c>
      <c r="D631" t="inlineStr">
        <is>
          <t>Czerwiec</t>
        </is>
      </c>
      <c r="E631" t="inlineStr">
        <is>
          <t>W2</t>
        </is>
      </c>
      <c r="F631" t="inlineStr">
        <is>
          <t>2026_Czerwiec_W2</t>
        </is>
      </c>
      <c r="G631" t="inlineStr">
        <is>
          <t>Nd</t>
        </is>
      </c>
      <c r="H631" t="inlineStr">
        <is>
          <t>LENART, WIKTORIA</t>
        </is>
      </c>
      <c r="I631" t="inlineStr">
        <is>
          <t>Crew Civil</t>
        </is>
      </c>
      <c r="J631" t="inlineStr">
        <is>
          <t>Zlecenie</t>
        </is>
      </c>
      <c r="K631" t="n">
        <v>5.23</v>
      </c>
      <c r="L631" t="inlineStr">
        <is>
          <t>384</t>
        </is>
      </c>
      <c r="M631" t="inlineStr">
        <is>
          <t>108120 SBX Warszawa Janki</t>
        </is>
      </c>
      <c r="N631" t="inlineStr">
        <is>
          <t>2026-09-11 19:06</t>
        </is>
      </c>
    </row>
    <row r="632">
      <c r="A632" t="n">
        <v>631</v>
      </c>
      <c r="B632" t="inlineStr">
        <is>
          <t>2026-06-10</t>
        </is>
      </c>
      <c r="C632" t="n">
        <v>2026</v>
      </c>
      <c r="D632" t="inlineStr">
        <is>
          <t>Czerwiec</t>
        </is>
      </c>
      <c r="E632" t="inlineStr">
        <is>
          <t>W3</t>
        </is>
      </c>
      <c r="F632" t="inlineStr">
        <is>
          <t>2026_Czerwiec_W3</t>
        </is>
      </c>
      <c r="G632" t="inlineStr">
        <is>
          <t>Śr</t>
        </is>
      </c>
      <c r="H632" t="inlineStr">
        <is>
          <t>LENART, WIKTORIA</t>
        </is>
      </c>
      <c r="I632" t="inlineStr">
        <is>
          <t>Crew Civil</t>
        </is>
      </c>
      <c r="J632" t="inlineStr">
        <is>
          <t>Zlecenie</t>
        </is>
      </c>
      <c r="K632" t="n">
        <v>7.27</v>
      </c>
      <c r="L632" t="inlineStr">
        <is>
          <t>384</t>
        </is>
      </c>
      <c r="M632" t="inlineStr">
        <is>
          <t>108120 SBX Warszawa Janki</t>
        </is>
      </c>
      <c r="N632" t="inlineStr">
        <is>
          <t>2026-09-11 19:06</t>
        </is>
      </c>
    </row>
    <row r="633">
      <c r="A633" t="n">
        <v>632</v>
      </c>
      <c r="B633" t="inlineStr">
        <is>
          <t>2026-06-13</t>
        </is>
      </c>
      <c r="C633" t="n">
        <v>2026</v>
      </c>
      <c r="D633" t="inlineStr">
        <is>
          <t>Czerwiec</t>
        </is>
      </c>
      <c r="E633" t="inlineStr">
        <is>
          <t>W3</t>
        </is>
      </c>
      <c r="F633" t="inlineStr">
        <is>
          <t>2026_Czerwiec_W3</t>
        </is>
      </c>
      <c r="G633" t="inlineStr">
        <is>
          <t>Sob</t>
        </is>
      </c>
      <c r="H633" t="inlineStr">
        <is>
          <t>LENART, WIKTORIA</t>
        </is>
      </c>
      <c r="I633" t="inlineStr">
        <is>
          <t>Crew Civil</t>
        </is>
      </c>
      <c r="J633" t="inlineStr">
        <is>
          <t>Zlecenie</t>
        </is>
      </c>
      <c r="K633" t="n">
        <v>7.89</v>
      </c>
      <c r="L633" t="inlineStr">
        <is>
          <t>384</t>
        </is>
      </c>
      <c r="M633" t="inlineStr">
        <is>
          <t>108120 SBX Warszawa Janki</t>
        </is>
      </c>
      <c r="N633" t="inlineStr">
        <is>
          <t>2026-09-11 19:06</t>
        </is>
      </c>
    </row>
    <row r="634">
      <c r="A634" t="n">
        <v>633</v>
      </c>
      <c r="B634" t="inlineStr">
        <is>
          <t>2026-06-14</t>
        </is>
      </c>
      <c r="C634" t="n">
        <v>2026</v>
      </c>
      <c r="D634" t="inlineStr">
        <is>
          <t>Czerwiec</t>
        </is>
      </c>
      <c r="E634" t="inlineStr">
        <is>
          <t>W3</t>
        </is>
      </c>
      <c r="F634" t="inlineStr">
        <is>
          <t>2026_Czerwiec_W3</t>
        </is>
      </c>
      <c r="G634" t="inlineStr">
        <is>
          <t>Nd</t>
        </is>
      </c>
      <c r="H634" t="inlineStr">
        <is>
          <t>LENART, WIKTORIA</t>
        </is>
      </c>
      <c r="I634" t="inlineStr">
        <is>
          <t>Crew Civil</t>
        </is>
      </c>
      <c r="J634" t="inlineStr">
        <is>
          <t>Zlecenie</t>
        </is>
      </c>
      <c r="K634" t="n">
        <v>6.27</v>
      </c>
      <c r="L634" t="inlineStr">
        <is>
          <t>384</t>
        </is>
      </c>
      <c r="M634" t="inlineStr">
        <is>
          <t>108120 SBX Warszawa Janki</t>
        </is>
      </c>
      <c r="N634" t="inlineStr">
        <is>
          <t>2026-09-11 19:06</t>
        </is>
      </c>
    </row>
    <row r="635">
      <c r="A635" t="n">
        <v>634</v>
      </c>
      <c r="B635" t="inlineStr">
        <is>
          <t>2026-06-19</t>
        </is>
      </c>
      <c r="C635" t="n">
        <v>2026</v>
      </c>
      <c r="D635" t="inlineStr">
        <is>
          <t>Czerwiec</t>
        </is>
      </c>
      <c r="E635" t="inlineStr">
        <is>
          <t>W4</t>
        </is>
      </c>
      <c r="F635" t="inlineStr">
        <is>
          <t>2026_Czerwiec_W4</t>
        </is>
      </c>
      <c r="G635" t="inlineStr">
        <is>
          <t>Pt</t>
        </is>
      </c>
      <c r="H635" t="inlineStr">
        <is>
          <t>LENART, WIKTORIA</t>
        </is>
      </c>
      <c r="I635" t="inlineStr">
        <is>
          <t>Crew Civil</t>
        </is>
      </c>
      <c r="J635" t="inlineStr">
        <is>
          <t>Zlecenie</t>
        </is>
      </c>
      <c r="K635" t="n">
        <v>6.44</v>
      </c>
      <c r="L635" t="inlineStr">
        <is>
          <t>384</t>
        </is>
      </c>
      <c r="M635" t="inlineStr">
        <is>
          <t>108120 SBX Warszawa Janki</t>
        </is>
      </c>
      <c r="N635" t="inlineStr">
        <is>
          <t>2026-09-11 19:06</t>
        </is>
      </c>
    </row>
    <row r="636">
      <c r="A636" t="n">
        <v>635</v>
      </c>
      <c r="B636" t="inlineStr">
        <is>
          <t>2026-06-22</t>
        </is>
      </c>
      <c r="C636" t="n">
        <v>2026</v>
      </c>
      <c r="D636" t="inlineStr">
        <is>
          <t>Czerwiec</t>
        </is>
      </c>
      <c r="E636" t="inlineStr">
        <is>
          <t>W4</t>
        </is>
      </c>
      <c r="F636" t="inlineStr">
        <is>
          <t>2026_Czerwiec_W4</t>
        </is>
      </c>
      <c r="G636" t="inlineStr">
        <is>
          <t>Pn</t>
        </is>
      </c>
      <c r="H636" t="inlineStr">
        <is>
          <t>LENART, WIKTORIA</t>
        </is>
      </c>
      <c r="I636" t="inlineStr">
        <is>
          <t>Crew Civil</t>
        </is>
      </c>
      <c r="J636" t="inlineStr">
        <is>
          <t>Zlecenie</t>
        </is>
      </c>
      <c r="K636" t="n">
        <v>8.15</v>
      </c>
      <c r="L636" t="inlineStr">
        <is>
          <t>384</t>
        </is>
      </c>
      <c r="M636" t="inlineStr">
        <is>
          <t>108120 SBX Warszawa Janki</t>
        </is>
      </c>
      <c r="N636" t="inlineStr">
        <is>
          <t>2026-09-11 19:06</t>
        </is>
      </c>
    </row>
    <row r="637">
      <c r="A637" t="n">
        <v>636</v>
      </c>
      <c r="B637" t="inlineStr">
        <is>
          <t>2026-06-23</t>
        </is>
      </c>
      <c r="C637" t="n">
        <v>2026</v>
      </c>
      <c r="D637" t="inlineStr">
        <is>
          <t>Czerwiec</t>
        </is>
      </c>
      <c r="E637" t="inlineStr">
        <is>
          <t>W5</t>
        </is>
      </c>
      <c r="F637" t="inlineStr">
        <is>
          <t>2026_Czerwiec_W5</t>
        </is>
      </c>
      <c r="G637" t="inlineStr">
        <is>
          <t>Wt</t>
        </is>
      </c>
      <c r="H637" t="inlineStr">
        <is>
          <t>LENART, WIKTORIA</t>
        </is>
      </c>
      <c r="I637" t="inlineStr">
        <is>
          <t>Crew Civil</t>
        </is>
      </c>
      <c r="J637" t="inlineStr">
        <is>
          <t>Zlecenie</t>
        </is>
      </c>
      <c r="K637" t="n">
        <v>5.8</v>
      </c>
      <c r="L637" t="inlineStr">
        <is>
          <t>384</t>
        </is>
      </c>
      <c r="M637" t="inlineStr">
        <is>
          <t>108120 SBX Warszawa Janki</t>
        </is>
      </c>
      <c r="N637" t="inlineStr">
        <is>
          <t>2026-09-11 19:06</t>
        </is>
      </c>
    </row>
    <row r="638">
      <c r="A638" t="n">
        <v>637</v>
      </c>
      <c r="B638" t="inlineStr">
        <is>
          <t>2026-06-27</t>
        </is>
      </c>
      <c r="C638" t="n">
        <v>2026</v>
      </c>
      <c r="D638" t="inlineStr">
        <is>
          <t>Czerwiec</t>
        </is>
      </c>
      <c r="E638" t="inlineStr">
        <is>
          <t>W5</t>
        </is>
      </c>
      <c r="F638" t="inlineStr">
        <is>
          <t>2026_Czerwiec_W5</t>
        </is>
      </c>
      <c r="G638" t="inlineStr">
        <is>
          <t>Sob</t>
        </is>
      </c>
      <c r="H638" t="inlineStr">
        <is>
          <t>LENART, WIKTORIA</t>
        </is>
      </c>
      <c r="I638" t="inlineStr">
        <is>
          <t>Crew Civil</t>
        </is>
      </c>
      <c r="J638" t="inlineStr">
        <is>
          <t>Zlecenie</t>
        </is>
      </c>
      <c r="K638" t="n">
        <v>9.779999999999999</v>
      </c>
      <c r="L638" t="inlineStr">
        <is>
          <t>384</t>
        </is>
      </c>
      <c r="M638" t="inlineStr">
        <is>
          <t>108120 SBX Warszawa Janki</t>
        </is>
      </c>
      <c r="N638" t="inlineStr">
        <is>
          <t>2026-09-11 19:06</t>
        </is>
      </c>
    </row>
    <row r="639">
      <c r="A639" t="n">
        <v>638</v>
      </c>
      <c r="B639" t="inlineStr">
        <is>
          <t>2026-06-30</t>
        </is>
      </c>
      <c r="C639" t="n">
        <v>2026</v>
      </c>
      <c r="D639" t="inlineStr">
        <is>
          <t>Czerwiec</t>
        </is>
      </c>
      <c r="E639" t="inlineStr">
        <is>
          <t>W6</t>
        </is>
      </c>
      <c r="F639" t="inlineStr">
        <is>
          <t>2026_Czerwiec_W6</t>
        </is>
      </c>
      <c r="G639" t="inlineStr">
        <is>
          <t>Wt</t>
        </is>
      </c>
      <c r="H639" t="inlineStr">
        <is>
          <t>LENART, WIKTORIA</t>
        </is>
      </c>
      <c r="I639" t="inlineStr">
        <is>
          <t>Crew Civil</t>
        </is>
      </c>
      <c r="J639" t="inlineStr">
        <is>
          <t>Zlecenie</t>
        </is>
      </c>
      <c r="K639" t="n">
        <v>8</v>
      </c>
      <c r="L639" t="inlineStr">
        <is>
          <t>384</t>
        </is>
      </c>
      <c r="M639" t="inlineStr">
        <is>
          <t>108120 SBX Warszawa Janki</t>
        </is>
      </c>
      <c r="N639" t="inlineStr">
        <is>
          <t>2026-09-11 19:06</t>
        </is>
      </c>
    </row>
    <row r="640">
      <c r="A640" t="n">
        <v>639</v>
      </c>
      <c r="B640" t="inlineStr">
        <is>
          <t>2026-07-01</t>
        </is>
      </c>
      <c r="C640" t="n">
        <v>2026</v>
      </c>
      <c r="D640" t="inlineStr">
        <is>
          <t>Lipiec</t>
        </is>
      </c>
      <c r="E640" t="inlineStr">
        <is>
          <t>W1</t>
        </is>
      </c>
      <c r="F640" t="inlineStr">
        <is>
          <t>2026_Lipiec_W1</t>
        </is>
      </c>
      <c r="G640" t="inlineStr">
        <is>
          <t>Śr</t>
        </is>
      </c>
      <c r="H640" t="inlineStr">
        <is>
          <t>LENART, WIKTORIA</t>
        </is>
      </c>
      <c r="I640" t="inlineStr">
        <is>
          <t>Crew Civil</t>
        </is>
      </c>
      <c r="J640" t="inlineStr">
        <is>
          <t>Zlecenie</t>
        </is>
      </c>
      <c r="K640" t="n">
        <v>8</v>
      </c>
      <c r="L640" t="inlineStr">
        <is>
          <t>384</t>
        </is>
      </c>
      <c r="M640" t="inlineStr">
        <is>
          <t>108120 SBX Warszawa Janki</t>
        </is>
      </c>
      <c r="N640" t="inlineStr">
        <is>
          <t>2026-09-11 19:06</t>
        </is>
      </c>
    </row>
    <row r="641">
      <c r="A641" t="n">
        <v>640</v>
      </c>
      <c r="B641" t="inlineStr">
        <is>
          <t>2026-07-07</t>
        </is>
      </c>
      <c r="C641" t="n">
        <v>2026</v>
      </c>
      <c r="D641" t="inlineStr">
        <is>
          <t>Lipiec</t>
        </is>
      </c>
      <c r="E641" t="inlineStr">
        <is>
          <t>W2</t>
        </is>
      </c>
      <c r="F641" t="inlineStr">
        <is>
          <t>2026_Lipiec_W2</t>
        </is>
      </c>
      <c r="G641" t="inlineStr">
        <is>
          <t>Wt</t>
        </is>
      </c>
      <c r="H641" t="inlineStr">
        <is>
          <t>LENART, WIKTORIA</t>
        </is>
      </c>
      <c r="I641" t="inlineStr">
        <is>
          <t>Crew Civil</t>
        </is>
      </c>
      <c r="J641" t="inlineStr">
        <is>
          <t>Zlecenie</t>
        </is>
      </c>
      <c r="K641" t="n">
        <v>6.06</v>
      </c>
      <c r="L641" t="inlineStr">
        <is>
          <t>384</t>
        </is>
      </c>
      <c r="M641" t="inlineStr">
        <is>
          <t>108120 SBX Warszawa Janki</t>
        </is>
      </c>
      <c r="N641" t="inlineStr">
        <is>
          <t>2026-09-11 19:06</t>
        </is>
      </c>
    </row>
    <row r="642">
      <c r="A642" t="n">
        <v>641</v>
      </c>
      <c r="B642" t="inlineStr">
        <is>
          <t>2026-07-09</t>
        </is>
      </c>
      <c r="C642" t="n">
        <v>2026</v>
      </c>
      <c r="D642" t="inlineStr">
        <is>
          <t>Lipiec</t>
        </is>
      </c>
      <c r="E642" t="inlineStr">
        <is>
          <t>W2</t>
        </is>
      </c>
      <c r="F642" t="inlineStr">
        <is>
          <t>2026_Lipiec_W2</t>
        </is>
      </c>
      <c r="G642" t="inlineStr">
        <is>
          <t>Czw</t>
        </is>
      </c>
      <c r="H642" t="inlineStr">
        <is>
          <t>LENART, WIKTORIA</t>
        </is>
      </c>
      <c r="I642" t="inlineStr">
        <is>
          <t>Crew Civil</t>
        </is>
      </c>
      <c r="J642" t="inlineStr">
        <is>
          <t>Zlecenie</t>
        </is>
      </c>
      <c r="K642" t="n">
        <v>6.22</v>
      </c>
      <c r="L642" t="inlineStr">
        <is>
          <t>384</t>
        </is>
      </c>
      <c r="M642" t="inlineStr">
        <is>
          <t>108120 SBX Warszawa Janki</t>
        </is>
      </c>
      <c r="N642" t="inlineStr">
        <is>
          <t>2026-09-11 19:06</t>
        </is>
      </c>
    </row>
    <row r="643">
      <c r="A643" t="n">
        <v>642</v>
      </c>
      <c r="B643" t="inlineStr">
        <is>
          <t>2026-07-11</t>
        </is>
      </c>
      <c r="C643" t="n">
        <v>2026</v>
      </c>
      <c r="D643" t="inlineStr">
        <is>
          <t>Lipiec</t>
        </is>
      </c>
      <c r="E643" t="inlineStr">
        <is>
          <t>W2</t>
        </is>
      </c>
      <c r="F643" t="inlineStr">
        <is>
          <t>2026_Lipiec_W2</t>
        </is>
      </c>
      <c r="G643" t="inlineStr">
        <is>
          <t>Sob</t>
        </is>
      </c>
      <c r="H643" t="inlineStr">
        <is>
          <t>LENART, WIKTORIA</t>
        </is>
      </c>
      <c r="I643" t="inlineStr">
        <is>
          <t>Crew Civil</t>
        </is>
      </c>
      <c r="J643" t="inlineStr">
        <is>
          <t>Zlecenie</t>
        </is>
      </c>
      <c r="K643" t="n">
        <v>8</v>
      </c>
      <c r="L643" t="inlineStr">
        <is>
          <t>384</t>
        </is>
      </c>
      <c r="M643" t="inlineStr">
        <is>
          <t>108120 SBX Warszawa Janki</t>
        </is>
      </c>
      <c r="N643" t="inlineStr">
        <is>
          <t>2026-09-11 19:06</t>
        </is>
      </c>
    </row>
    <row r="644">
      <c r="A644" t="n">
        <v>643</v>
      </c>
      <c r="B644" t="inlineStr">
        <is>
          <t>2026-07-19</t>
        </is>
      </c>
      <c r="C644" t="n">
        <v>2026</v>
      </c>
      <c r="D644" t="inlineStr">
        <is>
          <t>Lipiec</t>
        </is>
      </c>
      <c r="E644" t="inlineStr">
        <is>
          <t>W3</t>
        </is>
      </c>
      <c r="F644" t="inlineStr">
        <is>
          <t>2026_Lipiec_W3</t>
        </is>
      </c>
      <c r="G644" t="inlineStr">
        <is>
          <t>Nd</t>
        </is>
      </c>
      <c r="H644" t="inlineStr">
        <is>
          <t>LENART, WIKTORIA</t>
        </is>
      </c>
      <c r="I644" t="inlineStr">
        <is>
          <t>Crew Civil</t>
        </is>
      </c>
      <c r="J644" t="inlineStr">
        <is>
          <t>Zlecenie</t>
        </is>
      </c>
      <c r="K644" t="n">
        <v>6</v>
      </c>
      <c r="L644" t="inlineStr">
        <is>
          <t>384</t>
        </is>
      </c>
      <c r="M644" t="inlineStr">
        <is>
          <t>108120 SBX Warszawa Janki</t>
        </is>
      </c>
      <c r="N644" t="inlineStr">
        <is>
          <t>2026-09-11 19:06</t>
        </is>
      </c>
    </row>
    <row r="645">
      <c r="A645" t="n">
        <v>644</v>
      </c>
      <c r="B645" t="inlineStr">
        <is>
          <t>2026-07-20</t>
        </is>
      </c>
      <c r="C645" t="n">
        <v>2026</v>
      </c>
      <c r="D645" t="inlineStr">
        <is>
          <t>Lipiec</t>
        </is>
      </c>
      <c r="E645" t="inlineStr">
        <is>
          <t>W3</t>
        </is>
      </c>
      <c r="F645" t="inlineStr">
        <is>
          <t>2026_Lipiec_W3</t>
        </is>
      </c>
      <c r="G645" t="inlineStr">
        <is>
          <t>Pn</t>
        </is>
      </c>
      <c r="H645" t="inlineStr">
        <is>
          <t>LENART, WIKTORIA</t>
        </is>
      </c>
      <c r="I645" t="inlineStr">
        <is>
          <t>Crew Civil</t>
        </is>
      </c>
      <c r="J645" t="inlineStr">
        <is>
          <t>Zlecenie</t>
        </is>
      </c>
      <c r="K645" t="n">
        <v>6.6</v>
      </c>
      <c r="L645" t="inlineStr">
        <is>
          <t>384</t>
        </is>
      </c>
      <c r="M645" t="inlineStr">
        <is>
          <t>108120 SBX Warszawa Janki</t>
        </is>
      </c>
      <c r="N645" t="inlineStr">
        <is>
          <t>2026-09-11 19:06</t>
        </is>
      </c>
    </row>
    <row r="646">
      <c r="A646" t="n">
        <v>645</v>
      </c>
      <c r="B646" t="inlineStr">
        <is>
          <t>2026-07-22</t>
        </is>
      </c>
      <c r="C646" t="n">
        <v>2026</v>
      </c>
      <c r="D646" t="inlineStr">
        <is>
          <t>Lipiec</t>
        </is>
      </c>
      <c r="E646" t="inlineStr">
        <is>
          <t>W4</t>
        </is>
      </c>
      <c r="F646" t="inlineStr">
        <is>
          <t>2026_Lipiec_W4</t>
        </is>
      </c>
      <c r="G646" t="inlineStr">
        <is>
          <t>Śr</t>
        </is>
      </c>
      <c r="H646" t="inlineStr">
        <is>
          <t>LENART, WIKTORIA</t>
        </is>
      </c>
      <c r="I646" t="inlineStr">
        <is>
          <t>Crew Civil</t>
        </is>
      </c>
      <c r="J646" t="inlineStr">
        <is>
          <t>Zlecenie</t>
        </is>
      </c>
      <c r="K646" t="n">
        <v>5.9</v>
      </c>
      <c r="L646" t="inlineStr">
        <is>
          <t>384</t>
        </is>
      </c>
      <c r="M646" t="inlineStr">
        <is>
          <t>108120 SBX Warszawa Janki</t>
        </is>
      </c>
      <c r="N646" t="inlineStr">
        <is>
          <t>2026-09-11 19:06</t>
        </is>
      </c>
    </row>
    <row r="647">
      <c r="A647" t="n">
        <v>646</v>
      </c>
      <c r="B647" t="inlineStr">
        <is>
          <t>2026-07-26</t>
        </is>
      </c>
      <c r="C647" t="n">
        <v>2026</v>
      </c>
      <c r="D647" t="inlineStr">
        <is>
          <t>Lipiec</t>
        </is>
      </c>
      <c r="E647" t="inlineStr">
        <is>
          <t>W4</t>
        </is>
      </c>
      <c r="F647" t="inlineStr">
        <is>
          <t>2026_Lipiec_W4</t>
        </is>
      </c>
      <c r="G647" t="inlineStr">
        <is>
          <t>Nd</t>
        </is>
      </c>
      <c r="H647" t="inlineStr">
        <is>
          <t>LENART, WIKTORIA</t>
        </is>
      </c>
      <c r="I647" t="inlineStr">
        <is>
          <t>Crew Civil</t>
        </is>
      </c>
      <c r="J647" t="inlineStr">
        <is>
          <t>Zlecenie</t>
        </is>
      </c>
      <c r="K647" t="n">
        <v>4.72</v>
      </c>
      <c r="L647" t="inlineStr">
        <is>
          <t>384</t>
        </is>
      </c>
      <c r="M647" t="inlineStr">
        <is>
          <t>108120 SBX Warszawa Janki</t>
        </is>
      </c>
      <c r="N647" t="inlineStr">
        <is>
          <t>2026-09-11 19:06</t>
        </is>
      </c>
    </row>
    <row r="648">
      <c r="A648" t="n">
        <v>647</v>
      </c>
      <c r="B648" t="inlineStr">
        <is>
          <t>2026-07-29</t>
        </is>
      </c>
      <c r="C648" t="n">
        <v>2026</v>
      </c>
      <c r="D648" t="inlineStr">
        <is>
          <t>Lipiec</t>
        </is>
      </c>
      <c r="E648" t="inlineStr">
        <is>
          <t>W5</t>
        </is>
      </c>
      <c r="F648" t="inlineStr">
        <is>
          <t>2026_Lipiec_W5</t>
        </is>
      </c>
      <c r="G648" t="inlineStr">
        <is>
          <t>Śr</t>
        </is>
      </c>
      <c r="H648" t="inlineStr">
        <is>
          <t>LENART, WIKTORIA</t>
        </is>
      </c>
      <c r="I648" t="inlineStr">
        <is>
          <t>Crew Civil</t>
        </is>
      </c>
      <c r="J648" t="inlineStr">
        <is>
          <t>Zlecenie</t>
        </is>
      </c>
      <c r="K648" t="n">
        <v>7.01</v>
      </c>
      <c r="L648" t="inlineStr">
        <is>
          <t>384</t>
        </is>
      </c>
      <c r="M648" t="inlineStr">
        <is>
          <t>108120 SBX Warszawa Janki</t>
        </is>
      </c>
      <c r="N648" t="inlineStr">
        <is>
          <t>2026-09-11 19:06</t>
        </is>
      </c>
    </row>
    <row r="649">
      <c r="A649" t="n">
        <v>648</v>
      </c>
      <c r="B649" t="inlineStr">
        <is>
          <t>2026-08-02</t>
        </is>
      </c>
      <c r="C649" t="n">
        <v>2026</v>
      </c>
      <c r="D649" t="inlineStr">
        <is>
          <t>Sierpień</t>
        </is>
      </c>
      <c r="E649" t="inlineStr">
        <is>
          <t>W1</t>
        </is>
      </c>
      <c r="F649" t="inlineStr">
        <is>
          <t>2026_Sierpień_W1</t>
        </is>
      </c>
      <c r="G649" t="inlineStr">
        <is>
          <t>Nd</t>
        </is>
      </c>
      <c r="H649" t="inlineStr">
        <is>
          <t>LENART, WIKTORIA</t>
        </is>
      </c>
      <c r="I649" t="inlineStr">
        <is>
          <t>Crew Civil</t>
        </is>
      </c>
      <c r="J649" t="inlineStr">
        <is>
          <t>Zlecenie</t>
        </is>
      </c>
      <c r="K649" t="n">
        <v>6.07</v>
      </c>
      <c r="L649" t="inlineStr">
        <is>
          <t>384</t>
        </is>
      </c>
      <c r="M649" t="inlineStr">
        <is>
          <t>108120 SBX Warszawa Janki</t>
        </is>
      </c>
      <c r="N649" t="inlineStr">
        <is>
          <t>2026-09-11 19:06</t>
        </is>
      </c>
    </row>
    <row r="650">
      <c r="A650" t="n">
        <v>649</v>
      </c>
      <c r="B650" t="inlineStr">
        <is>
          <t>2026-08-03</t>
        </is>
      </c>
      <c r="C650" t="n">
        <v>2026</v>
      </c>
      <c r="D650" t="inlineStr">
        <is>
          <t>Sierpień</t>
        </is>
      </c>
      <c r="E650" t="inlineStr">
        <is>
          <t>W1</t>
        </is>
      </c>
      <c r="F650" t="inlineStr">
        <is>
          <t>2026_Sierpień_W1</t>
        </is>
      </c>
      <c r="G650" t="inlineStr">
        <is>
          <t>Pn</t>
        </is>
      </c>
      <c r="H650" t="inlineStr">
        <is>
          <t>LENART, WIKTORIA</t>
        </is>
      </c>
      <c r="I650" t="inlineStr">
        <is>
          <t>Crew Civil</t>
        </is>
      </c>
      <c r="J650" t="inlineStr">
        <is>
          <t>Zlecenie</t>
        </is>
      </c>
      <c r="K650" t="n">
        <v>5.09</v>
      </c>
      <c r="L650" t="inlineStr">
        <is>
          <t>384</t>
        </is>
      </c>
      <c r="M650" t="inlineStr">
        <is>
          <t>108120 SBX Warszawa Janki</t>
        </is>
      </c>
      <c r="N650" t="inlineStr">
        <is>
          <t>2026-09-11 19:06</t>
        </is>
      </c>
    </row>
    <row r="651">
      <c r="A651" t="n">
        <v>650</v>
      </c>
      <c r="B651" t="inlineStr">
        <is>
          <t>2026-08-10</t>
        </is>
      </c>
      <c r="C651" t="n">
        <v>2026</v>
      </c>
      <c r="D651" t="inlineStr">
        <is>
          <t>Sierpień</t>
        </is>
      </c>
      <c r="E651" t="inlineStr">
        <is>
          <t>W2</t>
        </is>
      </c>
      <c r="F651" t="inlineStr">
        <is>
          <t>2026_Sierpień_W2</t>
        </is>
      </c>
      <c r="G651" t="inlineStr">
        <is>
          <t>Pn</t>
        </is>
      </c>
      <c r="H651" t="inlineStr">
        <is>
          <t>LENART, WIKTORIA</t>
        </is>
      </c>
      <c r="I651" t="inlineStr">
        <is>
          <t>Crew Civil</t>
        </is>
      </c>
      <c r="J651" t="inlineStr">
        <is>
          <t>Zlecenie</t>
        </is>
      </c>
      <c r="K651" t="n">
        <v>8.539999999999999</v>
      </c>
      <c r="L651" t="inlineStr">
        <is>
          <t>384</t>
        </is>
      </c>
      <c r="M651" t="inlineStr">
        <is>
          <t>108120 SBX Warszawa Janki</t>
        </is>
      </c>
      <c r="N651" t="inlineStr">
        <is>
          <t>2026-09-11 19:06</t>
        </is>
      </c>
    </row>
    <row r="652">
      <c r="A652" t="n">
        <v>651</v>
      </c>
      <c r="B652" t="inlineStr">
        <is>
          <t>2026-08-13</t>
        </is>
      </c>
      <c r="C652" t="n">
        <v>2026</v>
      </c>
      <c r="D652" t="inlineStr">
        <is>
          <t>Sierpień</t>
        </is>
      </c>
      <c r="E652" t="inlineStr">
        <is>
          <t>W3</t>
        </is>
      </c>
      <c r="F652" t="inlineStr">
        <is>
          <t>2026_Sierpień_W3</t>
        </is>
      </c>
      <c r="G652" t="inlineStr">
        <is>
          <t>Czw</t>
        </is>
      </c>
      <c r="H652" t="inlineStr">
        <is>
          <t>LENART, WIKTORIA</t>
        </is>
      </c>
      <c r="I652" t="inlineStr">
        <is>
          <t>Crew Civil</t>
        </is>
      </c>
      <c r="J652" t="inlineStr">
        <is>
          <t>Zlecenie</t>
        </is>
      </c>
      <c r="K652" t="n">
        <v>7.3</v>
      </c>
      <c r="L652" t="inlineStr">
        <is>
          <t>384</t>
        </is>
      </c>
      <c r="M652" t="inlineStr">
        <is>
          <t>108120 SBX Warszawa Janki</t>
        </is>
      </c>
      <c r="N652" t="inlineStr">
        <is>
          <t>2026-09-11 19:06</t>
        </is>
      </c>
    </row>
    <row r="653">
      <c r="A653" t="n">
        <v>652</v>
      </c>
      <c r="B653" t="inlineStr">
        <is>
          <t>2026-08-14</t>
        </is>
      </c>
      <c r="C653" t="n">
        <v>2026</v>
      </c>
      <c r="D653" t="inlineStr">
        <is>
          <t>Sierpień</t>
        </is>
      </c>
      <c r="E653" t="inlineStr">
        <is>
          <t>W3</t>
        </is>
      </c>
      <c r="F653" t="inlineStr">
        <is>
          <t>2026_Sierpień_W3</t>
        </is>
      </c>
      <c r="G653" t="inlineStr">
        <is>
          <t>Pt</t>
        </is>
      </c>
      <c r="H653" t="inlineStr">
        <is>
          <t>LENART, WIKTORIA</t>
        </is>
      </c>
      <c r="I653" t="inlineStr">
        <is>
          <t>Crew Civil</t>
        </is>
      </c>
      <c r="J653" t="inlineStr">
        <is>
          <t>Zlecenie</t>
        </is>
      </c>
      <c r="K653" t="n">
        <v>7.17</v>
      </c>
      <c r="L653" t="inlineStr">
        <is>
          <t>384</t>
        </is>
      </c>
      <c r="M653" t="inlineStr">
        <is>
          <t>108120 SBX Warszawa Janki</t>
        </is>
      </c>
      <c r="N653" t="inlineStr">
        <is>
          <t>2026-09-11 19:06</t>
        </is>
      </c>
    </row>
    <row r="654">
      <c r="A654" t="n">
        <v>653</v>
      </c>
      <c r="B654" t="inlineStr">
        <is>
          <t>2026-08-18</t>
        </is>
      </c>
      <c r="C654" t="n">
        <v>2026</v>
      </c>
      <c r="D654" t="inlineStr">
        <is>
          <t>Sierpień</t>
        </is>
      </c>
      <c r="E654" t="inlineStr">
        <is>
          <t>W4</t>
        </is>
      </c>
      <c r="F654" t="inlineStr">
        <is>
          <t>2026_Sierpień_W4</t>
        </is>
      </c>
      <c r="G654" t="inlineStr">
        <is>
          <t>Wt</t>
        </is>
      </c>
      <c r="H654" t="inlineStr">
        <is>
          <t>LENART, WIKTORIA</t>
        </is>
      </c>
      <c r="I654" t="inlineStr">
        <is>
          <t>Crew Civil</t>
        </is>
      </c>
      <c r="J654" t="inlineStr">
        <is>
          <t>Zlecenie</t>
        </is>
      </c>
      <c r="K654" t="n">
        <v>6.29</v>
      </c>
      <c r="L654" t="inlineStr">
        <is>
          <t>384</t>
        </is>
      </c>
      <c r="M654" t="inlineStr">
        <is>
          <t>108120 SBX Warszawa Janki</t>
        </is>
      </c>
      <c r="N654" t="inlineStr">
        <is>
          <t>2026-09-11 19:06</t>
        </is>
      </c>
    </row>
    <row r="655">
      <c r="A655" t="n">
        <v>654</v>
      </c>
      <c r="B655" t="inlineStr">
        <is>
          <t>2026-08-27</t>
        </is>
      </c>
      <c r="C655" t="n">
        <v>2026</v>
      </c>
      <c r="D655" t="inlineStr">
        <is>
          <t>Sierpień</t>
        </is>
      </c>
      <c r="E655" t="inlineStr">
        <is>
          <t>W5</t>
        </is>
      </c>
      <c r="F655" t="inlineStr">
        <is>
          <t>2026_Sierpień_W5</t>
        </is>
      </c>
      <c r="G655" t="inlineStr">
        <is>
          <t>Czw</t>
        </is>
      </c>
      <c r="H655" t="inlineStr">
        <is>
          <t>LENART, WIKTORIA</t>
        </is>
      </c>
      <c r="I655" t="inlineStr">
        <is>
          <t>Crew Civil</t>
        </is>
      </c>
      <c r="J655" t="inlineStr">
        <is>
          <t>Zlecenie</t>
        </is>
      </c>
      <c r="K655" t="n">
        <v>6.88</v>
      </c>
      <c r="L655" t="inlineStr">
        <is>
          <t>384</t>
        </is>
      </c>
      <c r="M655" t="inlineStr">
        <is>
          <t>108120 SBX Warszawa Janki</t>
        </is>
      </c>
      <c r="N655" t="inlineStr">
        <is>
          <t>2026-09-11 19:06</t>
        </is>
      </c>
    </row>
    <row r="656">
      <c r="A656" t="n">
        <v>655</v>
      </c>
      <c r="B656" t="inlineStr">
        <is>
          <t>2026-01-02</t>
        </is>
      </c>
      <c r="C656" t="n">
        <v>2026</v>
      </c>
      <c r="D656" t="inlineStr">
        <is>
          <t>Styczeń</t>
        </is>
      </c>
      <c r="E656" t="inlineStr">
        <is>
          <t>W1</t>
        </is>
      </c>
      <c r="F656" t="inlineStr">
        <is>
          <t>2026_Styczeń_W1</t>
        </is>
      </c>
      <c r="G656" t="inlineStr">
        <is>
          <t>Pt</t>
        </is>
      </c>
      <c r="H656" t="inlineStr">
        <is>
          <t>MAKOWSKA, ZUZANNA</t>
        </is>
      </c>
      <c r="I656" t="inlineStr">
        <is>
          <t>Shift manager/Supervisor</t>
        </is>
      </c>
      <c r="J656" t="inlineStr">
        <is>
          <t>Standard 0,75|30h</t>
        </is>
      </c>
      <c r="K656" t="n">
        <v>8.68</v>
      </c>
      <c r="L656" t="inlineStr">
        <is>
          <t>384</t>
        </is>
      </c>
      <c r="M656" t="inlineStr">
        <is>
          <t>108120 SBX Warszawa Janki</t>
        </is>
      </c>
      <c r="N656" t="inlineStr">
        <is>
          <t>2026-09-11 19:06</t>
        </is>
      </c>
    </row>
    <row r="657">
      <c r="A657" t="n">
        <v>656</v>
      </c>
      <c r="B657" t="inlineStr">
        <is>
          <t>2026-01-04</t>
        </is>
      </c>
      <c r="C657" t="n">
        <v>2026</v>
      </c>
      <c r="D657" t="inlineStr">
        <is>
          <t>Styczeń</t>
        </is>
      </c>
      <c r="E657" t="inlineStr">
        <is>
          <t>W1</t>
        </is>
      </c>
      <c r="F657" t="inlineStr">
        <is>
          <t>2026_Styczeń_W1</t>
        </is>
      </c>
      <c r="G657" t="inlineStr">
        <is>
          <t>Nd</t>
        </is>
      </c>
      <c r="H657" t="inlineStr">
        <is>
          <t>MAKOWSKA, ZUZANNA</t>
        </is>
      </c>
      <c r="I657" t="inlineStr">
        <is>
          <t>Shift manager/Supervisor</t>
        </is>
      </c>
      <c r="J657" t="inlineStr">
        <is>
          <t>Standard 0,75|30h</t>
        </is>
      </c>
      <c r="K657" t="n">
        <v>6.03</v>
      </c>
      <c r="L657" t="inlineStr">
        <is>
          <t>384</t>
        </is>
      </c>
      <c r="M657" t="inlineStr">
        <is>
          <t>108120 SBX Warszawa Janki</t>
        </is>
      </c>
      <c r="N657" t="inlineStr">
        <is>
          <t>2026-09-11 19:06</t>
        </is>
      </c>
    </row>
    <row r="658">
      <c r="A658" t="n">
        <v>657</v>
      </c>
      <c r="B658" t="inlineStr">
        <is>
          <t>2026-01-05</t>
        </is>
      </c>
      <c r="C658" t="n">
        <v>2026</v>
      </c>
      <c r="D658" t="inlineStr">
        <is>
          <t>Styczeń</t>
        </is>
      </c>
      <c r="E658" t="inlineStr">
        <is>
          <t>W1</t>
        </is>
      </c>
      <c r="F658" t="inlineStr">
        <is>
          <t>2026_Styczeń_W1</t>
        </is>
      </c>
      <c r="G658" t="inlineStr">
        <is>
          <t>Pn</t>
        </is>
      </c>
      <c r="H658" t="inlineStr">
        <is>
          <t>MAKOWSKA, ZUZANNA</t>
        </is>
      </c>
      <c r="I658" t="inlineStr">
        <is>
          <t>Shift manager/Supervisor</t>
        </is>
      </c>
      <c r="J658" t="inlineStr">
        <is>
          <t>Standard 0,75|30h</t>
        </is>
      </c>
      <c r="K658" t="n">
        <v>8.300000000000001</v>
      </c>
      <c r="L658" t="inlineStr">
        <is>
          <t>384</t>
        </is>
      </c>
      <c r="M658" t="inlineStr">
        <is>
          <t>108120 SBX Warszawa Janki</t>
        </is>
      </c>
      <c r="N658" t="inlineStr">
        <is>
          <t>2026-09-11 19:06</t>
        </is>
      </c>
    </row>
    <row r="659">
      <c r="A659" t="n">
        <v>658</v>
      </c>
      <c r="B659" t="inlineStr">
        <is>
          <t>2026-01-06</t>
        </is>
      </c>
      <c r="C659" t="n">
        <v>2026</v>
      </c>
      <c r="D659" t="inlineStr">
        <is>
          <t>Styczeń</t>
        </is>
      </c>
      <c r="E659" t="inlineStr">
        <is>
          <t>W2</t>
        </is>
      </c>
      <c r="F659" t="inlineStr">
        <is>
          <t>2026_Styczeń_W2</t>
        </is>
      </c>
      <c r="G659" t="inlineStr">
        <is>
          <t>Wt</t>
        </is>
      </c>
      <c r="H659" t="inlineStr">
        <is>
          <t>MAKOWSKA, ZUZANNA</t>
        </is>
      </c>
      <c r="I659" t="inlineStr">
        <is>
          <t>Shift manager/Supervisor</t>
        </is>
      </c>
      <c r="J659" t="inlineStr">
        <is>
          <t>Standard 0,75|30h</t>
        </is>
      </c>
      <c r="K659" t="n">
        <v>6.97</v>
      </c>
      <c r="L659" t="inlineStr">
        <is>
          <t>384</t>
        </is>
      </c>
      <c r="M659" t="inlineStr">
        <is>
          <t>108120 SBX Warszawa Janki</t>
        </is>
      </c>
      <c r="N659" t="inlineStr">
        <is>
          <t>2026-09-11 19:06</t>
        </is>
      </c>
    </row>
    <row r="660">
      <c r="A660" t="n">
        <v>659</v>
      </c>
      <c r="B660" t="inlineStr">
        <is>
          <t>2026-01-07</t>
        </is>
      </c>
      <c r="C660" t="n">
        <v>2026</v>
      </c>
      <c r="D660" t="inlineStr">
        <is>
          <t>Styczeń</t>
        </is>
      </c>
      <c r="E660" t="inlineStr">
        <is>
          <t>W2</t>
        </is>
      </c>
      <c r="F660" t="inlineStr">
        <is>
          <t>2026_Styczeń_W2</t>
        </is>
      </c>
      <c r="G660" t="inlineStr">
        <is>
          <t>Śr</t>
        </is>
      </c>
      <c r="H660" t="inlineStr">
        <is>
          <t>MAKOWSKA, ZUZANNA</t>
        </is>
      </c>
      <c r="I660" t="inlineStr">
        <is>
          <t>Shift manager/Supervisor</t>
        </is>
      </c>
      <c r="J660" t="inlineStr">
        <is>
          <t>Standard 0,75|30h</t>
        </is>
      </c>
      <c r="K660" t="n">
        <v>8</v>
      </c>
      <c r="L660" t="inlineStr">
        <is>
          <t>384</t>
        </is>
      </c>
      <c r="M660" t="inlineStr">
        <is>
          <t>108120 SBX Warszawa Janki</t>
        </is>
      </c>
      <c r="N660" t="inlineStr">
        <is>
          <t>2026-09-11 19:06</t>
        </is>
      </c>
    </row>
    <row r="661">
      <c r="A661" t="n">
        <v>660</v>
      </c>
      <c r="B661" t="inlineStr">
        <is>
          <t>2026-01-10</t>
        </is>
      </c>
      <c r="C661" t="n">
        <v>2026</v>
      </c>
      <c r="D661" t="inlineStr">
        <is>
          <t>Styczeń</t>
        </is>
      </c>
      <c r="E661" t="inlineStr">
        <is>
          <t>W2</t>
        </is>
      </c>
      <c r="F661" t="inlineStr">
        <is>
          <t>2026_Styczeń_W2</t>
        </is>
      </c>
      <c r="G661" t="inlineStr">
        <is>
          <t>Sob</t>
        </is>
      </c>
      <c r="H661" t="inlineStr">
        <is>
          <t>MAKOWSKA, ZUZANNA</t>
        </is>
      </c>
      <c r="I661" t="inlineStr">
        <is>
          <t>Shift manager/Supervisor</t>
        </is>
      </c>
      <c r="J661" t="inlineStr">
        <is>
          <t>Standard 0,75|30h</t>
        </is>
      </c>
      <c r="K661" t="n">
        <v>8.23</v>
      </c>
      <c r="L661" t="inlineStr">
        <is>
          <t>384</t>
        </is>
      </c>
      <c r="M661" t="inlineStr">
        <is>
          <t>108120 SBX Warszawa Janki</t>
        </is>
      </c>
      <c r="N661" t="inlineStr">
        <is>
          <t>2026-09-11 19:06</t>
        </is>
      </c>
    </row>
    <row r="662">
      <c r="A662" t="n">
        <v>661</v>
      </c>
      <c r="B662" t="inlineStr">
        <is>
          <t>2026-01-12</t>
        </is>
      </c>
      <c r="C662" t="n">
        <v>2026</v>
      </c>
      <c r="D662" t="inlineStr">
        <is>
          <t>Styczeń</t>
        </is>
      </c>
      <c r="E662" t="inlineStr">
        <is>
          <t>W2</t>
        </is>
      </c>
      <c r="F662" t="inlineStr">
        <is>
          <t>2026_Styczeń_W2</t>
        </is>
      </c>
      <c r="G662" t="inlineStr">
        <is>
          <t>Pn</t>
        </is>
      </c>
      <c r="H662" t="inlineStr">
        <is>
          <t>MAKOWSKA, ZUZANNA</t>
        </is>
      </c>
      <c r="I662" t="inlineStr">
        <is>
          <t>Shift manager/Supervisor</t>
        </is>
      </c>
      <c r="J662" t="inlineStr">
        <is>
          <t>Standard 0,75|30h</t>
        </is>
      </c>
      <c r="K662" t="n">
        <v>8</v>
      </c>
      <c r="L662" t="inlineStr">
        <is>
          <t>384</t>
        </is>
      </c>
      <c r="M662" t="inlineStr">
        <is>
          <t>108120 SBX Warszawa Janki</t>
        </is>
      </c>
      <c r="N662" t="inlineStr">
        <is>
          <t>2026-09-11 19:06</t>
        </is>
      </c>
    </row>
    <row r="663">
      <c r="A663" t="n">
        <v>662</v>
      </c>
      <c r="B663" t="inlineStr">
        <is>
          <t>2026-01-15</t>
        </is>
      </c>
      <c r="C663" t="n">
        <v>2026</v>
      </c>
      <c r="D663" t="inlineStr">
        <is>
          <t>Styczeń</t>
        </is>
      </c>
      <c r="E663" t="inlineStr">
        <is>
          <t>W3</t>
        </is>
      </c>
      <c r="F663" t="inlineStr">
        <is>
          <t>2026_Styczeń_W3</t>
        </is>
      </c>
      <c r="G663" t="inlineStr">
        <is>
          <t>Czw</t>
        </is>
      </c>
      <c r="H663" t="inlineStr">
        <is>
          <t>MAKOWSKA, ZUZANNA</t>
        </is>
      </c>
      <c r="I663" t="inlineStr">
        <is>
          <t>Shift manager/Supervisor</t>
        </is>
      </c>
      <c r="J663" t="inlineStr">
        <is>
          <t>Standard 0,75|30h</t>
        </is>
      </c>
      <c r="K663" t="n">
        <v>8.33</v>
      </c>
      <c r="L663" t="inlineStr">
        <is>
          <t>384</t>
        </is>
      </c>
      <c r="M663" t="inlineStr">
        <is>
          <t>108120 SBX Warszawa Janki</t>
        </is>
      </c>
      <c r="N663" t="inlineStr">
        <is>
          <t>2026-09-11 19:06</t>
        </is>
      </c>
    </row>
    <row r="664">
      <c r="A664" t="n">
        <v>663</v>
      </c>
      <c r="B664" t="inlineStr">
        <is>
          <t>2026-01-16</t>
        </is>
      </c>
      <c r="C664" t="n">
        <v>2026</v>
      </c>
      <c r="D664" t="inlineStr">
        <is>
          <t>Styczeń</t>
        </is>
      </c>
      <c r="E664" t="inlineStr">
        <is>
          <t>W3</t>
        </is>
      </c>
      <c r="F664" t="inlineStr">
        <is>
          <t>2026_Styczeń_W3</t>
        </is>
      </c>
      <c r="G664" t="inlineStr">
        <is>
          <t>Pt</t>
        </is>
      </c>
      <c r="H664" t="inlineStr">
        <is>
          <t>MAKOWSKA, ZUZANNA</t>
        </is>
      </c>
      <c r="I664" t="inlineStr">
        <is>
          <t>Shift manager/Supervisor</t>
        </is>
      </c>
      <c r="J664" t="inlineStr">
        <is>
          <t>Standard 0,75|30h</t>
        </is>
      </c>
      <c r="K664" t="n">
        <v>8.130000000000001</v>
      </c>
      <c r="L664" t="inlineStr">
        <is>
          <t>384</t>
        </is>
      </c>
      <c r="M664" t="inlineStr">
        <is>
          <t>108120 SBX Warszawa Janki</t>
        </is>
      </c>
      <c r="N664" t="inlineStr">
        <is>
          <t>2026-09-11 19:06</t>
        </is>
      </c>
    </row>
    <row r="665">
      <c r="A665" t="n">
        <v>664</v>
      </c>
      <c r="B665" t="inlineStr">
        <is>
          <t>2026-01-19</t>
        </is>
      </c>
      <c r="C665" t="n">
        <v>2026</v>
      </c>
      <c r="D665" t="inlineStr">
        <is>
          <t>Styczeń</t>
        </is>
      </c>
      <c r="E665" t="inlineStr">
        <is>
          <t>W3</t>
        </is>
      </c>
      <c r="F665" t="inlineStr">
        <is>
          <t>2026_Styczeń_W3</t>
        </is>
      </c>
      <c r="G665" t="inlineStr">
        <is>
          <t>Pn</t>
        </is>
      </c>
      <c r="H665" t="inlineStr">
        <is>
          <t>MAKOWSKA, ZUZANNA</t>
        </is>
      </c>
      <c r="I665" t="inlineStr">
        <is>
          <t>Shift manager/Supervisor</t>
        </is>
      </c>
      <c r="J665" t="inlineStr">
        <is>
          <t>Standard 0,75|30h</t>
        </is>
      </c>
      <c r="K665" t="n">
        <v>0</v>
      </c>
      <c r="L665" t="inlineStr">
        <is>
          <t>384</t>
        </is>
      </c>
      <c r="M665" t="inlineStr">
        <is>
          <t>108120 SBX Warszawa Janki</t>
        </is>
      </c>
      <c r="N665" t="inlineStr">
        <is>
          <t>2026-09-11 19:06</t>
        </is>
      </c>
    </row>
    <row r="666">
      <c r="A666" t="n">
        <v>665</v>
      </c>
      <c r="B666" t="inlineStr">
        <is>
          <t>2026-01-21</t>
        </is>
      </c>
      <c r="C666" t="n">
        <v>2026</v>
      </c>
      <c r="D666" t="inlineStr">
        <is>
          <t>Styczeń</t>
        </is>
      </c>
      <c r="E666" t="inlineStr">
        <is>
          <t>W4</t>
        </is>
      </c>
      <c r="F666" t="inlineStr">
        <is>
          <t>2026_Styczeń_W4</t>
        </is>
      </c>
      <c r="G666" t="inlineStr">
        <is>
          <t>Śr</t>
        </is>
      </c>
      <c r="H666" t="inlineStr">
        <is>
          <t>MAKOWSKA, ZUZANNA</t>
        </is>
      </c>
      <c r="I666" t="inlineStr">
        <is>
          <t>Shift manager/Supervisor</t>
        </is>
      </c>
      <c r="J666" t="inlineStr">
        <is>
          <t>Standard 0,75|30h</t>
        </is>
      </c>
      <c r="K666" t="n">
        <v>8.18</v>
      </c>
      <c r="L666" t="inlineStr">
        <is>
          <t>384</t>
        </is>
      </c>
      <c r="M666" t="inlineStr">
        <is>
          <t>108120 SBX Warszawa Janki</t>
        </is>
      </c>
      <c r="N666" t="inlineStr">
        <is>
          <t>2026-09-11 19:06</t>
        </is>
      </c>
    </row>
    <row r="667">
      <c r="A667" t="n">
        <v>666</v>
      </c>
      <c r="B667" t="inlineStr">
        <is>
          <t>2026-01-22</t>
        </is>
      </c>
      <c r="C667" t="n">
        <v>2026</v>
      </c>
      <c r="D667" t="inlineStr">
        <is>
          <t>Styczeń</t>
        </is>
      </c>
      <c r="E667" t="inlineStr">
        <is>
          <t>W4</t>
        </is>
      </c>
      <c r="F667" t="inlineStr">
        <is>
          <t>2026_Styczeń_W4</t>
        </is>
      </c>
      <c r="G667" t="inlineStr">
        <is>
          <t>Czw</t>
        </is>
      </c>
      <c r="H667" t="inlineStr">
        <is>
          <t>MAKOWSKA, ZUZANNA</t>
        </is>
      </c>
      <c r="I667" t="inlineStr">
        <is>
          <t>Shift manager/Supervisor</t>
        </is>
      </c>
      <c r="J667" t="inlineStr">
        <is>
          <t>Standard 0,75|30h</t>
        </is>
      </c>
      <c r="K667" t="n">
        <v>7.89</v>
      </c>
      <c r="L667" t="inlineStr">
        <is>
          <t>384</t>
        </is>
      </c>
      <c r="M667" t="inlineStr">
        <is>
          <t>108120 SBX Warszawa Janki</t>
        </is>
      </c>
      <c r="N667" t="inlineStr">
        <is>
          <t>2026-09-11 19:06</t>
        </is>
      </c>
    </row>
    <row r="668">
      <c r="A668" t="n">
        <v>667</v>
      </c>
      <c r="B668" t="inlineStr">
        <is>
          <t>2026-01-25</t>
        </is>
      </c>
      <c r="C668" t="n">
        <v>2026</v>
      </c>
      <c r="D668" t="inlineStr">
        <is>
          <t>Styczeń</t>
        </is>
      </c>
      <c r="E668" t="inlineStr">
        <is>
          <t>W4</t>
        </is>
      </c>
      <c r="F668" t="inlineStr">
        <is>
          <t>2026_Styczeń_W4</t>
        </is>
      </c>
      <c r="G668" t="inlineStr">
        <is>
          <t>Nd</t>
        </is>
      </c>
      <c r="H668" t="inlineStr">
        <is>
          <t>MAKOWSKA, ZUZANNA</t>
        </is>
      </c>
      <c r="I668" t="inlineStr">
        <is>
          <t>Shift manager/Supervisor</t>
        </is>
      </c>
      <c r="J668" t="inlineStr">
        <is>
          <t>Standard 0,75|30h</t>
        </is>
      </c>
      <c r="K668" t="n">
        <v>7.17</v>
      </c>
      <c r="L668" t="inlineStr">
        <is>
          <t>384</t>
        </is>
      </c>
      <c r="M668" t="inlineStr">
        <is>
          <t>108120 SBX Warszawa Janki</t>
        </is>
      </c>
      <c r="N668" t="inlineStr">
        <is>
          <t>2026-09-11 19:06</t>
        </is>
      </c>
    </row>
    <row r="669">
      <c r="A669" t="n">
        <v>668</v>
      </c>
      <c r="B669" t="inlineStr">
        <is>
          <t>2026-01-26</t>
        </is>
      </c>
      <c r="C669" t="n">
        <v>2026</v>
      </c>
      <c r="D669" t="inlineStr">
        <is>
          <t>Styczeń</t>
        </is>
      </c>
      <c r="E669" t="inlineStr">
        <is>
          <t>W4</t>
        </is>
      </c>
      <c r="F669" t="inlineStr">
        <is>
          <t>2026_Styczeń_W4</t>
        </is>
      </c>
      <c r="G669" t="inlineStr">
        <is>
          <t>Pn</t>
        </is>
      </c>
      <c r="H669" t="inlineStr">
        <is>
          <t>MAKOWSKA, ZUZANNA</t>
        </is>
      </c>
      <c r="I669" t="inlineStr">
        <is>
          <t>Shift manager/Supervisor</t>
        </is>
      </c>
      <c r="J669" t="inlineStr">
        <is>
          <t>Standard 0,75|30h</t>
        </is>
      </c>
      <c r="K669" t="n">
        <v>7.95</v>
      </c>
      <c r="L669" t="inlineStr">
        <is>
          <t>384</t>
        </is>
      </c>
      <c r="M669" t="inlineStr">
        <is>
          <t>108120 SBX Warszawa Janki</t>
        </is>
      </c>
      <c r="N669" t="inlineStr">
        <is>
          <t>2026-09-11 19:06</t>
        </is>
      </c>
    </row>
    <row r="670">
      <c r="A670" t="n">
        <v>669</v>
      </c>
      <c r="B670" t="inlineStr">
        <is>
          <t>2026-01-31</t>
        </is>
      </c>
      <c r="C670" t="n">
        <v>2026</v>
      </c>
      <c r="D670" t="inlineStr">
        <is>
          <t>Styczeń</t>
        </is>
      </c>
      <c r="E670" t="inlineStr">
        <is>
          <t>W5</t>
        </is>
      </c>
      <c r="F670" t="inlineStr">
        <is>
          <t>2026_Styczeń_W5</t>
        </is>
      </c>
      <c r="G670" t="inlineStr">
        <is>
          <t>Sob</t>
        </is>
      </c>
      <c r="H670" t="inlineStr">
        <is>
          <t>MAKOWSKA, ZUZANNA</t>
        </is>
      </c>
      <c r="I670" t="inlineStr">
        <is>
          <t>Shift manager/Supervisor</t>
        </is>
      </c>
      <c r="J670" t="inlineStr">
        <is>
          <t>Standard 0,75|30h</t>
        </is>
      </c>
      <c r="K670" t="n">
        <v>8.27</v>
      </c>
      <c r="L670" t="inlineStr">
        <is>
          <t>384</t>
        </is>
      </c>
      <c r="M670" t="inlineStr">
        <is>
          <t>108120 SBX Warszawa Janki</t>
        </is>
      </c>
      <c r="N670" t="inlineStr">
        <is>
          <t>2026-09-11 19:06</t>
        </is>
      </c>
    </row>
    <row r="671">
      <c r="A671" t="n">
        <v>670</v>
      </c>
      <c r="B671" t="inlineStr">
        <is>
          <t>2026-02-01</t>
        </is>
      </c>
      <c r="C671" t="n">
        <v>2026</v>
      </c>
      <c r="D671" t="inlineStr">
        <is>
          <t>Luty</t>
        </is>
      </c>
      <c r="E671" t="inlineStr">
        <is>
          <t>W1</t>
        </is>
      </c>
      <c r="F671" t="inlineStr">
        <is>
          <t>2026_Luty_W1</t>
        </is>
      </c>
      <c r="G671" t="inlineStr">
        <is>
          <t>Nd</t>
        </is>
      </c>
      <c r="H671" t="inlineStr">
        <is>
          <t>MAKOWSKA, ZUZANNA</t>
        </is>
      </c>
      <c r="I671" t="inlineStr">
        <is>
          <t>Shift manager/Supervisor</t>
        </is>
      </c>
      <c r="J671" t="inlineStr">
        <is>
          <t>Standard 0,75|30h</t>
        </is>
      </c>
      <c r="K671" t="n">
        <v>6.73</v>
      </c>
      <c r="L671" t="inlineStr">
        <is>
          <t>384</t>
        </is>
      </c>
      <c r="M671" t="inlineStr">
        <is>
          <t>108120 SBX Warszawa Janki</t>
        </is>
      </c>
      <c r="N671" t="inlineStr">
        <is>
          <t>2026-09-11 19:06</t>
        </is>
      </c>
    </row>
    <row r="672">
      <c r="A672" t="n">
        <v>671</v>
      </c>
      <c r="B672" t="inlineStr">
        <is>
          <t>2026-02-02</t>
        </is>
      </c>
      <c r="C672" t="n">
        <v>2026</v>
      </c>
      <c r="D672" t="inlineStr">
        <is>
          <t>Luty</t>
        </is>
      </c>
      <c r="E672" t="inlineStr">
        <is>
          <t>W1</t>
        </is>
      </c>
      <c r="F672" t="inlineStr">
        <is>
          <t>2026_Luty_W1</t>
        </is>
      </c>
      <c r="G672" t="inlineStr">
        <is>
          <t>Pn</t>
        </is>
      </c>
      <c r="H672" t="inlineStr">
        <is>
          <t>MAKOWSKA, ZUZANNA</t>
        </is>
      </c>
      <c r="I672" t="inlineStr">
        <is>
          <t>Shift manager/Supervisor</t>
        </is>
      </c>
      <c r="J672" t="inlineStr">
        <is>
          <t>Standard 0,75|30h</t>
        </is>
      </c>
      <c r="K672" t="n">
        <v>8.01</v>
      </c>
      <c r="L672" t="inlineStr">
        <is>
          <t>384</t>
        </is>
      </c>
      <c r="M672" t="inlineStr">
        <is>
          <t>108120 SBX Warszawa Janki</t>
        </is>
      </c>
      <c r="N672" t="inlineStr">
        <is>
          <t>2026-09-11 19:06</t>
        </is>
      </c>
    </row>
    <row r="673">
      <c r="A673" t="n">
        <v>672</v>
      </c>
      <c r="B673" t="inlineStr">
        <is>
          <t>2026-02-06</t>
        </is>
      </c>
      <c r="C673" t="n">
        <v>2026</v>
      </c>
      <c r="D673" t="inlineStr">
        <is>
          <t>Luty</t>
        </is>
      </c>
      <c r="E673" t="inlineStr">
        <is>
          <t>W2</t>
        </is>
      </c>
      <c r="F673" t="inlineStr">
        <is>
          <t>2026_Luty_W2</t>
        </is>
      </c>
      <c r="G673" t="inlineStr">
        <is>
          <t>Pt</t>
        </is>
      </c>
      <c r="H673" t="inlineStr">
        <is>
          <t>MAKOWSKA, ZUZANNA</t>
        </is>
      </c>
      <c r="I673" t="inlineStr">
        <is>
          <t>Shift manager/Supervisor</t>
        </is>
      </c>
      <c r="J673" t="inlineStr">
        <is>
          <t>Standard 0,75|30h</t>
        </is>
      </c>
      <c r="K673" t="n">
        <v>7.84</v>
      </c>
      <c r="L673" t="inlineStr">
        <is>
          <t>384</t>
        </is>
      </c>
      <c r="M673" t="inlineStr">
        <is>
          <t>108120 SBX Warszawa Janki</t>
        </is>
      </c>
      <c r="N673" t="inlineStr">
        <is>
          <t>2026-09-11 19:06</t>
        </is>
      </c>
    </row>
    <row r="674">
      <c r="A674" t="n">
        <v>673</v>
      </c>
      <c r="B674" t="inlineStr">
        <is>
          <t>2026-02-07</t>
        </is>
      </c>
      <c r="C674" t="n">
        <v>2026</v>
      </c>
      <c r="D674" t="inlineStr">
        <is>
          <t>Luty</t>
        </is>
      </c>
      <c r="E674" t="inlineStr">
        <is>
          <t>W2</t>
        </is>
      </c>
      <c r="F674" t="inlineStr">
        <is>
          <t>2026_Luty_W2</t>
        </is>
      </c>
      <c r="G674" t="inlineStr">
        <is>
          <t>Sob</t>
        </is>
      </c>
      <c r="H674" t="inlineStr">
        <is>
          <t>MAKOWSKA, ZUZANNA</t>
        </is>
      </c>
      <c r="I674" t="inlineStr">
        <is>
          <t>Shift manager/Supervisor</t>
        </is>
      </c>
      <c r="J674" t="inlineStr">
        <is>
          <t>Standard 0,75|30h</t>
        </is>
      </c>
      <c r="K674" t="n">
        <v>7.93</v>
      </c>
      <c r="L674" t="inlineStr">
        <is>
          <t>384</t>
        </is>
      </c>
      <c r="M674" t="inlineStr">
        <is>
          <t>108120 SBX Warszawa Janki</t>
        </is>
      </c>
      <c r="N674" t="inlineStr">
        <is>
          <t>2026-09-11 19:06</t>
        </is>
      </c>
    </row>
    <row r="675">
      <c r="A675" t="n">
        <v>674</v>
      </c>
      <c r="B675" t="inlineStr">
        <is>
          <t>2026-02-09</t>
        </is>
      </c>
      <c r="C675" t="n">
        <v>2026</v>
      </c>
      <c r="D675" t="inlineStr">
        <is>
          <t>Luty</t>
        </is>
      </c>
      <c r="E675" t="inlineStr">
        <is>
          <t>W2</t>
        </is>
      </c>
      <c r="F675" t="inlineStr">
        <is>
          <t>2026_Luty_W2</t>
        </is>
      </c>
      <c r="G675" t="inlineStr">
        <is>
          <t>Pn</t>
        </is>
      </c>
      <c r="H675" t="inlineStr">
        <is>
          <t>MAKOWSKA, ZUZANNA</t>
        </is>
      </c>
      <c r="I675" t="inlineStr">
        <is>
          <t>Shift manager/Supervisor</t>
        </is>
      </c>
      <c r="J675" t="inlineStr">
        <is>
          <t>Standard 0,75|30h</t>
        </is>
      </c>
      <c r="K675" t="n">
        <v>7.69</v>
      </c>
      <c r="L675" t="inlineStr">
        <is>
          <t>384</t>
        </is>
      </c>
      <c r="M675" t="inlineStr">
        <is>
          <t>108120 SBX Warszawa Janki</t>
        </is>
      </c>
      <c r="N675" t="inlineStr">
        <is>
          <t>2026-09-11 19:06</t>
        </is>
      </c>
    </row>
    <row r="676">
      <c r="A676" t="n">
        <v>675</v>
      </c>
      <c r="B676" t="inlineStr">
        <is>
          <t>2026-02-11</t>
        </is>
      </c>
      <c r="C676" t="n">
        <v>2026</v>
      </c>
      <c r="D676" t="inlineStr">
        <is>
          <t>Luty</t>
        </is>
      </c>
      <c r="E676" t="inlineStr">
        <is>
          <t>W3</t>
        </is>
      </c>
      <c r="F676" t="inlineStr">
        <is>
          <t>2026_Luty_W3</t>
        </is>
      </c>
      <c r="G676" t="inlineStr">
        <is>
          <t>Śr</t>
        </is>
      </c>
      <c r="H676" t="inlineStr">
        <is>
          <t>MAKOWSKA, ZUZANNA</t>
        </is>
      </c>
      <c r="I676" t="inlineStr">
        <is>
          <t>Shift manager/Supervisor</t>
        </is>
      </c>
      <c r="J676" t="inlineStr">
        <is>
          <t>Standard 0,75|30h</t>
        </is>
      </c>
      <c r="K676" t="n">
        <v>7.82</v>
      </c>
      <c r="L676" t="inlineStr">
        <is>
          <t>384</t>
        </is>
      </c>
      <c r="M676" t="inlineStr">
        <is>
          <t>108120 SBX Warszawa Janki</t>
        </is>
      </c>
      <c r="N676" t="inlineStr">
        <is>
          <t>2026-09-11 19:06</t>
        </is>
      </c>
    </row>
    <row r="677">
      <c r="A677" t="n">
        <v>676</v>
      </c>
      <c r="B677" t="inlineStr">
        <is>
          <t>2026-02-12</t>
        </is>
      </c>
      <c r="C677" t="n">
        <v>2026</v>
      </c>
      <c r="D677" t="inlineStr">
        <is>
          <t>Luty</t>
        </is>
      </c>
      <c r="E677" t="inlineStr">
        <is>
          <t>W3</t>
        </is>
      </c>
      <c r="F677" t="inlineStr">
        <is>
          <t>2026_Luty_W3</t>
        </is>
      </c>
      <c r="G677" t="inlineStr">
        <is>
          <t>Czw</t>
        </is>
      </c>
      <c r="H677" t="inlineStr">
        <is>
          <t>MAKOWSKA, ZUZANNA</t>
        </is>
      </c>
      <c r="I677" t="inlineStr">
        <is>
          <t>Shift manager/Supervisor</t>
        </is>
      </c>
      <c r="J677" t="inlineStr">
        <is>
          <t>Standard 0,75|30h</t>
        </is>
      </c>
      <c r="K677" t="n">
        <v>8.1</v>
      </c>
      <c r="L677" t="inlineStr">
        <is>
          <t>384</t>
        </is>
      </c>
      <c r="M677" t="inlineStr">
        <is>
          <t>108120 SBX Warszawa Janki</t>
        </is>
      </c>
      <c r="N677" t="inlineStr">
        <is>
          <t>2026-09-11 19:06</t>
        </is>
      </c>
    </row>
    <row r="678">
      <c r="A678" t="n">
        <v>677</v>
      </c>
      <c r="B678" t="inlineStr">
        <is>
          <t>2026-02-21</t>
        </is>
      </c>
      <c r="C678" t="n">
        <v>2026</v>
      </c>
      <c r="D678" t="inlineStr">
        <is>
          <t>Luty</t>
        </is>
      </c>
      <c r="E678" t="inlineStr">
        <is>
          <t>W4</t>
        </is>
      </c>
      <c r="F678" t="inlineStr">
        <is>
          <t>2026_Luty_W4</t>
        </is>
      </c>
      <c r="G678" t="inlineStr">
        <is>
          <t>Sob</t>
        </is>
      </c>
      <c r="H678" t="inlineStr">
        <is>
          <t>MAKOWSKA, ZUZANNA</t>
        </is>
      </c>
      <c r="I678" t="inlineStr">
        <is>
          <t>Shift manager/Supervisor</t>
        </is>
      </c>
      <c r="J678" t="inlineStr">
        <is>
          <t>Standard 0,75|30h</t>
        </is>
      </c>
      <c r="K678" t="n">
        <v>8.56</v>
      </c>
      <c r="L678" t="inlineStr">
        <is>
          <t>384</t>
        </is>
      </c>
      <c r="M678" t="inlineStr">
        <is>
          <t>108120 SBX Warszawa Janki</t>
        </is>
      </c>
      <c r="N678" t="inlineStr">
        <is>
          <t>2026-09-11 19:06</t>
        </is>
      </c>
    </row>
    <row r="679">
      <c r="A679" t="n">
        <v>678</v>
      </c>
      <c r="B679" t="inlineStr">
        <is>
          <t>2026-02-22</t>
        </is>
      </c>
      <c r="C679" t="n">
        <v>2026</v>
      </c>
      <c r="D679" t="inlineStr">
        <is>
          <t>Luty</t>
        </is>
      </c>
      <c r="E679" t="inlineStr">
        <is>
          <t>W4</t>
        </is>
      </c>
      <c r="F679" t="inlineStr">
        <is>
          <t>2026_Luty_W4</t>
        </is>
      </c>
      <c r="G679" t="inlineStr">
        <is>
          <t>Nd</t>
        </is>
      </c>
      <c r="H679" t="inlineStr">
        <is>
          <t>MAKOWSKA, ZUZANNA</t>
        </is>
      </c>
      <c r="I679" t="inlineStr">
        <is>
          <t>Shift manager/Supervisor</t>
        </is>
      </c>
      <c r="J679" t="inlineStr">
        <is>
          <t>Standard 0,75|30h</t>
        </is>
      </c>
      <c r="K679" t="n">
        <v>6.02</v>
      </c>
      <c r="L679" t="inlineStr">
        <is>
          <t>384</t>
        </is>
      </c>
      <c r="M679" t="inlineStr">
        <is>
          <t>108120 SBX Warszawa Janki</t>
        </is>
      </c>
      <c r="N679" t="inlineStr">
        <is>
          <t>2026-09-11 19:06</t>
        </is>
      </c>
    </row>
    <row r="680">
      <c r="A680" t="n">
        <v>679</v>
      </c>
      <c r="B680" t="inlineStr">
        <is>
          <t>2026-02-25</t>
        </is>
      </c>
      <c r="C680" t="n">
        <v>2026</v>
      </c>
      <c r="D680" t="inlineStr">
        <is>
          <t>Luty</t>
        </is>
      </c>
      <c r="E680" t="inlineStr">
        <is>
          <t>W5</t>
        </is>
      </c>
      <c r="F680" t="inlineStr">
        <is>
          <t>2026_Luty_W5</t>
        </is>
      </c>
      <c r="G680" t="inlineStr">
        <is>
          <t>Śr</t>
        </is>
      </c>
      <c r="H680" t="inlineStr">
        <is>
          <t>MAKOWSKA, ZUZANNA</t>
        </is>
      </c>
      <c r="I680" t="inlineStr">
        <is>
          <t>Shift manager/Supervisor</t>
        </is>
      </c>
      <c r="J680" t="inlineStr">
        <is>
          <t>Standard 0,75|30h</t>
        </is>
      </c>
      <c r="K680" t="n">
        <v>7.95</v>
      </c>
      <c r="L680" t="inlineStr">
        <is>
          <t>384</t>
        </is>
      </c>
      <c r="M680" t="inlineStr">
        <is>
          <t>108120 SBX Warszawa Janki</t>
        </is>
      </c>
      <c r="N680" t="inlineStr">
        <is>
          <t>2026-09-11 19:06</t>
        </is>
      </c>
    </row>
    <row r="681">
      <c r="A681" t="n">
        <v>680</v>
      </c>
      <c r="B681" t="inlineStr">
        <is>
          <t>2026-02-28</t>
        </is>
      </c>
      <c r="C681" t="n">
        <v>2026</v>
      </c>
      <c r="D681" t="inlineStr">
        <is>
          <t>Luty</t>
        </is>
      </c>
      <c r="E681" t="inlineStr">
        <is>
          <t>W5</t>
        </is>
      </c>
      <c r="F681" t="inlineStr">
        <is>
          <t>2026_Luty_W5</t>
        </is>
      </c>
      <c r="G681" t="inlineStr">
        <is>
          <t>Sob</t>
        </is>
      </c>
      <c r="H681" t="inlineStr">
        <is>
          <t>MAKOWSKA, ZUZANNA</t>
        </is>
      </c>
      <c r="I681" t="inlineStr">
        <is>
          <t>Shift manager/Supervisor</t>
        </is>
      </c>
      <c r="J681" t="inlineStr">
        <is>
          <t>Standard 0,75|30h</t>
        </is>
      </c>
      <c r="K681" t="n">
        <v>8.93</v>
      </c>
      <c r="L681" t="inlineStr">
        <is>
          <t>384</t>
        </is>
      </c>
      <c r="M681" t="inlineStr">
        <is>
          <t>108120 SBX Warszawa Janki</t>
        </is>
      </c>
      <c r="N681" t="inlineStr">
        <is>
          <t>2026-09-11 19:06</t>
        </is>
      </c>
    </row>
    <row r="682">
      <c r="A682" t="n">
        <v>681</v>
      </c>
      <c r="B682" t="inlineStr">
        <is>
          <t>2026-03-01</t>
        </is>
      </c>
      <c r="C682" t="n">
        <v>2026</v>
      </c>
      <c r="D682" t="inlineStr">
        <is>
          <t>Marzec</t>
        </is>
      </c>
      <c r="E682" t="inlineStr">
        <is>
          <t>W1</t>
        </is>
      </c>
      <c r="F682" t="inlineStr">
        <is>
          <t>2026_Marzec_W1</t>
        </is>
      </c>
      <c r="G682" t="inlineStr">
        <is>
          <t>Nd</t>
        </is>
      </c>
      <c r="H682" t="inlineStr">
        <is>
          <t>MAKOWSKA, ZUZANNA</t>
        </is>
      </c>
      <c r="I682" t="inlineStr">
        <is>
          <t>Shift manager/Supervisor</t>
        </is>
      </c>
      <c r="J682" t="inlineStr">
        <is>
          <t>Standard 0,75|30h</t>
        </is>
      </c>
      <c r="K682" t="n">
        <v>8</v>
      </c>
      <c r="L682" t="inlineStr">
        <is>
          <t>384</t>
        </is>
      </c>
      <c r="M682" t="inlineStr">
        <is>
          <t>108120 SBX Warszawa Janki</t>
        </is>
      </c>
      <c r="N682" t="inlineStr">
        <is>
          <t>2026-09-11 19:06</t>
        </is>
      </c>
    </row>
    <row r="683">
      <c r="A683" t="n">
        <v>682</v>
      </c>
      <c r="B683" t="inlineStr">
        <is>
          <t>2026-03-09</t>
        </is>
      </c>
      <c r="C683" t="n">
        <v>2026</v>
      </c>
      <c r="D683" t="inlineStr">
        <is>
          <t>Marzec</t>
        </is>
      </c>
      <c r="E683" t="inlineStr">
        <is>
          <t>W2</t>
        </is>
      </c>
      <c r="F683" t="inlineStr">
        <is>
          <t>2026_Marzec_W2</t>
        </is>
      </c>
      <c r="G683" t="inlineStr">
        <is>
          <t>Pn</t>
        </is>
      </c>
      <c r="H683" t="inlineStr">
        <is>
          <t>MAKOWSKA, ZUZANNA</t>
        </is>
      </c>
      <c r="I683" t="inlineStr">
        <is>
          <t>Shift manager/Supervisor</t>
        </is>
      </c>
      <c r="J683" t="inlineStr">
        <is>
          <t>Standard 0,75|30h</t>
        </is>
      </c>
      <c r="K683" t="n">
        <v>7.5</v>
      </c>
      <c r="L683" t="inlineStr">
        <is>
          <t>384</t>
        </is>
      </c>
      <c r="M683" t="inlineStr">
        <is>
          <t>108120 SBX Warszawa Janki</t>
        </is>
      </c>
      <c r="N683" t="inlineStr">
        <is>
          <t>2026-09-11 19:06</t>
        </is>
      </c>
    </row>
    <row r="684">
      <c r="A684" t="n">
        <v>683</v>
      </c>
      <c r="B684" t="inlineStr">
        <is>
          <t>2026-03-10</t>
        </is>
      </c>
      <c r="C684" t="n">
        <v>2026</v>
      </c>
      <c r="D684" t="inlineStr">
        <is>
          <t>Marzec</t>
        </is>
      </c>
      <c r="E684" t="inlineStr">
        <is>
          <t>W3</t>
        </is>
      </c>
      <c r="F684" t="inlineStr">
        <is>
          <t>2026_Marzec_W3</t>
        </is>
      </c>
      <c r="G684" t="inlineStr">
        <is>
          <t>Wt</t>
        </is>
      </c>
      <c r="H684" t="inlineStr">
        <is>
          <t>MAKOWSKA, ZUZANNA</t>
        </is>
      </c>
      <c r="I684" t="inlineStr">
        <is>
          <t>Shift manager/Supervisor</t>
        </is>
      </c>
      <c r="J684" t="inlineStr">
        <is>
          <t>Standard 0,75|30h</t>
        </is>
      </c>
      <c r="K684" t="n">
        <v>8.84</v>
      </c>
      <c r="L684" t="inlineStr">
        <is>
          <t>384</t>
        </is>
      </c>
      <c r="M684" t="inlineStr">
        <is>
          <t>108120 SBX Warszawa Janki</t>
        </is>
      </c>
      <c r="N684" t="inlineStr">
        <is>
          <t>2026-09-11 19:06</t>
        </is>
      </c>
    </row>
    <row r="685">
      <c r="A685" t="n">
        <v>684</v>
      </c>
      <c r="B685" t="inlineStr">
        <is>
          <t>2026-03-11</t>
        </is>
      </c>
      <c r="C685" t="n">
        <v>2026</v>
      </c>
      <c r="D685" t="inlineStr">
        <is>
          <t>Marzec</t>
        </is>
      </c>
      <c r="E685" t="inlineStr">
        <is>
          <t>W3</t>
        </is>
      </c>
      <c r="F685" t="inlineStr">
        <is>
          <t>2026_Marzec_W3</t>
        </is>
      </c>
      <c r="G685" t="inlineStr">
        <is>
          <t>Śr</t>
        </is>
      </c>
      <c r="H685" t="inlineStr">
        <is>
          <t>MAKOWSKA, ZUZANNA</t>
        </is>
      </c>
      <c r="I685" t="inlineStr">
        <is>
          <t>Shift manager/Supervisor</t>
        </is>
      </c>
      <c r="J685" t="inlineStr">
        <is>
          <t>Standard 0,75|30h</t>
        </is>
      </c>
      <c r="K685" t="n">
        <v>7</v>
      </c>
      <c r="L685" t="inlineStr">
        <is>
          <t>384</t>
        </is>
      </c>
      <c r="M685" t="inlineStr">
        <is>
          <t>108120 SBX Warszawa Janki</t>
        </is>
      </c>
      <c r="N685" t="inlineStr">
        <is>
          <t>2026-09-11 19:06</t>
        </is>
      </c>
    </row>
    <row r="686">
      <c r="A686" t="n">
        <v>685</v>
      </c>
      <c r="B686" t="inlineStr">
        <is>
          <t>2026-03-12</t>
        </is>
      </c>
      <c r="C686" t="n">
        <v>2026</v>
      </c>
      <c r="D686" t="inlineStr">
        <is>
          <t>Marzec</t>
        </is>
      </c>
      <c r="E686" t="inlineStr">
        <is>
          <t>W3</t>
        </is>
      </c>
      <c r="F686" t="inlineStr">
        <is>
          <t>2026_Marzec_W3</t>
        </is>
      </c>
      <c r="G686" t="inlineStr">
        <is>
          <t>Czw</t>
        </is>
      </c>
      <c r="H686" t="inlineStr">
        <is>
          <t>MAKOWSKA, ZUZANNA</t>
        </is>
      </c>
      <c r="I686" t="inlineStr">
        <is>
          <t>Shift manager/Supervisor</t>
        </is>
      </c>
      <c r="J686" t="inlineStr">
        <is>
          <t>Standard 0,75|30h</t>
        </is>
      </c>
      <c r="K686" t="n">
        <v>8</v>
      </c>
      <c r="L686" t="inlineStr">
        <is>
          <t>384</t>
        </is>
      </c>
      <c r="M686" t="inlineStr">
        <is>
          <t>108120 SBX Warszawa Janki</t>
        </is>
      </c>
      <c r="N686" t="inlineStr">
        <is>
          <t>2026-09-11 19:06</t>
        </is>
      </c>
    </row>
    <row r="687">
      <c r="A687" t="n">
        <v>686</v>
      </c>
      <c r="B687" t="inlineStr">
        <is>
          <t>2026-03-18</t>
        </is>
      </c>
      <c r="C687" t="n">
        <v>2026</v>
      </c>
      <c r="D687" t="inlineStr">
        <is>
          <t>Marzec</t>
        </is>
      </c>
      <c r="E687" t="inlineStr">
        <is>
          <t>W4</t>
        </is>
      </c>
      <c r="F687" t="inlineStr">
        <is>
          <t>2026_Marzec_W4</t>
        </is>
      </c>
      <c r="G687" t="inlineStr">
        <is>
          <t>Śr</t>
        </is>
      </c>
      <c r="H687" t="inlineStr">
        <is>
          <t>MAKOWSKA, ZUZANNA</t>
        </is>
      </c>
      <c r="I687" t="inlineStr">
        <is>
          <t>Shift manager/Supervisor</t>
        </is>
      </c>
      <c r="J687" t="inlineStr">
        <is>
          <t>Standard 0,75|30h</t>
        </is>
      </c>
      <c r="K687" t="n">
        <v>8.33</v>
      </c>
      <c r="L687" t="inlineStr">
        <is>
          <t>384</t>
        </is>
      </c>
      <c r="M687" t="inlineStr">
        <is>
          <t>108120 SBX Warszawa Janki</t>
        </is>
      </c>
      <c r="N687" t="inlineStr">
        <is>
          <t>2026-09-11 19:06</t>
        </is>
      </c>
    </row>
    <row r="688">
      <c r="A688" t="n">
        <v>687</v>
      </c>
      <c r="B688" t="inlineStr">
        <is>
          <t>2026-03-19</t>
        </is>
      </c>
      <c r="C688" t="n">
        <v>2026</v>
      </c>
      <c r="D688" t="inlineStr">
        <is>
          <t>Marzec</t>
        </is>
      </c>
      <c r="E688" t="inlineStr">
        <is>
          <t>W4</t>
        </is>
      </c>
      <c r="F688" t="inlineStr">
        <is>
          <t>2026_Marzec_W4</t>
        </is>
      </c>
      <c r="G688" t="inlineStr">
        <is>
          <t>Czw</t>
        </is>
      </c>
      <c r="H688" t="inlineStr">
        <is>
          <t>MAKOWSKA, ZUZANNA</t>
        </is>
      </c>
      <c r="I688" t="inlineStr">
        <is>
          <t>Shift manager/Supervisor</t>
        </is>
      </c>
      <c r="J688" t="inlineStr">
        <is>
          <t>Standard 0,75|30h</t>
        </is>
      </c>
      <c r="K688" t="n">
        <v>8.210000000000001</v>
      </c>
      <c r="L688" t="inlineStr">
        <is>
          <t>384</t>
        </is>
      </c>
      <c r="M688" t="inlineStr">
        <is>
          <t>108120 SBX Warszawa Janki</t>
        </is>
      </c>
      <c r="N688" t="inlineStr">
        <is>
          <t>2026-09-11 19:06</t>
        </is>
      </c>
    </row>
    <row r="689">
      <c r="A689" t="n">
        <v>688</v>
      </c>
      <c r="B689" t="inlineStr">
        <is>
          <t>2026-03-24</t>
        </is>
      </c>
      <c r="C689" t="n">
        <v>2026</v>
      </c>
      <c r="D689" t="inlineStr">
        <is>
          <t>Marzec</t>
        </is>
      </c>
      <c r="E689" t="inlineStr">
        <is>
          <t>W5</t>
        </is>
      </c>
      <c r="F689" t="inlineStr">
        <is>
          <t>2026_Marzec_W5</t>
        </is>
      </c>
      <c r="G689" t="inlineStr">
        <is>
          <t>Wt</t>
        </is>
      </c>
      <c r="H689" t="inlineStr">
        <is>
          <t>MAKOWSKA, ZUZANNA</t>
        </is>
      </c>
      <c r="I689" t="inlineStr">
        <is>
          <t>Shift manager/Supervisor</t>
        </is>
      </c>
      <c r="J689" t="inlineStr">
        <is>
          <t>Standard 0,75|30h</t>
        </is>
      </c>
      <c r="K689" t="n">
        <v>7.84</v>
      </c>
      <c r="L689" t="inlineStr">
        <is>
          <t>384</t>
        </is>
      </c>
      <c r="M689" t="inlineStr">
        <is>
          <t>108120 SBX Warszawa Janki</t>
        </is>
      </c>
      <c r="N689" t="inlineStr">
        <is>
          <t>2026-09-11 19:06</t>
        </is>
      </c>
    </row>
    <row r="690">
      <c r="A690" t="n">
        <v>689</v>
      </c>
      <c r="B690" t="inlineStr">
        <is>
          <t>2026-03-26</t>
        </is>
      </c>
      <c r="C690" t="n">
        <v>2026</v>
      </c>
      <c r="D690" t="inlineStr">
        <is>
          <t>Marzec</t>
        </is>
      </c>
      <c r="E690" t="inlineStr">
        <is>
          <t>W5</t>
        </is>
      </c>
      <c r="F690" t="inlineStr">
        <is>
          <t>2026_Marzec_W5</t>
        </is>
      </c>
      <c r="G690" t="inlineStr">
        <is>
          <t>Czw</t>
        </is>
      </c>
      <c r="H690" t="inlineStr">
        <is>
          <t>MAKOWSKA, ZUZANNA</t>
        </is>
      </c>
      <c r="I690" t="inlineStr">
        <is>
          <t>Shift manager/Supervisor</t>
        </is>
      </c>
      <c r="J690" t="inlineStr">
        <is>
          <t>Standard 0,75|30h</t>
        </is>
      </c>
      <c r="K690" t="n">
        <v>7.97</v>
      </c>
      <c r="L690" t="inlineStr">
        <is>
          <t>384</t>
        </is>
      </c>
      <c r="M690" t="inlineStr">
        <is>
          <t>108120 SBX Warszawa Janki</t>
        </is>
      </c>
      <c r="N690" t="inlineStr">
        <is>
          <t>2026-09-11 19:06</t>
        </is>
      </c>
    </row>
    <row r="691">
      <c r="A691" t="n">
        <v>690</v>
      </c>
      <c r="B691" t="inlineStr">
        <is>
          <t>2026-03-29</t>
        </is>
      </c>
      <c r="C691" t="n">
        <v>2026</v>
      </c>
      <c r="D691" t="inlineStr">
        <is>
          <t>Marzec</t>
        </is>
      </c>
      <c r="E691" t="inlineStr">
        <is>
          <t>W5</t>
        </is>
      </c>
      <c r="F691" t="inlineStr">
        <is>
          <t>2026_Marzec_W5</t>
        </is>
      </c>
      <c r="G691" t="inlineStr">
        <is>
          <t>Nd</t>
        </is>
      </c>
      <c r="H691" t="inlineStr">
        <is>
          <t>MAKOWSKA, ZUZANNA</t>
        </is>
      </c>
      <c r="I691" t="inlineStr">
        <is>
          <t>Shift manager/Supervisor</t>
        </is>
      </c>
      <c r="J691" t="inlineStr">
        <is>
          <t>Standard 0,75|30h</t>
        </is>
      </c>
      <c r="K691" t="n">
        <v>7.81</v>
      </c>
      <c r="L691" t="inlineStr">
        <is>
          <t>384</t>
        </is>
      </c>
      <c r="M691" t="inlineStr">
        <is>
          <t>108120 SBX Warszawa Janki</t>
        </is>
      </c>
      <c r="N691" t="inlineStr">
        <is>
          <t>2026-09-11 19:06</t>
        </is>
      </c>
    </row>
    <row r="692">
      <c r="A692" t="n">
        <v>691</v>
      </c>
      <c r="B692" t="inlineStr">
        <is>
          <t>2026-03-31</t>
        </is>
      </c>
      <c r="C692" t="n">
        <v>2026</v>
      </c>
      <c r="D692" t="inlineStr">
        <is>
          <t>Marzec</t>
        </is>
      </c>
      <c r="E692" t="inlineStr">
        <is>
          <t>W6</t>
        </is>
      </c>
      <c r="F692" t="inlineStr">
        <is>
          <t>2026_Marzec_W6</t>
        </is>
      </c>
      <c r="G692" t="inlineStr">
        <is>
          <t>Wt</t>
        </is>
      </c>
      <c r="H692" t="inlineStr">
        <is>
          <t>MAKOWSKA, ZUZANNA</t>
        </is>
      </c>
      <c r="I692" t="inlineStr">
        <is>
          <t>Shift manager/Supervisor</t>
        </is>
      </c>
      <c r="J692" t="inlineStr">
        <is>
          <t>Standard 0,75|30h</t>
        </is>
      </c>
      <c r="K692" t="n">
        <v>7.93</v>
      </c>
      <c r="L692" t="inlineStr">
        <is>
          <t>384</t>
        </is>
      </c>
      <c r="M692" t="inlineStr">
        <is>
          <t>108120 SBX Warszawa Janki</t>
        </is>
      </c>
      <c r="N692" t="inlineStr">
        <is>
          <t>2026-09-11 19:06</t>
        </is>
      </c>
    </row>
    <row r="693">
      <c r="A693" t="n">
        <v>692</v>
      </c>
      <c r="B693" t="inlineStr">
        <is>
          <t>2026-04-02</t>
        </is>
      </c>
      <c r="C693" t="n">
        <v>2026</v>
      </c>
      <c r="D693" t="inlineStr">
        <is>
          <t>Kwiecień</t>
        </is>
      </c>
      <c r="E693" t="inlineStr">
        <is>
          <t>W1</t>
        </is>
      </c>
      <c r="F693" t="inlineStr">
        <is>
          <t>2026_Kwiecień_W1</t>
        </is>
      </c>
      <c r="G693" t="inlineStr">
        <is>
          <t>Czw</t>
        </is>
      </c>
      <c r="H693" t="inlineStr">
        <is>
          <t>MAKOWSKA, ZUZANNA</t>
        </is>
      </c>
      <c r="I693" t="inlineStr">
        <is>
          <t>Shift manager/Supervisor</t>
        </is>
      </c>
      <c r="J693" t="inlineStr">
        <is>
          <t>Standard 0,75|30h</t>
        </is>
      </c>
      <c r="K693" t="n">
        <v>8.08</v>
      </c>
      <c r="L693" t="inlineStr">
        <is>
          <t>384</t>
        </is>
      </c>
      <c r="M693" t="inlineStr">
        <is>
          <t>108120 SBX Warszawa Janki</t>
        </is>
      </c>
      <c r="N693" t="inlineStr">
        <is>
          <t>2026-09-11 19:06</t>
        </is>
      </c>
    </row>
    <row r="694">
      <c r="A694" t="n">
        <v>693</v>
      </c>
      <c r="B694" t="inlineStr">
        <is>
          <t>2026-04-03</t>
        </is>
      </c>
      <c r="C694" t="n">
        <v>2026</v>
      </c>
      <c r="D694" t="inlineStr">
        <is>
          <t>Kwiecień</t>
        </is>
      </c>
      <c r="E694" t="inlineStr">
        <is>
          <t>W1</t>
        </is>
      </c>
      <c r="F694" t="inlineStr">
        <is>
          <t>2026_Kwiecień_W1</t>
        </is>
      </c>
      <c r="G694" t="inlineStr">
        <is>
          <t>Pt</t>
        </is>
      </c>
      <c r="H694" t="inlineStr">
        <is>
          <t>MAKOWSKA, ZUZANNA</t>
        </is>
      </c>
      <c r="I694" t="inlineStr">
        <is>
          <t>Shift manager/Supervisor</t>
        </is>
      </c>
      <c r="J694" t="inlineStr">
        <is>
          <t>Standard 0,75|30h</t>
        </is>
      </c>
      <c r="K694" t="n">
        <v>7.5</v>
      </c>
      <c r="L694" t="inlineStr">
        <is>
          <t>384</t>
        </is>
      </c>
      <c r="M694" t="inlineStr">
        <is>
          <t>108120 SBX Warszawa Janki</t>
        </is>
      </c>
      <c r="N694" t="inlineStr">
        <is>
          <t>2026-09-11 19:06</t>
        </is>
      </c>
    </row>
    <row r="695">
      <c r="A695" t="n">
        <v>694</v>
      </c>
      <c r="B695" t="inlineStr">
        <is>
          <t>2026-04-07</t>
        </is>
      </c>
      <c r="C695" t="n">
        <v>2026</v>
      </c>
      <c r="D695" t="inlineStr">
        <is>
          <t>Kwiecień</t>
        </is>
      </c>
      <c r="E695" t="inlineStr">
        <is>
          <t>W2</t>
        </is>
      </c>
      <c r="F695" t="inlineStr">
        <is>
          <t>2026_Kwiecień_W2</t>
        </is>
      </c>
      <c r="G695" t="inlineStr">
        <is>
          <t>Wt</t>
        </is>
      </c>
      <c r="H695" t="inlineStr">
        <is>
          <t>MAKOWSKA, ZUZANNA</t>
        </is>
      </c>
      <c r="I695" t="inlineStr">
        <is>
          <t>Shift manager/Supervisor</t>
        </is>
      </c>
      <c r="J695" t="inlineStr">
        <is>
          <t>Standard 0,75|30h</t>
        </is>
      </c>
      <c r="K695" t="n">
        <v>8</v>
      </c>
      <c r="L695" t="inlineStr">
        <is>
          <t>384</t>
        </is>
      </c>
      <c r="M695" t="inlineStr">
        <is>
          <t>108120 SBX Warszawa Janki</t>
        </is>
      </c>
      <c r="N695" t="inlineStr">
        <is>
          <t>2026-09-11 19:06</t>
        </is>
      </c>
    </row>
    <row r="696">
      <c r="A696" t="n">
        <v>695</v>
      </c>
      <c r="B696" t="inlineStr">
        <is>
          <t>2026-04-08</t>
        </is>
      </c>
      <c r="C696" t="n">
        <v>2026</v>
      </c>
      <c r="D696" t="inlineStr">
        <is>
          <t>Kwiecień</t>
        </is>
      </c>
      <c r="E696" t="inlineStr">
        <is>
          <t>W2</t>
        </is>
      </c>
      <c r="F696" t="inlineStr">
        <is>
          <t>2026_Kwiecień_W2</t>
        </is>
      </c>
      <c r="G696" t="inlineStr">
        <is>
          <t>Śr</t>
        </is>
      </c>
      <c r="H696" t="inlineStr">
        <is>
          <t>MAKOWSKA, ZUZANNA</t>
        </is>
      </c>
      <c r="I696" t="inlineStr">
        <is>
          <t>Shift manager/Supervisor</t>
        </is>
      </c>
      <c r="J696" t="inlineStr">
        <is>
          <t>Standard 0,75|30h</t>
        </is>
      </c>
      <c r="K696" t="n">
        <v>9</v>
      </c>
      <c r="L696" t="inlineStr">
        <is>
          <t>384</t>
        </is>
      </c>
      <c r="M696" t="inlineStr">
        <is>
          <t>108120 SBX Warszawa Janki</t>
        </is>
      </c>
      <c r="N696" t="inlineStr">
        <is>
          <t>2026-09-11 19:06</t>
        </is>
      </c>
    </row>
    <row r="697">
      <c r="A697" t="n">
        <v>696</v>
      </c>
      <c r="B697" t="inlineStr">
        <is>
          <t>2026-04-09</t>
        </is>
      </c>
      <c r="C697" t="n">
        <v>2026</v>
      </c>
      <c r="D697" t="inlineStr">
        <is>
          <t>Kwiecień</t>
        </is>
      </c>
      <c r="E697" t="inlineStr">
        <is>
          <t>W2</t>
        </is>
      </c>
      <c r="F697" t="inlineStr">
        <is>
          <t>2026_Kwiecień_W2</t>
        </is>
      </c>
      <c r="G697" t="inlineStr">
        <is>
          <t>Czw</t>
        </is>
      </c>
      <c r="H697" t="inlineStr">
        <is>
          <t>MAKOWSKA, ZUZANNA</t>
        </is>
      </c>
      <c r="I697" t="inlineStr">
        <is>
          <t>Shift manager/Supervisor</t>
        </is>
      </c>
      <c r="J697" t="inlineStr">
        <is>
          <t>Standard 0,75|30h</t>
        </is>
      </c>
      <c r="K697" t="n">
        <v>6</v>
      </c>
      <c r="L697" t="inlineStr">
        <is>
          <t>384</t>
        </is>
      </c>
      <c r="M697" t="inlineStr">
        <is>
          <t>108120 SBX Warszawa Janki</t>
        </is>
      </c>
      <c r="N697" t="inlineStr">
        <is>
          <t>2026-09-11 19:06</t>
        </is>
      </c>
    </row>
    <row r="698">
      <c r="A698" t="n">
        <v>697</v>
      </c>
      <c r="B698" t="inlineStr">
        <is>
          <t>2026-04-11</t>
        </is>
      </c>
      <c r="C698" t="n">
        <v>2026</v>
      </c>
      <c r="D698" t="inlineStr">
        <is>
          <t>Kwiecień</t>
        </is>
      </c>
      <c r="E698" t="inlineStr">
        <is>
          <t>W2</t>
        </is>
      </c>
      <c r="F698" t="inlineStr">
        <is>
          <t>2026_Kwiecień_W2</t>
        </is>
      </c>
      <c r="G698" t="inlineStr">
        <is>
          <t>Sob</t>
        </is>
      </c>
      <c r="H698" t="inlineStr">
        <is>
          <t>MAKOWSKA, ZUZANNA</t>
        </is>
      </c>
      <c r="I698" t="inlineStr">
        <is>
          <t>Shift manager/Supervisor</t>
        </is>
      </c>
      <c r="J698" t="inlineStr">
        <is>
          <t>Standard 0,75|30h</t>
        </is>
      </c>
      <c r="K698" t="n">
        <v>8</v>
      </c>
      <c r="L698" t="inlineStr">
        <is>
          <t>384</t>
        </is>
      </c>
      <c r="M698" t="inlineStr">
        <is>
          <t>108120 SBX Warszawa Janki</t>
        </is>
      </c>
      <c r="N698" t="inlineStr">
        <is>
          <t>2026-09-11 19:06</t>
        </is>
      </c>
    </row>
    <row r="699">
      <c r="A699" t="n">
        <v>698</v>
      </c>
      <c r="B699" t="inlineStr">
        <is>
          <t>2026-04-14</t>
        </is>
      </c>
      <c r="C699" t="n">
        <v>2026</v>
      </c>
      <c r="D699" t="inlineStr">
        <is>
          <t>Kwiecień</t>
        </is>
      </c>
      <c r="E699" t="inlineStr">
        <is>
          <t>W3</t>
        </is>
      </c>
      <c r="F699" t="inlineStr">
        <is>
          <t>2026_Kwiecień_W3</t>
        </is>
      </c>
      <c r="G699" t="inlineStr">
        <is>
          <t>Wt</t>
        </is>
      </c>
      <c r="H699" t="inlineStr">
        <is>
          <t>MAKOWSKA, ZUZANNA</t>
        </is>
      </c>
      <c r="I699" t="inlineStr">
        <is>
          <t>Shift manager/Supervisor</t>
        </is>
      </c>
      <c r="J699" t="inlineStr">
        <is>
          <t>Standard 0,75|30h</t>
        </is>
      </c>
      <c r="K699" t="n">
        <v>8.09</v>
      </c>
      <c r="L699" t="inlineStr">
        <is>
          <t>384</t>
        </is>
      </c>
      <c r="M699" t="inlineStr">
        <is>
          <t>108120 SBX Warszawa Janki</t>
        </is>
      </c>
      <c r="N699" t="inlineStr">
        <is>
          <t>2026-09-11 19:06</t>
        </is>
      </c>
    </row>
    <row r="700">
      <c r="A700" t="n">
        <v>699</v>
      </c>
      <c r="B700" t="inlineStr">
        <is>
          <t>2026-04-15</t>
        </is>
      </c>
      <c r="C700" t="n">
        <v>2026</v>
      </c>
      <c r="D700" t="inlineStr">
        <is>
          <t>Kwiecień</t>
        </is>
      </c>
      <c r="E700" t="inlineStr">
        <is>
          <t>W3</t>
        </is>
      </c>
      <c r="F700" t="inlineStr">
        <is>
          <t>2026_Kwiecień_W3</t>
        </is>
      </c>
      <c r="G700" t="inlineStr">
        <is>
          <t>Śr</t>
        </is>
      </c>
      <c r="H700" t="inlineStr">
        <is>
          <t>MAKOWSKA, ZUZANNA</t>
        </is>
      </c>
      <c r="I700" t="inlineStr">
        <is>
          <t>Shift manager/Supervisor</t>
        </is>
      </c>
      <c r="J700" t="inlineStr">
        <is>
          <t>Standard 0,75|30h</t>
        </is>
      </c>
      <c r="K700" t="n">
        <v>8</v>
      </c>
      <c r="L700" t="inlineStr">
        <is>
          <t>384</t>
        </is>
      </c>
      <c r="M700" t="inlineStr">
        <is>
          <t>108120 SBX Warszawa Janki</t>
        </is>
      </c>
      <c r="N700" t="inlineStr">
        <is>
          <t>2026-09-11 19:06</t>
        </is>
      </c>
    </row>
    <row r="701">
      <c r="A701" t="n">
        <v>700</v>
      </c>
      <c r="B701" t="inlineStr">
        <is>
          <t>2026-04-16</t>
        </is>
      </c>
      <c r="C701" t="n">
        <v>2026</v>
      </c>
      <c r="D701" t="inlineStr">
        <is>
          <t>Kwiecień</t>
        </is>
      </c>
      <c r="E701" t="inlineStr">
        <is>
          <t>W3</t>
        </is>
      </c>
      <c r="F701" t="inlineStr">
        <is>
          <t>2026_Kwiecień_W3</t>
        </is>
      </c>
      <c r="G701" t="inlineStr">
        <is>
          <t>Czw</t>
        </is>
      </c>
      <c r="H701" t="inlineStr">
        <is>
          <t>MAKOWSKA, ZUZANNA</t>
        </is>
      </c>
      <c r="I701" t="inlineStr">
        <is>
          <t>Shift manager/Supervisor</t>
        </is>
      </c>
      <c r="J701" t="inlineStr">
        <is>
          <t>Standard 0,75|30h</t>
        </is>
      </c>
      <c r="K701" t="n">
        <v>7.73</v>
      </c>
      <c r="L701" t="inlineStr">
        <is>
          <t>384</t>
        </is>
      </c>
      <c r="M701" t="inlineStr">
        <is>
          <t>108120 SBX Warszawa Janki</t>
        </is>
      </c>
      <c r="N701" t="inlineStr">
        <is>
          <t>2026-09-11 19:06</t>
        </is>
      </c>
    </row>
    <row r="702">
      <c r="A702" t="n">
        <v>701</v>
      </c>
      <c r="B702" t="inlineStr">
        <is>
          <t>2026-04-18</t>
        </is>
      </c>
      <c r="C702" t="n">
        <v>2026</v>
      </c>
      <c r="D702" t="inlineStr">
        <is>
          <t>Kwiecień</t>
        </is>
      </c>
      <c r="E702" t="inlineStr">
        <is>
          <t>W3</t>
        </is>
      </c>
      <c r="F702" t="inlineStr">
        <is>
          <t>2026_Kwiecień_W3</t>
        </is>
      </c>
      <c r="G702" t="inlineStr">
        <is>
          <t>Sob</t>
        </is>
      </c>
      <c r="H702" t="inlineStr">
        <is>
          <t>MAKOWSKA, ZUZANNA</t>
        </is>
      </c>
      <c r="I702" t="inlineStr">
        <is>
          <t>Shift manager/Supervisor</t>
        </is>
      </c>
      <c r="J702" t="inlineStr">
        <is>
          <t>Standard 0,75|30h</t>
        </is>
      </c>
      <c r="K702" t="n">
        <v>8.18</v>
      </c>
      <c r="L702" t="inlineStr">
        <is>
          <t>384</t>
        </is>
      </c>
      <c r="M702" t="inlineStr">
        <is>
          <t>108120 SBX Warszawa Janki</t>
        </is>
      </c>
      <c r="N702" t="inlineStr">
        <is>
          <t>2026-09-11 19:06</t>
        </is>
      </c>
    </row>
    <row r="703">
      <c r="A703" t="n">
        <v>702</v>
      </c>
      <c r="B703" t="inlineStr">
        <is>
          <t>2026-04-19</t>
        </is>
      </c>
      <c r="C703" t="n">
        <v>2026</v>
      </c>
      <c r="D703" t="inlineStr">
        <is>
          <t>Kwiecień</t>
        </is>
      </c>
      <c r="E703" t="inlineStr">
        <is>
          <t>W3</t>
        </is>
      </c>
      <c r="F703" t="inlineStr">
        <is>
          <t>2026_Kwiecień_W3</t>
        </is>
      </c>
      <c r="G703" t="inlineStr">
        <is>
          <t>Nd</t>
        </is>
      </c>
      <c r="H703" t="inlineStr">
        <is>
          <t>MAKOWSKA, ZUZANNA</t>
        </is>
      </c>
      <c r="I703" t="inlineStr">
        <is>
          <t>Shift manager/Supervisor</t>
        </is>
      </c>
      <c r="J703" t="inlineStr">
        <is>
          <t>Standard 0,75|30h</t>
        </is>
      </c>
      <c r="K703" t="n">
        <v>6.28</v>
      </c>
      <c r="L703" t="inlineStr">
        <is>
          <t>384</t>
        </is>
      </c>
      <c r="M703" t="inlineStr">
        <is>
          <t>108120 SBX Warszawa Janki</t>
        </is>
      </c>
      <c r="N703" t="inlineStr">
        <is>
          <t>2026-09-11 19:06</t>
        </is>
      </c>
    </row>
    <row r="704">
      <c r="A704" t="n">
        <v>703</v>
      </c>
      <c r="B704" t="inlineStr">
        <is>
          <t>2026-04-24</t>
        </is>
      </c>
      <c r="C704" t="n">
        <v>2026</v>
      </c>
      <c r="D704" t="inlineStr">
        <is>
          <t>Kwiecień</t>
        </is>
      </c>
      <c r="E704" t="inlineStr">
        <is>
          <t>W4</t>
        </is>
      </c>
      <c r="F704" t="inlineStr">
        <is>
          <t>2026_Kwiecień_W4</t>
        </is>
      </c>
      <c r="G704" t="inlineStr">
        <is>
          <t>Pt</t>
        </is>
      </c>
      <c r="H704" t="inlineStr">
        <is>
          <t>MAKOWSKA, ZUZANNA</t>
        </is>
      </c>
      <c r="I704" t="inlineStr">
        <is>
          <t>Shift manager/Supervisor</t>
        </is>
      </c>
      <c r="J704" t="inlineStr">
        <is>
          <t>Standard 0,75|30h</t>
        </is>
      </c>
      <c r="K704" t="n">
        <v>8.029999999999999</v>
      </c>
      <c r="L704" t="inlineStr">
        <is>
          <t>384</t>
        </is>
      </c>
      <c r="M704" t="inlineStr">
        <is>
          <t>108120 SBX Warszawa Janki</t>
        </is>
      </c>
      <c r="N704" t="inlineStr">
        <is>
          <t>2026-09-11 19:06</t>
        </is>
      </c>
    </row>
    <row r="705">
      <c r="A705" t="n">
        <v>704</v>
      </c>
      <c r="B705" t="inlineStr">
        <is>
          <t>2026-04-25</t>
        </is>
      </c>
      <c r="C705" t="n">
        <v>2026</v>
      </c>
      <c r="D705" t="inlineStr">
        <is>
          <t>Kwiecień</t>
        </is>
      </c>
      <c r="E705" t="inlineStr">
        <is>
          <t>W4</t>
        </is>
      </c>
      <c r="F705" t="inlineStr">
        <is>
          <t>2026_Kwiecień_W4</t>
        </is>
      </c>
      <c r="G705" t="inlineStr">
        <is>
          <t>Sob</t>
        </is>
      </c>
      <c r="H705" t="inlineStr">
        <is>
          <t>MAKOWSKA, ZUZANNA</t>
        </is>
      </c>
      <c r="I705" t="inlineStr">
        <is>
          <t>Shift manager/Supervisor</t>
        </is>
      </c>
      <c r="J705" t="inlineStr">
        <is>
          <t>Standard 0,75|30h</t>
        </is>
      </c>
      <c r="K705" t="n">
        <v>7.94</v>
      </c>
      <c r="L705" t="inlineStr">
        <is>
          <t>384</t>
        </is>
      </c>
      <c r="M705" t="inlineStr">
        <is>
          <t>108120 SBX Warszawa Janki</t>
        </is>
      </c>
      <c r="N705" t="inlineStr">
        <is>
          <t>2026-09-11 19:06</t>
        </is>
      </c>
    </row>
    <row r="706">
      <c r="A706" t="n">
        <v>705</v>
      </c>
      <c r="B706" t="inlineStr">
        <is>
          <t>2026-04-26</t>
        </is>
      </c>
      <c r="C706" t="n">
        <v>2026</v>
      </c>
      <c r="D706" t="inlineStr">
        <is>
          <t>Kwiecień</t>
        </is>
      </c>
      <c r="E706" t="inlineStr">
        <is>
          <t>W4</t>
        </is>
      </c>
      <c r="F706" t="inlineStr">
        <is>
          <t>2026_Kwiecień_W4</t>
        </is>
      </c>
      <c r="G706" t="inlineStr">
        <is>
          <t>Nd</t>
        </is>
      </c>
      <c r="H706" t="inlineStr">
        <is>
          <t>MAKOWSKA, ZUZANNA</t>
        </is>
      </c>
      <c r="I706" t="inlineStr">
        <is>
          <t>Shift manager/Supervisor</t>
        </is>
      </c>
      <c r="J706" t="inlineStr">
        <is>
          <t>Standard 0,75|30h</t>
        </is>
      </c>
      <c r="K706" t="n">
        <v>7.93</v>
      </c>
      <c r="L706" t="inlineStr">
        <is>
          <t>384</t>
        </is>
      </c>
      <c r="M706" t="inlineStr">
        <is>
          <t>108120 SBX Warszawa Janki</t>
        </is>
      </c>
      <c r="N706" t="inlineStr">
        <is>
          <t>2026-09-11 19:06</t>
        </is>
      </c>
    </row>
    <row r="707">
      <c r="A707" t="n">
        <v>706</v>
      </c>
      <c r="B707" t="inlineStr">
        <is>
          <t>2026-04-28</t>
        </is>
      </c>
      <c r="C707" t="n">
        <v>2026</v>
      </c>
      <c r="D707" t="inlineStr">
        <is>
          <t>Kwiecień</t>
        </is>
      </c>
      <c r="E707" t="inlineStr">
        <is>
          <t>W5</t>
        </is>
      </c>
      <c r="F707" t="inlineStr">
        <is>
          <t>2026_Kwiecień_W5</t>
        </is>
      </c>
      <c r="G707" t="inlineStr">
        <is>
          <t>Wt</t>
        </is>
      </c>
      <c r="H707" t="inlineStr">
        <is>
          <t>MAKOWSKA, ZUZANNA</t>
        </is>
      </c>
      <c r="I707" t="inlineStr">
        <is>
          <t>Shift manager/Supervisor</t>
        </is>
      </c>
      <c r="J707" t="inlineStr">
        <is>
          <t>Standard 0,75|30h</t>
        </is>
      </c>
      <c r="K707" t="n">
        <v>2.5</v>
      </c>
      <c r="L707" t="inlineStr">
        <is>
          <t>384</t>
        </is>
      </c>
      <c r="M707" t="inlineStr">
        <is>
          <t>108120 SBX Warszawa Janki</t>
        </is>
      </c>
      <c r="N707" t="inlineStr">
        <is>
          <t>2026-09-11 19:06</t>
        </is>
      </c>
    </row>
    <row r="708">
      <c r="A708" t="n">
        <v>707</v>
      </c>
      <c r="B708" t="inlineStr">
        <is>
          <t>2026-04-29</t>
        </is>
      </c>
      <c r="C708" t="n">
        <v>2026</v>
      </c>
      <c r="D708" t="inlineStr">
        <is>
          <t>Kwiecień</t>
        </is>
      </c>
      <c r="E708" t="inlineStr">
        <is>
          <t>W5</t>
        </is>
      </c>
      <c r="F708" t="inlineStr">
        <is>
          <t>2026_Kwiecień_W5</t>
        </is>
      </c>
      <c r="G708" t="inlineStr">
        <is>
          <t>Śr</t>
        </is>
      </c>
      <c r="H708" t="inlineStr">
        <is>
          <t>MAKOWSKA, ZUZANNA</t>
        </is>
      </c>
      <c r="I708" t="inlineStr">
        <is>
          <t>Shift manager/Supervisor</t>
        </is>
      </c>
      <c r="J708" t="inlineStr">
        <is>
          <t>Standard 0,75|30h</t>
        </is>
      </c>
      <c r="K708" t="n">
        <v>7.8</v>
      </c>
      <c r="L708" t="inlineStr">
        <is>
          <t>384</t>
        </is>
      </c>
      <c r="M708" t="inlineStr">
        <is>
          <t>108120 SBX Warszawa Janki</t>
        </is>
      </c>
      <c r="N708" t="inlineStr">
        <is>
          <t>2026-09-11 19:06</t>
        </is>
      </c>
    </row>
    <row r="709">
      <c r="A709" t="n">
        <v>708</v>
      </c>
      <c r="B709" t="inlineStr">
        <is>
          <t>2026-04-30</t>
        </is>
      </c>
      <c r="C709" t="n">
        <v>2026</v>
      </c>
      <c r="D709" t="inlineStr">
        <is>
          <t>Kwiecień</t>
        </is>
      </c>
      <c r="E709" t="inlineStr">
        <is>
          <t>W5</t>
        </is>
      </c>
      <c r="F709" t="inlineStr">
        <is>
          <t>2026_Kwiecień_W5</t>
        </is>
      </c>
      <c r="G709" t="inlineStr">
        <is>
          <t>Czw</t>
        </is>
      </c>
      <c r="H709" t="inlineStr">
        <is>
          <t>MAKOWSKA, ZUZANNA</t>
        </is>
      </c>
      <c r="I709" t="inlineStr">
        <is>
          <t>Shift manager/Supervisor</t>
        </is>
      </c>
      <c r="J709" t="inlineStr">
        <is>
          <t>Standard 0,75|30h</t>
        </is>
      </c>
      <c r="K709" t="n">
        <v>8.34</v>
      </c>
      <c r="L709" t="inlineStr">
        <is>
          <t>384</t>
        </is>
      </c>
      <c r="M709" t="inlineStr">
        <is>
          <t>108120 SBX Warszawa Janki</t>
        </is>
      </c>
      <c r="N709" t="inlineStr">
        <is>
          <t>2026-09-11 19:06</t>
        </is>
      </c>
    </row>
    <row r="710">
      <c r="A710" t="n">
        <v>709</v>
      </c>
      <c r="B710" t="inlineStr">
        <is>
          <t>2026-05-03</t>
        </is>
      </c>
      <c r="C710" t="n">
        <v>2026</v>
      </c>
      <c r="D710" t="inlineStr">
        <is>
          <t>Maj</t>
        </is>
      </c>
      <c r="E710" t="inlineStr">
        <is>
          <t>W1</t>
        </is>
      </c>
      <c r="F710" t="inlineStr">
        <is>
          <t>2026_Maj_W1</t>
        </is>
      </c>
      <c r="G710" t="inlineStr">
        <is>
          <t>Nd</t>
        </is>
      </c>
      <c r="H710" t="inlineStr">
        <is>
          <t>MAKOWSKA, ZUZANNA</t>
        </is>
      </c>
      <c r="I710" t="inlineStr">
        <is>
          <t>Shift manager/Supervisor</t>
        </is>
      </c>
      <c r="J710" t="inlineStr">
        <is>
          <t>Standard 0,75|30h</t>
        </is>
      </c>
      <c r="K710" t="n">
        <v>6.33</v>
      </c>
      <c r="L710" t="inlineStr">
        <is>
          <t>384</t>
        </is>
      </c>
      <c r="M710" t="inlineStr">
        <is>
          <t>108120 SBX Warszawa Janki</t>
        </is>
      </c>
      <c r="N710" t="inlineStr">
        <is>
          <t>2026-09-11 19:06</t>
        </is>
      </c>
    </row>
    <row r="711">
      <c r="A711" t="n">
        <v>710</v>
      </c>
      <c r="B711" t="inlineStr">
        <is>
          <t>2026-05-22</t>
        </is>
      </c>
      <c r="C711" t="n">
        <v>2026</v>
      </c>
      <c r="D711" t="inlineStr">
        <is>
          <t>Maj</t>
        </is>
      </c>
      <c r="E711" t="inlineStr">
        <is>
          <t>W4</t>
        </is>
      </c>
      <c r="F711" t="inlineStr">
        <is>
          <t>2026_Maj_W4</t>
        </is>
      </c>
      <c r="G711" t="inlineStr">
        <is>
          <t>Pt</t>
        </is>
      </c>
      <c r="H711" t="inlineStr">
        <is>
          <t>MAKOWSKA, ZUZANNA</t>
        </is>
      </c>
      <c r="I711" t="inlineStr">
        <is>
          <t>Shift manager/Supervisor</t>
        </is>
      </c>
      <c r="J711" t="inlineStr">
        <is>
          <t>Standard 0,75|30h</t>
        </is>
      </c>
      <c r="K711" t="n">
        <v>7.86</v>
      </c>
      <c r="L711" t="inlineStr">
        <is>
          <t>384</t>
        </is>
      </c>
      <c r="M711" t="inlineStr">
        <is>
          <t>108120 SBX Warszawa Janki</t>
        </is>
      </c>
      <c r="N711" t="inlineStr">
        <is>
          <t>2026-09-11 19:06</t>
        </is>
      </c>
    </row>
    <row r="712">
      <c r="A712" t="n">
        <v>711</v>
      </c>
      <c r="B712" t="inlineStr">
        <is>
          <t>2026-05-25</t>
        </is>
      </c>
      <c r="C712" t="n">
        <v>2026</v>
      </c>
      <c r="D712" t="inlineStr">
        <is>
          <t>Maj</t>
        </is>
      </c>
      <c r="E712" t="inlineStr">
        <is>
          <t>W4</t>
        </is>
      </c>
      <c r="F712" t="inlineStr">
        <is>
          <t>2026_Maj_W4</t>
        </is>
      </c>
      <c r="G712" t="inlineStr">
        <is>
          <t>Pn</t>
        </is>
      </c>
      <c r="H712" t="inlineStr">
        <is>
          <t>MAKOWSKA, ZUZANNA</t>
        </is>
      </c>
      <c r="I712" t="inlineStr">
        <is>
          <t>Shift manager/Supervisor</t>
        </is>
      </c>
      <c r="J712" t="inlineStr">
        <is>
          <t>Standard 0,75|30h</t>
        </is>
      </c>
      <c r="K712" t="n">
        <v>8</v>
      </c>
      <c r="L712" t="inlineStr">
        <is>
          <t>384</t>
        </is>
      </c>
      <c r="M712" t="inlineStr">
        <is>
          <t>108120 SBX Warszawa Janki</t>
        </is>
      </c>
      <c r="N712" t="inlineStr">
        <is>
          <t>2026-09-11 19:06</t>
        </is>
      </c>
    </row>
    <row r="713">
      <c r="A713" t="n">
        <v>712</v>
      </c>
      <c r="B713" t="inlineStr">
        <is>
          <t>2026-05-26</t>
        </is>
      </c>
      <c r="C713" t="n">
        <v>2026</v>
      </c>
      <c r="D713" t="inlineStr">
        <is>
          <t>Maj</t>
        </is>
      </c>
      <c r="E713" t="inlineStr">
        <is>
          <t>W5</t>
        </is>
      </c>
      <c r="F713" t="inlineStr">
        <is>
          <t>2026_Maj_W5</t>
        </is>
      </c>
      <c r="G713" t="inlineStr">
        <is>
          <t>Wt</t>
        </is>
      </c>
      <c r="H713" t="inlineStr">
        <is>
          <t>MAKOWSKA, ZUZANNA</t>
        </is>
      </c>
      <c r="I713" t="inlineStr">
        <is>
          <t>Shift manager/Supervisor</t>
        </is>
      </c>
      <c r="J713" t="inlineStr">
        <is>
          <t>Standard 0,75|30h</t>
        </is>
      </c>
      <c r="K713" t="n">
        <v>8.140000000000001</v>
      </c>
      <c r="L713" t="inlineStr">
        <is>
          <t>384</t>
        </is>
      </c>
      <c r="M713" t="inlineStr">
        <is>
          <t>108120 SBX Warszawa Janki</t>
        </is>
      </c>
      <c r="N713" t="inlineStr">
        <is>
          <t>2026-09-11 19:06</t>
        </is>
      </c>
    </row>
    <row r="714">
      <c r="A714" t="n">
        <v>713</v>
      </c>
      <c r="B714" t="inlineStr">
        <is>
          <t>2026-05-30</t>
        </is>
      </c>
      <c r="C714" t="n">
        <v>2026</v>
      </c>
      <c r="D714" t="inlineStr">
        <is>
          <t>Maj</t>
        </is>
      </c>
      <c r="E714" t="inlineStr">
        <is>
          <t>W5</t>
        </is>
      </c>
      <c r="F714" t="inlineStr">
        <is>
          <t>2026_Maj_W5</t>
        </is>
      </c>
      <c r="G714" t="inlineStr">
        <is>
          <t>Sob</t>
        </is>
      </c>
      <c r="H714" t="inlineStr">
        <is>
          <t>MAKOWSKA, ZUZANNA</t>
        </is>
      </c>
      <c r="I714" t="inlineStr">
        <is>
          <t>Shift manager/Supervisor</t>
        </is>
      </c>
      <c r="J714" t="inlineStr">
        <is>
          <t>Standard 0,75|30h</t>
        </is>
      </c>
      <c r="K714" t="n">
        <v>7.78</v>
      </c>
      <c r="L714" t="inlineStr">
        <is>
          <t>384</t>
        </is>
      </c>
      <c r="M714" t="inlineStr">
        <is>
          <t>108120 SBX Warszawa Janki</t>
        </is>
      </c>
      <c r="N714" t="inlineStr">
        <is>
          <t>2026-09-11 19:06</t>
        </is>
      </c>
    </row>
    <row r="715">
      <c r="A715" t="n">
        <v>714</v>
      </c>
      <c r="B715" t="inlineStr">
        <is>
          <t>2026-05-31</t>
        </is>
      </c>
      <c r="C715" t="n">
        <v>2026</v>
      </c>
      <c r="D715" t="inlineStr">
        <is>
          <t>Maj</t>
        </is>
      </c>
      <c r="E715" t="inlineStr">
        <is>
          <t>W5</t>
        </is>
      </c>
      <c r="F715" t="inlineStr">
        <is>
          <t>2026_Maj_W5</t>
        </is>
      </c>
      <c r="G715" t="inlineStr">
        <is>
          <t>Nd</t>
        </is>
      </c>
      <c r="H715" t="inlineStr">
        <is>
          <t>MAKOWSKA, ZUZANNA</t>
        </is>
      </c>
      <c r="I715" t="inlineStr">
        <is>
          <t>Shift manager/Supervisor</t>
        </is>
      </c>
      <c r="J715" t="inlineStr">
        <is>
          <t>Standard 0,75|30h</t>
        </is>
      </c>
      <c r="K715" t="n">
        <v>8.02</v>
      </c>
      <c r="L715" t="inlineStr">
        <is>
          <t>384</t>
        </is>
      </c>
      <c r="M715" t="inlineStr">
        <is>
          <t>108120 SBX Warszawa Janki</t>
        </is>
      </c>
      <c r="N715" t="inlineStr">
        <is>
          <t>2026-09-11 19:06</t>
        </is>
      </c>
    </row>
    <row r="716">
      <c r="A716" t="n">
        <v>715</v>
      </c>
      <c r="B716" t="inlineStr">
        <is>
          <t>2026-06-06</t>
        </is>
      </c>
      <c r="C716" t="n">
        <v>2026</v>
      </c>
      <c r="D716" t="inlineStr">
        <is>
          <t>Czerwiec</t>
        </is>
      </c>
      <c r="E716" t="inlineStr">
        <is>
          <t>W2</t>
        </is>
      </c>
      <c r="F716" t="inlineStr">
        <is>
          <t>2026_Czerwiec_W2</t>
        </is>
      </c>
      <c r="G716" t="inlineStr">
        <is>
          <t>Sob</t>
        </is>
      </c>
      <c r="H716" t="inlineStr">
        <is>
          <t>MAKOWSKA, ZUZANNA</t>
        </is>
      </c>
      <c r="I716" t="inlineStr">
        <is>
          <t>Shift manager/Supervisor</t>
        </is>
      </c>
      <c r="J716" t="inlineStr">
        <is>
          <t>Standard 0,75|30h</t>
        </is>
      </c>
      <c r="K716" t="n">
        <v>8.02</v>
      </c>
      <c r="L716" t="inlineStr">
        <is>
          <t>384</t>
        </is>
      </c>
      <c r="M716" t="inlineStr">
        <is>
          <t>108120 SBX Warszawa Janki</t>
        </is>
      </c>
      <c r="N716" t="inlineStr">
        <is>
          <t>2026-09-11 19:06</t>
        </is>
      </c>
    </row>
    <row r="717">
      <c r="A717" t="n">
        <v>716</v>
      </c>
      <c r="B717" t="inlineStr">
        <is>
          <t>2026-06-07</t>
        </is>
      </c>
      <c r="C717" t="n">
        <v>2026</v>
      </c>
      <c r="D717" t="inlineStr">
        <is>
          <t>Czerwiec</t>
        </is>
      </c>
      <c r="E717" t="inlineStr">
        <is>
          <t>W2</t>
        </is>
      </c>
      <c r="F717" t="inlineStr">
        <is>
          <t>2026_Czerwiec_W2</t>
        </is>
      </c>
      <c r="G717" t="inlineStr">
        <is>
          <t>Nd</t>
        </is>
      </c>
      <c r="H717" t="inlineStr">
        <is>
          <t>MAKOWSKA, ZUZANNA</t>
        </is>
      </c>
      <c r="I717" t="inlineStr">
        <is>
          <t>Shift manager/Supervisor</t>
        </is>
      </c>
      <c r="J717" t="inlineStr">
        <is>
          <t>Standard 0,75|30h</t>
        </is>
      </c>
      <c r="K717" t="n">
        <v>7.52</v>
      </c>
      <c r="L717" t="inlineStr">
        <is>
          <t>384</t>
        </is>
      </c>
      <c r="M717" t="inlineStr">
        <is>
          <t>108120 SBX Warszawa Janki</t>
        </is>
      </c>
      <c r="N717" t="inlineStr">
        <is>
          <t>2026-09-11 19:06</t>
        </is>
      </c>
    </row>
    <row r="718">
      <c r="A718" t="n">
        <v>717</v>
      </c>
      <c r="B718" t="inlineStr">
        <is>
          <t>2026-06-08</t>
        </is>
      </c>
      <c r="C718" t="n">
        <v>2026</v>
      </c>
      <c r="D718" t="inlineStr">
        <is>
          <t>Czerwiec</t>
        </is>
      </c>
      <c r="E718" t="inlineStr">
        <is>
          <t>W2</t>
        </is>
      </c>
      <c r="F718" t="inlineStr">
        <is>
          <t>2026_Czerwiec_W2</t>
        </is>
      </c>
      <c r="G718" t="inlineStr">
        <is>
          <t>Pn</t>
        </is>
      </c>
      <c r="H718" t="inlineStr">
        <is>
          <t>MAKOWSKA, ZUZANNA</t>
        </is>
      </c>
      <c r="I718" t="inlineStr">
        <is>
          <t>Shift manager/Supervisor</t>
        </is>
      </c>
      <c r="J718" t="inlineStr">
        <is>
          <t>Standard 0,75|30h</t>
        </is>
      </c>
      <c r="K718" t="n">
        <v>7.43</v>
      </c>
      <c r="L718" t="inlineStr">
        <is>
          <t>384</t>
        </is>
      </c>
      <c r="M718" t="inlineStr">
        <is>
          <t>108120 SBX Warszawa Janki</t>
        </is>
      </c>
      <c r="N718" t="inlineStr">
        <is>
          <t>2026-09-11 19:06</t>
        </is>
      </c>
    </row>
    <row r="719">
      <c r="A719" t="n">
        <v>718</v>
      </c>
      <c r="B719" t="inlineStr">
        <is>
          <t>2026-06-21</t>
        </is>
      </c>
      <c r="C719" t="n">
        <v>2026</v>
      </c>
      <c r="D719" t="inlineStr">
        <is>
          <t>Czerwiec</t>
        </is>
      </c>
      <c r="E719" t="inlineStr">
        <is>
          <t>W4</t>
        </is>
      </c>
      <c r="F719" t="inlineStr">
        <is>
          <t>2026_Czerwiec_W4</t>
        </is>
      </c>
      <c r="G719" t="inlineStr">
        <is>
          <t>Nd</t>
        </is>
      </c>
      <c r="H719" t="inlineStr">
        <is>
          <t>MAKOWSKA, ZUZANNA</t>
        </is>
      </c>
      <c r="I719" t="inlineStr">
        <is>
          <t>Shift manager/Supervisor</t>
        </is>
      </c>
      <c r="J719" t="inlineStr">
        <is>
          <t>Standard 0,75|30h</t>
        </is>
      </c>
      <c r="K719" t="n">
        <v>7</v>
      </c>
      <c r="L719" t="inlineStr">
        <is>
          <t>384</t>
        </is>
      </c>
      <c r="M719" t="inlineStr">
        <is>
          <t>108120 SBX Warszawa Janki</t>
        </is>
      </c>
      <c r="N719" t="inlineStr">
        <is>
          <t>2026-09-11 19:06</t>
        </is>
      </c>
    </row>
    <row r="720">
      <c r="A720" t="n">
        <v>719</v>
      </c>
      <c r="B720" t="inlineStr">
        <is>
          <t>2026-06-24</t>
        </is>
      </c>
      <c r="C720" t="n">
        <v>2026</v>
      </c>
      <c r="D720" t="inlineStr">
        <is>
          <t>Czerwiec</t>
        </is>
      </c>
      <c r="E720" t="inlineStr">
        <is>
          <t>W5</t>
        </is>
      </c>
      <c r="F720" t="inlineStr">
        <is>
          <t>2026_Czerwiec_W5</t>
        </is>
      </c>
      <c r="G720" t="inlineStr">
        <is>
          <t>Śr</t>
        </is>
      </c>
      <c r="H720" t="inlineStr">
        <is>
          <t>MAKOWSKA, ZUZANNA</t>
        </is>
      </c>
      <c r="I720" t="inlineStr">
        <is>
          <t>Shift manager/Supervisor</t>
        </is>
      </c>
      <c r="J720" t="inlineStr">
        <is>
          <t>Standard 0,75|30h</t>
        </is>
      </c>
      <c r="K720" t="n">
        <v>7.94</v>
      </c>
      <c r="L720" t="inlineStr">
        <is>
          <t>384</t>
        </is>
      </c>
      <c r="M720" t="inlineStr">
        <is>
          <t>108120 SBX Warszawa Janki</t>
        </is>
      </c>
      <c r="N720" t="inlineStr">
        <is>
          <t>2026-09-11 19:06</t>
        </is>
      </c>
    </row>
    <row r="721">
      <c r="A721" t="n">
        <v>720</v>
      </c>
      <c r="B721" t="inlineStr">
        <is>
          <t>2026-06-25</t>
        </is>
      </c>
      <c r="C721" t="n">
        <v>2026</v>
      </c>
      <c r="D721" t="inlineStr">
        <is>
          <t>Czerwiec</t>
        </is>
      </c>
      <c r="E721" t="inlineStr">
        <is>
          <t>W5</t>
        </is>
      </c>
      <c r="F721" t="inlineStr">
        <is>
          <t>2026_Czerwiec_W5</t>
        </is>
      </c>
      <c r="G721" t="inlineStr">
        <is>
          <t>Czw</t>
        </is>
      </c>
      <c r="H721" t="inlineStr">
        <is>
          <t>MAKOWSKA, ZUZANNA</t>
        </is>
      </c>
      <c r="I721" t="inlineStr">
        <is>
          <t>Shift manager/Supervisor</t>
        </is>
      </c>
      <c r="J721" t="inlineStr">
        <is>
          <t>Standard 0,75|30h</t>
        </is>
      </c>
      <c r="K721" t="n">
        <v>7.7</v>
      </c>
      <c r="L721" t="inlineStr">
        <is>
          <t>384</t>
        </is>
      </c>
      <c r="M721" t="inlineStr">
        <is>
          <t>108120 SBX Warszawa Janki</t>
        </is>
      </c>
      <c r="N721" t="inlineStr">
        <is>
          <t>2026-09-11 19:06</t>
        </is>
      </c>
    </row>
    <row r="722">
      <c r="A722" t="n">
        <v>721</v>
      </c>
      <c r="B722" t="inlineStr">
        <is>
          <t>2026-06-27</t>
        </is>
      </c>
      <c r="C722" t="n">
        <v>2026</v>
      </c>
      <c r="D722" t="inlineStr">
        <is>
          <t>Czerwiec</t>
        </is>
      </c>
      <c r="E722" t="inlineStr">
        <is>
          <t>W5</t>
        </is>
      </c>
      <c r="F722" t="inlineStr">
        <is>
          <t>2026_Czerwiec_W5</t>
        </is>
      </c>
      <c r="G722" t="inlineStr">
        <is>
          <t>Sob</t>
        </is>
      </c>
      <c r="H722" t="inlineStr">
        <is>
          <t>MAKOWSKA, ZUZANNA</t>
        </is>
      </c>
      <c r="I722" t="inlineStr">
        <is>
          <t>Shift manager/Supervisor</t>
        </is>
      </c>
      <c r="J722" t="inlineStr">
        <is>
          <t>Standard 0,75|30h</t>
        </is>
      </c>
      <c r="K722" t="n">
        <v>8.300000000000001</v>
      </c>
      <c r="L722" t="inlineStr">
        <is>
          <t>384</t>
        </is>
      </c>
      <c r="M722" t="inlineStr">
        <is>
          <t>108120 SBX Warszawa Janki</t>
        </is>
      </c>
      <c r="N722" t="inlineStr">
        <is>
          <t>2026-09-11 19:06</t>
        </is>
      </c>
    </row>
    <row r="723">
      <c r="A723" t="n">
        <v>722</v>
      </c>
      <c r="B723" t="inlineStr">
        <is>
          <t>2026-06-30</t>
        </is>
      </c>
      <c r="C723" t="n">
        <v>2026</v>
      </c>
      <c r="D723" t="inlineStr">
        <is>
          <t>Czerwiec</t>
        </is>
      </c>
      <c r="E723" t="inlineStr">
        <is>
          <t>W6</t>
        </is>
      </c>
      <c r="F723" t="inlineStr">
        <is>
          <t>2026_Czerwiec_W6</t>
        </is>
      </c>
      <c r="G723" t="inlineStr">
        <is>
          <t>Wt</t>
        </is>
      </c>
      <c r="H723" t="inlineStr">
        <is>
          <t>MAKOWSKA, ZUZANNA</t>
        </is>
      </c>
      <c r="I723" t="inlineStr">
        <is>
          <t>Shift manager/Supervisor</t>
        </is>
      </c>
      <c r="J723" t="inlineStr">
        <is>
          <t>Standard 0,75|30h</t>
        </is>
      </c>
      <c r="K723" t="n">
        <v>8.5</v>
      </c>
      <c r="L723" t="inlineStr">
        <is>
          <t>384</t>
        </is>
      </c>
      <c r="M723" t="inlineStr">
        <is>
          <t>108120 SBX Warszawa Janki</t>
        </is>
      </c>
      <c r="N723" t="inlineStr">
        <is>
          <t>2026-09-11 19:06</t>
        </is>
      </c>
    </row>
    <row r="724">
      <c r="A724" t="n">
        <v>723</v>
      </c>
      <c r="B724" t="inlineStr">
        <is>
          <t>2026-07-04</t>
        </is>
      </c>
      <c r="C724" t="n">
        <v>2026</v>
      </c>
      <c r="D724" t="inlineStr">
        <is>
          <t>Lipiec</t>
        </is>
      </c>
      <c r="E724" t="inlineStr">
        <is>
          <t>W1</t>
        </is>
      </c>
      <c r="F724" t="inlineStr">
        <is>
          <t>2026_Lipiec_W1</t>
        </is>
      </c>
      <c r="G724" t="inlineStr">
        <is>
          <t>Sob</t>
        </is>
      </c>
      <c r="H724" t="inlineStr">
        <is>
          <t>MAKOWSKA, ZUZANNA</t>
        </is>
      </c>
      <c r="I724" t="inlineStr">
        <is>
          <t>Shift manager/Supervisor</t>
        </is>
      </c>
      <c r="J724" t="inlineStr">
        <is>
          <t>Standard 0,75|30h</t>
        </is>
      </c>
      <c r="K724" t="n">
        <v>8.02</v>
      </c>
      <c r="L724" t="inlineStr">
        <is>
          <t>384</t>
        </is>
      </c>
      <c r="M724" t="inlineStr">
        <is>
          <t>108120 SBX Warszawa Janki</t>
        </is>
      </c>
      <c r="N724" t="inlineStr">
        <is>
          <t>2026-09-11 19:06</t>
        </is>
      </c>
    </row>
    <row r="725">
      <c r="A725" t="n">
        <v>724</v>
      </c>
      <c r="B725" t="inlineStr">
        <is>
          <t>2026-07-09</t>
        </is>
      </c>
      <c r="C725" t="n">
        <v>2026</v>
      </c>
      <c r="D725" t="inlineStr">
        <is>
          <t>Lipiec</t>
        </is>
      </c>
      <c r="E725" t="inlineStr">
        <is>
          <t>W2</t>
        </is>
      </c>
      <c r="F725" t="inlineStr">
        <is>
          <t>2026_Lipiec_W2</t>
        </is>
      </c>
      <c r="G725" t="inlineStr">
        <is>
          <t>Czw</t>
        </is>
      </c>
      <c r="H725" t="inlineStr">
        <is>
          <t>MAKOWSKA, ZUZANNA</t>
        </is>
      </c>
      <c r="I725" t="inlineStr">
        <is>
          <t>Shift manager/Supervisor</t>
        </is>
      </c>
      <c r="J725" t="inlineStr">
        <is>
          <t>Standard 0,75|30h</t>
        </is>
      </c>
      <c r="K725" t="n">
        <v>8</v>
      </c>
      <c r="L725" t="inlineStr">
        <is>
          <t>384</t>
        </is>
      </c>
      <c r="M725" t="inlineStr">
        <is>
          <t>108120 SBX Warszawa Janki</t>
        </is>
      </c>
      <c r="N725" t="inlineStr">
        <is>
          <t>2026-09-11 19:06</t>
        </is>
      </c>
    </row>
    <row r="726">
      <c r="A726" t="n">
        <v>725</v>
      </c>
      <c r="B726" t="inlineStr">
        <is>
          <t>2026-07-12</t>
        </is>
      </c>
      <c r="C726" t="n">
        <v>2026</v>
      </c>
      <c r="D726" t="inlineStr">
        <is>
          <t>Lipiec</t>
        </is>
      </c>
      <c r="E726" t="inlineStr">
        <is>
          <t>W2</t>
        </is>
      </c>
      <c r="F726" t="inlineStr">
        <is>
          <t>2026_Lipiec_W2</t>
        </is>
      </c>
      <c r="G726" t="inlineStr">
        <is>
          <t>Nd</t>
        </is>
      </c>
      <c r="H726" t="inlineStr">
        <is>
          <t>MAKOWSKA, ZUZANNA</t>
        </is>
      </c>
      <c r="I726" t="inlineStr">
        <is>
          <t>Shift manager/Supervisor</t>
        </is>
      </c>
      <c r="J726" t="inlineStr">
        <is>
          <t>Standard 0,75|30h</t>
        </is>
      </c>
      <c r="K726" t="n">
        <v>7.5</v>
      </c>
      <c r="L726" t="inlineStr">
        <is>
          <t>384</t>
        </is>
      </c>
      <c r="M726" t="inlineStr">
        <is>
          <t>108120 SBX Warszawa Janki</t>
        </is>
      </c>
      <c r="N726" t="inlineStr">
        <is>
          <t>2026-09-11 19:06</t>
        </is>
      </c>
    </row>
    <row r="727">
      <c r="A727" t="n">
        <v>726</v>
      </c>
      <c r="B727" t="inlineStr">
        <is>
          <t>2026-07-20</t>
        </is>
      </c>
      <c r="C727" t="n">
        <v>2026</v>
      </c>
      <c r="D727" t="inlineStr">
        <is>
          <t>Lipiec</t>
        </is>
      </c>
      <c r="E727" t="inlineStr">
        <is>
          <t>W3</t>
        </is>
      </c>
      <c r="F727" t="inlineStr">
        <is>
          <t>2026_Lipiec_W3</t>
        </is>
      </c>
      <c r="G727" t="inlineStr">
        <is>
          <t>Pn</t>
        </is>
      </c>
      <c r="H727" t="inlineStr">
        <is>
          <t>MAKOWSKA, ZUZANNA</t>
        </is>
      </c>
      <c r="I727" t="inlineStr">
        <is>
          <t>Shift manager/Supervisor</t>
        </is>
      </c>
      <c r="J727" t="inlineStr">
        <is>
          <t>Standard 0,75|30h</t>
        </is>
      </c>
      <c r="K727" t="n">
        <v>8.59</v>
      </c>
      <c r="L727" t="inlineStr">
        <is>
          <t>384</t>
        </is>
      </c>
      <c r="M727" t="inlineStr">
        <is>
          <t>108120 SBX Warszawa Janki</t>
        </is>
      </c>
      <c r="N727" t="inlineStr">
        <is>
          <t>2026-09-11 19:06</t>
        </is>
      </c>
    </row>
    <row r="728">
      <c r="A728" t="n">
        <v>727</v>
      </c>
      <c r="B728" t="inlineStr">
        <is>
          <t>2026-07-21</t>
        </is>
      </c>
      <c r="C728" t="n">
        <v>2026</v>
      </c>
      <c r="D728" t="inlineStr">
        <is>
          <t>Lipiec</t>
        </is>
      </c>
      <c r="E728" t="inlineStr">
        <is>
          <t>W4</t>
        </is>
      </c>
      <c r="F728" t="inlineStr">
        <is>
          <t>2026_Lipiec_W4</t>
        </is>
      </c>
      <c r="G728" t="inlineStr">
        <is>
          <t>Wt</t>
        </is>
      </c>
      <c r="H728" t="inlineStr">
        <is>
          <t>MAKOWSKA, ZUZANNA</t>
        </is>
      </c>
      <c r="I728" t="inlineStr">
        <is>
          <t>Shift manager/Supervisor</t>
        </is>
      </c>
      <c r="J728" t="inlineStr">
        <is>
          <t>Standard 0,75|30h</t>
        </is>
      </c>
      <c r="K728" t="n">
        <v>7.93</v>
      </c>
      <c r="L728" t="inlineStr">
        <is>
          <t>384</t>
        </is>
      </c>
      <c r="M728" t="inlineStr">
        <is>
          <t>108120 SBX Warszawa Janki</t>
        </is>
      </c>
      <c r="N728" t="inlineStr">
        <is>
          <t>2026-09-11 19:06</t>
        </is>
      </c>
    </row>
    <row r="729">
      <c r="A729" t="n">
        <v>728</v>
      </c>
      <c r="B729" t="inlineStr">
        <is>
          <t>2026-07-22</t>
        </is>
      </c>
      <c r="C729" t="n">
        <v>2026</v>
      </c>
      <c r="D729" t="inlineStr">
        <is>
          <t>Lipiec</t>
        </is>
      </c>
      <c r="E729" t="inlineStr">
        <is>
          <t>W4</t>
        </is>
      </c>
      <c r="F729" t="inlineStr">
        <is>
          <t>2026_Lipiec_W4</t>
        </is>
      </c>
      <c r="G729" t="inlineStr">
        <is>
          <t>Śr</t>
        </is>
      </c>
      <c r="H729" t="inlineStr">
        <is>
          <t>MAKOWSKA, ZUZANNA</t>
        </is>
      </c>
      <c r="I729" t="inlineStr">
        <is>
          <t>Shift manager/Supervisor</t>
        </is>
      </c>
      <c r="J729" t="inlineStr">
        <is>
          <t>Standard 0,75|30h</t>
        </is>
      </c>
      <c r="K729" t="n">
        <v>8.109999999999999</v>
      </c>
      <c r="L729" t="inlineStr">
        <is>
          <t>384</t>
        </is>
      </c>
      <c r="M729" t="inlineStr">
        <is>
          <t>108120 SBX Warszawa Janki</t>
        </is>
      </c>
      <c r="N729" t="inlineStr">
        <is>
          <t>2026-09-11 19:06</t>
        </is>
      </c>
    </row>
    <row r="730">
      <c r="A730" t="n">
        <v>729</v>
      </c>
      <c r="B730" t="inlineStr">
        <is>
          <t>2026-07-24</t>
        </is>
      </c>
      <c r="C730" t="n">
        <v>2026</v>
      </c>
      <c r="D730" t="inlineStr">
        <is>
          <t>Lipiec</t>
        </is>
      </c>
      <c r="E730" t="inlineStr">
        <is>
          <t>W4</t>
        </is>
      </c>
      <c r="F730" t="inlineStr">
        <is>
          <t>2026_Lipiec_W4</t>
        </is>
      </c>
      <c r="G730" t="inlineStr">
        <is>
          <t>Pt</t>
        </is>
      </c>
      <c r="H730" t="inlineStr">
        <is>
          <t>MAKOWSKA, ZUZANNA</t>
        </is>
      </c>
      <c r="I730" t="inlineStr">
        <is>
          <t>Shift manager/Supervisor</t>
        </is>
      </c>
      <c r="J730" t="inlineStr">
        <is>
          <t>Standard 0,75|30h</t>
        </is>
      </c>
      <c r="K730" t="n">
        <v>7.89</v>
      </c>
      <c r="L730" t="inlineStr">
        <is>
          <t>384</t>
        </is>
      </c>
      <c r="M730" t="inlineStr">
        <is>
          <t>108120 SBX Warszawa Janki</t>
        </is>
      </c>
      <c r="N730" t="inlineStr">
        <is>
          <t>2026-09-11 19:06</t>
        </is>
      </c>
    </row>
    <row r="731">
      <c r="A731" t="n">
        <v>730</v>
      </c>
      <c r="B731" t="inlineStr">
        <is>
          <t>2026-07-27</t>
        </is>
      </c>
      <c r="C731" t="n">
        <v>2026</v>
      </c>
      <c r="D731" t="inlineStr">
        <is>
          <t>Lipiec</t>
        </is>
      </c>
      <c r="E731" t="inlineStr">
        <is>
          <t>W4</t>
        </is>
      </c>
      <c r="F731" t="inlineStr">
        <is>
          <t>2026_Lipiec_W4</t>
        </is>
      </c>
      <c r="G731" t="inlineStr">
        <is>
          <t>Pn</t>
        </is>
      </c>
      <c r="H731" t="inlineStr">
        <is>
          <t>MAKOWSKA, ZUZANNA</t>
        </is>
      </c>
      <c r="I731" t="inlineStr">
        <is>
          <t>Shift manager/Supervisor</t>
        </is>
      </c>
      <c r="J731" t="inlineStr">
        <is>
          <t>Standard 0,75|30h</t>
        </is>
      </c>
      <c r="K731" t="n">
        <v>8.300000000000001</v>
      </c>
      <c r="L731" t="inlineStr">
        <is>
          <t>384</t>
        </is>
      </c>
      <c r="M731" t="inlineStr">
        <is>
          <t>108120 SBX Warszawa Janki</t>
        </is>
      </c>
      <c r="N731" t="inlineStr">
        <is>
          <t>2026-09-11 19:06</t>
        </is>
      </c>
    </row>
    <row r="732">
      <c r="A732" t="n">
        <v>731</v>
      </c>
      <c r="B732" t="inlineStr">
        <is>
          <t>2026-07-29</t>
        </is>
      </c>
      <c r="C732" t="n">
        <v>2026</v>
      </c>
      <c r="D732" t="inlineStr">
        <is>
          <t>Lipiec</t>
        </is>
      </c>
      <c r="E732" t="inlineStr">
        <is>
          <t>W5</t>
        </is>
      </c>
      <c r="F732" t="inlineStr">
        <is>
          <t>2026_Lipiec_W5</t>
        </is>
      </c>
      <c r="G732" t="inlineStr">
        <is>
          <t>Śr</t>
        </is>
      </c>
      <c r="H732" t="inlineStr">
        <is>
          <t>MAKOWSKA, ZUZANNA</t>
        </is>
      </c>
      <c r="I732" t="inlineStr">
        <is>
          <t>Shift manager/Supervisor</t>
        </is>
      </c>
      <c r="J732" t="inlineStr">
        <is>
          <t>Standard 0,75|30h</t>
        </is>
      </c>
      <c r="K732" t="n">
        <v>7.94</v>
      </c>
      <c r="L732" t="inlineStr">
        <is>
          <t>384</t>
        </is>
      </c>
      <c r="M732" t="inlineStr">
        <is>
          <t>108120 SBX Warszawa Janki</t>
        </is>
      </c>
      <c r="N732" t="inlineStr">
        <is>
          <t>2026-09-11 19:06</t>
        </is>
      </c>
    </row>
    <row r="733">
      <c r="A733" t="n">
        <v>732</v>
      </c>
      <c r="B733" t="inlineStr">
        <is>
          <t>2026-07-30</t>
        </is>
      </c>
      <c r="C733" t="n">
        <v>2026</v>
      </c>
      <c r="D733" t="inlineStr">
        <is>
          <t>Lipiec</t>
        </is>
      </c>
      <c r="E733" t="inlineStr">
        <is>
          <t>W5</t>
        </is>
      </c>
      <c r="F733" t="inlineStr">
        <is>
          <t>2026_Lipiec_W5</t>
        </is>
      </c>
      <c r="G733" t="inlineStr">
        <is>
          <t>Czw</t>
        </is>
      </c>
      <c r="H733" t="inlineStr">
        <is>
          <t>MAKOWSKA, ZUZANNA</t>
        </is>
      </c>
      <c r="I733" t="inlineStr">
        <is>
          <t>Shift manager/Supervisor</t>
        </is>
      </c>
      <c r="J733" t="inlineStr">
        <is>
          <t>Standard 0,75|30h</t>
        </is>
      </c>
      <c r="K733" t="n">
        <v>7.99</v>
      </c>
      <c r="L733" t="inlineStr">
        <is>
          <t>384</t>
        </is>
      </c>
      <c r="M733" t="inlineStr">
        <is>
          <t>108120 SBX Warszawa Janki</t>
        </is>
      </c>
      <c r="N733" t="inlineStr">
        <is>
          <t>2026-09-11 19:06</t>
        </is>
      </c>
    </row>
    <row r="734">
      <c r="A734" t="n">
        <v>733</v>
      </c>
      <c r="B734" t="inlineStr">
        <is>
          <t>2026-07-31</t>
        </is>
      </c>
      <c r="C734" t="n">
        <v>2026</v>
      </c>
      <c r="D734" t="inlineStr">
        <is>
          <t>Lipiec</t>
        </is>
      </c>
      <c r="E734" t="inlineStr">
        <is>
          <t>W5</t>
        </is>
      </c>
      <c r="F734" t="inlineStr">
        <is>
          <t>2026_Lipiec_W5</t>
        </is>
      </c>
      <c r="G734" t="inlineStr">
        <is>
          <t>Pt</t>
        </is>
      </c>
      <c r="H734" t="inlineStr">
        <is>
          <t>MAKOWSKA, ZUZANNA</t>
        </is>
      </c>
      <c r="I734" t="inlineStr">
        <is>
          <t>Shift manager/Supervisor</t>
        </is>
      </c>
      <c r="J734" t="inlineStr">
        <is>
          <t>Standard 0,75|30h</t>
        </is>
      </c>
      <c r="K734" t="n">
        <v>7.61</v>
      </c>
      <c r="L734" t="inlineStr">
        <is>
          <t>384</t>
        </is>
      </c>
      <c r="M734" t="inlineStr">
        <is>
          <t>108120 SBX Warszawa Janki</t>
        </is>
      </c>
      <c r="N734" t="inlineStr">
        <is>
          <t>2026-09-11 19:06</t>
        </is>
      </c>
    </row>
    <row r="735">
      <c r="A735" t="n">
        <v>734</v>
      </c>
      <c r="B735" t="inlineStr">
        <is>
          <t>2026-08-02</t>
        </is>
      </c>
      <c r="C735" t="n">
        <v>2026</v>
      </c>
      <c r="D735" t="inlineStr">
        <is>
          <t>Sierpień</t>
        </is>
      </c>
      <c r="E735" t="inlineStr">
        <is>
          <t>W1</t>
        </is>
      </c>
      <c r="F735" t="inlineStr">
        <is>
          <t>2026_Sierpień_W1</t>
        </is>
      </c>
      <c r="G735" t="inlineStr">
        <is>
          <t>Nd</t>
        </is>
      </c>
      <c r="H735" t="inlineStr">
        <is>
          <t>MAKOWSKA, ZUZANNA</t>
        </is>
      </c>
      <c r="I735" t="inlineStr">
        <is>
          <t>Shift manager/Supervisor</t>
        </is>
      </c>
      <c r="J735" t="inlineStr">
        <is>
          <t>Standard 0,75|30h</t>
        </is>
      </c>
      <c r="K735" t="n">
        <v>7</v>
      </c>
      <c r="L735" t="inlineStr">
        <is>
          <t>384</t>
        </is>
      </c>
      <c r="M735" t="inlineStr">
        <is>
          <t>108120 SBX Warszawa Janki</t>
        </is>
      </c>
      <c r="N735" t="inlineStr">
        <is>
          <t>2026-09-11 19:06</t>
        </is>
      </c>
    </row>
    <row r="736">
      <c r="A736" t="n">
        <v>735</v>
      </c>
      <c r="B736" t="inlineStr">
        <is>
          <t>2026-08-03</t>
        </is>
      </c>
      <c r="C736" t="n">
        <v>2026</v>
      </c>
      <c r="D736" t="inlineStr">
        <is>
          <t>Sierpień</t>
        </is>
      </c>
      <c r="E736" t="inlineStr">
        <is>
          <t>W1</t>
        </is>
      </c>
      <c r="F736" t="inlineStr">
        <is>
          <t>2026_Sierpień_W1</t>
        </is>
      </c>
      <c r="G736" t="inlineStr">
        <is>
          <t>Pn</t>
        </is>
      </c>
      <c r="H736" t="inlineStr">
        <is>
          <t>MAKOWSKA, ZUZANNA</t>
        </is>
      </c>
      <c r="I736" t="inlineStr">
        <is>
          <t>Shift manager/Supervisor</t>
        </is>
      </c>
      <c r="J736" t="inlineStr">
        <is>
          <t>Standard 0,75|30h</t>
        </is>
      </c>
      <c r="K736" t="n">
        <v>7.41</v>
      </c>
      <c r="L736" t="inlineStr">
        <is>
          <t>384</t>
        </is>
      </c>
      <c r="M736" t="inlineStr">
        <is>
          <t>108120 SBX Warszawa Janki</t>
        </is>
      </c>
      <c r="N736" t="inlineStr">
        <is>
          <t>2026-09-11 19:06</t>
        </is>
      </c>
    </row>
    <row r="737">
      <c r="A737" t="n">
        <v>736</v>
      </c>
      <c r="B737" t="inlineStr">
        <is>
          <t>2026-08-04</t>
        </is>
      </c>
      <c r="C737" t="n">
        <v>2026</v>
      </c>
      <c r="D737" t="inlineStr">
        <is>
          <t>Sierpień</t>
        </is>
      </c>
      <c r="E737" t="inlineStr">
        <is>
          <t>W2</t>
        </is>
      </c>
      <c r="F737" t="inlineStr">
        <is>
          <t>2026_Sierpień_W2</t>
        </is>
      </c>
      <c r="G737" t="inlineStr">
        <is>
          <t>Wt</t>
        </is>
      </c>
      <c r="H737" t="inlineStr">
        <is>
          <t>MAKOWSKA, ZUZANNA</t>
        </is>
      </c>
      <c r="I737" t="inlineStr">
        <is>
          <t>Shift manager/Supervisor</t>
        </is>
      </c>
      <c r="J737" t="inlineStr">
        <is>
          <t>Standard 0,75|30h</t>
        </is>
      </c>
      <c r="K737" t="n">
        <v>8</v>
      </c>
      <c r="L737" t="inlineStr">
        <is>
          <t>384</t>
        </is>
      </c>
      <c r="M737" t="inlineStr">
        <is>
          <t>108120 SBX Warszawa Janki</t>
        </is>
      </c>
      <c r="N737" t="inlineStr">
        <is>
          <t>2026-09-11 19:06</t>
        </is>
      </c>
    </row>
    <row r="738">
      <c r="A738" t="n">
        <v>737</v>
      </c>
      <c r="B738" t="inlineStr">
        <is>
          <t>2026-08-07</t>
        </is>
      </c>
      <c r="C738" t="n">
        <v>2026</v>
      </c>
      <c r="D738" t="inlineStr">
        <is>
          <t>Sierpień</t>
        </is>
      </c>
      <c r="E738" t="inlineStr">
        <is>
          <t>W2</t>
        </is>
      </c>
      <c r="F738" t="inlineStr">
        <is>
          <t>2026_Sierpień_W2</t>
        </is>
      </c>
      <c r="G738" t="inlineStr">
        <is>
          <t>Pt</t>
        </is>
      </c>
      <c r="H738" t="inlineStr">
        <is>
          <t>MAKOWSKA, ZUZANNA</t>
        </is>
      </c>
      <c r="I738" t="inlineStr">
        <is>
          <t>Shift manager/Supervisor</t>
        </is>
      </c>
      <c r="J738" t="inlineStr">
        <is>
          <t>Standard 0,75|30h</t>
        </is>
      </c>
      <c r="K738" t="n">
        <v>8.210000000000001</v>
      </c>
      <c r="L738" t="inlineStr">
        <is>
          <t>384</t>
        </is>
      </c>
      <c r="M738" t="inlineStr">
        <is>
          <t>108120 SBX Warszawa Janki</t>
        </is>
      </c>
      <c r="N738" t="inlineStr">
        <is>
          <t>2026-09-11 19:06</t>
        </is>
      </c>
    </row>
    <row r="739">
      <c r="A739" t="n">
        <v>738</v>
      </c>
      <c r="B739" t="inlineStr">
        <is>
          <t>2026-08-09</t>
        </is>
      </c>
      <c r="C739" t="n">
        <v>2026</v>
      </c>
      <c r="D739" t="inlineStr">
        <is>
          <t>Sierpień</t>
        </is>
      </c>
      <c r="E739" t="inlineStr">
        <is>
          <t>W2</t>
        </is>
      </c>
      <c r="F739" t="inlineStr">
        <is>
          <t>2026_Sierpień_W2</t>
        </is>
      </c>
      <c r="G739" t="inlineStr">
        <is>
          <t>Nd</t>
        </is>
      </c>
      <c r="H739" t="inlineStr">
        <is>
          <t>MAKOWSKA, ZUZANNA</t>
        </is>
      </c>
      <c r="I739" t="inlineStr">
        <is>
          <t>Shift manager/Supervisor</t>
        </is>
      </c>
      <c r="J739" t="inlineStr">
        <is>
          <t>Standard 0,75|30h</t>
        </is>
      </c>
      <c r="K739" t="n">
        <v>7.21</v>
      </c>
      <c r="L739" t="inlineStr">
        <is>
          <t>384</t>
        </is>
      </c>
      <c r="M739" t="inlineStr">
        <is>
          <t>108120 SBX Warszawa Janki</t>
        </is>
      </c>
      <c r="N739" t="inlineStr">
        <is>
          <t>2026-09-11 19:06</t>
        </is>
      </c>
    </row>
    <row r="740">
      <c r="A740" t="n">
        <v>739</v>
      </c>
      <c r="B740" t="inlineStr">
        <is>
          <t>2026-08-12</t>
        </is>
      </c>
      <c r="C740" t="n">
        <v>2026</v>
      </c>
      <c r="D740" t="inlineStr">
        <is>
          <t>Sierpień</t>
        </is>
      </c>
      <c r="E740" t="inlineStr">
        <is>
          <t>W3</t>
        </is>
      </c>
      <c r="F740" t="inlineStr">
        <is>
          <t>2026_Sierpień_W3</t>
        </is>
      </c>
      <c r="G740" t="inlineStr">
        <is>
          <t>Śr</t>
        </is>
      </c>
      <c r="H740" t="inlineStr">
        <is>
          <t>MAKOWSKA, ZUZANNA</t>
        </is>
      </c>
      <c r="I740" t="inlineStr">
        <is>
          <t>Shift manager/Supervisor</t>
        </is>
      </c>
      <c r="J740" t="inlineStr">
        <is>
          <t>Standard 0,75|30h</t>
        </is>
      </c>
      <c r="K740" t="n">
        <v>8.199999999999999</v>
      </c>
      <c r="L740" t="inlineStr">
        <is>
          <t>384</t>
        </is>
      </c>
      <c r="M740" t="inlineStr">
        <is>
          <t>108120 SBX Warszawa Janki</t>
        </is>
      </c>
      <c r="N740" t="inlineStr">
        <is>
          <t>2026-09-11 19:06</t>
        </is>
      </c>
    </row>
    <row r="741">
      <c r="A741" t="n">
        <v>740</v>
      </c>
      <c r="B741" t="inlineStr">
        <is>
          <t>2026-08-13</t>
        </is>
      </c>
      <c r="C741" t="n">
        <v>2026</v>
      </c>
      <c r="D741" t="inlineStr">
        <is>
          <t>Sierpień</t>
        </is>
      </c>
      <c r="E741" t="inlineStr">
        <is>
          <t>W3</t>
        </is>
      </c>
      <c r="F741" t="inlineStr">
        <is>
          <t>2026_Sierpień_W3</t>
        </is>
      </c>
      <c r="G741" t="inlineStr">
        <is>
          <t>Czw</t>
        </is>
      </c>
      <c r="H741" t="inlineStr">
        <is>
          <t>MAKOWSKA, ZUZANNA</t>
        </is>
      </c>
      <c r="I741" t="inlineStr">
        <is>
          <t>Shift manager/Supervisor</t>
        </is>
      </c>
      <c r="J741" t="inlineStr">
        <is>
          <t>Standard 0,75|30h</t>
        </is>
      </c>
      <c r="K741" t="n">
        <v>7.99</v>
      </c>
      <c r="L741" t="inlineStr">
        <is>
          <t>384</t>
        </is>
      </c>
      <c r="M741" t="inlineStr">
        <is>
          <t>108120 SBX Warszawa Janki</t>
        </is>
      </c>
      <c r="N741" t="inlineStr">
        <is>
          <t>2026-09-11 19:06</t>
        </is>
      </c>
    </row>
    <row r="742">
      <c r="A742" t="n">
        <v>741</v>
      </c>
      <c r="B742" t="inlineStr">
        <is>
          <t>2026-08-18</t>
        </is>
      </c>
      <c r="C742" t="n">
        <v>2026</v>
      </c>
      <c r="D742" t="inlineStr">
        <is>
          <t>Sierpień</t>
        </is>
      </c>
      <c r="E742" t="inlineStr">
        <is>
          <t>W4</t>
        </is>
      </c>
      <c r="F742" t="inlineStr">
        <is>
          <t>2026_Sierpień_W4</t>
        </is>
      </c>
      <c r="G742" t="inlineStr">
        <is>
          <t>Wt</t>
        </is>
      </c>
      <c r="H742" t="inlineStr">
        <is>
          <t>MAKOWSKA, ZUZANNA</t>
        </is>
      </c>
      <c r="I742" t="inlineStr">
        <is>
          <t>Shift manager/Supervisor</t>
        </is>
      </c>
      <c r="J742" t="inlineStr">
        <is>
          <t>Standard 0,75|30h</t>
        </is>
      </c>
      <c r="K742" t="n">
        <v>7.91</v>
      </c>
      <c r="L742" t="inlineStr">
        <is>
          <t>384</t>
        </is>
      </c>
      <c r="M742" t="inlineStr">
        <is>
          <t>108120 SBX Warszawa Janki</t>
        </is>
      </c>
      <c r="N742" t="inlineStr">
        <is>
          <t>2026-09-11 19:06</t>
        </is>
      </c>
    </row>
    <row r="743">
      <c r="A743" t="n">
        <v>742</v>
      </c>
      <c r="B743" t="inlineStr">
        <is>
          <t>2026-08-19</t>
        </is>
      </c>
      <c r="C743" t="n">
        <v>2026</v>
      </c>
      <c r="D743" t="inlineStr">
        <is>
          <t>Sierpień</t>
        </is>
      </c>
      <c r="E743" t="inlineStr">
        <is>
          <t>W4</t>
        </is>
      </c>
      <c r="F743" t="inlineStr">
        <is>
          <t>2026_Sierpień_W4</t>
        </is>
      </c>
      <c r="G743" t="inlineStr">
        <is>
          <t>Śr</t>
        </is>
      </c>
      <c r="H743" t="inlineStr">
        <is>
          <t>MAKOWSKA, ZUZANNA</t>
        </is>
      </c>
      <c r="I743" t="inlineStr">
        <is>
          <t>Shift manager/Supervisor</t>
        </is>
      </c>
      <c r="J743" t="inlineStr">
        <is>
          <t>Standard 0,75|30h</t>
        </is>
      </c>
      <c r="K743" t="n">
        <v>7.29</v>
      </c>
      <c r="L743" t="inlineStr">
        <is>
          <t>384</t>
        </is>
      </c>
      <c r="M743" t="inlineStr">
        <is>
          <t>108120 SBX Warszawa Janki</t>
        </is>
      </c>
      <c r="N743" t="inlineStr">
        <is>
          <t>2026-09-11 19:06</t>
        </is>
      </c>
    </row>
    <row r="744">
      <c r="A744" t="n">
        <v>743</v>
      </c>
      <c r="B744" t="inlineStr">
        <is>
          <t>2026-08-23</t>
        </is>
      </c>
      <c r="C744" t="n">
        <v>2026</v>
      </c>
      <c r="D744" t="inlineStr">
        <is>
          <t>Sierpień</t>
        </is>
      </c>
      <c r="E744" t="inlineStr">
        <is>
          <t>W4</t>
        </is>
      </c>
      <c r="F744" t="inlineStr">
        <is>
          <t>2026_Sierpień_W4</t>
        </is>
      </c>
      <c r="G744" t="inlineStr">
        <is>
          <t>Nd</t>
        </is>
      </c>
      <c r="H744" t="inlineStr">
        <is>
          <t>MAKOWSKA, ZUZANNA</t>
        </is>
      </c>
      <c r="I744" t="inlineStr">
        <is>
          <t>Shift manager/Supervisor</t>
        </is>
      </c>
      <c r="J744" t="inlineStr">
        <is>
          <t>Standard 0,75|30h</t>
        </is>
      </c>
      <c r="K744" t="n">
        <v>6.93</v>
      </c>
      <c r="L744" t="inlineStr">
        <is>
          <t>384</t>
        </is>
      </c>
      <c r="M744" t="inlineStr">
        <is>
          <t>108120 SBX Warszawa Janki</t>
        </is>
      </c>
      <c r="N744" t="inlineStr">
        <is>
          <t>2026-09-11 19:06</t>
        </is>
      </c>
    </row>
    <row r="745">
      <c r="A745" t="n">
        <v>744</v>
      </c>
      <c r="B745" t="inlineStr">
        <is>
          <t>2026-08-29</t>
        </is>
      </c>
      <c r="C745" t="n">
        <v>2026</v>
      </c>
      <c r="D745" t="inlineStr">
        <is>
          <t>Sierpień</t>
        </is>
      </c>
      <c r="E745" t="inlineStr">
        <is>
          <t>W5</t>
        </is>
      </c>
      <c r="F745" t="inlineStr">
        <is>
          <t>2026_Sierpień_W5</t>
        </is>
      </c>
      <c r="G745" t="inlineStr">
        <is>
          <t>Sob</t>
        </is>
      </c>
      <c r="H745" t="inlineStr">
        <is>
          <t>MAKOWSKA, ZUZANNA</t>
        </is>
      </c>
      <c r="I745" t="inlineStr">
        <is>
          <t>Shift manager/Supervisor</t>
        </is>
      </c>
      <c r="J745" t="inlineStr">
        <is>
          <t>Standard 0,75|30h</t>
        </is>
      </c>
      <c r="K745" t="n">
        <v>7.86</v>
      </c>
      <c r="L745" t="inlineStr">
        <is>
          <t>384</t>
        </is>
      </c>
      <c r="M745" t="inlineStr">
        <is>
          <t>108120 SBX Warszawa Janki</t>
        </is>
      </c>
      <c r="N745" t="inlineStr">
        <is>
          <t>2026-09-11 19:06</t>
        </is>
      </c>
    </row>
    <row r="746">
      <c r="A746" t="n">
        <v>745</v>
      </c>
      <c r="B746" t="inlineStr">
        <is>
          <t>2026-08-30</t>
        </is>
      </c>
      <c r="C746" t="n">
        <v>2026</v>
      </c>
      <c r="D746" t="inlineStr">
        <is>
          <t>Sierpień</t>
        </is>
      </c>
      <c r="E746" t="inlineStr">
        <is>
          <t>W5</t>
        </is>
      </c>
      <c r="F746" t="inlineStr">
        <is>
          <t>2026_Sierpień_W5</t>
        </is>
      </c>
      <c r="G746" t="inlineStr">
        <is>
          <t>Nd</t>
        </is>
      </c>
      <c r="H746" t="inlineStr">
        <is>
          <t>MAKOWSKA, ZUZANNA</t>
        </is>
      </c>
      <c r="I746" t="inlineStr">
        <is>
          <t>Shift manager/Supervisor</t>
        </is>
      </c>
      <c r="J746" t="inlineStr">
        <is>
          <t>Standard 0,75|30h</t>
        </is>
      </c>
      <c r="K746" t="n">
        <v>8.02</v>
      </c>
      <c r="L746" t="inlineStr">
        <is>
          <t>384</t>
        </is>
      </c>
      <c r="M746" t="inlineStr">
        <is>
          <t>108120 SBX Warszawa Janki</t>
        </is>
      </c>
      <c r="N746" t="inlineStr">
        <is>
          <t>2026-09-11 19:06</t>
        </is>
      </c>
    </row>
    <row r="747">
      <c r="A747" t="n">
        <v>746</v>
      </c>
      <c r="B747" t="inlineStr">
        <is>
          <t>2026-08-31</t>
        </is>
      </c>
      <c r="C747" t="n">
        <v>2026</v>
      </c>
      <c r="D747" t="inlineStr">
        <is>
          <t>Sierpień</t>
        </is>
      </c>
      <c r="E747" t="inlineStr">
        <is>
          <t>W5</t>
        </is>
      </c>
      <c r="F747" t="inlineStr">
        <is>
          <t>2026_Sierpień_W5</t>
        </is>
      </c>
      <c r="G747" t="inlineStr">
        <is>
          <t>Pn</t>
        </is>
      </c>
      <c r="H747" t="inlineStr">
        <is>
          <t>MAKOWSKA, ZUZANNA</t>
        </is>
      </c>
      <c r="I747" t="inlineStr">
        <is>
          <t>Shift manager/Supervisor</t>
        </is>
      </c>
      <c r="J747" t="inlineStr">
        <is>
          <t>Standard 0,75|30h</t>
        </is>
      </c>
      <c r="K747" t="n">
        <v>8</v>
      </c>
      <c r="L747" t="inlineStr">
        <is>
          <t>384</t>
        </is>
      </c>
      <c r="M747" t="inlineStr">
        <is>
          <t>108120 SBX Warszawa Janki</t>
        </is>
      </c>
      <c r="N747" t="inlineStr">
        <is>
          <t>2026-09-11 19:06</t>
        </is>
      </c>
    </row>
    <row r="748">
      <c r="A748" t="n">
        <v>747</v>
      </c>
      <c r="B748" t="inlineStr">
        <is>
          <t>2026-09-02</t>
        </is>
      </c>
      <c r="C748" t="n">
        <v>2026</v>
      </c>
      <c r="D748" t="inlineStr">
        <is>
          <t>Wrzesień</t>
        </is>
      </c>
      <c r="E748" t="inlineStr">
        <is>
          <t>W1</t>
        </is>
      </c>
      <c r="F748" t="inlineStr">
        <is>
          <t>2026_Wrzesień_W1</t>
        </is>
      </c>
      <c r="G748" t="inlineStr">
        <is>
          <t>Śr</t>
        </is>
      </c>
      <c r="H748" t="inlineStr">
        <is>
          <t>MAKOWSKA, ZUZANNA</t>
        </is>
      </c>
      <c r="I748" t="inlineStr">
        <is>
          <t>Shift manager/Supervisor</t>
        </is>
      </c>
      <c r="J748" t="inlineStr">
        <is>
          <t>Standard 0,75|30h</t>
        </is>
      </c>
      <c r="K748" t="n">
        <v>7.9</v>
      </c>
      <c r="L748" t="inlineStr">
        <is>
          <t>384</t>
        </is>
      </c>
      <c r="M748" t="inlineStr">
        <is>
          <t>108120 SBX Warszawa Janki</t>
        </is>
      </c>
      <c r="N748" t="inlineStr">
        <is>
          <t>2026-09-11 19:06</t>
        </is>
      </c>
    </row>
    <row r="749">
      <c r="A749" t="n">
        <v>748</v>
      </c>
      <c r="B749" t="inlineStr">
        <is>
          <t>2026-09-04</t>
        </is>
      </c>
      <c r="C749" t="n">
        <v>2026</v>
      </c>
      <c r="D749" t="inlineStr">
        <is>
          <t>Wrzesień</t>
        </is>
      </c>
      <c r="E749" t="inlineStr">
        <is>
          <t>W1</t>
        </is>
      </c>
      <c r="F749" t="inlineStr">
        <is>
          <t>2026_Wrzesień_W1</t>
        </is>
      </c>
      <c r="G749" t="inlineStr">
        <is>
          <t>Pt</t>
        </is>
      </c>
      <c r="H749" t="inlineStr">
        <is>
          <t>MAKOWSKA, ZUZANNA</t>
        </is>
      </c>
      <c r="I749" t="inlineStr">
        <is>
          <t>Shift manager/Supervisor</t>
        </is>
      </c>
      <c r="J749" t="inlineStr">
        <is>
          <t>Standard 0,75|30h</t>
        </is>
      </c>
      <c r="K749" t="n">
        <v>8.17</v>
      </c>
      <c r="L749" t="inlineStr">
        <is>
          <t>384</t>
        </is>
      </c>
      <c r="M749" t="inlineStr">
        <is>
          <t>108120 SBX Warszawa Janki</t>
        </is>
      </c>
      <c r="N749" t="inlineStr">
        <is>
          <t>2026-09-11 19:06</t>
        </is>
      </c>
    </row>
    <row r="750">
      <c r="A750" t="n">
        <v>749</v>
      </c>
      <c r="B750" t="inlineStr">
        <is>
          <t>2026-09-05</t>
        </is>
      </c>
      <c r="C750" t="n">
        <v>2026</v>
      </c>
      <c r="D750" t="inlineStr">
        <is>
          <t>Wrzesień</t>
        </is>
      </c>
      <c r="E750" t="inlineStr">
        <is>
          <t>W1</t>
        </is>
      </c>
      <c r="F750" t="inlineStr">
        <is>
          <t>2026_Wrzesień_W1</t>
        </is>
      </c>
      <c r="G750" t="inlineStr">
        <is>
          <t>Sob</t>
        </is>
      </c>
      <c r="H750" t="inlineStr">
        <is>
          <t>MAKOWSKA, ZUZANNA</t>
        </is>
      </c>
      <c r="I750" t="inlineStr">
        <is>
          <t>Shift manager/Supervisor</t>
        </is>
      </c>
      <c r="J750" t="inlineStr">
        <is>
          <t>Standard 0,75|30h</t>
        </is>
      </c>
      <c r="K750" t="n">
        <v>7.71</v>
      </c>
      <c r="L750" t="inlineStr">
        <is>
          <t>384</t>
        </is>
      </c>
      <c r="M750" t="inlineStr">
        <is>
          <t>108120 SBX Warszawa Janki</t>
        </is>
      </c>
      <c r="N750" t="inlineStr">
        <is>
          <t>2026-09-11 19:06</t>
        </is>
      </c>
    </row>
    <row r="751">
      <c r="A751" t="n">
        <v>750</v>
      </c>
      <c r="B751" t="inlineStr">
        <is>
          <t>2026-09-06</t>
        </is>
      </c>
      <c r="C751" t="n">
        <v>2026</v>
      </c>
      <c r="D751" t="inlineStr">
        <is>
          <t>Wrzesień</t>
        </is>
      </c>
      <c r="E751" t="inlineStr">
        <is>
          <t>W1</t>
        </is>
      </c>
      <c r="F751" t="inlineStr">
        <is>
          <t>2026_Wrzesień_W1</t>
        </is>
      </c>
      <c r="G751" t="inlineStr">
        <is>
          <t>Nd</t>
        </is>
      </c>
      <c r="H751" t="inlineStr">
        <is>
          <t>MAKOWSKA, ZUZANNA</t>
        </is>
      </c>
      <c r="I751" t="inlineStr">
        <is>
          <t>Shift manager/Supervisor</t>
        </is>
      </c>
      <c r="J751" t="inlineStr">
        <is>
          <t>Standard 0,75|30h</t>
        </is>
      </c>
      <c r="K751" t="n">
        <v>7.39</v>
      </c>
      <c r="L751" t="inlineStr">
        <is>
          <t>384</t>
        </is>
      </c>
      <c r="M751" t="inlineStr">
        <is>
          <t>108120 SBX Warszawa Janki</t>
        </is>
      </c>
      <c r="N751" t="inlineStr">
        <is>
          <t>2026-09-11 19:06</t>
        </is>
      </c>
    </row>
    <row r="752">
      <c r="A752" t="n">
        <v>751</v>
      </c>
      <c r="B752" t="inlineStr">
        <is>
          <t>2026-09-07</t>
        </is>
      </c>
      <c r="C752" t="n">
        <v>2026</v>
      </c>
      <c r="D752" t="inlineStr">
        <is>
          <t>Wrzesień</t>
        </is>
      </c>
      <c r="E752" t="inlineStr">
        <is>
          <t>W1</t>
        </is>
      </c>
      <c r="F752" t="inlineStr">
        <is>
          <t>2026_Wrzesień_W1</t>
        </is>
      </c>
      <c r="G752" t="inlineStr">
        <is>
          <t>Pn</t>
        </is>
      </c>
      <c r="H752" t="inlineStr">
        <is>
          <t>MAKOWSKA, ZUZANNA</t>
        </is>
      </c>
      <c r="I752" t="inlineStr">
        <is>
          <t>Shift manager/Supervisor</t>
        </is>
      </c>
      <c r="J752" t="inlineStr">
        <is>
          <t>Standard 0,75|30h</t>
        </is>
      </c>
      <c r="K752" t="n">
        <v>7.49</v>
      </c>
      <c r="L752" t="inlineStr">
        <is>
          <t>384</t>
        </is>
      </c>
      <c r="M752" t="inlineStr">
        <is>
          <t>108120 SBX Warszawa Janki</t>
        </is>
      </c>
      <c r="N752" t="inlineStr">
        <is>
          <t>2026-09-11 19:06</t>
        </is>
      </c>
    </row>
    <row r="753">
      <c r="A753" t="n">
        <v>752</v>
      </c>
      <c r="B753" t="inlineStr">
        <is>
          <t>2026-06-23</t>
        </is>
      </c>
      <c r="C753" t="n">
        <v>2026</v>
      </c>
      <c r="D753" t="inlineStr">
        <is>
          <t>Czerwiec</t>
        </is>
      </c>
      <c r="E753" t="inlineStr">
        <is>
          <t>W5</t>
        </is>
      </c>
      <c r="F753" t="inlineStr">
        <is>
          <t>2026_Czerwiec_W5</t>
        </is>
      </c>
      <c r="G753" t="inlineStr">
        <is>
          <t>Wt</t>
        </is>
      </c>
      <c r="H753" t="inlineStr">
        <is>
          <t>MICHALIK, WERONIKA</t>
        </is>
      </c>
      <c r="I753" t="inlineStr">
        <is>
          <t>Crew Civil</t>
        </is>
      </c>
      <c r="J753" t="inlineStr">
        <is>
          <t>Zlecenie</t>
        </is>
      </c>
      <c r="K753" t="n">
        <v>7</v>
      </c>
      <c r="L753" t="inlineStr">
        <is>
          <t>384</t>
        </is>
      </c>
      <c r="M753" t="inlineStr">
        <is>
          <t>108120 SBX Warszawa Janki</t>
        </is>
      </c>
      <c r="N753" t="inlineStr">
        <is>
          <t>2026-09-11 19:06</t>
        </is>
      </c>
    </row>
    <row r="754">
      <c r="A754" t="n">
        <v>753</v>
      </c>
      <c r="B754" t="inlineStr">
        <is>
          <t>2026-06-29</t>
        </is>
      </c>
      <c r="C754" t="n">
        <v>2026</v>
      </c>
      <c r="D754" t="inlineStr">
        <is>
          <t>Czerwiec</t>
        </is>
      </c>
      <c r="E754" t="inlineStr">
        <is>
          <t>W5</t>
        </is>
      </c>
      <c r="F754" t="inlineStr">
        <is>
          <t>2026_Czerwiec_W5</t>
        </is>
      </c>
      <c r="G754" t="inlineStr">
        <is>
          <t>Pn</t>
        </is>
      </c>
      <c r="H754" t="inlineStr">
        <is>
          <t>MICHALIK, WERONIKA</t>
        </is>
      </c>
      <c r="I754" t="inlineStr">
        <is>
          <t>Crew Civil</t>
        </is>
      </c>
      <c r="J754" t="inlineStr">
        <is>
          <t>Zlecenie</t>
        </is>
      </c>
      <c r="K754" t="n">
        <v>6.97</v>
      </c>
      <c r="L754" t="inlineStr">
        <is>
          <t>384</t>
        </is>
      </c>
      <c r="M754" t="inlineStr">
        <is>
          <t>108120 SBX Warszawa Janki</t>
        </is>
      </c>
      <c r="N754" t="inlineStr">
        <is>
          <t>2026-09-11 19:06</t>
        </is>
      </c>
    </row>
    <row r="755">
      <c r="A755" t="n">
        <v>754</v>
      </c>
      <c r="B755" t="inlineStr">
        <is>
          <t>2026-07-03</t>
        </is>
      </c>
      <c r="C755" t="n">
        <v>2026</v>
      </c>
      <c r="D755" t="inlineStr">
        <is>
          <t>Lipiec</t>
        </is>
      </c>
      <c r="E755" t="inlineStr">
        <is>
          <t>W1</t>
        </is>
      </c>
      <c r="F755" t="inlineStr">
        <is>
          <t>2026_Lipiec_W1</t>
        </is>
      </c>
      <c r="G755" t="inlineStr">
        <is>
          <t>Pt</t>
        </is>
      </c>
      <c r="H755" t="inlineStr">
        <is>
          <t>MICHALIK, WERONIKA</t>
        </is>
      </c>
      <c r="I755" t="inlineStr">
        <is>
          <t>Crew Civil</t>
        </is>
      </c>
      <c r="J755" t="inlineStr">
        <is>
          <t>Zlecenie</t>
        </is>
      </c>
      <c r="K755" t="n">
        <v>8</v>
      </c>
      <c r="L755" t="inlineStr">
        <is>
          <t>384</t>
        </is>
      </c>
      <c r="M755" t="inlineStr">
        <is>
          <t>108120 SBX Warszawa Janki</t>
        </is>
      </c>
      <c r="N755" t="inlineStr">
        <is>
          <t>2026-09-11 19:06</t>
        </is>
      </c>
    </row>
    <row r="756">
      <c r="A756" t="n">
        <v>755</v>
      </c>
      <c r="B756" t="inlineStr">
        <is>
          <t>2026-07-07</t>
        </is>
      </c>
      <c r="C756" t="n">
        <v>2026</v>
      </c>
      <c r="D756" t="inlineStr">
        <is>
          <t>Lipiec</t>
        </is>
      </c>
      <c r="E756" t="inlineStr">
        <is>
          <t>W2</t>
        </is>
      </c>
      <c r="F756" t="inlineStr">
        <is>
          <t>2026_Lipiec_W2</t>
        </is>
      </c>
      <c r="G756" t="inlineStr">
        <is>
          <t>Wt</t>
        </is>
      </c>
      <c r="H756" t="inlineStr">
        <is>
          <t>MICHALIK, WERONIKA</t>
        </is>
      </c>
      <c r="I756" t="inlineStr">
        <is>
          <t>Crew Civil</t>
        </is>
      </c>
      <c r="J756" t="inlineStr">
        <is>
          <t>Zlecenie</t>
        </is>
      </c>
      <c r="K756" t="n">
        <v>7</v>
      </c>
      <c r="L756" t="inlineStr">
        <is>
          <t>384</t>
        </is>
      </c>
      <c r="M756" t="inlineStr">
        <is>
          <t>108120 SBX Warszawa Janki</t>
        </is>
      </c>
      <c r="N756" t="inlineStr">
        <is>
          <t>2026-09-11 19:06</t>
        </is>
      </c>
    </row>
    <row r="757">
      <c r="A757" t="n">
        <v>756</v>
      </c>
      <c r="B757" t="inlineStr">
        <is>
          <t>2026-07-08</t>
        </is>
      </c>
      <c r="C757" t="n">
        <v>2026</v>
      </c>
      <c r="D757" t="inlineStr">
        <is>
          <t>Lipiec</t>
        </is>
      </c>
      <c r="E757" t="inlineStr">
        <is>
          <t>W2</t>
        </is>
      </c>
      <c r="F757" t="inlineStr">
        <is>
          <t>2026_Lipiec_W2</t>
        </is>
      </c>
      <c r="G757" t="inlineStr">
        <is>
          <t>Śr</t>
        </is>
      </c>
      <c r="H757" t="inlineStr">
        <is>
          <t>MICHALIK, WERONIKA</t>
        </is>
      </c>
      <c r="I757" t="inlineStr">
        <is>
          <t>Crew Civil</t>
        </is>
      </c>
      <c r="J757" t="inlineStr">
        <is>
          <t>Zlecenie</t>
        </is>
      </c>
      <c r="K757" t="n">
        <v>5.48</v>
      </c>
      <c r="L757" t="inlineStr">
        <is>
          <t>384</t>
        </is>
      </c>
      <c r="M757" t="inlineStr">
        <is>
          <t>108120 SBX Warszawa Janki</t>
        </is>
      </c>
      <c r="N757" t="inlineStr">
        <is>
          <t>2026-09-11 19:06</t>
        </is>
      </c>
    </row>
    <row r="758">
      <c r="A758" t="n">
        <v>757</v>
      </c>
      <c r="B758" t="inlineStr">
        <is>
          <t>2026-07-15</t>
        </is>
      </c>
      <c r="C758" t="n">
        <v>2026</v>
      </c>
      <c r="D758" t="inlineStr">
        <is>
          <t>Lipiec</t>
        </is>
      </c>
      <c r="E758" t="inlineStr">
        <is>
          <t>W3</t>
        </is>
      </c>
      <c r="F758" t="inlineStr">
        <is>
          <t>2026_Lipiec_W3</t>
        </is>
      </c>
      <c r="G758" t="inlineStr">
        <is>
          <t>Śr</t>
        </is>
      </c>
      <c r="H758" t="inlineStr">
        <is>
          <t>MICHALIK, WERONIKA</t>
        </is>
      </c>
      <c r="I758" t="inlineStr">
        <is>
          <t>Crew Civil</t>
        </is>
      </c>
      <c r="J758" t="inlineStr">
        <is>
          <t>Zlecenie</t>
        </is>
      </c>
      <c r="K758" t="n">
        <v>8.08</v>
      </c>
      <c r="L758" t="inlineStr">
        <is>
          <t>384</t>
        </is>
      </c>
      <c r="M758" t="inlineStr">
        <is>
          <t>108120 SBX Warszawa Janki</t>
        </is>
      </c>
      <c r="N758" t="inlineStr">
        <is>
          <t>2026-09-11 19:06</t>
        </is>
      </c>
    </row>
    <row r="759">
      <c r="A759" t="n">
        <v>758</v>
      </c>
      <c r="B759" t="inlineStr">
        <is>
          <t>2026-07-16</t>
        </is>
      </c>
      <c r="C759" t="n">
        <v>2026</v>
      </c>
      <c r="D759" t="inlineStr">
        <is>
          <t>Lipiec</t>
        </is>
      </c>
      <c r="E759" t="inlineStr">
        <is>
          <t>W3</t>
        </is>
      </c>
      <c r="F759" t="inlineStr">
        <is>
          <t>2026_Lipiec_W3</t>
        </is>
      </c>
      <c r="G759" t="inlineStr">
        <is>
          <t>Czw</t>
        </is>
      </c>
      <c r="H759" t="inlineStr">
        <is>
          <t>MICHALIK, WERONIKA</t>
        </is>
      </c>
      <c r="I759" t="inlineStr">
        <is>
          <t>Crew Civil</t>
        </is>
      </c>
      <c r="J759" t="inlineStr">
        <is>
          <t>Zlecenie</t>
        </is>
      </c>
      <c r="K759" t="n">
        <v>7.97</v>
      </c>
      <c r="L759" t="inlineStr">
        <is>
          <t>384</t>
        </is>
      </c>
      <c r="M759" t="inlineStr">
        <is>
          <t>108120 SBX Warszawa Janki</t>
        </is>
      </c>
      <c r="N759" t="inlineStr">
        <is>
          <t>2026-09-11 19:06</t>
        </is>
      </c>
    </row>
    <row r="760">
      <c r="A760" t="n">
        <v>759</v>
      </c>
      <c r="B760" t="inlineStr">
        <is>
          <t>2026-03-19</t>
        </is>
      </c>
      <c r="C760" t="n">
        <v>2026</v>
      </c>
      <c r="D760" t="inlineStr">
        <is>
          <t>Marzec</t>
        </is>
      </c>
      <c r="E760" t="inlineStr">
        <is>
          <t>W4</t>
        </is>
      </c>
      <c r="F760" t="inlineStr">
        <is>
          <t>2026_Marzec_W4</t>
        </is>
      </c>
      <c r="G760" t="inlineStr">
        <is>
          <t>Czw</t>
        </is>
      </c>
      <c r="H760" t="inlineStr">
        <is>
          <t>NOWAKOWSKI, ANTONI</t>
        </is>
      </c>
      <c r="I760" t="inlineStr">
        <is>
          <t>Crew Civil</t>
        </is>
      </c>
      <c r="J760" t="inlineStr">
        <is>
          <t>Zlecenie</t>
        </is>
      </c>
      <c r="K760" t="n">
        <v>2</v>
      </c>
      <c r="L760" t="inlineStr">
        <is>
          <t>384</t>
        </is>
      </c>
      <c r="M760" t="inlineStr">
        <is>
          <t>108120 SBX Warszawa Janki</t>
        </is>
      </c>
      <c r="N760" t="inlineStr">
        <is>
          <t>2026-09-11 19:06</t>
        </is>
      </c>
    </row>
    <row r="761">
      <c r="A761" t="n">
        <v>760</v>
      </c>
      <c r="B761" t="inlineStr">
        <is>
          <t>2026-03-19</t>
        </is>
      </c>
      <c r="C761" t="n">
        <v>2026</v>
      </c>
      <c r="D761" t="inlineStr">
        <is>
          <t>Marzec</t>
        </is>
      </c>
      <c r="E761" t="inlineStr">
        <is>
          <t>W4</t>
        </is>
      </c>
      <c r="F761" t="inlineStr">
        <is>
          <t>2026_Marzec_W4</t>
        </is>
      </c>
      <c r="G761" t="inlineStr">
        <is>
          <t>Czw</t>
        </is>
      </c>
      <c r="H761" t="inlineStr">
        <is>
          <t>NOWAKOWSKI, ANTONI</t>
        </is>
      </c>
      <c r="I761" t="inlineStr">
        <is>
          <t>Crew Civil</t>
        </is>
      </c>
      <c r="J761" t="inlineStr">
        <is>
          <t>Zlecenie</t>
        </is>
      </c>
      <c r="K761" t="n">
        <v>4.55</v>
      </c>
      <c r="L761" t="inlineStr">
        <is>
          <t>384</t>
        </is>
      </c>
      <c r="M761" t="inlineStr">
        <is>
          <t>108120 SBX Warszawa Janki</t>
        </is>
      </c>
      <c r="N761" t="inlineStr">
        <is>
          <t>2026-09-11 19:06</t>
        </is>
      </c>
    </row>
    <row r="762">
      <c r="A762" t="n">
        <v>761</v>
      </c>
      <c r="B762" t="inlineStr">
        <is>
          <t>2026-03-20</t>
        </is>
      </c>
      <c r="C762" t="n">
        <v>2026</v>
      </c>
      <c r="D762" t="inlineStr">
        <is>
          <t>Marzec</t>
        </is>
      </c>
      <c r="E762" t="inlineStr">
        <is>
          <t>W4</t>
        </is>
      </c>
      <c r="F762" t="inlineStr">
        <is>
          <t>2026_Marzec_W4</t>
        </is>
      </c>
      <c r="G762" t="inlineStr">
        <is>
          <t>Pt</t>
        </is>
      </c>
      <c r="H762" t="inlineStr">
        <is>
          <t>NOWAKOWSKI, ANTONI</t>
        </is>
      </c>
      <c r="I762" t="inlineStr">
        <is>
          <t>Crew Civil</t>
        </is>
      </c>
      <c r="J762" t="inlineStr">
        <is>
          <t>Zlecenie</t>
        </is>
      </c>
      <c r="K762" t="n">
        <v>5.14</v>
      </c>
      <c r="L762" t="inlineStr">
        <is>
          <t>384</t>
        </is>
      </c>
      <c r="M762" t="inlineStr">
        <is>
          <t>108120 SBX Warszawa Janki</t>
        </is>
      </c>
      <c r="N762" t="inlineStr">
        <is>
          <t>2026-09-11 19:06</t>
        </is>
      </c>
    </row>
    <row r="763">
      <c r="A763" t="n">
        <v>762</v>
      </c>
      <c r="B763" t="inlineStr">
        <is>
          <t>2026-03-24</t>
        </is>
      </c>
      <c r="C763" t="n">
        <v>2026</v>
      </c>
      <c r="D763" t="inlineStr">
        <is>
          <t>Marzec</t>
        </is>
      </c>
      <c r="E763" t="inlineStr">
        <is>
          <t>W5</t>
        </is>
      </c>
      <c r="F763" t="inlineStr">
        <is>
          <t>2026_Marzec_W5</t>
        </is>
      </c>
      <c r="G763" t="inlineStr">
        <is>
          <t>Wt</t>
        </is>
      </c>
      <c r="H763" t="inlineStr">
        <is>
          <t>NOWAKOWSKI, ANTONI</t>
        </is>
      </c>
      <c r="I763" t="inlineStr">
        <is>
          <t>Crew Civil</t>
        </is>
      </c>
      <c r="J763" t="inlineStr">
        <is>
          <t>Zlecenie</t>
        </is>
      </c>
      <c r="K763" t="n">
        <v>5.18</v>
      </c>
      <c r="L763" t="inlineStr">
        <is>
          <t>384</t>
        </is>
      </c>
      <c r="M763" t="inlineStr">
        <is>
          <t>108120 SBX Warszawa Janki</t>
        </is>
      </c>
      <c r="N763" t="inlineStr">
        <is>
          <t>2026-09-11 19:06</t>
        </is>
      </c>
    </row>
    <row r="764">
      <c r="A764" t="n">
        <v>763</v>
      </c>
      <c r="B764" t="inlineStr">
        <is>
          <t>2026-03-26</t>
        </is>
      </c>
      <c r="C764" t="n">
        <v>2026</v>
      </c>
      <c r="D764" t="inlineStr">
        <is>
          <t>Marzec</t>
        </is>
      </c>
      <c r="E764" t="inlineStr">
        <is>
          <t>W5</t>
        </is>
      </c>
      <c r="F764" t="inlineStr">
        <is>
          <t>2026_Marzec_W5</t>
        </is>
      </c>
      <c r="G764" t="inlineStr">
        <is>
          <t>Czw</t>
        </is>
      </c>
      <c r="H764" t="inlineStr">
        <is>
          <t>NOWAKOWSKI, ANTONI</t>
        </is>
      </c>
      <c r="I764" t="inlineStr">
        <is>
          <t>Crew Civil</t>
        </is>
      </c>
      <c r="J764" t="inlineStr">
        <is>
          <t>Zlecenie</t>
        </is>
      </c>
      <c r="K764" t="n">
        <v>3.98</v>
      </c>
      <c r="L764" t="inlineStr">
        <is>
          <t>384</t>
        </is>
      </c>
      <c r="M764" t="inlineStr">
        <is>
          <t>108120 SBX Warszawa Janki</t>
        </is>
      </c>
      <c r="N764" t="inlineStr">
        <is>
          <t>2026-09-11 19:06</t>
        </is>
      </c>
    </row>
    <row r="765">
      <c r="A765" t="n">
        <v>764</v>
      </c>
      <c r="B765" t="inlineStr">
        <is>
          <t>2026-04-13</t>
        </is>
      </c>
      <c r="C765" t="n">
        <v>2026</v>
      </c>
      <c r="D765" t="inlineStr">
        <is>
          <t>Kwiecień</t>
        </is>
      </c>
      <c r="E765" t="inlineStr">
        <is>
          <t>W2</t>
        </is>
      </c>
      <c r="F765" t="inlineStr">
        <is>
          <t>2026_Kwiecień_W2</t>
        </is>
      </c>
      <c r="G765" t="inlineStr">
        <is>
          <t>Pn</t>
        </is>
      </c>
      <c r="H765" t="inlineStr">
        <is>
          <t>NOWAKOWSKI, ANTONI</t>
        </is>
      </c>
      <c r="I765" t="inlineStr">
        <is>
          <t>Crew Civil</t>
        </is>
      </c>
      <c r="J765" t="inlineStr">
        <is>
          <t>Zlecenie</t>
        </is>
      </c>
      <c r="K765" t="n">
        <v>6.09</v>
      </c>
      <c r="L765" t="inlineStr">
        <is>
          <t>384</t>
        </is>
      </c>
      <c r="M765" t="inlineStr">
        <is>
          <t>108120 SBX Warszawa Janki</t>
        </is>
      </c>
      <c r="N765" t="inlineStr">
        <is>
          <t>2026-09-11 19:06</t>
        </is>
      </c>
    </row>
    <row r="766">
      <c r="A766" t="n">
        <v>765</v>
      </c>
      <c r="B766" t="inlineStr">
        <is>
          <t>2026-04-15</t>
        </is>
      </c>
      <c r="C766" t="n">
        <v>2026</v>
      </c>
      <c r="D766" t="inlineStr">
        <is>
          <t>Kwiecień</t>
        </is>
      </c>
      <c r="E766" t="inlineStr">
        <is>
          <t>W3</t>
        </is>
      </c>
      <c r="F766" t="inlineStr">
        <is>
          <t>2026_Kwiecień_W3</t>
        </is>
      </c>
      <c r="G766" t="inlineStr">
        <is>
          <t>Śr</t>
        </is>
      </c>
      <c r="H766" t="inlineStr">
        <is>
          <t>NOWAKOWSKI, ANTONI</t>
        </is>
      </c>
      <c r="I766" t="inlineStr">
        <is>
          <t>Crew Civil</t>
        </is>
      </c>
      <c r="J766" t="inlineStr">
        <is>
          <t>Zlecenie</t>
        </is>
      </c>
      <c r="K766" t="n">
        <v>5.53</v>
      </c>
      <c r="L766" t="inlineStr">
        <is>
          <t>384</t>
        </is>
      </c>
      <c r="M766" t="inlineStr">
        <is>
          <t>108120 SBX Warszawa Janki</t>
        </is>
      </c>
      <c r="N766" t="inlineStr">
        <is>
          <t>2026-09-11 19:06</t>
        </is>
      </c>
    </row>
    <row r="767">
      <c r="A767" t="n">
        <v>766</v>
      </c>
      <c r="B767" t="inlineStr">
        <is>
          <t>2026-04-17</t>
        </is>
      </c>
      <c r="C767" t="n">
        <v>2026</v>
      </c>
      <c r="D767" t="inlineStr">
        <is>
          <t>Kwiecień</t>
        </is>
      </c>
      <c r="E767" t="inlineStr">
        <is>
          <t>W3</t>
        </is>
      </c>
      <c r="F767" t="inlineStr">
        <is>
          <t>2026_Kwiecień_W3</t>
        </is>
      </c>
      <c r="G767" t="inlineStr">
        <is>
          <t>Pt</t>
        </is>
      </c>
      <c r="H767" t="inlineStr">
        <is>
          <t>NOWAKOWSKI, ANTONI</t>
        </is>
      </c>
      <c r="I767" t="inlineStr">
        <is>
          <t>Crew Civil</t>
        </is>
      </c>
      <c r="J767" t="inlineStr">
        <is>
          <t>Zlecenie</t>
        </is>
      </c>
      <c r="K767" t="n">
        <v>5.9</v>
      </c>
      <c r="L767" t="inlineStr">
        <is>
          <t>384</t>
        </is>
      </c>
      <c r="M767" t="inlineStr">
        <is>
          <t>108120 SBX Warszawa Janki</t>
        </is>
      </c>
      <c r="N767" t="inlineStr">
        <is>
          <t>2026-09-11 19:06</t>
        </is>
      </c>
    </row>
    <row r="768">
      <c r="A768" t="n">
        <v>767</v>
      </c>
      <c r="B768" t="inlineStr">
        <is>
          <t>2026-04-27</t>
        </is>
      </c>
      <c r="C768" t="n">
        <v>2026</v>
      </c>
      <c r="D768" t="inlineStr">
        <is>
          <t>Kwiecień</t>
        </is>
      </c>
      <c r="E768" t="inlineStr">
        <is>
          <t>W4</t>
        </is>
      </c>
      <c r="F768" t="inlineStr">
        <is>
          <t>2026_Kwiecień_W4</t>
        </is>
      </c>
      <c r="G768" t="inlineStr">
        <is>
          <t>Pn</t>
        </is>
      </c>
      <c r="H768" t="inlineStr">
        <is>
          <t>NOWAKOWSKI, ANTONI</t>
        </is>
      </c>
      <c r="I768" t="inlineStr">
        <is>
          <t>Crew Civil</t>
        </is>
      </c>
      <c r="J768" t="inlineStr">
        <is>
          <t>Zlecenie</t>
        </is>
      </c>
      <c r="K768" t="n">
        <v>6.53</v>
      </c>
      <c r="L768" t="inlineStr">
        <is>
          <t>384</t>
        </is>
      </c>
      <c r="M768" t="inlineStr">
        <is>
          <t>108120 SBX Warszawa Janki</t>
        </is>
      </c>
      <c r="N768" t="inlineStr">
        <is>
          <t>2026-09-11 19:06</t>
        </is>
      </c>
    </row>
    <row r="769">
      <c r="A769" t="n">
        <v>768</v>
      </c>
      <c r="B769" t="inlineStr">
        <is>
          <t>2026-04-28</t>
        </is>
      </c>
      <c r="C769" t="n">
        <v>2026</v>
      </c>
      <c r="D769" t="inlineStr">
        <is>
          <t>Kwiecień</t>
        </is>
      </c>
      <c r="E769" t="inlineStr">
        <is>
          <t>W5</t>
        </is>
      </c>
      <c r="F769" t="inlineStr">
        <is>
          <t>2026_Kwiecień_W5</t>
        </is>
      </c>
      <c r="G769" t="inlineStr">
        <is>
          <t>Wt</t>
        </is>
      </c>
      <c r="H769" t="inlineStr">
        <is>
          <t>NOWAKOWSKI, ANTONI</t>
        </is>
      </c>
      <c r="I769" t="inlineStr">
        <is>
          <t>Crew Civil</t>
        </is>
      </c>
      <c r="J769" t="inlineStr">
        <is>
          <t>Zlecenie</t>
        </is>
      </c>
      <c r="K769" t="n">
        <v>2.5</v>
      </c>
      <c r="L769" t="inlineStr">
        <is>
          <t>384</t>
        </is>
      </c>
      <c r="M769" t="inlineStr">
        <is>
          <t>108120 SBX Warszawa Janki</t>
        </is>
      </c>
      <c r="N769" t="inlineStr">
        <is>
          <t>2026-09-11 19:06</t>
        </is>
      </c>
    </row>
    <row r="770">
      <c r="A770" t="n">
        <v>769</v>
      </c>
      <c r="B770" t="inlineStr">
        <is>
          <t>2026-05-04</t>
        </is>
      </c>
      <c r="C770" t="n">
        <v>2026</v>
      </c>
      <c r="D770" t="inlineStr">
        <is>
          <t>Maj</t>
        </is>
      </c>
      <c r="E770" t="inlineStr">
        <is>
          <t>W1</t>
        </is>
      </c>
      <c r="F770" t="inlineStr">
        <is>
          <t>2026_Maj_W1</t>
        </is>
      </c>
      <c r="G770" t="inlineStr">
        <is>
          <t>Pn</t>
        </is>
      </c>
      <c r="H770" t="inlineStr">
        <is>
          <t>NOWAKOWSKI, ANTONI</t>
        </is>
      </c>
      <c r="I770" t="inlineStr">
        <is>
          <t>Crew Civil</t>
        </is>
      </c>
      <c r="J770" t="inlineStr">
        <is>
          <t>Zlecenie</t>
        </is>
      </c>
      <c r="K770" t="n">
        <v>7.19</v>
      </c>
      <c r="L770" t="inlineStr">
        <is>
          <t>384</t>
        </is>
      </c>
      <c r="M770" t="inlineStr">
        <is>
          <t>108120 SBX Warszawa Janki</t>
        </is>
      </c>
      <c r="N770" t="inlineStr">
        <is>
          <t>2026-09-11 19:06</t>
        </is>
      </c>
    </row>
    <row r="771">
      <c r="A771" t="n">
        <v>770</v>
      </c>
      <c r="B771" t="inlineStr">
        <is>
          <t>2026-05-08</t>
        </is>
      </c>
      <c r="C771" t="n">
        <v>2026</v>
      </c>
      <c r="D771" t="inlineStr">
        <is>
          <t>Maj</t>
        </is>
      </c>
      <c r="E771" t="inlineStr">
        <is>
          <t>W2</t>
        </is>
      </c>
      <c r="F771" t="inlineStr">
        <is>
          <t>2026_Maj_W2</t>
        </is>
      </c>
      <c r="G771" t="inlineStr">
        <is>
          <t>Pt</t>
        </is>
      </c>
      <c r="H771" t="inlineStr">
        <is>
          <t>NOWAKOWSKI, ANTONI</t>
        </is>
      </c>
      <c r="I771" t="inlineStr">
        <is>
          <t>Crew Civil</t>
        </is>
      </c>
      <c r="J771" t="inlineStr">
        <is>
          <t>Zlecenie</t>
        </is>
      </c>
      <c r="K771" t="n">
        <v>6.15</v>
      </c>
      <c r="L771" t="inlineStr">
        <is>
          <t>384</t>
        </is>
      </c>
      <c r="M771" t="inlineStr">
        <is>
          <t>108120 SBX Warszawa Janki</t>
        </is>
      </c>
      <c r="N771" t="inlineStr">
        <is>
          <t>2026-09-11 19:06</t>
        </is>
      </c>
    </row>
    <row r="772">
      <c r="A772" t="n">
        <v>771</v>
      </c>
      <c r="B772" t="inlineStr">
        <is>
          <t>2026-05-09</t>
        </is>
      </c>
      <c r="C772" t="n">
        <v>2026</v>
      </c>
      <c r="D772" t="inlineStr">
        <is>
          <t>Maj</t>
        </is>
      </c>
      <c r="E772" t="inlineStr">
        <is>
          <t>W2</t>
        </is>
      </c>
      <c r="F772" t="inlineStr">
        <is>
          <t>2026_Maj_W2</t>
        </is>
      </c>
      <c r="G772" t="inlineStr">
        <is>
          <t>Sob</t>
        </is>
      </c>
      <c r="H772" t="inlineStr">
        <is>
          <t>NOWAKOWSKI, ANTONI</t>
        </is>
      </c>
      <c r="I772" t="inlineStr">
        <is>
          <t>Crew Civil</t>
        </is>
      </c>
      <c r="J772" t="inlineStr">
        <is>
          <t>Zlecenie</t>
        </is>
      </c>
      <c r="K772" t="n">
        <v>8.300000000000001</v>
      </c>
      <c r="L772" t="inlineStr">
        <is>
          <t>384</t>
        </is>
      </c>
      <c r="M772" t="inlineStr">
        <is>
          <t>108120 SBX Warszawa Janki</t>
        </is>
      </c>
      <c r="N772" t="inlineStr">
        <is>
          <t>2026-09-11 19:06</t>
        </is>
      </c>
    </row>
    <row r="773">
      <c r="A773" t="n">
        <v>772</v>
      </c>
      <c r="B773" t="inlineStr">
        <is>
          <t>2026-05-13</t>
        </is>
      </c>
      <c r="C773" t="n">
        <v>2026</v>
      </c>
      <c r="D773" t="inlineStr">
        <is>
          <t>Maj</t>
        </is>
      </c>
      <c r="E773" t="inlineStr">
        <is>
          <t>W3</t>
        </is>
      </c>
      <c r="F773" t="inlineStr">
        <is>
          <t>2026_Maj_W3</t>
        </is>
      </c>
      <c r="G773" t="inlineStr">
        <is>
          <t>Śr</t>
        </is>
      </c>
      <c r="H773" t="inlineStr">
        <is>
          <t>NOWAKOWSKI, ANTONI</t>
        </is>
      </c>
      <c r="I773" t="inlineStr">
        <is>
          <t>Crew Civil</t>
        </is>
      </c>
      <c r="J773" t="inlineStr">
        <is>
          <t>Zlecenie</t>
        </is>
      </c>
      <c r="K773" t="n">
        <v>6.01</v>
      </c>
      <c r="L773" t="inlineStr">
        <is>
          <t>384</t>
        </is>
      </c>
      <c r="M773" t="inlineStr">
        <is>
          <t>108120 SBX Warszawa Janki</t>
        </is>
      </c>
      <c r="N773" t="inlineStr">
        <is>
          <t>2026-09-11 19:06</t>
        </is>
      </c>
    </row>
    <row r="774">
      <c r="A774" t="n">
        <v>773</v>
      </c>
      <c r="B774" t="inlineStr">
        <is>
          <t>2026-05-14</t>
        </is>
      </c>
      <c r="C774" t="n">
        <v>2026</v>
      </c>
      <c r="D774" t="inlineStr">
        <is>
          <t>Maj</t>
        </is>
      </c>
      <c r="E774" t="inlineStr">
        <is>
          <t>W3</t>
        </is>
      </c>
      <c r="F774" t="inlineStr">
        <is>
          <t>2026_Maj_W3</t>
        </is>
      </c>
      <c r="G774" t="inlineStr">
        <is>
          <t>Czw</t>
        </is>
      </c>
      <c r="H774" t="inlineStr">
        <is>
          <t>NOWAKOWSKI, ANTONI</t>
        </is>
      </c>
      <c r="I774" t="inlineStr">
        <is>
          <t>Crew Civil</t>
        </is>
      </c>
      <c r="J774" t="inlineStr">
        <is>
          <t>Zlecenie</t>
        </is>
      </c>
      <c r="K774" t="n">
        <v>6.29</v>
      </c>
      <c r="L774" t="inlineStr">
        <is>
          <t>384</t>
        </is>
      </c>
      <c r="M774" t="inlineStr">
        <is>
          <t>108120 SBX Warszawa Janki</t>
        </is>
      </c>
      <c r="N774" t="inlineStr">
        <is>
          <t>2026-09-11 19:06</t>
        </is>
      </c>
    </row>
    <row r="775">
      <c r="A775" t="n">
        <v>774</v>
      </c>
      <c r="B775" t="inlineStr">
        <is>
          <t>2026-05-15</t>
        </is>
      </c>
      <c r="C775" t="n">
        <v>2026</v>
      </c>
      <c r="D775" t="inlineStr">
        <is>
          <t>Maj</t>
        </is>
      </c>
      <c r="E775" t="inlineStr">
        <is>
          <t>W3</t>
        </is>
      </c>
      <c r="F775" t="inlineStr">
        <is>
          <t>2026_Maj_W3</t>
        </is>
      </c>
      <c r="G775" t="inlineStr">
        <is>
          <t>Pt</t>
        </is>
      </c>
      <c r="H775" t="inlineStr">
        <is>
          <t>NOWAKOWSKI, ANTONI</t>
        </is>
      </c>
      <c r="I775" t="inlineStr">
        <is>
          <t>Crew Civil</t>
        </is>
      </c>
      <c r="J775" t="inlineStr">
        <is>
          <t>Zlecenie</t>
        </is>
      </c>
      <c r="K775" t="n">
        <v>7.05</v>
      </c>
      <c r="L775" t="inlineStr">
        <is>
          <t>384</t>
        </is>
      </c>
      <c r="M775" t="inlineStr">
        <is>
          <t>108120 SBX Warszawa Janki</t>
        </is>
      </c>
      <c r="N775" t="inlineStr">
        <is>
          <t>2026-09-11 19:06</t>
        </is>
      </c>
    </row>
    <row r="776">
      <c r="A776" t="n">
        <v>775</v>
      </c>
      <c r="B776" t="inlineStr">
        <is>
          <t>2026-05-18</t>
        </is>
      </c>
      <c r="C776" t="n">
        <v>2026</v>
      </c>
      <c r="D776" t="inlineStr">
        <is>
          <t>Maj</t>
        </is>
      </c>
      <c r="E776" t="inlineStr">
        <is>
          <t>W3</t>
        </is>
      </c>
      <c r="F776" t="inlineStr">
        <is>
          <t>2026_Maj_W3</t>
        </is>
      </c>
      <c r="G776" t="inlineStr">
        <is>
          <t>Pn</t>
        </is>
      </c>
      <c r="H776" t="inlineStr">
        <is>
          <t>NOWAKOWSKI, ANTONI</t>
        </is>
      </c>
      <c r="I776" t="inlineStr">
        <is>
          <t>Crew Civil</t>
        </is>
      </c>
      <c r="J776" t="inlineStr">
        <is>
          <t>Zlecenie</t>
        </is>
      </c>
      <c r="K776" t="n">
        <v>1.5</v>
      </c>
      <c r="L776" t="inlineStr">
        <is>
          <t>384</t>
        </is>
      </c>
      <c r="M776" t="inlineStr">
        <is>
          <t>108120 SBX Warszawa Janki</t>
        </is>
      </c>
      <c r="N776" t="inlineStr">
        <is>
          <t>2026-09-11 19:06</t>
        </is>
      </c>
    </row>
    <row r="777">
      <c r="A777" t="n">
        <v>776</v>
      </c>
      <c r="B777" t="inlineStr">
        <is>
          <t>2026-05-21</t>
        </is>
      </c>
      <c r="C777" t="n">
        <v>2026</v>
      </c>
      <c r="D777" t="inlineStr">
        <is>
          <t>Maj</t>
        </is>
      </c>
      <c r="E777" t="inlineStr">
        <is>
          <t>W4</t>
        </is>
      </c>
      <c r="F777" t="inlineStr">
        <is>
          <t>2026_Maj_W4</t>
        </is>
      </c>
      <c r="G777" t="inlineStr">
        <is>
          <t>Czw</t>
        </is>
      </c>
      <c r="H777" t="inlineStr">
        <is>
          <t>NOWAKOWSKI, ANTONI</t>
        </is>
      </c>
      <c r="I777" t="inlineStr">
        <is>
          <t>Crew Civil</t>
        </is>
      </c>
      <c r="J777" t="inlineStr">
        <is>
          <t>Zlecenie</t>
        </is>
      </c>
      <c r="K777" t="n">
        <v>8.25</v>
      </c>
      <c r="L777" t="inlineStr">
        <is>
          <t>384</t>
        </is>
      </c>
      <c r="M777" t="inlineStr">
        <is>
          <t>108120 SBX Warszawa Janki</t>
        </is>
      </c>
      <c r="N777" t="inlineStr">
        <is>
          <t>2026-09-11 19:06</t>
        </is>
      </c>
    </row>
    <row r="778">
      <c r="A778" t="n">
        <v>777</v>
      </c>
      <c r="B778" t="inlineStr">
        <is>
          <t>2026-05-25</t>
        </is>
      </c>
      <c r="C778" t="n">
        <v>2026</v>
      </c>
      <c r="D778" t="inlineStr">
        <is>
          <t>Maj</t>
        </is>
      </c>
      <c r="E778" t="inlineStr">
        <is>
          <t>W4</t>
        </is>
      </c>
      <c r="F778" t="inlineStr">
        <is>
          <t>2026_Maj_W4</t>
        </is>
      </c>
      <c r="G778" t="inlineStr">
        <is>
          <t>Pn</t>
        </is>
      </c>
      <c r="H778" t="inlineStr">
        <is>
          <t>NOWAKOWSKI, ANTONI</t>
        </is>
      </c>
      <c r="I778" t="inlineStr">
        <is>
          <t>Crew Civil</t>
        </is>
      </c>
      <c r="J778" t="inlineStr">
        <is>
          <t>Zlecenie</t>
        </is>
      </c>
      <c r="K778" t="n">
        <v>5.04</v>
      </c>
      <c r="L778" t="inlineStr">
        <is>
          <t>384</t>
        </is>
      </c>
      <c r="M778" t="inlineStr">
        <is>
          <t>108120 SBX Warszawa Janki</t>
        </is>
      </c>
      <c r="N778" t="inlineStr">
        <is>
          <t>2026-09-11 19:06</t>
        </is>
      </c>
    </row>
    <row r="779">
      <c r="A779" t="n">
        <v>778</v>
      </c>
      <c r="B779" t="inlineStr">
        <is>
          <t>2026-06-02</t>
        </is>
      </c>
      <c r="C779" t="n">
        <v>2026</v>
      </c>
      <c r="D779" t="inlineStr">
        <is>
          <t>Czerwiec</t>
        </is>
      </c>
      <c r="E779" t="inlineStr">
        <is>
          <t>W2</t>
        </is>
      </c>
      <c r="F779" t="inlineStr">
        <is>
          <t>2026_Czerwiec_W2</t>
        </is>
      </c>
      <c r="G779" t="inlineStr">
        <is>
          <t>Wt</t>
        </is>
      </c>
      <c r="H779" t="inlineStr">
        <is>
          <t>NOWAKOWSKI, ANTONI</t>
        </is>
      </c>
      <c r="I779" t="inlineStr">
        <is>
          <t>Crew Civil</t>
        </is>
      </c>
      <c r="J779" t="inlineStr">
        <is>
          <t>Zlecenie</t>
        </is>
      </c>
      <c r="K779" t="n">
        <v>7.45</v>
      </c>
      <c r="L779" t="inlineStr">
        <is>
          <t>384</t>
        </is>
      </c>
      <c r="M779" t="inlineStr">
        <is>
          <t>108120 SBX Warszawa Janki</t>
        </is>
      </c>
      <c r="N779" t="inlineStr">
        <is>
          <t>2026-09-11 19:06</t>
        </is>
      </c>
    </row>
    <row r="780">
      <c r="A780" t="n">
        <v>779</v>
      </c>
      <c r="B780" t="inlineStr">
        <is>
          <t>2026-06-09</t>
        </is>
      </c>
      <c r="C780" t="n">
        <v>2026</v>
      </c>
      <c r="D780" t="inlineStr">
        <is>
          <t>Czerwiec</t>
        </is>
      </c>
      <c r="E780" t="inlineStr">
        <is>
          <t>W3</t>
        </is>
      </c>
      <c r="F780" t="inlineStr">
        <is>
          <t>2026_Czerwiec_W3</t>
        </is>
      </c>
      <c r="G780" t="inlineStr">
        <is>
          <t>Wt</t>
        </is>
      </c>
      <c r="H780" t="inlineStr">
        <is>
          <t>NOWAKOWSKI, ANTONI</t>
        </is>
      </c>
      <c r="I780" t="inlineStr">
        <is>
          <t>Crew Civil</t>
        </is>
      </c>
      <c r="J780" t="inlineStr">
        <is>
          <t>Zlecenie</t>
        </is>
      </c>
      <c r="K780" t="n">
        <v>6.24</v>
      </c>
      <c r="L780" t="inlineStr">
        <is>
          <t>384</t>
        </is>
      </c>
      <c r="M780" t="inlineStr">
        <is>
          <t>108120 SBX Warszawa Janki</t>
        </is>
      </c>
      <c r="N780" t="inlineStr">
        <is>
          <t>2026-09-11 19:06</t>
        </is>
      </c>
    </row>
    <row r="781">
      <c r="A781" t="n">
        <v>780</v>
      </c>
      <c r="B781" t="inlineStr">
        <is>
          <t>2026-06-11</t>
        </is>
      </c>
      <c r="C781" t="n">
        <v>2026</v>
      </c>
      <c r="D781" t="inlineStr">
        <is>
          <t>Czerwiec</t>
        </is>
      </c>
      <c r="E781" t="inlineStr">
        <is>
          <t>W3</t>
        </is>
      </c>
      <c r="F781" t="inlineStr">
        <is>
          <t>2026_Czerwiec_W3</t>
        </is>
      </c>
      <c r="G781" t="inlineStr">
        <is>
          <t>Czw</t>
        </is>
      </c>
      <c r="H781" t="inlineStr">
        <is>
          <t>NOWAKOWSKI, ANTONI</t>
        </is>
      </c>
      <c r="I781" t="inlineStr">
        <is>
          <t>Crew Civil</t>
        </is>
      </c>
      <c r="J781" t="inlineStr">
        <is>
          <t>Zlecenie</t>
        </is>
      </c>
      <c r="K781" t="n">
        <v>8.119999999999999</v>
      </c>
      <c r="L781" t="inlineStr">
        <is>
          <t>384</t>
        </is>
      </c>
      <c r="M781" t="inlineStr">
        <is>
          <t>108120 SBX Warszawa Janki</t>
        </is>
      </c>
      <c r="N781" t="inlineStr">
        <is>
          <t>2026-09-11 19:06</t>
        </is>
      </c>
    </row>
    <row r="782">
      <c r="A782" t="n">
        <v>781</v>
      </c>
      <c r="B782" t="inlineStr">
        <is>
          <t>2026-06-12</t>
        </is>
      </c>
      <c r="C782" t="n">
        <v>2026</v>
      </c>
      <c r="D782" t="inlineStr">
        <is>
          <t>Czerwiec</t>
        </is>
      </c>
      <c r="E782" t="inlineStr">
        <is>
          <t>W3</t>
        </is>
      </c>
      <c r="F782" t="inlineStr">
        <is>
          <t>2026_Czerwiec_W3</t>
        </is>
      </c>
      <c r="G782" t="inlineStr">
        <is>
          <t>Pt</t>
        </is>
      </c>
      <c r="H782" t="inlineStr">
        <is>
          <t>NOWAKOWSKI, ANTONI</t>
        </is>
      </c>
      <c r="I782" t="inlineStr">
        <is>
          <t>Crew Civil</t>
        </is>
      </c>
      <c r="J782" t="inlineStr">
        <is>
          <t>Zlecenie</t>
        </is>
      </c>
      <c r="K782" t="n">
        <v>6.82</v>
      </c>
      <c r="L782" t="inlineStr">
        <is>
          <t>384</t>
        </is>
      </c>
      <c r="M782" t="inlineStr">
        <is>
          <t>108120 SBX Warszawa Janki</t>
        </is>
      </c>
      <c r="N782" t="inlineStr">
        <is>
          <t>2026-09-11 19:06</t>
        </is>
      </c>
    </row>
    <row r="783">
      <c r="A783" t="n">
        <v>782</v>
      </c>
      <c r="B783" t="inlineStr">
        <is>
          <t>2026-06-16</t>
        </is>
      </c>
      <c r="C783" t="n">
        <v>2026</v>
      </c>
      <c r="D783" t="inlineStr">
        <is>
          <t>Czerwiec</t>
        </is>
      </c>
      <c r="E783" t="inlineStr">
        <is>
          <t>W4</t>
        </is>
      </c>
      <c r="F783" t="inlineStr">
        <is>
          <t>2026_Czerwiec_W4</t>
        </is>
      </c>
      <c r="G783" t="inlineStr">
        <is>
          <t>Wt</t>
        </is>
      </c>
      <c r="H783" t="inlineStr">
        <is>
          <t>NOWAKOWSKI, ANTONI</t>
        </is>
      </c>
      <c r="I783" t="inlineStr">
        <is>
          <t>Crew Civil</t>
        </is>
      </c>
      <c r="J783" t="inlineStr">
        <is>
          <t>Zlecenie</t>
        </is>
      </c>
      <c r="K783" t="n">
        <v>7.83</v>
      </c>
      <c r="L783" t="inlineStr">
        <is>
          <t>384</t>
        </is>
      </c>
      <c r="M783" t="inlineStr">
        <is>
          <t>108120 SBX Warszawa Janki</t>
        </is>
      </c>
      <c r="N783" t="inlineStr">
        <is>
          <t>2026-09-11 19:06</t>
        </is>
      </c>
    </row>
    <row r="784">
      <c r="A784" t="n">
        <v>783</v>
      </c>
      <c r="B784" t="inlineStr">
        <is>
          <t>2026-06-18</t>
        </is>
      </c>
      <c r="C784" t="n">
        <v>2026</v>
      </c>
      <c r="D784" t="inlineStr">
        <is>
          <t>Czerwiec</t>
        </is>
      </c>
      <c r="E784" t="inlineStr">
        <is>
          <t>W4</t>
        </is>
      </c>
      <c r="F784" t="inlineStr">
        <is>
          <t>2026_Czerwiec_W4</t>
        </is>
      </c>
      <c r="G784" t="inlineStr">
        <is>
          <t>Czw</t>
        </is>
      </c>
      <c r="H784" t="inlineStr">
        <is>
          <t>NOWAKOWSKI, ANTONI</t>
        </is>
      </c>
      <c r="I784" t="inlineStr">
        <is>
          <t>Crew Civil</t>
        </is>
      </c>
      <c r="J784" t="inlineStr">
        <is>
          <t>Zlecenie</t>
        </is>
      </c>
      <c r="K784" t="n">
        <v>8.199999999999999</v>
      </c>
      <c r="L784" t="inlineStr">
        <is>
          <t>384</t>
        </is>
      </c>
      <c r="M784" t="inlineStr">
        <is>
          <t>108120 SBX Warszawa Janki</t>
        </is>
      </c>
      <c r="N784" t="inlineStr">
        <is>
          <t>2026-09-11 19:06</t>
        </is>
      </c>
    </row>
    <row r="785">
      <c r="A785" t="n">
        <v>784</v>
      </c>
      <c r="B785" t="inlineStr">
        <is>
          <t>2026-06-27</t>
        </is>
      </c>
      <c r="C785" t="n">
        <v>2026</v>
      </c>
      <c r="D785" t="inlineStr">
        <is>
          <t>Czerwiec</t>
        </is>
      </c>
      <c r="E785" t="inlineStr">
        <is>
          <t>W5</t>
        </is>
      </c>
      <c r="F785" t="inlineStr">
        <is>
          <t>2026_Czerwiec_W5</t>
        </is>
      </c>
      <c r="G785" t="inlineStr">
        <is>
          <t>Sob</t>
        </is>
      </c>
      <c r="H785" t="inlineStr">
        <is>
          <t>NOWAKOWSKI, ANTONI</t>
        </is>
      </c>
      <c r="I785" t="inlineStr">
        <is>
          <t>Crew Civil</t>
        </is>
      </c>
      <c r="J785" t="inlineStr">
        <is>
          <t>Zlecenie</t>
        </is>
      </c>
      <c r="K785" t="n">
        <v>9.82</v>
      </c>
      <c r="L785" t="inlineStr">
        <is>
          <t>384</t>
        </is>
      </c>
      <c r="M785" t="inlineStr">
        <is>
          <t>108120 SBX Warszawa Janki</t>
        </is>
      </c>
      <c r="N785" t="inlineStr">
        <is>
          <t>2026-09-11 19:06</t>
        </is>
      </c>
    </row>
    <row r="786">
      <c r="A786" t="n">
        <v>785</v>
      </c>
      <c r="B786" t="inlineStr">
        <is>
          <t>2026-06-28</t>
        </is>
      </c>
      <c r="C786" t="n">
        <v>2026</v>
      </c>
      <c r="D786" t="inlineStr">
        <is>
          <t>Czerwiec</t>
        </is>
      </c>
      <c r="E786" t="inlineStr">
        <is>
          <t>W5</t>
        </is>
      </c>
      <c r="F786" t="inlineStr">
        <is>
          <t>2026_Czerwiec_W5</t>
        </is>
      </c>
      <c r="G786" t="inlineStr">
        <is>
          <t>Nd</t>
        </is>
      </c>
      <c r="H786" t="inlineStr">
        <is>
          <t>NOWAKOWSKI, ANTONI</t>
        </is>
      </c>
      <c r="I786" t="inlineStr">
        <is>
          <t>Crew Civil</t>
        </is>
      </c>
      <c r="J786" t="inlineStr">
        <is>
          <t>Zlecenie</t>
        </is>
      </c>
      <c r="K786" t="n">
        <v>9.369999999999999</v>
      </c>
      <c r="L786" t="inlineStr">
        <is>
          <t>384</t>
        </is>
      </c>
      <c r="M786" t="inlineStr">
        <is>
          <t>108120 SBX Warszawa Janki</t>
        </is>
      </c>
      <c r="N786" t="inlineStr">
        <is>
          <t>2026-09-11 19:06</t>
        </is>
      </c>
    </row>
    <row r="787">
      <c r="A787" t="n">
        <v>786</v>
      </c>
      <c r="B787" t="inlineStr">
        <is>
          <t>2026-07-02</t>
        </is>
      </c>
      <c r="C787" t="n">
        <v>2026</v>
      </c>
      <c r="D787" t="inlineStr">
        <is>
          <t>Lipiec</t>
        </is>
      </c>
      <c r="E787" t="inlineStr">
        <is>
          <t>W1</t>
        </is>
      </c>
      <c r="F787" t="inlineStr">
        <is>
          <t>2026_Lipiec_W1</t>
        </is>
      </c>
      <c r="G787" t="inlineStr">
        <is>
          <t>Czw</t>
        </is>
      </c>
      <c r="H787" t="inlineStr">
        <is>
          <t>NOWAKOWSKI, ANTONI</t>
        </is>
      </c>
      <c r="I787" t="inlineStr">
        <is>
          <t>Crew Civil</t>
        </is>
      </c>
      <c r="J787" t="inlineStr">
        <is>
          <t>Zlecenie</t>
        </is>
      </c>
      <c r="K787" t="n">
        <v>6.35</v>
      </c>
      <c r="L787" t="inlineStr">
        <is>
          <t>384</t>
        </is>
      </c>
      <c r="M787" t="inlineStr">
        <is>
          <t>108120 SBX Warszawa Janki</t>
        </is>
      </c>
      <c r="N787" t="inlineStr">
        <is>
          <t>2026-09-11 19:06</t>
        </is>
      </c>
    </row>
    <row r="788">
      <c r="A788" t="n">
        <v>787</v>
      </c>
      <c r="B788" t="inlineStr">
        <is>
          <t>2026-07-04</t>
        </is>
      </c>
      <c r="C788" t="n">
        <v>2026</v>
      </c>
      <c r="D788" t="inlineStr">
        <is>
          <t>Lipiec</t>
        </is>
      </c>
      <c r="E788" t="inlineStr">
        <is>
          <t>W1</t>
        </is>
      </c>
      <c r="F788" t="inlineStr">
        <is>
          <t>2026_Lipiec_W1</t>
        </is>
      </c>
      <c r="G788" t="inlineStr">
        <is>
          <t>Sob</t>
        </is>
      </c>
      <c r="H788" t="inlineStr">
        <is>
          <t>NOWAKOWSKI, ANTONI</t>
        </is>
      </c>
      <c r="I788" t="inlineStr">
        <is>
          <t>Crew Civil</t>
        </is>
      </c>
      <c r="J788" t="inlineStr">
        <is>
          <t>Zlecenie</t>
        </is>
      </c>
      <c r="K788" t="n">
        <v>8.5</v>
      </c>
      <c r="L788" t="inlineStr">
        <is>
          <t>384</t>
        </is>
      </c>
      <c r="M788" t="inlineStr">
        <is>
          <t>108120 SBX Warszawa Janki</t>
        </is>
      </c>
      <c r="N788" t="inlineStr">
        <is>
          <t>2026-09-11 19:06</t>
        </is>
      </c>
    </row>
    <row r="789">
      <c r="A789" t="n">
        <v>788</v>
      </c>
      <c r="B789" t="inlineStr">
        <is>
          <t>2026-07-09</t>
        </is>
      </c>
      <c r="C789" t="n">
        <v>2026</v>
      </c>
      <c r="D789" t="inlineStr">
        <is>
          <t>Lipiec</t>
        </is>
      </c>
      <c r="E789" t="inlineStr">
        <is>
          <t>W2</t>
        </is>
      </c>
      <c r="F789" t="inlineStr">
        <is>
          <t>2026_Lipiec_W2</t>
        </is>
      </c>
      <c r="G789" t="inlineStr">
        <is>
          <t>Czw</t>
        </is>
      </c>
      <c r="H789" t="inlineStr">
        <is>
          <t>NOWAKOWSKI, ANTONI</t>
        </is>
      </c>
      <c r="I789" t="inlineStr">
        <is>
          <t>Crew Civil</t>
        </is>
      </c>
      <c r="J789" t="inlineStr">
        <is>
          <t>Zlecenie</t>
        </is>
      </c>
      <c r="K789" t="n">
        <v>8.300000000000001</v>
      </c>
      <c r="L789" t="inlineStr">
        <is>
          <t>384</t>
        </is>
      </c>
      <c r="M789" t="inlineStr">
        <is>
          <t>108120 SBX Warszawa Janki</t>
        </is>
      </c>
      <c r="N789" t="inlineStr">
        <is>
          <t>2026-09-11 19:06</t>
        </is>
      </c>
    </row>
    <row r="790">
      <c r="A790" t="n">
        <v>789</v>
      </c>
      <c r="B790" t="inlineStr">
        <is>
          <t>2026-07-16</t>
        </is>
      </c>
      <c r="C790" t="n">
        <v>2026</v>
      </c>
      <c r="D790" t="inlineStr">
        <is>
          <t>Lipiec</t>
        </is>
      </c>
      <c r="E790" t="inlineStr">
        <is>
          <t>W3</t>
        </is>
      </c>
      <c r="F790" t="inlineStr">
        <is>
          <t>2026_Lipiec_W3</t>
        </is>
      </c>
      <c r="G790" t="inlineStr">
        <is>
          <t>Czw</t>
        </is>
      </c>
      <c r="H790" t="inlineStr">
        <is>
          <t>NOWAKOWSKI, ANTONI</t>
        </is>
      </c>
      <c r="I790" t="inlineStr">
        <is>
          <t>Crew Civil</t>
        </is>
      </c>
      <c r="J790" t="inlineStr">
        <is>
          <t>Zlecenie</t>
        </is>
      </c>
      <c r="K790" t="n">
        <v>7.05</v>
      </c>
      <c r="L790" t="inlineStr">
        <is>
          <t>384</t>
        </is>
      </c>
      <c r="M790" t="inlineStr">
        <is>
          <t>108120 SBX Warszawa Janki</t>
        </is>
      </c>
      <c r="N790" t="inlineStr">
        <is>
          <t>2026-09-11 19:06</t>
        </is>
      </c>
    </row>
    <row r="791">
      <c r="A791" t="n">
        <v>790</v>
      </c>
      <c r="B791" t="inlineStr">
        <is>
          <t>2026-07-18</t>
        </is>
      </c>
      <c r="C791" t="n">
        <v>2026</v>
      </c>
      <c r="D791" t="inlineStr">
        <is>
          <t>Lipiec</t>
        </is>
      </c>
      <c r="E791" t="inlineStr">
        <is>
          <t>W3</t>
        </is>
      </c>
      <c r="F791" t="inlineStr">
        <is>
          <t>2026_Lipiec_W3</t>
        </is>
      </c>
      <c r="G791" t="inlineStr">
        <is>
          <t>Sob</t>
        </is>
      </c>
      <c r="H791" t="inlineStr">
        <is>
          <t>NOWAKOWSKI, ANTONI</t>
        </is>
      </c>
      <c r="I791" t="inlineStr">
        <is>
          <t>Crew Civil</t>
        </is>
      </c>
      <c r="J791" t="inlineStr">
        <is>
          <t>Zlecenie</t>
        </is>
      </c>
      <c r="K791" t="n">
        <v>8.19</v>
      </c>
      <c r="L791" t="inlineStr">
        <is>
          <t>384</t>
        </is>
      </c>
      <c r="M791" t="inlineStr">
        <is>
          <t>108120 SBX Warszawa Janki</t>
        </is>
      </c>
      <c r="N791" t="inlineStr">
        <is>
          <t>2026-09-11 19:06</t>
        </is>
      </c>
    </row>
    <row r="792">
      <c r="A792" t="n">
        <v>791</v>
      </c>
      <c r="B792" t="inlineStr">
        <is>
          <t>2026-07-23</t>
        </is>
      </c>
      <c r="C792" t="n">
        <v>2026</v>
      </c>
      <c r="D792" t="inlineStr">
        <is>
          <t>Lipiec</t>
        </is>
      </c>
      <c r="E792" t="inlineStr">
        <is>
          <t>W4</t>
        </is>
      </c>
      <c r="F792" t="inlineStr">
        <is>
          <t>2026_Lipiec_W4</t>
        </is>
      </c>
      <c r="G792" t="inlineStr">
        <is>
          <t>Czw</t>
        </is>
      </c>
      <c r="H792" t="inlineStr">
        <is>
          <t>NOWAKOWSKI, ANTONI</t>
        </is>
      </c>
      <c r="I792" t="inlineStr">
        <is>
          <t>Crew Civil</t>
        </is>
      </c>
      <c r="J792" t="inlineStr">
        <is>
          <t>Zlecenie</t>
        </is>
      </c>
      <c r="K792" t="n">
        <v>5.26</v>
      </c>
      <c r="L792" t="inlineStr">
        <is>
          <t>384</t>
        </is>
      </c>
      <c r="M792" t="inlineStr">
        <is>
          <t>108120 SBX Warszawa Janki</t>
        </is>
      </c>
      <c r="N792" t="inlineStr">
        <is>
          <t>2026-09-11 19:06</t>
        </is>
      </c>
    </row>
    <row r="793">
      <c r="A793" t="n">
        <v>792</v>
      </c>
      <c r="B793" t="inlineStr">
        <is>
          <t>2026-07-24</t>
        </is>
      </c>
      <c r="C793" t="n">
        <v>2026</v>
      </c>
      <c r="D793" t="inlineStr">
        <is>
          <t>Lipiec</t>
        </is>
      </c>
      <c r="E793" t="inlineStr">
        <is>
          <t>W4</t>
        </is>
      </c>
      <c r="F793" t="inlineStr">
        <is>
          <t>2026_Lipiec_W4</t>
        </is>
      </c>
      <c r="G793" t="inlineStr">
        <is>
          <t>Pt</t>
        </is>
      </c>
      <c r="H793" t="inlineStr">
        <is>
          <t>NOWAKOWSKI, ANTONI</t>
        </is>
      </c>
      <c r="I793" t="inlineStr">
        <is>
          <t>Crew Civil</t>
        </is>
      </c>
      <c r="J793" t="inlineStr">
        <is>
          <t>Zlecenie</t>
        </is>
      </c>
      <c r="K793" t="n">
        <v>6.11</v>
      </c>
      <c r="L793" t="inlineStr">
        <is>
          <t>384</t>
        </is>
      </c>
      <c r="M793" t="inlineStr">
        <is>
          <t>108120 SBX Warszawa Janki</t>
        </is>
      </c>
      <c r="N793" t="inlineStr">
        <is>
          <t>2026-09-11 19:06</t>
        </is>
      </c>
    </row>
    <row r="794">
      <c r="A794" t="n">
        <v>793</v>
      </c>
      <c r="B794" t="inlineStr">
        <is>
          <t>2026-07-27</t>
        </is>
      </c>
      <c r="C794" t="n">
        <v>2026</v>
      </c>
      <c r="D794" t="inlineStr">
        <is>
          <t>Lipiec</t>
        </is>
      </c>
      <c r="E794" t="inlineStr">
        <is>
          <t>W4</t>
        </is>
      </c>
      <c r="F794" t="inlineStr">
        <is>
          <t>2026_Lipiec_W4</t>
        </is>
      </c>
      <c r="G794" t="inlineStr">
        <is>
          <t>Pn</t>
        </is>
      </c>
      <c r="H794" t="inlineStr">
        <is>
          <t>NOWAKOWSKI, ANTONI</t>
        </is>
      </c>
      <c r="I794" t="inlineStr">
        <is>
          <t>Crew Civil</t>
        </is>
      </c>
      <c r="J794" t="inlineStr">
        <is>
          <t>Zlecenie</t>
        </is>
      </c>
      <c r="K794" t="n">
        <v>6.06</v>
      </c>
      <c r="L794" t="inlineStr">
        <is>
          <t>384</t>
        </is>
      </c>
      <c r="M794" t="inlineStr">
        <is>
          <t>108120 SBX Warszawa Janki</t>
        </is>
      </c>
      <c r="N794" t="inlineStr">
        <is>
          <t>2026-09-11 19:06</t>
        </is>
      </c>
    </row>
    <row r="795">
      <c r="A795" t="n">
        <v>794</v>
      </c>
      <c r="B795" t="inlineStr">
        <is>
          <t>2026-07-29</t>
        </is>
      </c>
      <c r="C795" t="n">
        <v>2026</v>
      </c>
      <c r="D795" t="inlineStr">
        <is>
          <t>Lipiec</t>
        </is>
      </c>
      <c r="E795" t="inlineStr">
        <is>
          <t>W5</t>
        </is>
      </c>
      <c r="F795" t="inlineStr">
        <is>
          <t>2026_Lipiec_W5</t>
        </is>
      </c>
      <c r="G795" t="inlineStr">
        <is>
          <t>Śr</t>
        </is>
      </c>
      <c r="H795" t="inlineStr">
        <is>
          <t>NOWAKOWSKI, ANTONI</t>
        </is>
      </c>
      <c r="I795" t="inlineStr">
        <is>
          <t>Crew Civil</t>
        </is>
      </c>
      <c r="J795" t="inlineStr">
        <is>
          <t>Zlecenie</t>
        </is>
      </c>
      <c r="K795" t="n">
        <v>6.02</v>
      </c>
      <c r="L795" t="inlineStr">
        <is>
          <t>384</t>
        </is>
      </c>
      <c r="M795" t="inlineStr">
        <is>
          <t>108120 SBX Warszawa Janki</t>
        </is>
      </c>
      <c r="N795" t="inlineStr">
        <is>
          <t>2026-09-11 19:06</t>
        </is>
      </c>
    </row>
    <row r="796">
      <c r="A796" t="n">
        <v>795</v>
      </c>
      <c r="B796" t="inlineStr">
        <is>
          <t>2026-08-03</t>
        </is>
      </c>
      <c r="C796" t="n">
        <v>2026</v>
      </c>
      <c r="D796" t="inlineStr">
        <is>
          <t>Sierpień</t>
        </is>
      </c>
      <c r="E796" t="inlineStr">
        <is>
          <t>W1</t>
        </is>
      </c>
      <c r="F796" t="inlineStr">
        <is>
          <t>2026_Sierpień_W1</t>
        </is>
      </c>
      <c r="G796" t="inlineStr">
        <is>
          <t>Pn</t>
        </is>
      </c>
      <c r="H796" t="inlineStr">
        <is>
          <t>NOWAKOWSKI, ANTONI</t>
        </is>
      </c>
      <c r="I796" t="inlineStr">
        <is>
          <t>Crew Civil</t>
        </is>
      </c>
      <c r="J796" t="inlineStr">
        <is>
          <t>Zlecenie</t>
        </is>
      </c>
      <c r="K796" t="n">
        <v>6.04</v>
      </c>
      <c r="L796" t="inlineStr">
        <is>
          <t>384</t>
        </is>
      </c>
      <c r="M796" t="inlineStr">
        <is>
          <t>108120 SBX Warszawa Janki</t>
        </is>
      </c>
      <c r="N796" t="inlineStr">
        <is>
          <t>2026-09-11 19:06</t>
        </is>
      </c>
    </row>
    <row r="797">
      <c r="A797" t="n">
        <v>796</v>
      </c>
      <c r="B797" t="inlineStr">
        <is>
          <t>2026-08-06</t>
        </is>
      </c>
      <c r="C797" t="n">
        <v>2026</v>
      </c>
      <c r="D797" t="inlineStr">
        <is>
          <t>Sierpień</t>
        </is>
      </c>
      <c r="E797" t="inlineStr">
        <is>
          <t>W2</t>
        </is>
      </c>
      <c r="F797" t="inlineStr">
        <is>
          <t>2026_Sierpień_W2</t>
        </is>
      </c>
      <c r="G797" t="inlineStr">
        <is>
          <t>Czw</t>
        </is>
      </c>
      <c r="H797" t="inlineStr">
        <is>
          <t>NOWAKOWSKI, ANTONI</t>
        </is>
      </c>
      <c r="I797" t="inlineStr">
        <is>
          <t>Crew Civil</t>
        </is>
      </c>
      <c r="J797" t="inlineStr">
        <is>
          <t>Zlecenie</t>
        </is>
      </c>
      <c r="K797" t="n">
        <v>7.02</v>
      </c>
      <c r="L797" t="inlineStr">
        <is>
          <t>384</t>
        </is>
      </c>
      <c r="M797" t="inlineStr">
        <is>
          <t>108120 SBX Warszawa Janki</t>
        </is>
      </c>
      <c r="N797" t="inlineStr">
        <is>
          <t>2026-09-11 19:06</t>
        </is>
      </c>
    </row>
    <row r="798">
      <c r="A798" t="n">
        <v>797</v>
      </c>
      <c r="B798" t="inlineStr">
        <is>
          <t>2026-08-18</t>
        </is>
      </c>
      <c r="C798" t="n">
        <v>2026</v>
      </c>
      <c r="D798" t="inlineStr">
        <is>
          <t>Sierpień</t>
        </is>
      </c>
      <c r="E798" t="inlineStr">
        <is>
          <t>W4</t>
        </is>
      </c>
      <c r="F798" t="inlineStr">
        <is>
          <t>2026_Sierpień_W4</t>
        </is>
      </c>
      <c r="G798" t="inlineStr">
        <is>
          <t>Wt</t>
        </is>
      </c>
      <c r="H798" t="inlineStr">
        <is>
          <t>NOWAKOWSKI, ANTONI</t>
        </is>
      </c>
      <c r="I798" t="inlineStr">
        <is>
          <t>Crew Civil</t>
        </is>
      </c>
      <c r="J798" t="inlineStr">
        <is>
          <t>Zlecenie</t>
        </is>
      </c>
      <c r="K798" t="n">
        <v>6.15</v>
      </c>
      <c r="L798" t="inlineStr">
        <is>
          <t>384</t>
        </is>
      </c>
      <c r="M798" t="inlineStr">
        <is>
          <t>108120 SBX Warszawa Janki</t>
        </is>
      </c>
      <c r="N798" t="inlineStr">
        <is>
          <t>2026-09-11 19:06</t>
        </is>
      </c>
    </row>
    <row r="799">
      <c r="A799" t="n">
        <v>798</v>
      </c>
      <c r="B799" t="inlineStr">
        <is>
          <t>2026-08-22</t>
        </is>
      </c>
      <c r="C799" t="n">
        <v>2026</v>
      </c>
      <c r="D799" t="inlineStr">
        <is>
          <t>Sierpień</t>
        </is>
      </c>
      <c r="E799" t="inlineStr">
        <is>
          <t>W4</t>
        </is>
      </c>
      <c r="F799" t="inlineStr">
        <is>
          <t>2026_Sierpień_W4</t>
        </is>
      </c>
      <c r="G799" t="inlineStr">
        <is>
          <t>Sob</t>
        </is>
      </c>
      <c r="H799" t="inlineStr">
        <is>
          <t>NOWAKOWSKI, ANTONI</t>
        </is>
      </c>
      <c r="I799" t="inlineStr">
        <is>
          <t>Crew Civil</t>
        </is>
      </c>
      <c r="J799" t="inlineStr">
        <is>
          <t>Zlecenie</t>
        </is>
      </c>
      <c r="K799" t="n">
        <v>6.2</v>
      </c>
      <c r="L799" t="inlineStr">
        <is>
          <t>384</t>
        </is>
      </c>
      <c r="M799" t="inlineStr">
        <is>
          <t>108120 SBX Warszawa Janki</t>
        </is>
      </c>
      <c r="N799" t="inlineStr">
        <is>
          <t>2026-09-11 19:06</t>
        </is>
      </c>
    </row>
    <row r="800">
      <c r="A800" t="n">
        <v>799</v>
      </c>
      <c r="B800" t="inlineStr">
        <is>
          <t>2026-08-23</t>
        </is>
      </c>
      <c r="C800" t="n">
        <v>2026</v>
      </c>
      <c r="D800" t="inlineStr">
        <is>
          <t>Sierpień</t>
        </is>
      </c>
      <c r="E800" t="inlineStr">
        <is>
          <t>W4</t>
        </is>
      </c>
      <c r="F800" t="inlineStr">
        <is>
          <t>2026_Sierpień_W4</t>
        </is>
      </c>
      <c r="G800" t="inlineStr">
        <is>
          <t>Nd</t>
        </is>
      </c>
      <c r="H800" t="inlineStr">
        <is>
          <t>NOWAKOWSKI, ANTONI</t>
        </is>
      </c>
      <c r="I800" t="inlineStr">
        <is>
          <t>Crew Civil</t>
        </is>
      </c>
      <c r="J800" t="inlineStr">
        <is>
          <t>Zlecenie</t>
        </is>
      </c>
      <c r="K800" t="n">
        <v>2.05</v>
      </c>
      <c r="L800" t="inlineStr">
        <is>
          <t>384</t>
        </is>
      </c>
      <c r="M800" t="inlineStr">
        <is>
          <t>108120 SBX Warszawa Janki</t>
        </is>
      </c>
      <c r="N800" t="inlineStr">
        <is>
          <t>2026-09-11 19:06</t>
        </is>
      </c>
    </row>
    <row r="801">
      <c r="A801" t="n">
        <v>800</v>
      </c>
      <c r="B801" t="inlineStr">
        <is>
          <t>2026-08-26</t>
        </is>
      </c>
      <c r="C801" t="n">
        <v>2026</v>
      </c>
      <c r="D801" t="inlineStr">
        <is>
          <t>Sierpień</t>
        </is>
      </c>
      <c r="E801" t="inlineStr">
        <is>
          <t>W5</t>
        </is>
      </c>
      <c r="F801" t="inlineStr">
        <is>
          <t>2026_Sierpień_W5</t>
        </is>
      </c>
      <c r="G801" t="inlineStr">
        <is>
          <t>Śr</t>
        </is>
      </c>
      <c r="H801" t="inlineStr">
        <is>
          <t>NOWAKOWSKI, ANTONI</t>
        </is>
      </c>
      <c r="I801" t="inlineStr">
        <is>
          <t>Crew Civil</t>
        </is>
      </c>
      <c r="J801" t="inlineStr">
        <is>
          <t>Zlecenie</t>
        </is>
      </c>
      <c r="K801" t="n">
        <v>4.24</v>
      </c>
      <c r="L801" t="inlineStr">
        <is>
          <t>384</t>
        </is>
      </c>
      <c r="M801" t="inlineStr">
        <is>
          <t>108120 SBX Warszawa Janki</t>
        </is>
      </c>
      <c r="N801" t="inlineStr">
        <is>
          <t>2026-09-11 19:06</t>
        </is>
      </c>
    </row>
    <row r="802">
      <c r="A802" t="n">
        <v>801</v>
      </c>
      <c r="B802" t="inlineStr">
        <is>
          <t>2026-08-29</t>
        </is>
      </c>
      <c r="C802" t="n">
        <v>2026</v>
      </c>
      <c r="D802" t="inlineStr">
        <is>
          <t>Sierpień</t>
        </is>
      </c>
      <c r="E802" t="inlineStr">
        <is>
          <t>W5</t>
        </is>
      </c>
      <c r="F802" t="inlineStr">
        <is>
          <t>2026_Sierpień_W5</t>
        </is>
      </c>
      <c r="G802" t="inlineStr">
        <is>
          <t>Sob</t>
        </is>
      </c>
      <c r="H802" t="inlineStr">
        <is>
          <t>NOWAKOWSKI, ANTONI</t>
        </is>
      </c>
      <c r="I802" t="inlineStr">
        <is>
          <t>Crew Civil</t>
        </is>
      </c>
      <c r="J802" t="inlineStr">
        <is>
          <t>Zlecenie</t>
        </is>
      </c>
      <c r="K802" t="n">
        <v>8</v>
      </c>
      <c r="L802" t="inlineStr">
        <is>
          <t>384</t>
        </is>
      </c>
      <c r="M802" t="inlineStr">
        <is>
          <t>108120 SBX Warszawa Janki</t>
        </is>
      </c>
      <c r="N802" t="inlineStr">
        <is>
          <t>2026-09-11 19:06</t>
        </is>
      </c>
    </row>
    <row r="803">
      <c r="A803" t="n">
        <v>802</v>
      </c>
      <c r="B803" t="inlineStr">
        <is>
          <t>2026-09-04</t>
        </is>
      </c>
      <c r="C803" t="n">
        <v>2026</v>
      </c>
      <c r="D803" t="inlineStr">
        <is>
          <t>Wrzesień</t>
        </is>
      </c>
      <c r="E803" t="inlineStr">
        <is>
          <t>W1</t>
        </is>
      </c>
      <c r="F803" t="inlineStr">
        <is>
          <t>2026_Wrzesień_W1</t>
        </is>
      </c>
      <c r="G803" t="inlineStr">
        <is>
          <t>Pt</t>
        </is>
      </c>
      <c r="H803" t="inlineStr">
        <is>
          <t>NOWAKOWSKI, ANTONI</t>
        </is>
      </c>
      <c r="I803" t="inlineStr">
        <is>
          <t>Crew Civil</t>
        </is>
      </c>
      <c r="J803" t="inlineStr">
        <is>
          <t>Zlecenie</t>
        </is>
      </c>
      <c r="K803" t="n">
        <v>8.02</v>
      </c>
      <c r="L803" t="inlineStr">
        <is>
          <t>384</t>
        </is>
      </c>
      <c r="M803" t="inlineStr">
        <is>
          <t>108120 SBX Warszawa Janki</t>
        </is>
      </c>
      <c r="N803" t="inlineStr">
        <is>
          <t>2026-09-11 19:06</t>
        </is>
      </c>
    </row>
    <row r="804">
      <c r="A804" t="n">
        <v>803</v>
      </c>
      <c r="B804" t="inlineStr">
        <is>
          <t>2026-01-17</t>
        </is>
      </c>
      <c r="C804" t="n">
        <v>2026</v>
      </c>
      <c r="D804" t="inlineStr">
        <is>
          <t>Styczeń</t>
        </is>
      </c>
      <c r="E804" t="inlineStr">
        <is>
          <t>W3</t>
        </is>
      </c>
      <c r="F804" t="inlineStr">
        <is>
          <t>2026_Styczeń_W3</t>
        </is>
      </c>
      <c r="G804" t="inlineStr">
        <is>
          <t>Sob</t>
        </is>
      </c>
      <c r="H804" t="inlineStr">
        <is>
          <t>PIASECKA, MAJA</t>
        </is>
      </c>
      <c r="I804" t="inlineStr">
        <is>
          <t>Crew Civil</t>
        </is>
      </c>
      <c r="J804" t="inlineStr">
        <is>
          <t>Zlecenie</t>
        </is>
      </c>
      <c r="K804" t="n">
        <v>0</v>
      </c>
      <c r="L804" t="inlineStr">
        <is>
          <t>384</t>
        </is>
      </c>
      <c r="M804" t="inlineStr">
        <is>
          <t>108120 SBX Warszawa Janki</t>
        </is>
      </c>
      <c r="N804" t="inlineStr">
        <is>
          <t>2026-09-11 19:06</t>
        </is>
      </c>
    </row>
    <row r="805">
      <c r="A805" t="n">
        <v>804</v>
      </c>
      <c r="B805" t="inlineStr">
        <is>
          <t>2026-01-17</t>
        </is>
      </c>
      <c r="C805" t="n">
        <v>2026</v>
      </c>
      <c r="D805" t="inlineStr">
        <is>
          <t>Styczeń</t>
        </is>
      </c>
      <c r="E805" t="inlineStr">
        <is>
          <t>W3</t>
        </is>
      </c>
      <c r="F805" t="inlineStr">
        <is>
          <t>2026_Styczeń_W3</t>
        </is>
      </c>
      <c r="G805" t="inlineStr">
        <is>
          <t>Sob</t>
        </is>
      </c>
      <c r="H805" t="inlineStr">
        <is>
          <t>PIASECKA, MAJA</t>
        </is>
      </c>
      <c r="I805" t="inlineStr">
        <is>
          <t>Crew Civil</t>
        </is>
      </c>
      <c r="J805" t="inlineStr">
        <is>
          <t>Zlecenie</t>
        </is>
      </c>
      <c r="K805" t="n">
        <v>7.91</v>
      </c>
      <c r="L805" t="inlineStr">
        <is>
          <t>384</t>
        </is>
      </c>
      <c r="M805" t="inlineStr">
        <is>
          <t>108120 SBX Warszawa Janki</t>
        </is>
      </c>
      <c r="N805" t="inlineStr">
        <is>
          <t>2026-09-11 19:06</t>
        </is>
      </c>
    </row>
    <row r="806">
      <c r="A806" t="n">
        <v>805</v>
      </c>
      <c r="B806" t="inlineStr">
        <is>
          <t>2026-01-30</t>
        </is>
      </c>
      <c r="C806" t="n">
        <v>2026</v>
      </c>
      <c r="D806" t="inlineStr">
        <is>
          <t>Styczeń</t>
        </is>
      </c>
      <c r="E806" t="inlineStr">
        <is>
          <t>W5</t>
        </is>
      </c>
      <c r="F806" t="inlineStr">
        <is>
          <t>2026_Styczeń_W5</t>
        </is>
      </c>
      <c r="G806" t="inlineStr">
        <is>
          <t>Pt</t>
        </is>
      </c>
      <c r="H806" t="inlineStr">
        <is>
          <t>PIASECKA, MAJA</t>
        </is>
      </c>
      <c r="I806" t="inlineStr">
        <is>
          <t>Crew Civil</t>
        </is>
      </c>
      <c r="J806" t="inlineStr">
        <is>
          <t>Zlecenie</t>
        </is>
      </c>
      <c r="K806" t="n">
        <v>8</v>
      </c>
      <c r="L806" t="inlineStr">
        <is>
          <t>384</t>
        </is>
      </c>
      <c r="M806" t="inlineStr">
        <is>
          <t>108120 SBX Warszawa Janki</t>
        </is>
      </c>
      <c r="N806" t="inlineStr">
        <is>
          <t>2026-09-11 19:06</t>
        </is>
      </c>
    </row>
    <row r="807">
      <c r="A807" t="n">
        <v>806</v>
      </c>
      <c r="B807" t="inlineStr">
        <is>
          <t>2026-01-31</t>
        </is>
      </c>
      <c r="C807" t="n">
        <v>2026</v>
      </c>
      <c r="D807" t="inlineStr">
        <is>
          <t>Styczeń</t>
        </is>
      </c>
      <c r="E807" t="inlineStr">
        <is>
          <t>W5</t>
        </is>
      </c>
      <c r="F807" t="inlineStr">
        <is>
          <t>2026_Styczeń_W5</t>
        </is>
      </c>
      <c r="G807" t="inlineStr">
        <is>
          <t>Sob</t>
        </is>
      </c>
      <c r="H807" t="inlineStr">
        <is>
          <t>PIASECKA, MAJA</t>
        </is>
      </c>
      <c r="I807" t="inlineStr">
        <is>
          <t>Crew Civil</t>
        </is>
      </c>
      <c r="J807" t="inlineStr">
        <is>
          <t>Zlecenie</t>
        </is>
      </c>
      <c r="K807" t="n">
        <v>7.69</v>
      </c>
      <c r="L807" t="inlineStr">
        <is>
          <t>384</t>
        </is>
      </c>
      <c r="M807" t="inlineStr">
        <is>
          <t>108120 SBX Warszawa Janki</t>
        </is>
      </c>
      <c r="N807" t="inlineStr">
        <is>
          <t>2026-09-11 19:06</t>
        </is>
      </c>
    </row>
    <row r="808">
      <c r="A808" t="n">
        <v>807</v>
      </c>
      <c r="B808" t="inlineStr">
        <is>
          <t>2026-02-21</t>
        </is>
      </c>
      <c r="C808" t="n">
        <v>2026</v>
      </c>
      <c r="D808" t="inlineStr">
        <is>
          <t>Luty</t>
        </is>
      </c>
      <c r="E808" t="inlineStr">
        <is>
          <t>W4</t>
        </is>
      </c>
      <c r="F808" t="inlineStr">
        <is>
          <t>2026_Luty_W4</t>
        </is>
      </c>
      <c r="G808" t="inlineStr">
        <is>
          <t>Sob</t>
        </is>
      </c>
      <c r="H808" t="inlineStr">
        <is>
          <t>PIASECKA, MAJA</t>
        </is>
      </c>
      <c r="I808" t="inlineStr">
        <is>
          <t>Crew Civil</t>
        </is>
      </c>
      <c r="J808" t="inlineStr">
        <is>
          <t>Zlecenie</t>
        </is>
      </c>
      <c r="K808" t="n">
        <v>7.48</v>
      </c>
      <c r="L808" t="inlineStr">
        <is>
          <t>384</t>
        </is>
      </c>
      <c r="M808" t="inlineStr">
        <is>
          <t>108120 SBX Warszawa Janki</t>
        </is>
      </c>
      <c r="N808" t="inlineStr">
        <is>
          <t>2026-09-11 19:06</t>
        </is>
      </c>
    </row>
    <row r="809">
      <c r="A809" t="n">
        <v>808</v>
      </c>
      <c r="B809" t="inlineStr">
        <is>
          <t>2026-03-01</t>
        </is>
      </c>
      <c r="C809" t="n">
        <v>2026</v>
      </c>
      <c r="D809" t="inlineStr">
        <is>
          <t>Marzec</t>
        </is>
      </c>
      <c r="E809" t="inlineStr">
        <is>
          <t>W1</t>
        </is>
      </c>
      <c r="F809" t="inlineStr">
        <is>
          <t>2026_Marzec_W1</t>
        </is>
      </c>
      <c r="G809" t="inlineStr">
        <is>
          <t>Nd</t>
        </is>
      </c>
      <c r="H809" t="inlineStr">
        <is>
          <t>PIASECKA, MAJA</t>
        </is>
      </c>
      <c r="I809" t="inlineStr">
        <is>
          <t>Crew Civil</t>
        </is>
      </c>
      <c r="J809" t="inlineStr">
        <is>
          <t>Zlecenie</t>
        </is>
      </c>
      <c r="K809" t="n">
        <v>1.5</v>
      </c>
      <c r="L809" t="inlineStr">
        <is>
          <t>384</t>
        </is>
      </c>
      <c r="M809" t="inlineStr">
        <is>
          <t>108120 SBX Warszawa Janki</t>
        </is>
      </c>
      <c r="N809" t="inlineStr">
        <is>
          <t>2026-09-11 19:06</t>
        </is>
      </c>
    </row>
    <row r="810">
      <c r="A810" t="n">
        <v>809</v>
      </c>
      <c r="B810" t="inlineStr">
        <is>
          <t>2026-03-09</t>
        </is>
      </c>
      <c r="C810" t="n">
        <v>2026</v>
      </c>
      <c r="D810" t="inlineStr">
        <is>
          <t>Marzec</t>
        </is>
      </c>
      <c r="E810" t="inlineStr">
        <is>
          <t>W2</t>
        </is>
      </c>
      <c r="F810" t="inlineStr">
        <is>
          <t>2026_Marzec_W2</t>
        </is>
      </c>
      <c r="G810" t="inlineStr">
        <is>
          <t>Pn</t>
        </is>
      </c>
      <c r="H810" t="inlineStr">
        <is>
          <t>PIASECKA, MAJA</t>
        </is>
      </c>
      <c r="I810" t="inlineStr">
        <is>
          <t>Crew Civil</t>
        </is>
      </c>
      <c r="J810" t="inlineStr">
        <is>
          <t>Zlecenie</t>
        </is>
      </c>
      <c r="K810" t="n">
        <v>1.5</v>
      </c>
      <c r="L810" t="inlineStr">
        <is>
          <t>384</t>
        </is>
      </c>
      <c r="M810" t="inlineStr">
        <is>
          <t>108120 SBX Warszawa Janki</t>
        </is>
      </c>
      <c r="N810" t="inlineStr">
        <is>
          <t>2026-09-11 19:06</t>
        </is>
      </c>
    </row>
    <row r="811">
      <c r="A811" t="n">
        <v>810</v>
      </c>
      <c r="B811" t="inlineStr">
        <is>
          <t>2026-03-10</t>
        </is>
      </c>
      <c r="C811" t="n">
        <v>2026</v>
      </c>
      <c r="D811" t="inlineStr">
        <is>
          <t>Marzec</t>
        </is>
      </c>
      <c r="E811" t="inlineStr">
        <is>
          <t>W3</t>
        </is>
      </c>
      <c r="F811" t="inlineStr">
        <is>
          <t>2026_Marzec_W3</t>
        </is>
      </c>
      <c r="G811" t="inlineStr">
        <is>
          <t>Wt</t>
        </is>
      </c>
      <c r="H811" t="inlineStr">
        <is>
          <t>PIASECKA, MAJA</t>
        </is>
      </c>
      <c r="I811" t="inlineStr">
        <is>
          <t>Crew Civil</t>
        </is>
      </c>
      <c r="J811" t="inlineStr">
        <is>
          <t>Zlecenie</t>
        </is>
      </c>
      <c r="K811" t="n">
        <v>4</v>
      </c>
      <c r="L811" t="inlineStr">
        <is>
          <t>384</t>
        </is>
      </c>
      <c r="M811" t="inlineStr">
        <is>
          <t>108120 SBX Warszawa Janki</t>
        </is>
      </c>
      <c r="N811" t="inlineStr">
        <is>
          <t>2026-09-11 19:06</t>
        </is>
      </c>
    </row>
    <row r="812">
      <c r="A812" t="n">
        <v>811</v>
      </c>
      <c r="B812" t="inlineStr">
        <is>
          <t>2026-03-11</t>
        </is>
      </c>
      <c r="C812" t="n">
        <v>2026</v>
      </c>
      <c r="D812" t="inlineStr">
        <is>
          <t>Marzec</t>
        </is>
      </c>
      <c r="E812" t="inlineStr">
        <is>
          <t>W3</t>
        </is>
      </c>
      <c r="F812" t="inlineStr">
        <is>
          <t>2026_Marzec_W3</t>
        </is>
      </c>
      <c r="G812" t="inlineStr">
        <is>
          <t>Śr</t>
        </is>
      </c>
      <c r="H812" t="inlineStr">
        <is>
          <t>PIASECKA, MAJA</t>
        </is>
      </c>
      <c r="I812" t="inlineStr">
        <is>
          <t>Crew Civil</t>
        </is>
      </c>
      <c r="J812" t="inlineStr">
        <is>
          <t>Zlecenie</t>
        </is>
      </c>
      <c r="K812" t="n">
        <v>4.83</v>
      </c>
      <c r="L812" t="inlineStr">
        <is>
          <t>384</t>
        </is>
      </c>
      <c r="M812" t="inlineStr">
        <is>
          <t>108120 SBX Warszawa Janki</t>
        </is>
      </c>
      <c r="N812" t="inlineStr">
        <is>
          <t>2026-09-11 19:06</t>
        </is>
      </c>
    </row>
    <row r="813">
      <c r="A813" t="n">
        <v>812</v>
      </c>
      <c r="B813" t="inlineStr">
        <is>
          <t>2026-03-12</t>
        </is>
      </c>
      <c r="C813" t="n">
        <v>2026</v>
      </c>
      <c r="D813" t="inlineStr">
        <is>
          <t>Marzec</t>
        </is>
      </c>
      <c r="E813" t="inlineStr">
        <is>
          <t>W3</t>
        </is>
      </c>
      <c r="F813" t="inlineStr">
        <is>
          <t>2026_Marzec_W3</t>
        </is>
      </c>
      <c r="G813" t="inlineStr">
        <is>
          <t>Czw</t>
        </is>
      </c>
      <c r="H813" t="inlineStr">
        <is>
          <t>PIASECKA, MAJA</t>
        </is>
      </c>
      <c r="I813" t="inlineStr">
        <is>
          <t>Crew Civil</t>
        </is>
      </c>
      <c r="J813" t="inlineStr">
        <is>
          <t>Zlecenie</t>
        </is>
      </c>
      <c r="K813" t="n">
        <v>6.07</v>
      </c>
      <c r="L813" t="inlineStr">
        <is>
          <t>384</t>
        </is>
      </c>
      <c r="M813" t="inlineStr">
        <is>
          <t>108120 SBX Warszawa Janki</t>
        </is>
      </c>
      <c r="N813" t="inlineStr">
        <is>
          <t>2026-09-11 19:06</t>
        </is>
      </c>
    </row>
    <row r="814">
      <c r="A814" t="n">
        <v>813</v>
      </c>
      <c r="B814" t="inlineStr">
        <is>
          <t>2026-03-14</t>
        </is>
      </c>
      <c r="C814" t="n">
        <v>2026</v>
      </c>
      <c r="D814" t="inlineStr">
        <is>
          <t>Marzec</t>
        </is>
      </c>
      <c r="E814" t="inlineStr">
        <is>
          <t>W3</t>
        </is>
      </c>
      <c r="F814" t="inlineStr">
        <is>
          <t>2026_Marzec_W3</t>
        </is>
      </c>
      <c r="G814" t="inlineStr">
        <is>
          <t>Sob</t>
        </is>
      </c>
      <c r="H814" t="inlineStr">
        <is>
          <t>PIASECKA, MAJA</t>
        </is>
      </c>
      <c r="I814" t="inlineStr">
        <is>
          <t>Crew Civil</t>
        </is>
      </c>
      <c r="J814" t="inlineStr">
        <is>
          <t>Zlecenie</t>
        </is>
      </c>
      <c r="K814" t="n">
        <v>7.93</v>
      </c>
      <c r="L814" t="inlineStr">
        <is>
          <t>384</t>
        </is>
      </c>
      <c r="M814" t="inlineStr">
        <is>
          <t>108120 SBX Warszawa Janki</t>
        </is>
      </c>
      <c r="N814" t="inlineStr">
        <is>
          <t>2026-09-11 19:06</t>
        </is>
      </c>
    </row>
    <row r="815">
      <c r="A815" t="n">
        <v>814</v>
      </c>
      <c r="B815" t="inlineStr">
        <is>
          <t>2026-03-21</t>
        </is>
      </c>
      <c r="C815" t="n">
        <v>2026</v>
      </c>
      <c r="D815" t="inlineStr">
        <is>
          <t>Marzec</t>
        </is>
      </c>
      <c r="E815" t="inlineStr">
        <is>
          <t>W4</t>
        </is>
      </c>
      <c r="F815" t="inlineStr">
        <is>
          <t>2026_Marzec_W4</t>
        </is>
      </c>
      <c r="G815" t="inlineStr">
        <is>
          <t>Sob</t>
        </is>
      </c>
      <c r="H815" t="inlineStr">
        <is>
          <t>PIASECKA, MAJA</t>
        </is>
      </c>
      <c r="I815" t="inlineStr">
        <is>
          <t>Crew Civil</t>
        </is>
      </c>
      <c r="J815" t="inlineStr">
        <is>
          <t>Zlecenie</t>
        </is>
      </c>
      <c r="K815" t="n">
        <v>7.68</v>
      </c>
      <c r="L815" t="inlineStr">
        <is>
          <t>384</t>
        </is>
      </c>
      <c r="M815" t="inlineStr">
        <is>
          <t>108120 SBX Warszawa Janki</t>
        </is>
      </c>
      <c r="N815" t="inlineStr">
        <is>
          <t>2026-09-11 19:06</t>
        </is>
      </c>
    </row>
    <row r="816">
      <c r="A816" t="n">
        <v>815</v>
      </c>
      <c r="B816" t="inlineStr">
        <is>
          <t>2026-03-27</t>
        </is>
      </c>
      <c r="C816" t="n">
        <v>2026</v>
      </c>
      <c r="D816" t="inlineStr">
        <is>
          <t>Marzec</t>
        </is>
      </c>
      <c r="E816" t="inlineStr">
        <is>
          <t>W5</t>
        </is>
      </c>
      <c r="F816" t="inlineStr">
        <is>
          <t>2026_Marzec_W5</t>
        </is>
      </c>
      <c r="G816" t="inlineStr">
        <is>
          <t>Pt</t>
        </is>
      </c>
      <c r="H816" t="inlineStr">
        <is>
          <t>PIASECKA, MAJA</t>
        </is>
      </c>
      <c r="I816" t="inlineStr">
        <is>
          <t>Crew Civil</t>
        </is>
      </c>
      <c r="J816" t="inlineStr">
        <is>
          <t>Zlecenie</t>
        </is>
      </c>
      <c r="K816" t="n">
        <v>7.35</v>
      </c>
      <c r="L816" t="inlineStr">
        <is>
          <t>384</t>
        </is>
      </c>
      <c r="M816" t="inlineStr">
        <is>
          <t>108120 SBX Warszawa Janki</t>
        </is>
      </c>
      <c r="N816" t="inlineStr">
        <is>
          <t>2026-09-11 19:06</t>
        </is>
      </c>
    </row>
    <row r="817">
      <c r="A817" t="n">
        <v>816</v>
      </c>
      <c r="B817" t="inlineStr">
        <is>
          <t>2026-03-28</t>
        </is>
      </c>
      <c r="C817" t="n">
        <v>2026</v>
      </c>
      <c r="D817" t="inlineStr">
        <is>
          <t>Marzec</t>
        </is>
      </c>
      <c r="E817" t="inlineStr">
        <is>
          <t>W5</t>
        </is>
      </c>
      <c r="F817" t="inlineStr">
        <is>
          <t>2026_Marzec_W5</t>
        </is>
      </c>
      <c r="G817" t="inlineStr">
        <is>
          <t>Sob</t>
        </is>
      </c>
      <c r="H817" t="inlineStr">
        <is>
          <t>PIASECKA, MAJA</t>
        </is>
      </c>
      <c r="I817" t="inlineStr">
        <is>
          <t>Crew Civil</t>
        </is>
      </c>
      <c r="J817" t="inlineStr">
        <is>
          <t>Zlecenie</t>
        </is>
      </c>
      <c r="K817" t="n">
        <v>6</v>
      </c>
      <c r="L817" t="inlineStr">
        <is>
          <t>384</t>
        </is>
      </c>
      <c r="M817" t="inlineStr">
        <is>
          <t>108120 SBX Warszawa Janki</t>
        </is>
      </c>
      <c r="N817" t="inlineStr">
        <is>
          <t>2026-09-11 19:06</t>
        </is>
      </c>
    </row>
    <row r="818">
      <c r="A818" t="n">
        <v>817</v>
      </c>
      <c r="B818" t="inlineStr">
        <is>
          <t>2026-04-02</t>
        </is>
      </c>
      <c r="C818" t="n">
        <v>2026</v>
      </c>
      <c r="D818" t="inlineStr">
        <is>
          <t>Kwiecień</t>
        </is>
      </c>
      <c r="E818" t="inlineStr">
        <is>
          <t>W1</t>
        </is>
      </c>
      <c r="F818" t="inlineStr">
        <is>
          <t>2026_Kwiecień_W1</t>
        </is>
      </c>
      <c r="G818" t="inlineStr">
        <is>
          <t>Czw</t>
        </is>
      </c>
      <c r="H818" t="inlineStr">
        <is>
          <t>PIASECKA, MAJA</t>
        </is>
      </c>
      <c r="I818" t="inlineStr">
        <is>
          <t>Crew Civil</t>
        </is>
      </c>
      <c r="J818" t="inlineStr">
        <is>
          <t>Zlecenie</t>
        </is>
      </c>
      <c r="K818" t="n">
        <v>3.93</v>
      </c>
      <c r="L818" t="inlineStr">
        <is>
          <t>384</t>
        </is>
      </c>
      <c r="M818" t="inlineStr">
        <is>
          <t>108120 SBX Warszawa Janki</t>
        </is>
      </c>
      <c r="N818" t="inlineStr">
        <is>
          <t>2026-09-11 19:06</t>
        </is>
      </c>
    </row>
    <row r="819">
      <c r="A819" t="n">
        <v>818</v>
      </c>
      <c r="B819" t="inlineStr">
        <is>
          <t>2026-04-03</t>
        </is>
      </c>
      <c r="C819" t="n">
        <v>2026</v>
      </c>
      <c r="D819" t="inlineStr">
        <is>
          <t>Kwiecień</t>
        </is>
      </c>
      <c r="E819" t="inlineStr">
        <is>
          <t>W1</t>
        </is>
      </c>
      <c r="F819" t="inlineStr">
        <is>
          <t>2026_Kwiecień_W1</t>
        </is>
      </c>
      <c r="G819" t="inlineStr">
        <is>
          <t>Pt</t>
        </is>
      </c>
      <c r="H819" t="inlineStr">
        <is>
          <t>PIASECKA, MAJA</t>
        </is>
      </c>
      <c r="I819" t="inlineStr">
        <is>
          <t>Crew Civil</t>
        </is>
      </c>
      <c r="J819" t="inlineStr">
        <is>
          <t>Zlecenie</t>
        </is>
      </c>
      <c r="K819" t="n">
        <v>6.56</v>
      </c>
      <c r="L819" t="inlineStr">
        <is>
          <t>384</t>
        </is>
      </c>
      <c r="M819" t="inlineStr">
        <is>
          <t>108120 SBX Warszawa Janki</t>
        </is>
      </c>
      <c r="N819" t="inlineStr">
        <is>
          <t>2026-09-11 19:06</t>
        </is>
      </c>
    </row>
    <row r="820">
      <c r="A820" t="n">
        <v>819</v>
      </c>
      <c r="B820" t="inlineStr">
        <is>
          <t>2026-04-04</t>
        </is>
      </c>
      <c r="C820" t="n">
        <v>2026</v>
      </c>
      <c r="D820" t="inlineStr">
        <is>
          <t>Kwiecień</t>
        </is>
      </c>
      <c r="E820" t="inlineStr">
        <is>
          <t>W1</t>
        </is>
      </c>
      <c r="F820" t="inlineStr">
        <is>
          <t>2026_Kwiecień_W1</t>
        </is>
      </c>
      <c r="G820" t="inlineStr">
        <is>
          <t>Sob</t>
        </is>
      </c>
      <c r="H820" t="inlineStr">
        <is>
          <t>PIASECKA, MAJA</t>
        </is>
      </c>
      <c r="I820" t="inlineStr">
        <is>
          <t>Crew Civil</t>
        </is>
      </c>
      <c r="J820" t="inlineStr">
        <is>
          <t>Zlecenie</t>
        </is>
      </c>
      <c r="K820" t="n">
        <v>5.55</v>
      </c>
      <c r="L820" t="inlineStr">
        <is>
          <t>384</t>
        </is>
      </c>
      <c r="M820" t="inlineStr">
        <is>
          <t>108120 SBX Warszawa Janki</t>
        </is>
      </c>
      <c r="N820" t="inlineStr">
        <is>
          <t>2026-09-11 19:06</t>
        </is>
      </c>
    </row>
    <row r="821">
      <c r="A821" t="n">
        <v>820</v>
      </c>
      <c r="B821" t="inlineStr">
        <is>
          <t>2026-04-11</t>
        </is>
      </c>
      <c r="C821" t="n">
        <v>2026</v>
      </c>
      <c r="D821" t="inlineStr">
        <is>
          <t>Kwiecień</t>
        </is>
      </c>
      <c r="E821" t="inlineStr">
        <is>
          <t>W2</t>
        </is>
      </c>
      <c r="F821" t="inlineStr">
        <is>
          <t>2026_Kwiecień_W2</t>
        </is>
      </c>
      <c r="G821" t="inlineStr">
        <is>
          <t>Sob</t>
        </is>
      </c>
      <c r="H821" t="inlineStr">
        <is>
          <t>PIASECKA, MAJA</t>
        </is>
      </c>
      <c r="I821" t="inlineStr">
        <is>
          <t>Crew Civil</t>
        </is>
      </c>
      <c r="J821" t="inlineStr">
        <is>
          <t>Zlecenie</t>
        </is>
      </c>
      <c r="K821" t="n">
        <v>7.59</v>
      </c>
      <c r="L821" t="inlineStr">
        <is>
          <t>384</t>
        </is>
      </c>
      <c r="M821" t="inlineStr">
        <is>
          <t>108120 SBX Warszawa Janki</t>
        </is>
      </c>
      <c r="N821" t="inlineStr">
        <is>
          <t>2026-09-11 19:06</t>
        </is>
      </c>
    </row>
    <row r="822">
      <c r="A822" t="n">
        <v>821</v>
      </c>
      <c r="B822" t="inlineStr">
        <is>
          <t>2026-04-17</t>
        </is>
      </c>
      <c r="C822" t="n">
        <v>2026</v>
      </c>
      <c r="D822" t="inlineStr">
        <is>
          <t>Kwiecień</t>
        </is>
      </c>
      <c r="E822" t="inlineStr">
        <is>
          <t>W3</t>
        </is>
      </c>
      <c r="F822" t="inlineStr">
        <is>
          <t>2026_Kwiecień_W3</t>
        </is>
      </c>
      <c r="G822" t="inlineStr">
        <is>
          <t>Pt</t>
        </is>
      </c>
      <c r="H822" t="inlineStr">
        <is>
          <t>PIASECKA, MAJA</t>
        </is>
      </c>
      <c r="I822" t="inlineStr">
        <is>
          <t>Crew Civil</t>
        </is>
      </c>
      <c r="J822" t="inlineStr">
        <is>
          <t>Zlecenie</t>
        </is>
      </c>
      <c r="K822" t="n">
        <v>7.46</v>
      </c>
      <c r="L822" t="inlineStr">
        <is>
          <t>384</t>
        </is>
      </c>
      <c r="M822" t="inlineStr">
        <is>
          <t>108120 SBX Warszawa Janki</t>
        </is>
      </c>
      <c r="N822" t="inlineStr">
        <is>
          <t>2026-09-11 19:06</t>
        </is>
      </c>
    </row>
    <row r="823">
      <c r="A823" t="n">
        <v>822</v>
      </c>
      <c r="B823" t="inlineStr">
        <is>
          <t>2026-04-28</t>
        </is>
      </c>
      <c r="C823" t="n">
        <v>2026</v>
      </c>
      <c r="D823" t="inlineStr">
        <is>
          <t>Kwiecień</t>
        </is>
      </c>
      <c r="E823" t="inlineStr">
        <is>
          <t>W5</t>
        </is>
      </c>
      <c r="F823" t="inlineStr">
        <is>
          <t>2026_Kwiecień_W5</t>
        </is>
      </c>
      <c r="G823" t="inlineStr">
        <is>
          <t>Wt</t>
        </is>
      </c>
      <c r="H823" t="inlineStr">
        <is>
          <t>PIASECKA, MAJA</t>
        </is>
      </c>
      <c r="I823" t="inlineStr">
        <is>
          <t>Crew Civil</t>
        </is>
      </c>
      <c r="J823" t="inlineStr">
        <is>
          <t>Zlecenie</t>
        </is>
      </c>
      <c r="K823" t="n">
        <v>2.5</v>
      </c>
      <c r="L823" t="inlineStr">
        <is>
          <t>384</t>
        </is>
      </c>
      <c r="M823" t="inlineStr">
        <is>
          <t>108120 SBX Warszawa Janki</t>
        </is>
      </c>
      <c r="N823" t="inlineStr">
        <is>
          <t>2026-09-11 19:06</t>
        </is>
      </c>
    </row>
    <row r="824">
      <c r="A824" t="n">
        <v>823</v>
      </c>
      <c r="B824" t="inlineStr">
        <is>
          <t>2026-04-30</t>
        </is>
      </c>
      <c r="C824" t="n">
        <v>2026</v>
      </c>
      <c r="D824" t="inlineStr">
        <is>
          <t>Kwiecień</t>
        </is>
      </c>
      <c r="E824" t="inlineStr">
        <is>
          <t>W5</t>
        </is>
      </c>
      <c r="F824" t="inlineStr">
        <is>
          <t>2026_Kwiecień_W5</t>
        </is>
      </c>
      <c r="G824" t="inlineStr">
        <is>
          <t>Czw</t>
        </is>
      </c>
      <c r="H824" t="inlineStr">
        <is>
          <t>PIASECKA, MAJA</t>
        </is>
      </c>
      <c r="I824" t="inlineStr">
        <is>
          <t>Crew Civil</t>
        </is>
      </c>
      <c r="J824" t="inlineStr">
        <is>
          <t>Zlecenie</t>
        </is>
      </c>
      <c r="K824" t="n">
        <v>5.81</v>
      </c>
      <c r="L824" t="inlineStr">
        <is>
          <t>384</t>
        </is>
      </c>
      <c r="M824" t="inlineStr">
        <is>
          <t>108120 SBX Warszawa Janki</t>
        </is>
      </c>
      <c r="N824" t="inlineStr">
        <is>
          <t>2026-09-11 19:06</t>
        </is>
      </c>
    </row>
    <row r="825">
      <c r="A825" t="n">
        <v>824</v>
      </c>
      <c r="B825" t="inlineStr">
        <is>
          <t>2026-05-01</t>
        </is>
      </c>
      <c r="C825" t="n">
        <v>2026</v>
      </c>
      <c r="D825" t="inlineStr">
        <is>
          <t>Maj</t>
        </is>
      </c>
      <c r="E825" t="inlineStr">
        <is>
          <t>W1</t>
        </is>
      </c>
      <c r="F825" t="inlineStr">
        <is>
          <t>2026_Maj_W1</t>
        </is>
      </c>
      <c r="G825" t="inlineStr">
        <is>
          <t>Pt</t>
        </is>
      </c>
      <c r="H825" t="inlineStr">
        <is>
          <t>PIASECKA, MAJA</t>
        </is>
      </c>
      <c r="I825" t="inlineStr">
        <is>
          <t>Crew Civil</t>
        </is>
      </c>
      <c r="J825" t="inlineStr">
        <is>
          <t>Zlecenie</t>
        </is>
      </c>
      <c r="K825" t="n">
        <v>4.56</v>
      </c>
      <c r="L825" t="inlineStr">
        <is>
          <t>384</t>
        </is>
      </c>
      <c r="M825" t="inlineStr">
        <is>
          <t>108120 SBX Warszawa Janki</t>
        </is>
      </c>
      <c r="N825" t="inlineStr">
        <is>
          <t>2026-09-11 19:06</t>
        </is>
      </c>
    </row>
    <row r="826">
      <c r="A826" t="n">
        <v>825</v>
      </c>
      <c r="B826" t="inlineStr">
        <is>
          <t>2026-05-02</t>
        </is>
      </c>
      <c r="C826" t="n">
        <v>2026</v>
      </c>
      <c r="D826" t="inlineStr">
        <is>
          <t>Maj</t>
        </is>
      </c>
      <c r="E826" t="inlineStr">
        <is>
          <t>W1</t>
        </is>
      </c>
      <c r="F826" t="inlineStr">
        <is>
          <t>2026_Maj_W1</t>
        </is>
      </c>
      <c r="G826" t="inlineStr">
        <is>
          <t>Sob</t>
        </is>
      </c>
      <c r="H826" t="inlineStr">
        <is>
          <t>PIASECKA, MAJA</t>
        </is>
      </c>
      <c r="I826" t="inlineStr">
        <is>
          <t>Crew Civil</t>
        </is>
      </c>
      <c r="J826" t="inlineStr">
        <is>
          <t>Zlecenie</t>
        </is>
      </c>
      <c r="K826" t="n">
        <v>7.96</v>
      </c>
      <c r="L826" t="inlineStr">
        <is>
          <t>384</t>
        </is>
      </c>
      <c r="M826" t="inlineStr">
        <is>
          <t>108120 SBX Warszawa Janki</t>
        </is>
      </c>
      <c r="N826" t="inlineStr">
        <is>
          <t>2026-09-11 19:06</t>
        </is>
      </c>
    </row>
    <row r="827">
      <c r="A827" t="n">
        <v>826</v>
      </c>
      <c r="B827" t="inlineStr">
        <is>
          <t>2026-05-04</t>
        </is>
      </c>
      <c r="C827" t="n">
        <v>2026</v>
      </c>
      <c r="D827" t="inlineStr">
        <is>
          <t>Maj</t>
        </is>
      </c>
      <c r="E827" t="inlineStr">
        <is>
          <t>W1</t>
        </is>
      </c>
      <c r="F827" t="inlineStr">
        <is>
          <t>2026_Maj_W1</t>
        </is>
      </c>
      <c r="G827" t="inlineStr">
        <is>
          <t>Pn</t>
        </is>
      </c>
      <c r="H827" t="inlineStr">
        <is>
          <t>PIASECKA, MAJA</t>
        </is>
      </c>
      <c r="I827" t="inlineStr">
        <is>
          <t>Crew Civil</t>
        </is>
      </c>
      <c r="J827" t="inlineStr">
        <is>
          <t>Zlecenie</t>
        </is>
      </c>
      <c r="K827" t="n">
        <v>7.52</v>
      </c>
      <c r="L827" t="inlineStr">
        <is>
          <t>384</t>
        </is>
      </c>
      <c r="M827" t="inlineStr">
        <is>
          <t>108120 SBX Warszawa Janki</t>
        </is>
      </c>
      <c r="N827" t="inlineStr">
        <is>
          <t>2026-09-11 19:06</t>
        </is>
      </c>
    </row>
    <row r="828">
      <c r="A828" t="n">
        <v>827</v>
      </c>
      <c r="B828" t="inlineStr">
        <is>
          <t>2026-05-08</t>
        </is>
      </c>
      <c r="C828" t="n">
        <v>2026</v>
      </c>
      <c r="D828" t="inlineStr">
        <is>
          <t>Maj</t>
        </is>
      </c>
      <c r="E828" t="inlineStr">
        <is>
          <t>W2</t>
        </is>
      </c>
      <c r="F828" t="inlineStr">
        <is>
          <t>2026_Maj_W2</t>
        </is>
      </c>
      <c r="G828" t="inlineStr">
        <is>
          <t>Pt</t>
        </is>
      </c>
      <c r="H828" t="inlineStr">
        <is>
          <t>PIASECKA, MAJA</t>
        </is>
      </c>
      <c r="I828" t="inlineStr">
        <is>
          <t>Crew Civil</t>
        </is>
      </c>
      <c r="J828" t="inlineStr">
        <is>
          <t>Zlecenie</t>
        </is>
      </c>
      <c r="K828" t="n">
        <v>5.32</v>
      </c>
      <c r="L828" t="inlineStr">
        <is>
          <t>384</t>
        </is>
      </c>
      <c r="M828" t="inlineStr">
        <is>
          <t>108120 SBX Warszawa Janki</t>
        </is>
      </c>
      <c r="N828" t="inlineStr">
        <is>
          <t>2026-09-11 19:06</t>
        </is>
      </c>
    </row>
    <row r="829">
      <c r="A829" t="n">
        <v>828</v>
      </c>
      <c r="B829" t="inlineStr">
        <is>
          <t>2026-05-09</t>
        </is>
      </c>
      <c r="C829" t="n">
        <v>2026</v>
      </c>
      <c r="D829" t="inlineStr">
        <is>
          <t>Maj</t>
        </is>
      </c>
      <c r="E829" t="inlineStr">
        <is>
          <t>W2</t>
        </is>
      </c>
      <c r="F829" t="inlineStr">
        <is>
          <t>2026_Maj_W2</t>
        </is>
      </c>
      <c r="G829" t="inlineStr">
        <is>
          <t>Sob</t>
        </is>
      </c>
      <c r="H829" t="inlineStr">
        <is>
          <t>PIASECKA, MAJA</t>
        </is>
      </c>
      <c r="I829" t="inlineStr">
        <is>
          <t>Crew Civil</t>
        </is>
      </c>
      <c r="J829" t="inlineStr">
        <is>
          <t>Zlecenie</t>
        </is>
      </c>
      <c r="K829" t="n">
        <v>7.34</v>
      </c>
      <c r="L829" t="inlineStr">
        <is>
          <t>384</t>
        </is>
      </c>
      <c r="M829" t="inlineStr">
        <is>
          <t>108120 SBX Warszawa Janki</t>
        </is>
      </c>
      <c r="N829" t="inlineStr">
        <is>
          <t>2026-09-11 19:06</t>
        </is>
      </c>
    </row>
    <row r="830">
      <c r="A830" t="n">
        <v>829</v>
      </c>
      <c r="B830" t="inlineStr">
        <is>
          <t>2026-05-16</t>
        </is>
      </c>
      <c r="C830" t="n">
        <v>2026</v>
      </c>
      <c r="D830" t="inlineStr">
        <is>
          <t>Maj</t>
        </is>
      </c>
      <c r="E830" t="inlineStr">
        <is>
          <t>W3</t>
        </is>
      </c>
      <c r="F830" t="inlineStr">
        <is>
          <t>2026_Maj_W3</t>
        </is>
      </c>
      <c r="G830" t="inlineStr">
        <is>
          <t>Sob</t>
        </is>
      </c>
      <c r="H830" t="inlineStr">
        <is>
          <t>PIASECKA, MAJA</t>
        </is>
      </c>
      <c r="I830" t="inlineStr">
        <is>
          <t>Crew Civil</t>
        </is>
      </c>
      <c r="J830" t="inlineStr">
        <is>
          <t>Zlecenie</t>
        </is>
      </c>
      <c r="K830" t="n">
        <v>7.87</v>
      </c>
      <c r="L830" t="inlineStr">
        <is>
          <t>384</t>
        </is>
      </c>
      <c r="M830" t="inlineStr">
        <is>
          <t>108120 SBX Warszawa Janki</t>
        </is>
      </c>
      <c r="N830" t="inlineStr">
        <is>
          <t>2026-09-11 19:06</t>
        </is>
      </c>
    </row>
    <row r="831">
      <c r="A831" t="n">
        <v>830</v>
      </c>
      <c r="B831" t="inlineStr">
        <is>
          <t>2026-05-22</t>
        </is>
      </c>
      <c r="C831" t="n">
        <v>2026</v>
      </c>
      <c r="D831" t="inlineStr">
        <is>
          <t>Maj</t>
        </is>
      </c>
      <c r="E831" t="inlineStr">
        <is>
          <t>W4</t>
        </is>
      </c>
      <c r="F831" t="inlineStr">
        <is>
          <t>2026_Maj_W4</t>
        </is>
      </c>
      <c r="G831" t="inlineStr">
        <is>
          <t>Pt</t>
        </is>
      </c>
      <c r="H831" t="inlineStr">
        <is>
          <t>PIASECKA, MAJA</t>
        </is>
      </c>
      <c r="I831" t="inlineStr">
        <is>
          <t>Crew Civil</t>
        </is>
      </c>
      <c r="J831" t="inlineStr">
        <is>
          <t>Zlecenie</t>
        </is>
      </c>
      <c r="K831" t="n">
        <v>6.61</v>
      </c>
      <c r="L831" t="inlineStr">
        <is>
          <t>384</t>
        </is>
      </c>
      <c r="M831" t="inlineStr">
        <is>
          <t>108120 SBX Warszawa Janki</t>
        </is>
      </c>
      <c r="N831" t="inlineStr">
        <is>
          <t>2026-09-11 19:06</t>
        </is>
      </c>
    </row>
    <row r="832">
      <c r="A832" t="n">
        <v>831</v>
      </c>
      <c r="B832" t="inlineStr">
        <is>
          <t>2026-05-23</t>
        </is>
      </c>
      <c r="C832" t="n">
        <v>2026</v>
      </c>
      <c r="D832" t="inlineStr">
        <is>
          <t>Maj</t>
        </is>
      </c>
      <c r="E832" t="inlineStr">
        <is>
          <t>W4</t>
        </is>
      </c>
      <c r="F832" t="inlineStr">
        <is>
          <t>2026_Maj_W4</t>
        </is>
      </c>
      <c r="G832" t="inlineStr">
        <is>
          <t>Sob</t>
        </is>
      </c>
      <c r="H832" t="inlineStr">
        <is>
          <t>PIASECKA, MAJA</t>
        </is>
      </c>
      <c r="I832" t="inlineStr">
        <is>
          <t>Crew Civil</t>
        </is>
      </c>
      <c r="J832" t="inlineStr">
        <is>
          <t>Zlecenie</t>
        </is>
      </c>
      <c r="K832" t="n">
        <v>7.71</v>
      </c>
      <c r="L832" t="inlineStr">
        <is>
          <t>384</t>
        </is>
      </c>
      <c r="M832" t="inlineStr">
        <is>
          <t>108120 SBX Warszawa Janki</t>
        </is>
      </c>
      <c r="N832" t="inlineStr">
        <is>
          <t>2026-09-11 19:06</t>
        </is>
      </c>
    </row>
    <row r="833">
      <c r="A833" t="n">
        <v>832</v>
      </c>
      <c r="B833" t="inlineStr">
        <is>
          <t>2026-05-26</t>
        </is>
      </c>
      <c r="C833" t="n">
        <v>2026</v>
      </c>
      <c r="D833" t="inlineStr">
        <is>
          <t>Maj</t>
        </is>
      </c>
      <c r="E833" t="inlineStr">
        <is>
          <t>W5</t>
        </is>
      </c>
      <c r="F833" t="inlineStr">
        <is>
          <t>2026_Maj_W5</t>
        </is>
      </c>
      <c r="G833" t="inlineStr">
        <is>
          <t>Wt</t>
        </is>
      </c>
      <c r="H833" t="inlineStr">
        <is>
          <t>PIASECKA, MAJA</t>
        </is>
      </c>
      <c r="I833" t="inlineStr">
        <is>
          <t>Crew Civil</t>
        </is>
      </c>
      <c r="J833" t="inlineStr">
        <is>
          <t>Zlecenie</t>
        </is>
      </c>
      <c r="K833" t="n">
        <v>2.63</v>
      </c>
      <c r="L833" t="inlineStr">
        <is>
          <t>384</t>
        </is>
      </c>
      <c r="M833" t="inlineStr">
        <is>
          <t>108120 SBX Warszawa Janki</t>
        </is>
      </c>
      <c r="N833" t="inlineStr">
        <is>
          <t>2026-09-11 19:06</t>
        </is>
      </c>
    </row>
    <row r="834">
      <c r="A834" t="n">
        <v>833</v>
      </c>
      <c r="B834" t="inlineStr">
        <is>
          <t>2026-05-30</t>
        </is>
      </c>
      <c r="C834" t="n">
        <v>2026</v>
      </c>
      <c r="D834" t="inlineStr">
        <is>
          <t>Maj</t>
        </is>
      </c>
      <c r="E834" t="inlineStr">
        <is>
          <t>W5</t>
        </is>
      </c>
      <c r="F834" t="inlineStr">
        <is>
          <t>2026_Maj_W5</t>
        </is>
      </c>
      <c r="G834" t="inlineStr">
        <is>
          <t>Sob</t>
        </is>
      </c>
      <c r="H834" t="inlineStr">
        <is>
          <t>PIASECKA, MAJA</t>
        </is>
      </c>
      <c r="I834" t="inlineStr">
        <is>
          <t>Crew Civil</t>
        </is>
      </c>
      <c r="J834" t="inlineStr">
        <is>
          <t>Zlecenie</t>
        </is>
      </c>
      <c r="K834" t="n">
        <v>7.97</v>
      </c>
      <c r="L834" t="inlineStr">
        <is>
          <t>384</t>
        </is>
      </c>
      <c r="M834" t="inlineStr">
        <is>
          <t>108120 SBX Warszawa Janki</t>
        </is>
      </c>
      <c r="N834" t="inlineStr">
        <is>
          <t>2026-09-11 19:06</t>
        </is>
      </c>
    </row>
    <row r="835">
      <c r="A835" t="n">
        <v>834</v>
      </c>
      <c r="B835" t="inlineStr">
        <is>
          <t>2026-06-24</t>
        </is>
      </c>
      <c r="C835" t="n">
        <v>2026</v>
      </c>
      <c r="D835" t="inlineStr">
        <is>
          <t>Czerwiec</t>
        </is>
      </c>
      <c r="E835" t="inlineStr">
        <is>
          <t>W5</t>
        </is>
      </c>
      <c r="F835" t="inlineStr">
        <is>
          <t>2026_Czerwiec_W5</t>
        </is>
      </c>
      <c r="G835" t="inlineStr">
        <is>
          <t>Śr</t>
        </is>
      </c>
      <c r="H835" t="inlineStr">
        <is>
          <t>PIASECKA, MAJA</t>
        </is>
      </c>
      <c r="I835" t="inlineStr">
        <is>
          <t>Crew Civil</t>
        </is>
      </c>
      <c r="J835" t="inlineStr">
        <is>
          <t>Zlecenie</t>
        </is>
      </c>
      <c r="K835" t="n">
        <v>8</v>
      </c>
      <c r="L835" t="inlineStr">
        <is>
          <t>384</t>
        </is>
      </c>
      <c r="M835" t="inlineStr">
        <is>
          <t>108120 SBX Warszawa Janki</t>
        </is>
      </c>
      <c r="N835" t="inlineStr">
        <is>
          <t>2026-09-11 19:06</t>
        </is>
      </c>
    </row>
    <row r="836">
      <c r="A836" t="n">
        <v>835</v>
      </c>
      <c r="B836" t="inlineStr">
        <is>
          <t>2026-06-25</t>
        </is>
      </c>
      <c r="C836" t="n">
        <v>2026</v>
      </c>
      <c r="D836" t="inlineStr">
        <is>
          <t>Czerwiec</t>
        </is>
      </c>
      <c r="E836" t="inlineStr">
        <is>
          <t>W5</t>
        </is>
      </c>
      <c r="F836" t="inlineStr">
        <is>
          <t>2026_Czerwiec_W5</t>
        </is>
      </c>
      <c r="G836" t="inlineStr">
        <is>
          <t>Czw</t>
        </is>
      </c>
      <c r="H836" t="inlineStr">
        <is>
          <t>PIASECKA, MAJA</t>
        </is>
      </c>
      <c r="I836" t="inlineStr">
        <is>
          <t>Crew Civil</t>
        </is>
      </c>
      <c r="J836" t="inlineStr">
        <is>
          <t>Zlecenie</t>
        </is>
      </c>
      <c r="K836" t="n">
        <v>7.9</v>
      </c>
      <c r="L836" t="inlineStr">
        <is>
          <t>384</t>
        </is>
      </c>
      <c r="M836" t="inlineStr">
        <is>
          <t>108120 SBX Warszawa Janki</t>
        </is>
      </c>
      <c r="N836" t="inlineStr">
        <is>
          <t>2026-09-11 19:06</t>
        </is>
      </c>
    </row>
    <row r="837">
      <c r="A837" t="n">
        <v>836</v>
      </c>
      <c r="B837" t="inlineStr">
        <is>
          <t>2026-06-26</t>
        </is>
      </c>
      <c r="C837" t="n">
        <v>2026</v>
      </c>
      <c r="D837" t="inlineStr">
        <is>
          <t>Czerwiec</t>
        </is>
      </c>
      <c r="E837" t="inlineStr">
        <is>
          <t>W5</t>
        </is>
      </c>
      <c r="F837" t="inlineStr">
        <is>
          <t>2026_Czerwiec_W5</t>
        </is>
      </c>
      <c r="G837" t="inlineStr">
        <is>
          <t>Pt</t>
        </is>
      </c>
      <c r="H837" t="inlineStr">
        <is>
          <t>PIASECKA, MAJA</t>
        </is>
      </c>
      <c r="I837" t="inlineStr">
        <is>
          <t>Crew Civil</t>
        </is>
      </c>
      <c r="J837" t="inlineStr">
        <is>
          <t>Zlecenie</t>
        </is>
      </c>
      <c r="K837" t="n">
        <v>7.6</v>
      </c>
      <c r="L837" t="inlineStr">
        <is>
          <t>384</t>
        </is>
      </c>
      <c r="M837" t="inlineStr">
        <is>
          <t>108120 SBX Warszawa Janki</t>
        </is>
      </c>
      <c r="N837" t="inlineStr">
        <is>
          <t>2026-09-11 19:06</t>
        </is>
      </c>
    </row>
    <row r="838">
      <c r="A838" t="n">
        <v>837</v>
      </c>
      <c r="B838" t="inlineStr">
        <is>
          <t>2026-06-27</t>
        </is>
      </c>
      <c r="C838" t="n">
        <v>2026</v>
      </c>
      <c r="D838" t="inlineStr">
        <is>
          <t>Czerwiec</t>
        </is>
      </c>
      <c r="E838" t="inlineStr">
        <is>
          <t>W5</t>
        </is>
      </c>
      <c r="F838" t="inlineStr">
        <is>
          <t>2026_Czerwiec_W5</t>
        </is>
      </c>
      <c r="G838" t="inlineStr">
        <is>
          <t>Sob</t>
        </is>
      </c>
      <c r="H838" t="inlineStr">
        <is>
          <t>PIASECKA, MAJA</t>
        </is>
      </c>
      <c r="I838" t="inlineStr">
        <is>
          <t>Crew Civil</t>
        </is>
      </c>
      <c r="J838" t="inlineStr">
        <is>
          <t>Zlecenie</t>
        </is>
      </c>
      <c r="K838" t="n">
        <v>7.96</v>
      </c>
      <c r="L838" t="inlineStr">
        <is>
          <t>384</t>
        </is>
      </c>
      <c r="M838" t="inlineStr">
        <is>
          <t>108120 SBX Warszawa Janki</t>
        </is>
      </c>
      <c r="N838" t="inlineStr">
        <is>
          <t>2026-09-11 19:06</t>
        </is>
      </c>
    </row>
    <row r="839">
      <c r="A839" t="n">
        <v>838</v>
      </c>
      <c r="B839" t="inlineStr">
        <is>
          <t>2026-07-04</t>
        </is>
      </c>
      <c r="C839" t="n">
        <v>2026</v>
      </c>
      <c r="D839" t="inlineStr">
        <is>
          <t>Lipiec</t>
        </is>
      </c>
      <c r="E839" t="inlineStr">
        <is>
          <t>W1</t>
        </is>
      </c>
      <c r="F839" t="inlineStr">
        <is>
          <t>2026_Lipiec_W1</t>
        </is>
      </c>
      <c r="G839" t="inlineStr">
        <is>
          <t>Sob</t>
        </is>
      </c>
      <c r="H839" t="inlineStr">
        <is>
          <t>PIASECKA, MAJA</t>
        </is>
      </c>
      <c r="I839" t="inlineStr">
        <is>
          <t>Crew Civil</t>
        </is>
      </c>
      <c r="J839" t="inlineStr">
        <is>
          <t>Zlecenie</t>
        </is>
      </c>
      <c r="K839" t="n">
        <v>8</v>
      </c>
      <c r="L839" t="inlineStr">
        <is>
          <t>384</t>
        </is>
      </c>
      <c r="M839" t="inlineStr">
        <is>
          <t>108120 SBX Warszawa Janki</t>
        </is>
      </c>
      <c r="N839" t="inlineStr">
        <is>
          <t>2026-09-11 19:06</t>
        </is>
      </c>
    </row>
    <row r="840">
      <c r="A840" t="n">
        <v>839</v>
      </c>
      <c r="B840" t="inlineStr">
        <is>
          <t>2026-07-06</t>
        </is>
      </c>
      <c r="C840" t="n">
        <v>2026</v>
      </c>
      <c r="D840" t="inlineStr">
        <is>
          <t>Lipiec</t>
        </is>
      </c>
      <c r="E840" t="inlineStr">
        <is>
          <t>W1</t>
        </is>
      </c>
      <c r="F840" t="inlineStr">
        <is>
          <t>2026_Lipiec_W1</t>
        </is>
      </c>
      <c r="G840" t="inlineStr">
        <is>
          <t>Pn</t>
        </is>
      </c>
      <c r="H840" t="inlineStr">
        <is>
          <t>PIASECKA, MAJA</t>
        </is>
      </c>
      <c r="I840" t="inlineStr">
        <is>
          <t>Crew Civil</t>
        </is>
      </c>
      <c r="J840" t="inlineStr">
        <is>
          <t>Zlecenie</t>
        </is>
      </c>
      <c r="K840" t="n">
        <v>8</v>
      </c>
      <c r="L840" t="inlineStr">
        <is>
          <t>384</t>
        </is>
      </c>
      <c r="M840" t="inlineStr">
        <is>
          <t>108120 SBX Warszawa Janki</t>
        </is>
      </c>
      <c r="N840" t="inlineStr">
        <is>
          <t>2026-09-11 19:06</t>
        </is>
      </c>
    </row>
    <row r="841">
      <c r="A841" t="n">
        <v>840</v>
      </c>
      <c r="B841" t="inlineStr">
        <is>
          <t>2026-07-08</t>
        </is>
      </c>
      <c r="C841" t="n">
        <v>2026</v>
      </c>
      <c r="D841" t="inlineStr">
        <is>
          <t>Lipiec</t>
        </is>
      </c>
      <c r="E841" t="inlineStr">
        <is>
          <t>W2</t>
        </is>
      </c>
      <c r="F841" t="inlineStr">
        <is>
          <t>2026_Lipiec_W2</t>
        </is>
      </c>
      <c r="G841" t="inlineStr">
        <is>
          <t>Śr</t>
        </is>
      </c>
      <c r="H841" t="inlineStr">
        <is>
          <t>PIASECKA, MAJA</t>
        </is>
      </c>
      <c r="I841" t="inlineStr">
        <is>
          <t>Crew Civil</t>
        </is>
      </c>
      <c r="J841" t="inlineStr">
        <is>
          <t>Zlecenie</t>
        </is>
      </c>
      <c r="K841" t="n">
        <v>6.5</v>
      </c>
      <c r="L841" t="inlineStr">
        <is>
          <t>384</t>
        </is>
      </c>
      <c r="M841" t="inlineStr">
        <is>
          <t>108120 SBX Warszawa Janki</t>
        </is>
      </c>
      <c r="N841" t="inlineStr">
        <is>
          <t>2026-09-11 19:06</t>
        </is>
      </c>
    </row>
    <row r="842">
      <c r="A842" t="n">
        <v>841</v>
      </c>
      <c r="B842" t="inlineStr">
        <is>
          <t>2026-07-10</t>
        </is>
      </c>
      <c r="C842" t="n">
        <v>2026</v>
      </c>
      <c r="D842" t="inlineStr">
        <is>
          <t>Lipiec</t>
        </is>
      </c>
      <c r="E842" t="inlineStr">
        <is>
          <t>W2</t>
        </is>
      </c>
      <c r="F842" t="inlineStr">
        <is>
          <t>2026_Lipiec_W2</t>
        </is>
      </c>
      <c r="G842" t="inlineStr">
        <is>
          <t>Pt</t>
        </is>
      </c>
      <c r="H842" t="inlineStr">
        <is>
          <t>PIASECKA, MAJA</t>
        </is>
      </c>
      <c r="I842" t="inlineStr">
        <is>
          <t>Crew Civil</t>
        </is>
      </c>
      <c r="J842" t="inlineStr">
        <is>
          <t>Zlecenie</t>
        </is>
      </c>
      <c r="K842" t="n">
        <v>8</v>
      </c>
      <c r="L842" t="inlineStr">
        <is>
          <t>384</t>
        </is>
      </c>
      <c r="M842" t="inlineStr">
        <is>
          <t>108120 SBX Warszawa Janki</t>
        </is>
      </c>
      <c r="N842" t="inlineStr">
        <is>
          <t>2026-09-11 19:06</t>
        </is>
      </c>
    </row>
    <row r="843">
      <c r="A843" t="n">
        <v>842</v>
      </c>
      <c r="B843" t="inlineStr">
        <is>
          <t>2026-07-11</t>
        </is>
      </c>
      <c r="C843" t="n">
        <v>2026</v>
      </c>
      <c r="D843" t="inlineStr">
        <is>
          <t>Lipiec</t>
        </is>
      </c>
      <c r="E843" t="inlineStr">
        <is>
          <t>W2</t>
        </is>
      </c>
      <c r="F843" t="inlineStr">
        <is>
          <t>2026_Lipiec_W2</t>
        </is>
      </c>
      <c r="G843" t="inlineStr">
        <is>
          <t>Sob</t>
        </is>
      </c>
      <c r="H843" t="inlineStr">
        <is>
          <t>PIASECKA, MAJA</t>
        </is>
      </c>
      <c r="I843" t="inlineStr">
        <is>
          <t>Crew Civil</t>
        </is>
      </c>
      <c r="J843" t="inlineStr">
        <is>
          <t>Zlecenie</t>
        </is>
      </c>
      <c r="K843" t="n">
        <v>8</v>
      </c>
      <c r="L843" t="inlineStr">
        <is>
          <t>384</t>
        </is>
      </c>
      <c r="M843" t="inlineStr">
        <is>
          <t>108120 SBX Warszawa Janki</t>
        </is>
      </c>
      <c r="N843" t="inlineStr">
        <is>
          <t>2026-09-11 19:06</t>
        </is>
      </c>
    </row>
    <row r="844">
      <c r="A844" t="n">
        <v>843</v>
      </c>
      <c r="B844" t="inlineStr">
        <is>
          <t>2026-07-12</t>
        </is>
      </c>
      <c r="C844" t="n">
        <v>2026</v>
      </c>
      <c r="D844" t="inlineStr">
        <is>
          <t>Lipiec</t>
        </is>
      </c>
      <c r="E844" t="inlineStr">
        <is>
          <t>W2</t>
        </is>
      </c>
      <c r="F844" t="inlineStr">
        <is>
          <t>2026_Lipiec_W2</t>
        </is>
      </c>
      <c r="G844" t="inlineStr">
        <is>
          <t>Nd</t>
        </is>
      </c>
      <c r="H844" t="inlineStr">
        <is>
          <t>PIASECKA, MAJA</t>
        </is>
      </c>
      <c r="I844" t="inlineStr">
        <is>
          <t>Crew Civil</t>
        </is>
      </c>
      <c r="J844" t="inlineStr">
        <is>
          <t>Zlecenie</t>
        </is>
      </c>
      <c r="K844" t="n">
        <v>6</v>
      </c>
      <c r="L844" t="inlineStr">
        <is>
          <t>384</t>
        </is>
      </c>
      <c r="M844" t="inlineStr">
        <is>
          <t>108120 SBX Warszawa Janki</t>
        </is>
      </c>
      <c r="N844" t="inlineStr">
        <is>
          <t>2026-09-11 19:06</t>
        </is>
      </c>
    </row>
    <row r="845">
      <c r="A845" t="n">
        <v>844</v>
      </c>
      <c r="B845" t="inlineStr">
        <is>
          <t>2026-07-14</t>
        </is>
      </c>
      <c r="C845" t="n">
        <v>2026</v>
      </c>
      <c r="D845" t="inlineStr">
        <is>
          <t>Lipiec</t>
        </is>
      </c>
      <c r="E845" t="inlineStr">
        <is>
          <t>W3</t>
        </is>
      </c>
      <c r="F845" t="inlineStr">
        <is>
          <t>2026_Lipiec_W3</t>
        </is>
      </c>
      <c r="G845" t="inlineStr">
        <is>
          <t>Wt</t>
        </is>
      </c>
      <c r="H845" t="inlineStr">
        <is>
          <t>PIASECKA, MAJA</t>
        </is>
      </c>
      <c r="I845" t="inlineStr">
        <is>
          <t>Crew Civil</t>
        </is>
      </c>
      <c r="J845" t="inlineStr">
        <is>
          <t>Zlecenie</t>
        </is>
      </c>
      <c r="K845" t="n">
        <v>7.5</v>
      </c>
      <c r="L845" t="inlineStr">
        <is>
          <t>384</t>
        </is>
      </c>
      <c r="M845" t="inlineStr">
        <is>
          <t>108120 SBX Warszawa Janki</t>
        </is>
      </c>
      <c r="N845" t="inlineStr">
        <is>
          <t>2026-09-11 19:06</t>
        </is>
      </c>
    </row>
    <row r="846">
      <c r="A846" t="n">
        <v>845</v>
      </c>
      <c r="B846" t="inlineStr">
        <is>
          <t>2026-07-15</t>
        </is>
      </c>
      <c r="C846" t="n">
        <v>2026</v>
      </c>
      <c r="D846" t="inlineStr">
        <is>
          <t>Lipiec</t>
        </is>
      </c>
      <c r="E846" t="inlineStr">
        <is>
          <t>W3</t>
        </is>
      </c>
      <c r="F846" t="inlineStr">
        <is>
          <t>2026_Lipiec_W3</t>
        </is>
      </c>
      <c r="G846" t="inlineStr">
        <is>
          <t>Śr</t>
        </is>
      </c>
      <c r="H846" t="inlineStr">
        <is>
          <t>PIASECKA, MAJA</t>
        </is>
      </c>
      <c r="I846" t="inlineStr">
        <is>
          <t>Crew Civil</t>
        </is>
      </c>
      <c r="J846" t="inlineStr">
        <is>
          <t>Zlecenie</t>
        </is>
      </c>
      <c r="K846" t="n">
        <v>5.26</v>
      </c>
      <c r="L846" t="inlineStr">
        <is>
          <t>384</t>
        </is>
      </c>
      <c r="M846" t="inlineStr">
        <is>
          <t>108120 SBX Warszawa Janki</t>
        </is>
      </c>
      <c r="N846" t="inlineStr">
        <is>
          <t>2026-09-11 19:06</t>
        </is>
      </c>
    </row>
    <row r="847">
      <c r="A847" t="n">
        <v>846</v>
      </c>
      <c r="B847" t="inlineStr">
        <is>
          <t>2026-07-28</t>
        </is>
      </c>
      <c r="C847" t="n">
        <v>2026</v>
      </c>
      <c r="D847" t="inlineStr">
        <is>
          <t>Lipiec</t>
        </is>
      </c>
      <c r="E847" t="inlineStr">
        <is>
          <t>W5</t>
        </is>
      </c>
      <c r="F847" t="inlineStr">
        <is>
          <t>2026_Lipiec_W5</t>
        </is>
      </c>
      <c r="G847" t="inlineStr">
        <is>
          <t>Wt</t>
        </is>
      </c>
      <c r="H847" t="inlineStr">
        <is>
          <t>PIASECKA, MAJA</t>
        </is>
      </c>
      <c r="I847" t="inlineStr">
        <is>
          <t>Crew Civil</t>
        </is>
      </c>
      <c r="J847" t="inlineStr">
        <is>
          <t>Zlecenie</t>
        </is>
      </c>
      <c r="K847" t="n">
        <v>6.16</v>
      </c>
      <c r="L847" t="inlineStr">
        <is>
          <t>384</t>
        </is>
      </c>
      <c r="M847" t="inlineStr">
        <is>
          <t>108120 SBX Warszawa Janki</t>
        </is>
      </c>
      <c r="N847" t="inlineStr">
        <is>
          <t>2026-09-11 19:06</t>
        </is>
      </c>
    </row>
    <row r="848">
      <c r="A848" t="n">
        <v>847</v>
      </c>
      <c r="B848" t="inlineStr">
        <is>
          <t>2026-07-30</t>
        </is>
      </c>
      <c r="C848" t="n">
        <v>2026</v>
      </c>
      <c r="D848" t="inlineStr">
        <is>
          <t>Lipiec</t>
        </is>
      </c>
      <c r="E848" t="inlineStr">
        <is>
          <t>W5</t>
        </is>
      </c>
      <c r="F848" t="inlineStr">
        <is>
          <t>2026_Lipiec_W5</t>
        </is>
      </c>
      <c r="G848" t="inlineStr">
        <is>
          <t>Czw</t>
        </is>
      </c>
      <c r="H848" t="inlineStr">
        <is>
          <t>PIASECKA, MAJA</t>
        </is>
      </c>
      <c r="I848" t="inlineStr">
        <is>
          <t>Crew Civil</t>
        </is>
      </c>
      <c r="J848" t="inlineStr">
        <is>
          <t>Zlecenie</t>
        </is>
      </c>
      <c r="K848" t="n">
        <v>6.1</v>
      </c>
      <c r="L848" t="inlineStr">
        <is>
          <t>384</t>
        </is>
      </c>
      <c r="M848" t="inlineStr">
        <is>
          <t>108120 SBX Warszawa Janki</t>
        </is>
      </c>
      <c r="N848" t="inlineStr">
        <is>
          <t>2026-09-11 19:06</t>
        </is>
      </c>
    </row>
    <row r="849">
      <c r="A849" t="n">
        <v>848</v>
      </c>
      <c r="B849" t="inlineStr">
        <is>
          <t>2026-07-31</t>
        </is>
      </c>
      <c r="C849" t="n">
        <v>2026</v>
      </c>
      <c r="D849" t="inlineStr">
        <is>
          <t>Lipiec</t>
        </is>
      </c>
      <c r="E849" t="inlineStr">
        <is>
          <t>W5</t>
        </is>
      </c>
      <c r="F849" t="inlineStr">
        <is>
          <t>2026_Lipiec_W5</t>
        </is>
      </c>
      <c r="G849" t="inlineStr">
        <is>
          <t>Pt</t>
        </is>
      </c>
      <c r="H849" t="inlineStr">
        <is>
          <t>PIASECKA, MAJA</t>
        </is>
      </c>
      <c r="I849" t="inlineStr">
        <is>
          <t>Crew Civil</t>
        </is>
      </c>
      <c r="J849" t="inlineStr">
        <is>
          <t>Zlecenie</t>
        </is>
      </c>
      <c r="K849" t="n">
        <v>7.21</v>
      </c>
      <c r="L849" t="inlineStr">
        <is>
          <t>384</t>
        </is>
      </c>
      <c r="M849" t="inlineStr">
        <is>
          <t>108120 SBX Warszawa Janki</t>
        </is>
      </c>
      <c r="N849" t="inlineStr">
        <is>
          <t>2026-09-11 19:06</t>
        </is>
      </c>
    </row>
    <row r="850">
      <c r="A850" t="n">
        <v>849</v>
      </c>
      <c r="B850" t="inlineStr">
        <is>
          <t>2026-08-01</t>
        </is>
      </c>
      <c r="C850" t="n">
        <v>2026</v>
      </c>
      <c r="D850" t="inlineStr">
        <is>
          <t>Sierpień</t>
        </is>
      </c>
      <c r="E850" t="inlineStr">
        <is>
          <t>W1</t>
        </is>
      </c>
      <c r="F850" t="inlineStr">
        <is>
          <t>2026_Sierpień_W1</t>
        </is>
      </c>
      <c r="G850" t="inlineStr">
        <is>
          <t>Sob</t>
        </is>
      </c>
      <c r="H850" t="inlineStr">
        <is>
          <t>PIASECKA, MAJA</t>
        </is>
      </c>
      <c r="I850" t="inlineStr">
        <is>
          <t>Crew Civil</t>
        </is>
      </c>
      <c r="J850" t="inlineStr">
        <is>
          <t>Zlecenie</t>
        </is>
      </c>
      <c r="K850" t="n">
        <v>6.9</v>
      </c>
      <c r="L850" t="inlineStr">
        <is>
          <t>384</t>
        </is>
      </c>
      <c r="M850" t="inlineStr">
        <is>
          <t>108120 SBX Warszawa Janki</t>
        </is>
      </c>
      <c r="N850" t="inlineStr">
        <is>
          <t>2026-09-11 19:06</t>
        </is>
      </c>
    </row>
    <row r="851">
      <c r="A851" t="n">
        <v>850</v>
      </c>
      <c r="B851" t="inlineStr">
        <is>
          <t>2026-08-03</t>
        </is>
      </c>
      <c r="C851" t="n">
        <v>2026</v>
      </c>
      <c r="D851" t="inlineStr">
        <is>
          <t>Sierpień</t>
        </is>
      </c>
      <c r="E851" t="inlineStr">
        <is>
          <t>W1</t>
        </is>
      </c>
      <c r="F851" t="inlineStr">
        <is>
          <t>2026_Sierpień_W1</t>
        </is>
      </c>
      <c r="G851" t="inlineStr">
        <is>
          <t>Pn</t>
        </is>
      </c>
      <c r="H851" t="inlineStr">
        <is>
          <t>PIASECKA, MAJA</t>
        </is>
      </c>
      <c r="I851" t="inlineStr">
        <is>
          <t>Crew Civil</t>
        </is>
      </c>
      <c r="J851" t="inlineStr">
        <is>
          <t>Zlecenie</t>
        </is>
      </c>
      <c r="K851" t="n">
        <v>7.02</v>
      </c>
      <c r="L851" t="inlineStr">
        <is>
          <t>384</t>
        </is>
      </c>
      <c r="M851" t="inlineStr">
        <is>
          <t>108120 SBX Warszawa Janki</t>
        </is>
      </c>
      <c r="N851" t="inlineStr">
        <is>
          <t>2026-09-11 19:06</t>
        </is>
      </c>
    </row>
    <row r="852">
      <c r="A852" t="n">
        <v>851</v>
      </c>
      <c r="B852" t="inlineStr">
        <is>
          <t>2026-08-07</t>
        </is>
      </c>
      <c r="C852" t="n">
        <v>2026</v>
      </c>
      <c r="D852" t="inlineStr">
        <is>
          <t>Sierpień</t>
        </is>
      </c>
      <c r="E852" t="inlineStr">
        <is>
          <t>W2</t>
        </is>
      </c>
      <c r="F852" t="inlineStr">
        <is>
          <t>2026_Sierpień_W2</t>
        </is>
      </c>
      <c r="G852" t="inlineStr">
        <is>
          <t>Pt</t>
        </is>
      </c>
      <c r="H852" t="inlineStr">
        <is>
          <t>PIASECKA, MAJA</t>
        </is>
      </c>
      <c r="I852" t="inlineStr">
        <is>
          <t>Crew Civil</t>
        </is>
      </c>
      <c r="J852" t="inlineStr">
        <is>
          <t>Zlecenie</t>
        </is>
      </c>
      <c r="K852" t="n">
        <v>8.42</v>
      </c>
      <c r="L852" t="inlineStr">
        <is>
          <t>384</t>
        </is>
      </c>
      <c r="M852" t="inlineStr">
        <is>
          <t>108120 SBX Warszawa Janki</t>
        </is>
      </c>
      <c r="N852" t="inlineStr">
        <is>
          <t>2026-09-11 19:06</t>
        </is>
      </c>
    </row>
    <row r="853">
      <c r="A853" t="n">
        <v>852</v>
      </c>
      <c r="B853" t="inlineStr">
        <is>
          <t>2026-08-08</t>
        </is>
      </c>
      <c r="C853" t="n">
        <v>2026</v>
      </c>
      <c r="D853" t="inlineStr">
        <is>
          <t>Sierpień</t>
        </is>
      </c>
      <c r="E853" t="inlineStr">
        <is>
          <t>W2</t>
        </is>
      </c>
      <c r="F853" t="inlineStr">
        <is>
          <t>2026_Sierpień_W2</t>
        </is>
      </c>
      <c r="G853" t="inlineStr">
        <is>
          <t>Sob</t>
        </is>
      </c>
      <c r="H853" t="inlineStr">
        <is>
          <t>PIASECKA, MAJA</t>
        </is>
      </c>
      <c r="I853" t="inlineStr">
        <is>
          <t>Crew Civil</t>
        </is>
      </c>
      <c r="J853" t="inlineStr">
        <is>
          <t>Zlecenie</t>
        </is>
      </c>
      <c r="K853" t="n">
        <v>7.41</v>
      </c>
      <c r="L853" t="inlineStr">
        <is>
          <t>384</t>
        </is>
      </c>
      <c r="M853" t="inlineStr">
        <is>
          <t>108120 SBX Warszawa Janki</t>
        </is>
      </c>
      <c r="N853" t="inlineStr">
        <is>
          <t>2026-09-11 19:06</t>
        </is>
      </c>
    </row>
    <row r="854">
      <c r="A854" t="n">
        <v>853</v>
      </c>
      <c r="B854" t="inlineStr">
        <is>
          <t>2026-08-19</t>
        </is>
      </c>
      <c r="C854" t="n">
        <v>2026</v>
      </c>
      <c r="D854" t="inlineStr">
        <is>
          <t>Sierpień</t>
        </is>
      </c>
      <c r="E854" t="inlineStr">
        <is>
          <t>W4</t>
        </is>
      </c>
      <c r="F854" t="inlineStr">
        <is>
          <t>2026_Sierpień_W4</t>
        </is>
      </c>
      <c r="G854" t="inlineStr">
        <is>
          <t>Śr</t>
        </is>
      </c>
      <c r="H854" t="inlineStr">
        <is>
          <t>PIASECKA, MAJA</t>
        </is>
      </c>
      <c r="I854" t="inlineStr">
        <is>
          <t>Crew Civil</t>
        </is>
      </c>
      <c r="J854" t="inlineStr">
        <is>
          <t>Zlecenie</t>
        </is>
      </c>
      <c r="K854" t="n">
        <v>8</v>
      </c>
      <c r="L854" t="inlineStr">
        <is>
          <t>384</t>
        </is>
      </c>
      <c r="M854" t="inlineStr">
        <is>
          <t>108120 SBX Warszawa Janki</t>
        </is>
      </c>
      <c r="N854" t="inlineStr">
        <is>
          <t>2026-09-11 19:06</t>
        </is>
      </c>
    </row>
    <row r="855">
      <c r="A855" t="n">
        <v>854</v>
      </c>
      <c r="B855" t="inlineStr">
        <is>
          <t>2026-08-20</t>
        </is>
      </c>
      <c r="C855" t="n">
        <v>2026</v>
      </c>
      <c r="D855" t="inlineStr">
        <is>
          <t>Sierpień</t>
        </is>
      </c>
      <c r="E855" t="inlineStr">
        <is>
          <t>W4</t>
        </is>
      </c>
      <c r="F855" t="inlineStr">
        <is>
          <t>2026_Sierpień_W4</t>
        </is>
      </c>
      <c r="G855" t="inlineStr">
        <is>
          <t>Czw</t>
        </is>
      </c>
      <c r="H855" t="inlineStr">
        <is>
          <t>PIASECKA, MAJA</t>
        </is>
      </c>
      <c r="I855" t="inlineStr">
        <is>
          <t>Crew Civil</t>
        </is>
      </c>
      <c r="J855" t="inlineStr">
        <is>
          <t>Zlecenie</t>
        </is>
      </c>
      <c r="K855" t="n">
        <v>7.87</v>
      </c>
      <c r="L855" t="inlineStr">
        <is>
          <t>384</t>
        </is>
      </c>
      <c r="M855" t="inlineStr">
        <is>
          <t>108120 SBX Warszawa Janki</t>
        </is>
      </c>
      <c r="N855" t="inlineStr">
        <is>
          <t>2026-09-11 19:06</t>
        </is>
      </c>
    </row>
    <row r="856">
      <c r="A856" t="n">
        <v>855</v>
      </c>
      <c r="B856" t="inlineStr">
        <is>
          <t>2026-08-21</t>
        </is>
      </c>
      <c r="C856" t="n">
        <v>2026</v>
      </c>
      <c r="D856" t="inlineStr">
        <is>
          <t>Sierpień</t>
        </is>
      </c>
      <c r="E856" t="inlineStr">
        <is>
          <t>W4</t>
        </is>
      </c>
      <c r="F856" t="inlineStr">
        <is>
          <t>2026_Sierpień_W4</t>
        </is>
      </c>
      <c r="G856" t="inlineStr">
        <is>
          <t>Pt</t>
        </is>
      </c>
      <c r="H856" t="inlineStr">
        <is>
          <t>PIASECKA, MAJA</t>
        </is>
      </c>
      <c r="I856" t="inlineStr">
        <is>
          <t>Crew Civil</t>
        </is>
      </c>
      <c r="J856" t="inlineStr">
        <is>
          <t>Zlecenie</t>
        </is>
      </c>
      <c r="K856" t="n">
        <v>6</v>
      </c>
      <c r="L856" t="inlineStr">
        <is>
          <t>384</t>
        </is>
      </c>
      <c r="M856" t="inlineStr">
        <is>
          <t>108120 SBX Warszawa Janki</t>
        </is>
      </c>
      <c r="N856" t="inlineStr">
        <is>
          <t>2026-09-11 19:06</t>
        </is>
      </c>
    </row>
    <row r="857">
      <c r="A857" t="n">
        <v>856</v>
      </c>
      <c r="B857" t="inlineStr">
        <is>
          <t>2026-08-22</t>
        </is>
      </c>
      <c r="C857" t="n">
        <v>2026</v>
      </c>
      <c r="D857" t="inlineStr">
        <is>
          <t>Sierpień</t>
        </is>
      </c>
      <c r="E857" t="inlineStr">
        <is>
          <t>W4</t>
        </is>
      </c>
      <c r="F857" t="inlineStr">
        <is>
          <t>2026_Sierpień_W4</t>
        </is>
      </c>
      <c r="G857" t="inlineStr">
        <is>
          <t>Sob</t>
        </is>
      </c>
      <c r="H857" t="inlineStr">
        <is>
          <t>PIASECKA, MAJA</t>
        </is>
      </c>
      <c r="I857" t="inlineStr">
        <is>
          <t>Crew Civil</t>
        </is>
      </c>
      <c r="J857" t="inlineStr">
        <is>
          <t>Zlecenie</t>
        </is>
      </c>
      <c r="K857" t="n">
        <v>7</v>
      </c>
      <c r="L857" t="inlineStr">
        <is>
          <t>384</t>
        </is>
      </c>
      <c r="M857" t="inlineStr">
        <is>
          <t>108120 SBX Warszawa Janki</t>
        </is>
      </c>
      <c r="N857" t="inlineStr">
        <is>
          <t>2026-09-11 19:06</t>
        </is>
      </c>
    </row>
    <row r="858">
      <c r="A858" t="n">
        <v>857</v>
      </c>
      <c r="B858" t="inlineStr">
        <is>
          <t>2026-08-23</t>
        </is>
      </c>
      <c r="C858" t="n">
        <v>2026</v>
      </c>
      <c r="D858" t="inlineStr">
        <is>
          <t>Sierpień</t>
        </is>
      </c>
      <c r="E858" t="inlineStr">
        <is>
          <t>W4</t>
        </is>
      </c>
      <c r="F858" t="inlineStr">
        <is>
          <t>2026_Sierpień_W4</t>
        </is>
      </c>
      <c r="G858" t="inlineStr">
        <is>
          <t>Nd</t>
        </is>
      </c>
      <c r="H858" t="inlineStr">
        <is>
          <t>PIASECKA, MAJA</t>
        </is>
      </c>
      <c r="I858" t="inlineStr">
        <is>
          <t>Crew Civil</t>
        </is>
      </c>
      <c r="J858" t="inlineStr">
        <is>
          <t>Zlecenie</t>
        </is>
      </c>
      <c r="K858" t="n">
        <v>1.59</v>
      </c>
      <c r="L858" t="inlineStr">
        <is>
          <t>384</t>
        </is>
      </c>
      <c r="M858" t="inlineStr">
        <is>
          <t>108120 SBX Warszawa Janki</t>
        </is>
      </c>
      <c r="N858" t="inlineStr">
        <is>
          <t>2026-09-11 19:06</t>
        </is>
      </c>
    </row>
    <row r="859">
      <c r="A859" t="n">
        <v>858</v>
      </c>
      <c r="B859" t="inlineStr">
        <is>
          <t>2026-08-24</t>
        </is>
      </c>
      <c r="C859" t="n">
        <v>2026</v>
      </c>
      <c r="D859" t="inlineStr">
        <is>
          <t>Sierpień</t>
        </is>
      </c>
      <c r="E859" t="inlineStr">
        <is>
          <t>W4</t>
        </is>
      </c>
      <c r="F859" t="inlineStr">
        <is>
          <t>2026_Sierpień_W4</t>
        </is>
      </c>
      <c r="G859" t="inlineStr">
        <is>
          <t>Pn</t>
        </is>
      </c>
      <c r="H859" t="inlineStr">
        <is>
          <t>PIASECKA, MAJA</t>
        </is>
      </c>
      <c r="I859" t="inlineStr">
        <is>
          <t>Crew Civil</t>
        </is>
      </c>
      <c r="J859" t="inlineStr">
        <is>
          <t>Zlecenie</t>
        </is>
      </c>
      <c r="K859" t="n">
        <v>7.72</v>
      </c>
      <c r="L859" t="inlineStr">
        <is>
          <t>384</t>
        </is>
      </c>
      <c r="M859" t="inlineStr">
        <is>
          <t>108120 SBX Warszawa Janki</t>
        </is>
      </c>
      <c r="N859" t="inlineStr">
        <is>
          <t>2026-09-11 19:06</t>
        </is>
      </c>
    </row>
    <row r="860">
      <c r="A860" t="n">
        <v>859</v>
      </c>
      <c r="B860" t="inlineStr">
        <is>
          <t>2026-08-25</t>
        </is>
      </c>
      <c r="C860" t="n">
        <v>2026</v>
      </c>
      <c r="D860" t="inlineStr">
        <is>
          <t>Sierpień</t>
        </is>
      </c>
      <c r="E860" t="inlineStr">
        <is>
          <t>W5</t>
        </is>
      </c>
      <c r="F860" t="inlineStr">
        <is>
          <t>2026_Sierpień_W5</t>
        </is>
      </c>
      <c r="G860" t="inlineStr">
        <is>
          <t>Wt</t>
        </is>
      </c>
      <c r="H860" t="inlineStr">
        <is>
          <t>PIASECKA, MAJA</t>
        </is>
      </c>
      <c r="I860" t="inlineStr">
        <is>
          <t>Crew Civil</t>
        </is>
      </c>
      <c r="J860" t="inlineStr">
        <is>
          <t>Zlecenie</t>
        </is>
      </c>
      <c r="K860" t="n">
        <v>6.72</v>
      </c>
      <c r="L860" t="inlineStr">
        <is>
          <t>384</t>
        </is>
      </c>
      <c r="M860" t="inlineStr">
        <is>
          <t>108120 SBX Warszawa Janki</t>
        </is>
      </c>
      <c r="N860" t="inlineStr">
        <is>
          <t>2026-09-11 19:06</t>
        </is>
      </c>
    </row>
    <row r="861">
      <c r="A861" t="n">
        <v>860</v>
      </c>
      <c r="B861" t="inlineStr">
        <is>
          <t>2026-08-28</t>
        </is>
      </c>
      <c r="C861" t="n">
        <v>2026</v>
      </c>
      <c r="D861" t="inlineStr">
        <is>
          <t>Sierpień</t>
        </is>
      </c>
      <c r="E861" t="inlineStr">
        <is>
          <t>W5</t>
        </is>
      </c>
      <c r="F861" t="inlineStr">
        <is>
          <t>2026_Sierpień_W5</t>
        </is>
      </c>
      <c r="G861" t="inlineStr">
        <is>
          <t>Pt</t>
        </is>
      </c>
      <c r="H861" t="inlineStr">
        <is>
          <t>PIASECKA, MAJA</t>
        </is>
      </c>
      <c r="I861" t="inlineStr">
        <is>
          <t>Crew Civil</t>
        </is>
      </c>
      <c r="J861" t="inlineStr">
        <is>
          <t>Zlecenie</t>
        </is>
      </c>
      <c r="K861" t="n">
        <v>7.36</v>
      </c>
      <c r="L861" t="inlineStr">
        <is>
          <t>384</t>
        </is>
      </c>
      <c r="M861" t="inlineStr">
        <is>
          <t>108120 SBX Warszawa Janki</t>
        </is>
      </c>
      <c r="N861" t="inlineStr">
        <is>
          <t>2026-09-11 19:06</t>
        </is>
      </c>
    </row>
    <row r="862">
      <c r="A862" t="n">
        <v>861</v>
      </c>
      <c r="B862" t="inlineStr">
        <is>
          <t>2026-08-29</t>
        </is>
      </c>
      <c r="C862" t="n">
        <v>2026</v>
      </c>
      <c r="D862" t="inlineStr">
        <is>
          <t>Sierpień</t>
        </is>
      </c>
      <c r="E862" t="inlineStr">
        <is>
          <t>W5</t>
        </is>
      </c>
      <c r="F862" t="inlineStr">
        <is>
          <t>2026_Sierpień_W5</t>
        </is>
      </c>
      <c r="G862" t="inlineStr">
        <is>
          <t>Sob</t>
        </is>
      </c>
      <c r="H862" t="inlineStr">
        <is>
          <t>PIASECKA, MAJA</t>
        </is>
      </c>
      <c r="I862" t="inlineStr">
        <is>
          <t>Crew Civil</t>
        </is>
      </c>
      <c r="J862" t="inlineStr">
        <is>
          <t>Zlecenie</t>
        </is>
      </c>
      <c r="K862" t="n">
        <v>7.98</v>
      </c>
      <c r="L862" t="inlineStr">
        <is>
          <t>384</t>
        </is>
      </c>
      <c r="M862" t="inlineStr">
        <is>
          <t>108120 SBX Warszawa Janki</t>
        </is>
      </c>
      <c r="N862" t="inlineStr">
        <is>
          <t>2026-09-11 19:06</t>
        </is>
      </c>
    </row>
    <row r="863">
      <c r="A863" t="n">
        <v>862</v>
      </c>
      <c r="B863" t="inlineStr">
        <is>
          <t>2026-08-30</t>
        </is>
      </c>
      <c r="C863" t="n">
        <v>2026</v>
      </c>
      <c r="D863" t="inlineStr">
        <is>
          <t>Sierpień</t>
        </is>
      </c>
      <c r="E863" t="inlineStr">
        <is>
          <t>W5</t>
        </is>
      </c>
      <c r="F863" t="inlineStr">
        <is>
          <t>2026_Sierpień_W5</t>
        </is>
      </c>
      <c r="G863" t="inlineStr">
        <is>
          <t>Nd</t>
        </is>
      </c>
      <c r="H863" t="inlineStr">
        <is>
          <t>PIASECKA, MAJA</t>
        </is>
      </c>
      <c r="I863" t="inlineStr">
        <is>
          <t>Crew Civil</t>
        </is>
      </c>
      <c r="J863" t="inlineStr">
        <is>
          <t>Zlecenie</t>
        </is>
      </c>
      <c r="K863" t="n">
        <v>7.28</v>
      </c>
      <c r="L863" t="inlineStr">
        <is>
          <t>384</t>
        </is>
      </c>
      <c r="M863" t="inlineStr">
        <is>
          <t>108120 SBX Warszawa Janki</t>
        </is>
      </c>
      <c r="N863" t="inlineStr">
        <is>
          <t>2026-09-11 19:06</t>
        </is>
      </c>
    </row>
    <row r="864">
      <c r="A864" t="n">
        <v>863</v>
      </c>
      <c r="B864" t="inlineStr">
        <is>
          <t>2026-08-31</t>
        </is>
      </c>
      <c r="C864" t="n">
        <v>2026</v>
      </c>
      <c r="D864" t="inlineStr">
        <is>
          <t>Sierpień</t>
        </is>
      </c>
      <c r="E864" t="inlineStr">
        <is>
          <t>W5</t>
        </is>
      </c>
      <c r="F864" t="inlineStr">
        <is>
          <t>2026_Sierpień_W5</t>
        </is>
      </c>
      <c r="G864" t="inlineStr">
        <is>
          <t>Pn</t>
        </is>
      </c>
      <c r="H864" t="inlineStr">
        <is>
          <t>PIASECKA, MAJA</t>
        </is>
      </c>
      <c r="I864" t="inlineStr">
        <is>
          <t>Crew Civil</t>
        </is>
      </c>
      <c r="J864" t="inlineStr">
        <is>
          <t>Zlecenie</t>
        </is>
      </c>
      <c r="K864" t="n">
        <v>7.11</v>
      </c>
      <c r="L864" t="inlineStr">
        <is>
          <t>384</t>
        </is>
      </c>
      <c r="M864" t="inlineStr">
        <is>
          <t>108120 SBX Warszawa Janki</t>
        </is>
      </c>
      <c r="N864" t="inlineStr">
        <is>
          <t>2026-09-11 19:06</t>
        </is>
      </c>
    </row>
    <row r="865">
      <c r="A865" t="n">
        <v>864</v>
      </c>
      <c r="B865" t="inlineStr">
        <is>
          <t>2026-09-02</t>
        </is>
      </c>
      <c r="C865" t="n">
        <v>2026</v>
      </c>
      <c r="D865" t="inlineStr">
        <is>
          <t>Wrzesień</t>
        </is>
      </c>
      <c r="E865" t="inlineStr">
        <is>
          <t>W1</t>
        </is>
      </c>
      <c r="F865" t="inlineStr">
        <is>
          <t>2026_Wrzesień_W1</t>
        </is>
      </c>
      <c r="G865" t="inlineStr">
        <is>
          <t>Śr</t>
        </is>
      </c>
      <c r="H865" t="inlineStr">
        <is>
          <t>PIASECKA, MAJA</t>
        </is>
      </c>
      <c r="I865" t="inlineStr">
        <is>
          <t>Crew Civil</t>
        </is>
      </c>
      <c r="J865" t="inlineStr">
        <is>
          <t>Zlecenie</t>
        </is>
      </c>
      <c r="K865" t="n">
        <v>7.5</v>
      </c>
      <c r="L865" t="inlineStr">
        <is>
          <t>384</t>
        </is>
      </c>
      <c r="M865" t="inlineStr">
        <is>
          <t>108120 SBX Warszawa Janki</t>
        </is>
      </c>
      <c r="N865" t="inlineStr">
        <is>
          <t>2026-09-11 19:06</t>
        </is>
      </c>
    </row>
    <row r="866">
      <c r="A866" t="n">
        <v>865</v>
      </c>
      <c r="B866" t="inlineStr">
        <is>
          <t>2026-09-03</t>
        </is>
      </c>
      <c r="C866" t="n">
        <v>2026</v>
      </c>
      <c r="D866" t="inlineStr">
        <is>
          <t>Wrzesień</t>
        </is>
      </c>
      <c r="E866" t="inlineStr">
        <is>
          <t>W1</t>
        </is>
      </c>
      <c r="F866" t="inlineStr">
        <is>
          <t>2026_Wrzesień_W1</t>
        </is>
      </c>
      <c r="G866" t="inlineStr">
        <is>
          <t>Czw</t>
        </is>
      </c>
      <c r="H866" t="inlineStr">
        <is>
          <t>PIASECKA, MAJA</t>
        </is>
      </c>
      <c r="I866" t="inlineStr">
        <is>
          <t>Crew Civil</t>
        </is>
      </c>
      <c r="J866" t="inlineStr">
        <is>
          <t>Zlecenie</t>
        </is>
      </c>
      <c r="K866" t="n">
        <v>5.86</v>
      </c>
      <c r="L866" t="inlineStr">
        <is>
          <t>384</t>
        </is>
      </c>
      <c r="M866" t="inlineStr">
        <is>
          <t>108120 SBX Warszawa Janki</t>
        </is>
      </c>
      <c r="N866" t="inlineStr">
        <is>
          <t>2026-09-11 19:06</t>
        </is>
      </c>
    </row>
    <row r="867">
      <c r="A867" t="n">
        <v>866</v>
      </c>
      <c r="B867" t="inlineStr">
        <is>
          <t>2026-09-07</t>
        </is>
      </c>
      <c r="C867" t="n">
        <v>2026</v>
      </c>
      <c r="D867" t="inlineStr">
        <is>
          <t>Wrzesień</t>
        </is>
      </c>
      <c r="E867" t="inlineStr">
        <is>
          <t>W1</t>
        </is>
      </c>
      <c r="F867" t="inlineStr">
        <is>
          <t>2026_Wrzesień_W1</t>
        </is>
      </c>
      <c r="G867" t="inlineStr">
        <is>
          <t>Pn</t>
        </is>
      </c>
      <c r="H867" t="inlineStr">
        <is>
          <t>PIASECKA, MAJA</t>
        </is>
      </c>
      <c r="I867" t="inlineStr">
        <is>
          <t>Crew Civil</t>
        </is>
      </c>
      <c r="J867" t="inlineStr">
        <is>
          <t>Zlecenie</t>
        </is>
      </c>
      <c r="K867" t="n">
        <v>7.69</v>
      </c>
      <c r="L867" t="inlineStr">
        <is>
          <t>384</t>
        </is>
      </c>
      <c r="M867" t="inlineStr">
        <is>
          <t>108120 SBX Warszawa Janki</t>
        </is>
      </c>
      <c r="N867" t="inlineStr">
        <is>
          <t>2026-09-11 19:06</t>
        </is>
      </c>
    </row>
    <row r="868">
      <c r="A868" t="n">
        <v>867</v>
      </c>
      <c r="B868" t="inlineStr">
        <is>
          <t>2026-01-05</t>
        </is>
      </c>
      <c r="C868" t="n">
        <v>2026</v>
      </c>
      <c r="D868" t="inlineStr">
        <is>
          <t>Styczeń</t>
        </is>
      </c>
      <c r="E868" t="inlineStr">
        <is>
          <t>W1</t>
        </is>
      </c>
      <c r="F868" t="inlineStr">
        <is>
          <t>2026_Styczeń_W1</t>
        </is>
      </c>
      <c r="G868" t="inlineStr">
        <is>
          <t>Pn</t>
        </is>
      </c>
      <c r="H868" t="inlineStr">
        <is>
          <t>PŁUŻYŃSKA, ALEKSANDRA</t>
        </is>
      </c>
      <c r="I868" t="inlineStr">
        <is>
          <t>Crew</t>
        </is>
      </c>
      <c r="J868" t="inlineStr">
        <is>
          <t>Standard 0,75|30h</t>
        </is>
      </c>
      <c r="K868" t="n">
        <v>5.88</v>
      </c>
      <c r="L868" t="inlineStr">
        <is>
          <t>384</t>
        </is>
      </c>
      <c r="M868" t="inlineStr">
        <is>
          <t>108120 SBX Warszawa Janki</t>
        </is>
      </c>
      <c r="N868" t="inlineStr">
        <is>
          <t>2026-09-11 19:06</t>
        </is>
      </c>
    </row>
    <row r="869">
      <c r="A869" t="n">
        <v>868</v>
      </c>
      <c r="B869" t="inlineStr">
        <is>
          <t>2026-01-07</t>
        </is>
      </c>
      <c r="C869" t="n">
        <v>2026</v>
      </c>
      <c r="D869" t="inlineStr">
        <is>
          <t>Styczeń</t>
        </is>
      </c>
      <c r="E869" t="inlineStr">
        <is>
          <t>W2</t>
        </is>
      </c>
      <c r="F869" t="inlineStr">
        <is>
          <t>2026_Styczeń_W2</t>
        </is>
      </c>
      <c r="G869" t="inlineStr">
        <is>
          <t>Śr</t>
        </is>
      </c>
      <c r="H869" t="inlineStr">
        <is>
          <t>PŁUŻYŃSKA, ALEKSANDRA</t>
        </is>
      </c>
      <c r="I869" t="inlineStr">
        <is>
          <t>Crew</t>
        </is>
      </c>
      <c r="J869" t="inlineStr">
        <is>
          <t>Standard 0,75|30h</t>
        </is>
      </c>
      <c r="K869" t="n">
        <v>7.7</v>
      </c>
      <c r="L869" t="inlineStr">
        <is>
          <t>384</t>
        </is>
      </c>
      <c r="M869" t="inlineStr">
        <is>
          <t>108120 SBX Warszawa Janki</t>
        </is>
      </c>
      <c r="N869" t="inlineStr">
        <is>
          <t>2026-09-11 19:06</t>
        </is>
      </c>
    </row>
    <row r="870">
      <c r="A870" t="n">
        <v>869</v>
      </c>
      <c r="B870" t="inlineStr">
        <is>
          <t>2026-01-09</t>
        </is>
      </c>
      <c r="C870" t="n">
        <v>2026</v>
      </c>
      <c r="D870" t="inlineStr">
        <is>
          <t>Styczeń</t>
        </is>
      </c>
      <c r="E870" t="inlineStr">
        <is>
          <t>W2</t>
        </is>
      </c>
      <c r="F870" t="inlineStr">
        <is>
          <t>2026_Styczeń_W2</t>
        </is>
      </c>
      <c r="G870" t="inlineStr">
        <is>
          <t>Pt</t>
        </is>
      </c>
      <c r="H870" t="inlineStr">
        <is>
          <t>PŁUŻYŃSKA, ALEKSANDRA</t>
        </is>
      </c>
      <c r="I870" t="inlineStr">
        <is>
          <t>Crew</t>
        </is>
      </c>
      <c r="J870" t="inlineStr">
        <is>
          <t>Standard 0,75|30h</t>
        </is>
      </c>
      <c r="K870" t="n">
        <v>8.300000000000001</v>
      </c>
      <c r="L870" t="inlineStr">
        <is>
          <t>384</t>
        </is>
      </c>
      <c r="M870" t="inlineStr">
        <is>
          <t>108120 SBX Warszawa Janki</t>
        </is>
      </c>
      <c r="N870" t="inlineStr">
        <is>
          <t>2026-09-11 19:06</t>
        </is>
      </c>
    </row>
    <row r="871">
      <c r="A871" t="n">
        <v>870</v>
      </c>
      <c r="B871" t="inlineStr">
        <is>
          <t>2026-01-10</t>
        </is>
      </c>
      <c r="C871" t="n">
        <v>2026</v>
      </c>
      <c r="D871" t="inlineStr">
        <is>
          <t>Styczeń</t>
        </is>
      </c>
      <c r="E871" t="inlineStr">
        <is>
          <t>W2</t>
        </is>
      </c>
      <c r="F871" t="inlineStr">
        <is>
          <t>2026_Styczeń_W2</t>
        </is>
      </c>
      <c r="G871" t="inlineStr">
        <is>
          <t>Sob</t>
        </is>
      </c>
      <c r="H871" t="inlineStr">
        <is>
          <t>PŁUŻYŃSKA, ALEKSANDRA</t>
        </is>
      </c>
      <c r="I871" t="inlineStr">
        <is>
          <t>Crew</t>
        </is>
      </c>
      <c r="J871" t="inlineStr">
        <is>
          <t>Standard 0,75|30h</t>
        </is>
      </c>
      <c r="K871" t="n">
        <v>8.08</v>
      </c>
      <c r="L871" t="inlineStr">
        <is>
          <t>384</t>
        </is>
      </c>
      <c r="M871" t="inlineStr">
        <is>
          <t>108120 SBX Warszawa Janki</t>
        </is>
      </c>
      <c r="N871" t="inlineStr">
        <is>
          <t>2026-09-11 19:06</t>
        </is>
      </c>
    </row>
    <row r="872">
      <c r="A872" t="n">
        <v>871</v>
      </c>
      <c r="B872" t="inlineStr">
        <is>
          <t>2026-01-12</t>
        </is>
      </c>
      <c r="C872" t="n">
        <v>2026</v>
      </c>
      <c r="D872" t="inlineStr">
        <is>
          <t>Styczeń</t>
        </is>
      </c>
      <c r="E872" t="inlineStr">
        <is>
          <t>W2</t>
        </is>
      </c>
      <c r="F872" t="inlineStr">
        <is>
          <t>2026_Styczeń_W2</t>
        </is>
      </c>
      <c r="G872" t="inlineStr">
        <is>
          <t>Pn</t>
        </is>
      </c>
      <c r="H872" t="inlineStr">
        <is>
          <t>PŁUŻYŃSKA, ALEKSANDRA</t>
        </is>
      </c>
      <c r="I872" t="inlineStr">
        <is>
          <t>Crew</t>
        </is>
      </c>
      <c r="J872" t="inlineStr">
        <is>
          <t>Standard 0,75|30h</t>
        </is>
      </c>
      <c r="K872" t="n">
        <v>7.5</v>
      </c>
      <c r="L872" t="inlineStr">
        <is>
          <t>384</t>
        </is>
      </c>
      <c r="M872" t="inlineStr">
        <is>
          <t>108120 SBX Warszawa Janki</t>
        </is>
      </c>
      <c r="N872" t="inlineStr">
        <is>
          <t>2026-09-11 19:06</t>
        </is>
      </c>
    </row>
    <row r="873">
      <c r="A873" t="n">
        <v>872</v>
      </c>
      <c r="B873" t="inlineStr">
        <is>
          <t>2026-01-14</t>
        </is>
      </c>
      <c r="C873" t="n">
        <v>2026</v>
      </c>
      <c r="D873" t="inlineStr">
        <is>
          <t>Styczeń</t>
        </is>
      </c>
      <c r="E873" t="inlineStr">
        <is>
          <t>W3</t>
        </is>
      </c>
      <c r="F873" t="inlineStr">
        <is>
          <t>2026_Styczeń_W3</t>
        </is>
      </c>
      <c r="G873" t="inlineStr">
        <is>
          <t>Śr</t>
        </is>
      </c>
      <c r="H873" t="inlineStr">
        <is>
          <t>PŁUŻYŃSKA, ALEKSANDRA</t>
        </is>
      </c>
      <c r="I873" t="inlineStr">
        <is>
          <t>Crew</t>
        </is>
      </c>
      <c r="J873" t="inlineStr">
        <is>
          <t>Standard 0,75|30h</t>
        </is>
      </c>
      <c r="K873" t="n">
        <v>0</v>
      </c>
      <c r="L873" t="inlineStr">
        <is>
          <t>384</t>
        </is>
      </c>
      <c r="M873" t="inlineStr">
        <is>
          <t>108120 SBX Warszawa Janki</t>
        </is>
      </c>
      <c r="N873" t="inlineStr">
        <is>
          <t>2026-09-11 19:06</t>
        </is>
      </c>
    </row>
    <row r="874">
      <c r="A874" t="n">
        <v>873</v>
      </c>
      <c r="B874" t="inlineStr">
        <is>
          <t>2026-01-14</t>
        </is>
      </c>
      <c r="C874" t="n">
        <v>2026</v>
      </c>
      <c r="D874" t="inlineStr">
        <is>
          <t>Styczeń</t>
        </is>
      </c>
      <c r="E874" t="inlineStr">
        <is>
          <t>W3</t>
        </is>
      </c>
      <c r="F874" t="inlineStr">
        <is>
          <t>2026_Styczeń_W3</t>
        </is>
      </c>
      <c r="G874" t="inlineStr">
        <is>
          <t>Śr</t>
        </is>
      </c>
      <c r="H874" t="inlineStr">
        <is>
          <t>PŁUŻYŃSKA, ALEKSANDRA</t>
        </is>
      </c>
      <c r="I874" t="inlineStr">
        <is>
          <t>Crew</t>
        </is>
      </c>
      <c r="J874" t="inlineStr">
        <is>
          <t>Standard 0,75|30h</t>
        </is>
      </c>
      <c r="K874" t="n">
        <v>8</v>
      </c>
      <c r="L874" t="inlineStr">
        <is>
          <t>384</t>
        </is>
      </c>
      <c r="M874" t="inlineStr">
        <is>
          <t>108120 SBX Warszawa Janki</t>
        </is>
      </c>
      <c r="N874" t="inlineStr">
        <is>
          <t>2026-09-11 19:06</t>
        </is>
      </c>
    </row>
    <row r="875">
      <c r="A875" t="n">
        <v>874</v>
      </c>
      <c r="B875" t="inlineStr">
        <is>
          <t>2026-01-16</t>
        </is>
      </c>
      <c r="C875" t="n">
        <v>2026</v>
      </c>
      <c r="D875" t="inlineStr">
        <is>
          <t>Styczeń</t>
        </is>
      </c>
      <c r="E875" t="inlineStr">
        <is>
          <t>W3</t>
        </is>
      </c>
      <c r="F875" t="inlineStr">
        <is>
          <t>2026_Styczeń_W3</t>
        </is>
      </c>
      <c r="G875" t="inlineStr">
        <is>
          <t>Pt</t>
        </is>
      </c>
      <c r="H875" t="inlineStr">
        <is>
          <t>PŁUŻYŃSKA, ALEKSANDRA</t>
        </is>
      </c>
      <c r="I875" t="inlineStr">
        <is>
          <t>Crew</t>
        </is>
      </c>
      <c r="J875" t="inlineStr">
        <is>
          <t>Standard 0,75|30h</t>
        </is>
      </c>
      <c r="K875" t="n">
        <v>8.56</v>
      </c>
      <c r="L875" t="inlineStr">
        <is>
          <t>384</t>
        </is>
      </c>
      <c r="M875" t="inlineStr">
        <is>
          <t>108120 SBX Warszawa Janki</t>
        </is>
      </c>
      <c r="N875" t="inlineStr">
        <is>
          <t>2026-09-11 19:06</t>
        </is>
      </c>
    </row>
    <row r="876">
      <c r="A876" t="n">
        <v>875</v>
      </c>
      <c r="B876" t="inlineStr">
        <is>
          <t>2026-01-17</t>
        </is>
      </c>
      <c r="C876" t="n">
        <v>2026</v>
      </c>
      <c r="D876" t="inlineStr">
        <is>
          <t>Styczeń</t>
        </is>
      </c>
      <c r="E876" t="inlineStr">
        <is>
          <t>W3</t>
        </is>
      </c>
      <c r="F876" t="inlineStr">
        <is>
          <t>2026_Styczeń_W3</t>
        </is>
      </c>
      <c r="G876" t="inlineStr">
        <is>
          <t>Sob</t>
        </is>
      </c>
      <c r="H876" t="inlineStr">
        <is>
          <t>PŁUŻYŃSKA, ALEKSANDRA</t>
        </is>
      </c>
      <c r="I876" t="inlineStr">
        <is>
          <t>Crew</t>
        </is>
      </c>
      <c r="J876" t="inlineStr">
        <is>
          <t>Standard 0,75|30h</t>
        </is>
      </c>
      <c r="K876" t="n">
        <v>8.84</v>
      </c>
      <c r="L876" t="inlineStr">
        <is>
          <t>384</t>
        </is>
      </c>
      <c r="M876" t="inlineStr">
        <is>
          <t>108120 SBX Warszawa Janki</t>
        </is>
      </c>
      <c r="N876" t="inlineStr">
        <is>
          <t>2026-09-11 19:06</t>
        </is>
      </c>
    </row>
    <row r="877">
      <c r="A877" t="n">
        <v>876</v>
      </c>
      <c r="B877" t="inlineStr">
        <is>
          <t>2026-01-19</t>
        </is>
      </c>
      <c r="C877" t="n">
        <v>2026</v>
      </c>
      <c r="D877" t="inlineStr">
        <is>
          <t>Styczeń</t>
        </is>
      </c>
      <c r="E877" t="inlineStr">
        <is>
          <t>W3</t>
        </is>
      </c>
      <c r="F877" t="inlineStr">
        <is>
          <t>2026_Styczeń_W3</t>
        </is>
      </c>
      <c r="G877" t="inlineStr">
        <is>
          <t>Pn</t>
        </is>
      </c>
      <c r="H877" t="inlineStr">
        <is>
          <t>PŁUŻYŃSKA, ALEKSANDRA</t>
        </is>
      </c>
      <c r="I877" t="inlineStr">
        <is>
          <t>Crew</t>
        </is>
      </c>
      <c r="J877" t="inlineStr">
        <is>
          <t>Standard 0,75|30h</t>
        </is>
      </c>
      <c r="K877" t="n">
        <v>8.51</v>
      </c>
      <c r="L877" t="inlineStr">
        <is>
          <t>384</t>
        </is>
      </c>
      <c r="M877" t="inlineStr">
        <is>
          <t>108120 SBX Warszawa Janki</t>
        </is>
      </c>
      <c r="N877" t="inlineStr">
        <is>
          <t>2026-09-11 19:06</t>
        </is>
      </c>
    </row>
    <row r="878">
      <c r="A878" t="n">
        <v>877</v>
      </c>
      <c r="B878" t="inlineStr">
        <is>
          <t>2026-01-21</t>
        </is>
      </c>
      <c r="C878" t="n">
        <v>2026</v>
      </c>
      <c r="D878" t="inlineStr">
        <is>
          <t>Styczeń</t>
        </is>
      </c>
      <c r="E878" t="inlineStr">
        <is>
          <t>W4</t>
        </is>
      </c>
      <c r="F878" t="inlineStr">
        <is>
          <t>2026_Styczeń_W4</t>
        </is>
      </c>
      <c r="G878" t="inlineStr">
        <is>
          <t>Śr</t>
        </is>
      </c>
      <c r="H878" t="inlineStr">
        <is>
          <t>PŁUŻYŃSKA, ALEKSANDRA</t>
        </is>
      </c>
      <c r="I878" t="inlineStr">
        <is>
          <t>Crew</t>
        </is>
      </c>
      <c r="J878" t="inlineStr">
        <is>
          <t>Standard 0,75|30h</t>
        </is>
      </c>
      <c r="K878" t="n">
        <v>8.19</v>
      </c>
      <c r="L878" t="inlineStr">
        <is>
          <t>384</t>
        </is>
      </c>
      <c r="M878" t="inlineStr">
        <is>
          <t>108120 SBX Warszawa Janki</t>
        </is>
      </c>
      <c r="N878" t="inlineStr">
        <is>
          <t>2026-09-11 19:06</t>
        </is>
      </c>
    </row>
    <row r="879">
      <c r="A879" t="n">
        <v>878</v>
      </c>
      <c r="B879" t="inlineStr">
        <is>
          <t>2026-01-22</t>
        </is>
      </c>
      <c r="C879" t="n">
        <v>2026</v>
      </c>
      <c r="D879" t="inlineStr">
        <is>
          <t>Styczeń</t>
        </is>
      </c>
      <c r="E879" t="inlineStr">
        <is>
          <t>W4</t>
        </is>
      </c>
      <c r="F879" t="inlineStr">
        <is>
          <t>2026_Styczeń_W4</t>
        </is>
      </c>
      <c r="G879" t="inlineStr">
        <is>
          <t>Czw</t>
        </is>
      </c>
      <c r="H879" t="inlineStr">
        <is>
          <t>PŁUŻYŃSKA, ALEKSANDRA</t>
        </is>
      </c>
      <c r="I879" t="inlineStr">
        <is>
          <t>Crew</t>
        </is>
      </c>
      <c r="J879" t="inlineStr">
        <is>
          <t>Standard 0,75|30h</t>
        </is>
      </c>
      <c r="K879" t="n">
        <v>8.07</v>
      </c>
      <c r="L879" t="inlineStr">
        <is>
          <t>384</t>
        </is>
      </c>
      <c r="M879" t="inlineStr">
        <is>
          <t>108120 SBX Warszawa Janki</t>
        </is>
      </c>
      <c r="N879" t="inlineStr">
        <is>
          <t>2026-09-11 19:06</t>
        </is>
      </c>
    </row>
    <row r="880">
      <c r="A880" t="n">
        <v>879</v>
      </c>
      <c r="B880" t="inlineStr">
        <is>
          <t>2026-01-23</t>
        </is>
      </c>
      <c r="C880" t="n">
        <v>2026</v>
      </c>
      <c r="D880" t="inlineStr">
        <is>
          <t>Styczeń</t>
        </is>
      </c>
      <c r="E880" t="inlineStr">
        <is>
          <t>W4</t>
        </is>
      </c>
      <c r="F880" t="inlineStr">
        <is>
          <t>2026_Styczeń_W4</t>
        </is>
      </c>
      <c r="G880" t="inlineStr">
        <is>
          <t>Pt</t>
        </is>
      </c>
      <c r="H880" t="inlineStr">
        <is>
          <t>PŁUŻYŃSKA, ALEKSANDRA</t>
        </is>
      </c>
      <c r="I880" t="inlineStr">
        <is>
          <t>Crew</t>
        </is>
      </c>
      <c r="J880" t="inlineStr">
        <is>
          <t>Standard 0,75|30h</t>
        </is>
      </c>
      <c r="K880" t="n">
        <v>9.130000000000001</v>
      </c>
      <c r="L880" t="inlineStr">
        <is>
          <t>384</t>
        </is>
      </c>
      <c r="M880" t="inlineStr">
        <is>
          <t>108120 SBX Warszawa Janki</t>
        </is>
      </c>
      <c r="N880" t="inlineStr">
        <is>
          <t>2026-09-11 19:06</t>
        </is>
      </c>
    </row>
    <row r="881">
      <c r="A881" t="n">
        <v>880</v>
      </c>
      <c r="B881" t="inlineStr">
        <is>
          <t>2026-01-26</t>
        </is>
      </c>
      <c r="C881" t="n">
        <v>2026</v>
      </c>
      <c r="D881" t="inlineStr">
        <is>
          <t>Styczeń</t>
        </is>
      </c>
      <c r="E881" t="inlineStr">
        <is>
          <t>W4</t>
        </is>
      </c>
      <c r="F881" t="inlineStr">
        <is>
          <t>2026_Styczeń_W4</t>
        </is>
      </c>
      <c r="G881" t="inlineStr">
        <is>
          <t>Pn</t>
        </is>
      </c>
      <c r="H881" t="inlineStr">
        <is>
          <t>PŁUŻYŃSKA, ALEKSANDRA</t>
        </is>
      </c>
      <c r="I881" t="inlineStr">
        <is>
          <t>Crew</t>
        </is>
      </c>
      <c r="J881" t="inlineStr">
        <is>
          <t>Standard 0,75|30h</t>
        </is>
      </c>
      <c r="K881" t="n">
        <v>7.89</v>
      </c>
      <c r="L881" t="inlineStr">
        <is>
          <t>384</t>
        </is>
      </c>
      <c r="M881" t="inlineStr">
        <is>
          <t>108120 SBX Warszawa Janki</t>
        </is>
      </c>
      <c r="N881" t="inlineStr">
        <is>
          <t>2026-09-11 19:06</t>
        </is>
      </c>
    </row>
    <row r="882">
      <c r="A882" t="n">
        <v>881</v>
      </c>
      <c r="B882" t="inlineStr">
        <is>
          <t>2026-01-27</t>
        </is>
      </c>
      <c r="C882" t="n">
        <v>2026</v>
      </c>
      <c r="D882" t="inlineStr">
        <is>
          <t>Styczeń</t>
        </is>
      </c>
      <c r="E882" t="inlineStr">
        <is>
          <t>W5</t>
        </is>
      </c>
      <c r="F882" t="inlineStr">
        <is>
          <t>2026_Styczeń_W5</t>
        </is>
      </c>
      <c r="G882" t="inlineStr">
        <is>
          <t>Wt</t>
        </is>
      </c>
      <c r="H882" t="inlineStr">
        <is>
          <t>PŁUŻYŃSKA, ALEKSANDRA</t>
        </is>
      </c>
      <c r="I882" t="inlineStr">
        <is>
          <t>Crew</t>
        </is>
      </c>
      <c r="J882" t="inlineStr">
        <is>
          <t>Standard 0,75|30h</t>
        </is>
      </c>
      <c r="K882" t="n">
        <v>8.06</v>
      </c>
      <c r="L882" t="inlineStr">
        <is>
          <t>384</t>
        </is>
      </c>
      <c r="M882" t="inlineStr">
        <is>
          <t>108120 SBX Warszawa Janki</t>
        </is>
      </c>
      <c r="N882" t="inlineStr">
        <is>
          <t>2026-09-11 19:06</t>
        </is>
      </c>
    </row>
    <row r="883">
      <c r="A883" t="n">
        <v>882</v>
      </c>
      <c r="B883" t="inlineStr">
        <is>
          <t>2026-01-30</t>
        </is>
      </c>
      <c r="C883" t="n">
        <v>2026</v>
      </c>
      <c r="D883" t="inlineStr">
        <is>
          <t>Styczeń</t>
        </is>
      </c>
      <c r="E883" t="inlineStr">
        <is>
          <t>W5</t>
        </is>
      </c>
      <c r="F883" t="inlineStr">
        <is>
          <t>2026_Styczeń_W5</t>
        </is>
      </c>
      <c r="G883" t="inlineStr">
        <is>
          <t>Pt</t>
        </is>
      </c>
      <c r="H883" t="inlineStr">
        <is>
          <t>PŁUŻYŃSKA, ALEKSANDRA</t>
        </is>
      </c>
      <c r="I883" t="inlineStr">
        <is>
          <t>Crew</t>
        </is>
      </c>
      <c r="J883" t="inlineStr">
        <is>
          <t>Standard 0,75|30h</t>
        </is>
      </c>
      <c r="K883" t="n">
        <v>8.17</v>
      </c>
      <c r="L883" t="inlineStr">
        <is>
          <t>384</t>
        </is>
      </c>
      <c r="M883" t="inlineStr">
        <is>
          <t>108120 SBX Warszawa Janki</t>
        </is>
      </c>
      <c r="N883" t="inlineStr">
        <is>
          <t>2026-09-11 19:06</t>
        </is>
      </c>
    </row>
    <row r="884">
      <c r="A884" t="n">
        <v>883</v>
      </c>
      <c r="B884" t="inlineStr">
        <is>
          <t>2026-01-31</t>
        </is>
      </c>
      <c r="C884" t="n">
        <v>2026</v>
      </c>
      <c r="D884" t="inlineStr">
        <is>
          <t>Styczeń</t>
        </is>
      </c>
      <c r="E884" t="inlineStr">
        <is>
          <t>W5</t>
        </is>
      </c>
      <c r="F884" t="inlineStr">
        <is>
          <t>2026_Styczeń_W5</t>
        </is>
      </c>
      <c r="G884" t="inlineStr">
        <is>
          <t>Sob</t>
        </is>
      </c>
      <c r="H884" t="inlineStr">
        <is>
          <t>PŁUŻYŃSKA, ALEKSANDRA</t>
        </is>
      </c>
      <c r="I884" t="inlineStr">
        <is>
          <t>Crew</t>
        </is>
      </c>
      <c r="J884" t="inlineStr">
        <is>
          <t>Standard 0,75|30h</t>
        </is>
      </c>
      <c r="K884" t="n">
        <v>8.33</v>
      </c>
      <c r="L884" t="inlineStr">
        <is>
          <t>384</t>
        </is>
      </c>
      <c r="M884" t="inlineStr">
        <is>
          <t>108120 SBX Warszawa Janki</t>
        </is>
      </c>
      <c r="N884" t="inlineStr">
        <is>
          <t>2026-09-11 19:06</t>
        </is>
      </c>
    </row>
    <row r="885">
      <c r="A885" t="n">
        <v>884</v>
      </c>
      <c r="B885" t="inlineStr">
        <is>
          <t>2026-02-02</t>
        </is>
      </c>
      <c r="C885" t="n">
        <v>2026</v>
      </c>
      <c r="D885" t="inlineStr">
        <is>
          <t>Luty</t>
        </is>
      </c>
      <c r="E885" t="inlineStr">
        <is>
          <t>W1</t>
        </is>
      </c>
      <c r="F885" t="inlineStr">
        <is>
          <t>2026_Luty_W1</t>
        </is>
      </c>
      <c r="G885" t="inlineStr">
        <is>
          <t>Pn</t>
        </is>
      </c>
      <c r="H885" t="inlineStr">
        <is>
          <t>PŁUŻYŃSKA, ALEKSANDRA</t>
        </is>
      </c>
      <c r="I885" t="inlineStr">
        <is>
          <t>Shift manager/Supervisor</t>
        </is>
      </c>
      <c r="J885" t="inlineStr">
        <is>
          <t>Standard 1,0|40h</t>
        </is>
      </c>
      <c r="K885" t="n">
        <v>8.050000000000001</v>
      </c>
      <c r="L885" t="inlineStr">
        <is>
          <t>384</t>
        </is>
      </c>
      <c r="M885" t="inlineStr">
        <is>
          <t>108120 SBX Warszawa Janki</t>
        </is>
      </c>
      <c r="N885" t="inlineStr">
        <is>
          <t>2026-09-11 19:06</t>
        </is>
      </c>
    </row>
    <row r="886">
      <c r="A886" t="n">
        <v>885</v>
      </c>
      <c r="B886" t="inlineStr">
        <is>
          <t>2026-02-03</t>
        </is>
      </c>
      <c r="C886" t="n">
        <v>2026</v>
      </c>
      <c r="D886" t="inlineStr">
        <is>
          <t>Luty</t>
        </is>
      </c>
      <c r="E886" t="inlineStr">
        <is>
          <t>W2</t>
        </is>
      </c>
      <c r="F886" t="inlineStr">
        <is>
          <t>2026_Luty_W2</t>
        </is>
      </c>
      <c r="G886" t="inlineStr">
        <is>
          <t>Wt</t>
        </is>
      </c>
      <c r="H886" t="inlineStr">
        <is>
          <t>PŁUŻYŃSKA, ALEKSANDRA</t>
        </is>
      </c>
      <c r="I886" t="inlineStr">
        <is>
          <t>Shift manager/Supervisor</t>
        </is>
      </c>
      <c r="J886" t="inlineStr">
        <is>
          <t>Standard 1,0|40h</t>
        </is>
      </c>
      <c r="K886" t="n">
        <v>8.130000000000001</v>
      </c>
      <c r="L886" t="inlineStr">
        <is>
          <t>384</t>
        </is>
      </c>
      <c r="M886" t="inlineStr">
        <is>
          <t>108120 SBX Warszawa Janki</t>
        </is>
      </c>
      <c r="N886" t="inlineStr">
        <is>
          <t>2026-09-11 19:06</t>
        </is>
      </c>
    </row>
    <row r="887">
      <c r="A887" t="n">
        <v>886</v>
      </c>
      <c r="B887" t="inlineStr">
        <is>
          <t>2026-02-04</t>
        </is>
      </c>
      <c r="C887" t="n">
        <v>2026</v>
      </c>
      <c r="D887" t="inlineStr">
        <is>
          <t>Luty</t>
        </is>
      </c>
      <c r="E887" t="inlineStr">
        <is>
          <t>W2</t>
        </is>
      </c>
      <c r="F887" t="inlineStr">
        <is>
          <t>2026_Luty_W2</t>
        </is>
      </c>
      <c r="G887" t="inlineStr">
        <is>
          <t>Śr</t>
        </is>
      </c>
      <c r="H887" t="inlineStr">
        <is>
          <t>PŁUŻYŃSKA, ALEKSANDRA</t>
        </is>
      </c>
      <c r="I887" t="inlineStr">
        <is>
          <t>Shift manager/Supervisor</t>
        </is>
      </c>
      <c r="J887" t="inlineStr">
        <is>
          <t>Standard 1,0|40h</t>
        </is>
      </c>
      <c r="K887" t="n">
        <v>8.140000000000001</v>
      </c>
      <c r="L887" t="inlineStr">
        <is>
          <t>384</t>
        </is>
      </c>
      <c r="M887" t="inlineStr">
        <is>
          <t>108120 SBX Warszawa Janki</t>
        </is>
      </c>
      <c r="N887" t="inlineStr">
        <is>
          <t>2026-09-11 19:06</t>
        </is>
      </c>
    </row>
    <row r="888">
      <c r="A888" t="n">
        <v>887</v>
      </c>
      <c r="B888" t="inlineStr">
        <is>
          <t>2026-02-05</t>
        </is>
      </c>
      <c r="C888" t="n">
        <v>2026</v>
      </c>
      <c r="D888" t="inlineStr">
        <is>
          <t>Luty</t>
        </is>
      </c>
      <c r="E888" t="inlineStr">
        <is>
          <t>W2</t>
        </is>
      </c>
      <c r="F888" t="inlineStr">
        <is>
          <t>2026_Luty_W2</t>
        </is>
      </c>
      <c r="G888" t="inlineStr">
        <is>
          <t>Czw</t>
        </is>
      </c>
      <c r="H888" t="inlineStr">
        <is>
          <t>PŁUŻYŃSKA, ALEKSANDRA</t>
        </is>
      </c>
      <c r="I888" t="inlineStr">
        <is>
          <t>Shift manager/Supervisor</t>
        </is>
      </c>
      <c r="J888" t="inlineStr">
        <is>
          <t>Standard 1,0|40h</t>
        </is>
      </c>
      <c r="K888" t="n">
        <v>8.1</v>
      </c>
      <c r="L888" t="inlineStr">
        <is>
          <t>384</t>
        </is>
      </c>
      <c r="M888" t="inlineStr">
        <is>
          <t>108120 SBX Warszawa Janki</t>
        </is>
      </c>
      <c r="N888" t="inlineStr">
        <is>
          <t>2026-09-11 19:06</t>
        </is>
      </c>
    </row>
    <row r="889">
      <c r="A889" t="n">
        <v>888</v>
      </c>
      <c r="B889" t="inlineStr">
        <is>
          <t>2026-02-09</t>
        </is>
      </c>
      <c r="C889" t="n">
        <v>2026</v>
      </c>
      <c r="D889" t="inlineStr">
        <is>
          <t>Luty</t>
        </is>
      </c>
      <c r="E889" t="inlineStr">
        <is>
          <t>W2</t>
        </is>
      </c>
      <c r="F889" t="inlineStr">
        <is>
          <t>2026_Luty_W2</t>
        </is>
      </c>
      <c r="G889" t="inlineStr">
        <is>
          <t>Pn</t>
        </is>
      </c>
      <c r="H889" t="inlineStr">
        <is>
          <t>PŁUŻYŃSKA, ALEKSANDRA</t>
        </is>
      </c>
      <c r="I889" t="inlineStr">
        <is>
          <t>Shift manager/Supervisor</t>
        </is>
      </c>
      <c r="J889" t="inlineStr">
        <is>
          <t>Standard 1,0|40h</t>
        </is>
      </c>
      <c r="K889" t="n">
        <v>8.119999999999999</v>
      </c>
      <c r="L889" t="inlineStr">
        <is>
          <t>384</t>
        </is>
      </c>
      <c r="M889" t="inlineStr">
        <is>
          <t>108120 SBX Warszawa Janki</t>
        </is>
      </c>
      <c r="N889" t="inlineStr">
        <is>
          <t>2026-09-11 19:06</t>
        </is>
      </c>
    </row>
    <row r="890">
      <c r="A890" t="n">
        <v>889</v>
      </c>
      <c r="B890" t="inlineStr">
        <is>
          <t>2026-02-10</t>
        </is>
      </c>
      <c r="C890" t="n">
        <v>2026</v>
      </c>
      <c r="D890" t="inlineStr">
        <is>
          <t>Luty</t>
        </is>
      </c>
      <c r="E890" t="inlineStr">
        <is>
          <t>W3</t>
        </is>
      </c>
      <c r="F890" t="inlineStr">
        <is>
          <t>2026_Luty_W3</t>
        </is>
      </c>
      <c r="G890" t="inlineStr">
        <is>
          <t>Wt</t>
        </is>
      </c>
      <c r="H890" t="inlineStr">
        <is>
          <t>PŁUŻYŃSKA, ALEKSANDRA</t>
        </is>
      </c>
      <c r="I890" t="inlineStr">
        <is>
          <t>Shift manager/Supervisor</t>
        </is>
      </c>
      <c r="J890" t="inlineStr">
        <is>
          <t>Standard 1,0|40h</t>
        </is>
      </c>
      <c r="K890" t="n">
        <v>7.96</v>
      </c>
      <c r="L890" t="inlineStr">
        <is>
          <t>384</t>
        </is>
      </c>
      <c r="M890" t="inlineStr">
        <is>
          <t>108120 SBX Warszawa Janki</t>
        </is>
      </c>
      <c r="N890" t="inlineStr">
        <is>
          <t>2026-09-11 19:06</t>
        </is>
      </c>
    </row>
    <row r="891">
      <c r="A891" t="n">
        <v>890</v>
      </c>
      <c r="B891" t="inlineStr">
        <is>
          <t>2026-02-11</t>
        </is>
      </c>
      <c r="C891" t="n">
        <v>2026</v>
      </c>
      <c r="D891" t="inlineStr">
        <is>
          <t>Luty</t>
        </is>
      </c>
      <c r="E891" t="inlineStr">
        <is>
          <t>W3</t>
        </is>
      </c>
      <c r="F891" t="inlineStr">
        <is>
          <t>2026_Luty_W3</t>
        </is>
      </c>
      <c r="G891" t="inlineStr">
        <is>
          <t>Śr</t>
        </is>
      </c>
      <c r="H891" t="inlineStr">
        <is>
          <t>PŁUŻYŃSKA, ALEKSANDRA</t>
        </is>
      </c>
      <c r="I891" t="inlineStr">
        <is>
          <t>Shift manager/Supervisor</t>
        </is>
      </c>
      <c r="J891" t="inlineStr">
        <is>
          <t>Standard 1,0|40h</t>
        </is>
      </c>
      <c r="K891" t="n">
        <v>8.140000000000001</v>
      </c>
      <c r="L891" t="inlineStr">
        <is>
          <t>384</t>
        </is>
      </c>
      <c r="M891" t="inlineStr">
        <is>
          <t>108120 SBX Warszawa Janki</t>
        </is>
      </c>
      <c r="N891" t="inlineStr">
        <is>
          <t>2026-09-11 19:06</t>
        </is>
      </c>
    </row>
    <row r="892">
      <c r="A892" t="n">
        <v>891</v>
      </c>
      <c r="B892" t="inlineStr">
        <is>
          <t>2026-02-12</t>
        </is>
      </c>
      <c r="C892" t="n">
        <v>2026</v>
      </c>
      <c r="D892" t="inlineStr">
        <is>
          <t>Luty</t>
        </is>
      </c>
      <c r="E892" t="inlineStr">
        <is>
          <t>W3</t>
        </is>
      </c>
      <c r="F892" t="inlineStr">
        <is>
          <t>2026_Luty_W3</t>
        </is>
      </c>
      <c r="G892" t="inlineStr">
        <is>
          <t>Czw</t>
        </is>
      </c>
      <c r="H892" t="inlineStr">
        <is>
          <t>PŁUŻYŃSKA, ALEKSANDRA</t>
        </is>
      </c>
      <c r="I892" t="inlineStr">
        <is>
          <t>Shift manager/Supervisor</t>
        </is>
      </c>
      <c r="J892" t="inlineStr">
        <is>
          <t>Standard 1,0|40h</t>
        </is>
      </c>
      <c r="K892" t="n">
        <v>6.56</v>
      </c>
      <c r="L892" t="inlineStr">
        <is>
          <t>384</t>
        </is>
      </c>
      <c r="M892" t="inlineStr">
        <is>
          <t>108120 SBX Warszawa Janki</t>
        </is>
      </c>
      <c r="N892" t="inlineStr">
        <is>
          <t>2026-09-11 19:06</t>
        </is>
      </c>
    </row>
    <row r="893">
      <c r="A893" t="n">
        <v>892</v>
      </c>
      <c r="B893" t="inlineStr">
        <is>
          <t>2026-02-13</t>
        </is>
      </c>
      <c r="C893" t="n">
        <v>2026</v>
      </c>
      <c r="D893" t="inlineStr">
        <is>
          <t>Luty</t>
        </is>
      </c>
      <c r="E893" t="inlineStr">
        <is>
          <t>W3</t>
        </is>
      </c>
      <c r="F893" t="inlineStr">
        <is>
          <t>2026_Luty_W3</t>
        </is>
      </c>
      <c r="G893" t="inlineStr">
        <is>
          <t>Pt</t>
        </is>
      </c>
      <c r="H893" t="inlineStr">
        <is>
          <t>PŁUŻYŃSKA, ALEKSANDRA</t>
        </is>
      </c>
      <c r="I893" t="inlineStr">
        <is>
          <t>Shift manager/Supervisor</t>
        </is>
      </c>
      <c r="J893" t="inlineStr">
        <is>
          <t>Standard 1,0|40h</t>
        </is>
      </c>
      <c r="K893" t="n">
        <v>8.68</v>
      </c>
      <c r="L893" t="inlineStr">
        <is>
          <t>384</t>
        </is>
      </c>
      <c r="M893" t="inlineStr">
        <is>
          <t>108120 SBX Warszawa Janki</t>
        </is>
      </c>
      <c r="N893" t="inlineStr">
        <is>
          <t>2026-09-11 19:06</t>
        </is>
      </c>
    </row>
    <row r="894">
      <c r="A894" t="n">
        <v>893</v>
      </c>
      <c r="B894" t="inlineStr">
        <is>
          <t>2026-02-16</t>
        </is>
      </c>
      <c r="C894" t="n">
        <v>2026</v>
      </c>
      <c r="D894" t="inlineStr">
        <is>
          <t>Luty</t>
        </is>
      </c>
      <c r="E894" t="inlineStr">
        <is>
          <t>W3</t>
        </is>
      </c>
      <c r="F894" t="inlineStr">
        <is>
          <t>2026_Luty_W3</t>
        </is>
      </c>
      <c r="G894" t="inlineStr">
        <is>
          <t>Pn</t>
        </is>
      </c>
      <c r="H894" t="inlineStr">
        <is>
          <t>PŁUŻYŃSKA, ALEKSANDRA</t>
        </is>
      </c>
      <c r="I894" t="inlineStr">
        <is>
          <t>Shift manager/Supervisor</t>
        </is>
      </c>
      <c r="J894" t="inlineStr">
        <is>
          <t>Standard 1,0|40h</t>
        </is>
      </c>
      <c r="K894" t="n">
        <v>7.56</v>
      </c>
      <c r="L894" t="inlineStr">
        <is>
          <t>384</t>
        </is>
      </c>
      <c r="M894" t="inlineStr">
        <is>
          <t>108120 SBX Warszawa Janki</t>
        </is>
      </c>
      <c r="N894" t="inlineStr">
        <is>
          <t>2026-09-11 19:06</t>
        </is>
      </c>
    </row>
    <row r="895">
      <c r="A895" t="n">
        <v>894</v>
      </c>
      <c r="B895" t="inlineStr">
        <is>
          <t>2026-02-17</t>
        </is>
      </c>
      <c r="C895" t="n">
        <v>2026</v>
      </c>
      <c r="D895" t="inlineStr">
        <is>
          <t>Luty</t>
        </is>
      </c>
      <c r="E895" t="inlineStr">
        <is>
          <t>W4</t>
        </is>
      </c>
      <c r="F895" t="inlineStr">
        <is>
          <t>2026_Luty_W4</t>
        </is>
      </c>
      <c r="G895" t="inlineStr">
        <is>
          <t>Wt</t>
        </is>
      </c>
      <c r="H895" t="inlineStr">
        <is>
          <t>PŁUŻYŃSKA, ALEKSANDRA</t>
        </is>
      </c>
      <c r="I895" t="inlineStr">
        <is>
          <t>Shift manager/Supervisor</t>
        </is>
      </c>
      <c r="J895" t="inlineStr">
        <is>
          <t>Standard 1,0|40h</t>
        </is>
      </c>
      <c r="K895" t="n">
        <v>8.02</v>
      </c>
      <c r="L895" t="inlineStr">
        <is>
          <t>384</t>
        </is>
      </c>
      <c r="M895" t="inlineStr">
        <is>
          <t>108120 SBX Warszawa Janki</t>
        </is>
      </c>
      <c r="N895" t="inlineStr">
        <is>
          <t>2026-09-11 19:06</t>
        </is>
      </c>
    </row>
    <row r="896">
      <c r="A896" t="n">
        <v>895</v>
      </c>
      <c r="B896" t="inlineStr">
        <is>
          <t>2026-02-18</t>
        </is>
      </c>
      <c r="C896" t="n">
        <v>2026</v>
      </c>
      <c r="D896" t="inlineStr">
        <is>
          <t>Luty</t>
        </is>
      </c>
      <c r="E896" t="inlineStr">
        <is>
          <t>W4</t>
        </is>
      </c>
      <c r="F896" t="inlineStr">
        <is>
          <t>2026_Luty_W4</t>
        </is>
      </c>
      <c r="G896" t="inlineStr">
        <is>
          <t>Śr</t>
        </is>
      </c>
      <c r="H896" t="inlineStr">
        <is>
          <t>PŁUŻYŃSKA, ALEKSANDRA</t>
        </is>
      </c>
      <c r="I896" t="inlineStr">
        <is>
          <t>Shift manager/Supervisor</t>
        </is>
      </c>
      <c r="J896" t="inlineStr">
        <is>
          <t>Standard 1,0|40h</t>
        </is>
      </c>
      <c r="K896" t="n">
        <v>1.74</v>
      </c>
      <c r="L896" t="inlineStr">
        <is>
          <t>384</t>
        </is>
      </c>
      <c r="M896" t="inlineStr">
        <is>
          <t>108120 SBX Warszawa Janki</t>
        </is>
      </c>
      <c r="N896" t="inlineStr">
        <is>
          <t>2026-09-11 19:06</t>
        </is>
      </c>
    </row>
    <row r="897">
      <c r="A897" t="n">
        <v>896</v>
      </c>
      <c r="B897" t="inlineStr">
        <is>
          <t>2026-02-19</t>
        </is>
      </c>
      <c r="C897" t="n">
        <v>2026</v>
      </c>
      <c r="D897" t="inlineStr">
        <is>
          <t>Luty</t>
        </is>
      </c>
      <c r="E897" t="inlineStr">
        <is>
          <t>W4</t>
        </is>
      </c>
      <c r="F897" t="inlineStr">
        <is>
          <t>2026_Luty_W4</t>
        </is>
      </c>
      <c r="G897" t="inlineStr">
        <is>
          <t>Czw</t>
        </is>
      </c>
      <c r="H897" t="inlineStr">
        <is>
          <t>PŁUŻYŃSKA, ALEKSANDRA</t>
        </is>
      </c>
      <c r="I897" t="inlineStr">
        <is>
          <t>Shift manager/Supervisor</t>
        </is>
      </c>
      <c r="J897" t="inlineStr">
        <is>
          <t>Standard 1,0|40h</t>
        </is>
      </c>
      <c r="K897" t="n">
        <v>8.59</v>
      </c>
      <c r="L897" t="inlineStr">
        <is>
          <t>384</t>
        </is>
      </c>
      <c r="M897" t="inlineStr">
        <is>
          <t>108120 SBX Warszawa Janki</t>
        </is>
      </c>
      <c r="N897" t="inlineStr">
        <is>
          <t>2026-09-11 19:06</t>
        </is>
      </c>
    </row>
    <row r="898">
      <c r="A898" t="n">
        <v>897</v>
      </c>
      <c r="B898" t="inlineStr">
        <is>
          <t>2026-02-20</t>
        </is>
      </c>
      <c r="C898" t="n">
        <v>2026</v>
      </c>
      <c r="D898" t="inlineStr">
        <is>
          <t>Luty</t>
        </is>
      </c>
      <c r="E898" t="inlineStr">
        <is>
          <t>W4</t>
        </is>
      </c>
      <c r="F898" t="inlineStr">
        <is>
          <t>2026_Luty_W4</t>
        </is>
      </c>
      <c r="G898" t="inlineStr">
        <is>
          <t>Pt</t>
        </is>
      </c>
      <c r="H898" t="inlineStr">
        <is>
          <t>PŁUŻYŃSKA, ALEKSANDRA</t>
        </is>
      </c>
      <c r="I898" t="inlineStr">
        <is>
          <t>Shift manager/Supervisor</t>
        </is>
      </c>
      <c r="J898" t="inlineStr">
        <is>
          <t>Standard 1,0|40h</t>
        </is>
      </c>
      <c r="K898" t="n">
        <v>8.07</v>
      </c>
      <c r="L898" t="inlineStr">
        <is>
          <t>384</t>
        </is>
      </c>
      <c r="M898" t="inlineStr">
        <is>
          <t>108120 SBX Warszawa Janki</t>
        </is>
      </c>
      <c r="N898" t="inlineStr">
        <is>
          <t>2026-09-11 19:06</t>
        </is>
      </c>
    </row>
    <row r="899">
      <c r="A899" t="n">
        <v>898</v>
      </c>
      <c r="B899" t="inlineStr">
        <is>
          <t>2026-02-21</t>
        </is>
      </c>
      <c r="C899" t="n">
        <v>2026</v>
      </c>
      <c r="D899" t="inlineStr">
        <is>
          <t>Luty</t>
        </is>
      </c>
      <c r="E899" t="inlineStr">
        <is>
          <t>W4</t>
        </is>
      </c>
      <c r="F899" t="inlineStr">
        <is>
          <t>2026_Luty_W4</t>
        </is>
      </c>
      <c r="G899" t="inlineStr">
        <is>
          <t>Sob</t>
        </is>
      </c>
      <c r="H899" t="inlineStr">
        <is>
          <t>PŁUŻYŃSKA, ALEKSANDRA</t>
        </is>
      </c>
      <c r="I899" t="inlineStr">
        <is>
          <t>Shift manager/Supervisor</t>
        </is>
      </c>
      <c r="J899" t="inlineStr">
        <is>
          <t>Standard 1,0|40h</t>
        </is>
      </c>
      <c r="K899" t="n">
        <v>8.279999999999999</v>
      </c>
      <c r="L899" t="inlineStr">
        <is>
          <t>384</t>
        </is>
      </c>
      <c r="M899" t="inlineStr">
        <is>
          <t>108120 SBX Warszawa Janki</t>
        </is>
      </c>
      <c r="N899" t="inlineStr">
        <is>
          <t>2026-09-11 19:06</t>
        </is>
      </c>
    </row>
    <row r="900">
      <c r="A900" t="n">
        <v>899</v>
      </c>
      <c r="B900" t="inlineStr">
        <is>
          <t>2026-02-23</t>
        </is>
      </c>
      <c r="C900" t="n">
        <v>2026</v>
      </c>
      <c r="D900" t="inlineStr">
        <is>
          <t>Luty</t>
        </is>
      </c>
      <c r="E900" t="inlineStr">
        <is>
          <t>W4</t>
        </is>
      </c>
      <c r="F900" t="inlineStr">
        <is>
          <t>2026_Luty_W4</t>
        </is>
      </c>
      <c r="G900" t="inlineStr">
        <is>
          <t>Pn</t>
        </is>
      </c>
      <c r="H900" t="inlineStr">
        <is>
          <t>PŁUŻYŃSKA, ALEKSANDRA</t>
        </is>
      </c>
      <c r="I900" t="inlineStr">
        <is>
          <t>Shift manager/Supervisor</t>
        </is>
      </c>
      <c r="J900" t="inlineStr">
        <is>
          <t>Standard 1,0|40h</t>
        </is>
      </c>
      <c r="K900" t="n">
        <v>9.07</v>
      </c>
      <c r="L900" t="inlineStr">
        <is>
          <t>384</t>
        </is>
      </c>
      <c r="M900" t="inlineStr">
        <is>
          <t>108120 SBX Warszawa Janki</t>
        </is>
      </c>
      <c r="N900" t="inlineStr">
        <is>
          <t>2026-09-11 19:06</t>
        </is>
      </c>
    </row>
    <row r="901">
      <c r="A901" t="n">
        <v>900</v>
      </c>
      <c r="B901" t="inlineStr">
        <is>
          <t>2026-02-24</t>
        </is>
      </c>
      <c r="C901" t="n">
        <v>2026</v>
      </c>
      <c r="D901" t="inlineStr">
        <is>
          <t>Luty</t>
        </is>
      </c>
      <c r="E901" t="inlineStr">
        <is>
          <t>W5</t>
        </is>
      </c>
      <c r="F901" t="inlineStr">
        <is>
          <t>2026_Luty_W5</t>
        </is>
      </c>
      <c r="G901" t="inlineStr">
        <is>
          <t>Wt</t>
        </is>
      </c>
      <c r="H901" t="inlineStr">
        <is>
          <t>PŁUŻYŃSKA, ALEKSANDRA</t>
        </is>
      </c>
      <c r="I901" t="inlineStr">
        <is>
          <t>Shift manager/Supervisor</t>
        </is>
      </c>
      <c r="J901" t="inlineStr">
        <is>
          <t>Standard 1,0|40h</t>
        </is>
      </c>
      <c r="K901" t="n">
        <v>7.85</v>
      </c>
      <c r="L901" t="inlineStr">
        <is>
          <t>384</t>
        </is>
      </c>
      <c r="M901" t="inlineStr">
        <is>
          <t>108120 SBX Warszawa Janki</t>
        </is>
      </c>
      <c r="N901" t="inlineStr">
        <is>
          <t>2026-09-11 19:06</t>
        </is>
      </c>
    </row>
    <row r="902">
      <c r="A902" t="n">
        <v>901</v>
      </c>
      <c r="B902" t="inlineStr">
        <is>
          <t>2026-02-26</t>
        </is>
      </c>
      <c r="C902" t="n">
        <v>2026</v>
      </c>
      <c r="D902" t="inlineStr">
        <is>
          <t>Luty</t>
        </is>
      </c>
      <c r="E902" t="inlineStr">
        <is>
          <t>W5</t>
        </is>
      </c>
      <c r="F902" t="inlineStr">
        <is>
          <t>2026_Luty_W5</t>
        </is>
      </c>
      <c r="G902" t="inlineStr">
        <is>
          <t>Czw</t>
        </is>
      </c>
      <c r="H902" t="inlineStr">
        <is>
          <t>PŁUŻYŃSKA, ALEKSANDRA</t>
        </is>
      </c>
      <c r="I902" t="inlineStr">
        <is>
          <t>Shift manager/Supervisor</t>
        </is>
      </c>
      <c r="J902" t="inlineStr">
        <is>
          <t>Standard 1,0|40h</t>
        </is>
      </c>
      <c r="K902" t="n">
        <v>8.25</v>
      </c>
      <c r="L902" t="inlineStr">
        <is>
          <t>384</t>
        </is>
      </c>
      <c r="M902" t="inlineStr">
        <is>
          <t>108120 SBX Warszawa Janki</t>
        </is>
      </c>
      <c r="N902" t="inlineStr">
        <is>
          <t>2026-09-11 19:06</t>
        </is>
      </c>
    </row>
    <row r="903">
      <c r="A903" t="n">
        <v>902</v>
      </c>
      <c r="B903" t="inlineStr">
        <is>
          <t>2026-02-27</t>
        </is>
      </c>
      <c r="C903" t="n">
        <v>2026</v>
      </c>
      <c r="D903" t="inlineStr">
        <is>
          <t>Luty</t>
        </is>
      </c>
      <c r="E903" t="inlineStr">
        <is>
          <t>W5</t>
        </is>
      </c>
      <c r="F903" t="inlineStr">
        <is>
          <t>2026_Luty_W5</t>
        </is>
      </c>
      <c r="G903" t="inlineStr">
        <is>
          <t>Pt</t>
        </is>
      </c>
      <c r="H903" t="inlineStr">
        <is>
          <t>PŁUŻYŃSKA, ALEKSANDRA</t>
        </is>
      </c>
      <c r="I903" t="inlineStr">
        <is>
          <t>Shift manager/Supervisor</t>
        </is>
      </c>
      <c r="J903" t="inlineStr">
        <is>
          <t>Standard 1,0|40h</t>
        </is>
      </c>
      <c r="K903" t="n">
        <v>8.07</v>
      </c>
      <c r="L903" t="inlineStr">
        <is>
          <t>384</t>
        </is>
      </c>
      <c r="M903" t="inlineStr">
        <is>
          <t>108120 SBX Warszawa Janki</t>
        </is>
      </c>
      <c r="N903" t="inlineStr">
        <is>
          <t>2026-09-11 19:06</t>
        </is>
      </c>
    </row>
    <row r="904">
      <c r="A904" t="n">
        <v>903</v>
      </c>
      <c r="B904" t="inlineStr">
        <is>
          <t>2026-02-28</t>
        </is>
      </c>
      <c r="C904" t="n">
        <v>2026</v>
      </c>
      <c r="D904" t="inlineStr">
        <is>
          <t>Luty</t>
        </is>
      </c>
      <c r="E904" t="inlineStr">
        <is>
          <t>W5</t>
        </is>
      </c>
      <c r="F904" t="inlineStr">
        <is>
          <t>2026_Luty_W5</t>
        </is>
      </c>
      <c r="G904" t="inlineStr">
        <is>
          <t>Sob</t>
        </is>
      </c>
      <c r="H904" t="inlineStr">
        <is>
          <t>PŁUŻYŃSKA, ALEKSANDRA</t>
        </is>
      </c>
      <c r="I904" t="inlineStr">
        <is>
          <t>Shift manager/Supervisor</t>
        </is>
      </c>
      <c r="J904" t="inlineStr">
        <is>
          <t>Standard 1,0|40h</t>
        </is>
      </c>
      <c r="K904" t="n">
        <v>8.83</v>
      </c>
      <c r="L904" t="inlineStr">
        <is>
          <t>384</t>
        </is>
      </c>
      <c r="M904" t="inlineStr">
        <is>
          <t>108120 SBX Warszawa Janki</t>
        </is>
      </c>
      <c r="N904" t="inlineStr">
        <is>
          <t>2026-09-11 19:06</t>
        </is>
      </c>
    </row>
    <row r="905">
      <c r="A905" t="n">
        <v>904</v>
      </c>
      <c r="B905" t="inlineStr">
        <is>
          <t>2026-03-01</t>
        </is>
      </c>
      <c r="C905" t="n">
        <v>2026</v>
      </c>
      <c r="D905" t="inlineStr">
        <is>
          <t>Marzec</t>
        </is>
      </c>
      <c r="E905" t="inlineStr">
        <is>
          <t>W1</t>
        </is>
      </c>
      <c r="F905" t="inlineStr">
        <is>
          <t>2026_Marzec_W1</t>
        </is>
      </c>
      <c r="G905" t="inlineStr">
        <is>
          <t>Nd</t>
        </is>
      </c>
      <c r="H905" t="inlineStr">
        <is>
          <t>PŁUŻYŃSKA, ALEKSANDRA</t>
        </is>
      </c>
      <c r="I905" t="inlineStr">
        <is>
          <t>Shift manager/Supervisor</t>
        </is>
      </c>
      <c r="J905" t="inlineStr">
        <is>
          <t>Standard 1,0|40h</t>
        </is>
      </c>
      <c r="K905" t="n">
        <v>7</v>
      </c>
      <c r="L905" t="inlineStr">
        <is>
          <t>384</t>
        </is>
      </c>
      <c r="M905" t="inlineStr">
        <is>
          <t>108120 SBX Warszawa Janki</t>
        </is>
      </c>
      <c r="N905" t="inlineStr">
        <is>
          <t>2026-09-11 19:06</t>
        </is>
      </c>
    </row>
    <row r="906">
      <c r="A906" t="n">
        <v>905</v>
      </c>
      <c r="B906" t="inlineStr">
        <is>
          <t>2026-03-09</t>
        </is>
      </c>
      <c r="C906" t="n">
        <v>2026</v>
      </c>
      <c r="D906" t="inlineStr">
        <is>
          <t>Marzec</t>
        </is>
      </c>
      <c r="E906" t="inlineStr">
        <is>
          <t>W2</t>
        </is>
      </c>
      <c r="F906" t="inlineStr">
        <is>
          <t>2026_Marzec_W2</t>
        </is>
      </c>
      <c r="G906" t="inlineStr">
        <is>
          <t>Pn</t>
        </is>
      </c>
      <c r="H906" t="inlineStr">
        <is>
          <t>PŁUŻYŃSKA, ALEKSANDRA</t>
        </is>
      </c>
      <c r="I906" t="inlineStr">
        <is>
          <t>Shift manager/Supervisor</t>
        </is>
      </c>
      <c r="J906" t="inlineStr">
        <is>
          <t>Standard 1,0|40h</t>
        </is>
      </c>
      <c r="K906" t="n">
        <v>6</v>
      </c>
      <c r="L906" t="inlineStr">
        <is>
          <t>384</t>
        </is>
      </c>
      <c r="M906" t="inlineStr">
        <is>
          <t>108120 SBX Warszawa Janki</t>
        </is>
      </c>
      <c r="N906" t="inlineStr">
        <is>
          <t>2026-09-11 19:06</t>
        </is>
      </c>
    </row>
    <row r="907">
      <c r="A907" t="n">
        <v>906</v>
      </c>
      <c r="B907" t="inlineStr">
        <is>
          <t>2026-03-10</t>
        </is>
      </c>
      <c r="C907" t="n">
        <v>2026</v>
      </c>
      <c r="D907" t="inlineStr">
        <is>
          <t>Marzec</t>
        </is>
      </c>
      <c r="E907" t="inlineStr">
        <is>
          <t>W3</t>
        </is>
      </c>
      <c r="F907" t="inlineStr">
        <is>
          <t>2026_Marzec_W3</t>
        </is>
      </c>
      <c r="G907" t="inlineStr">
        <is>
          <t>Wt</t>
        </is>
      </c>
      <c r="H907" t="inlineStr">
        <is>
          <t>PŁUŻYŃSKA, ALEKSANDRA</t>
        </is>
      </c>
      <c r="I907" t="inlineStr">
        <is>
          <t>Shift manager/Supervisor</t>
        </is>
      </c>
      <c r="J907" t="inlineStr">
        <is>
          <t>Standard 1,0|40h</t>
        </is>
      </c>
      <c r="K907" t="n">
        <v>7.65</v>
      </c>
      <c r="L907" t="inlineStr">
        <is>
          <t>384</t>
        </is>
      </c>
      <c r="M907" t="inlineStr">
        <is>
          <t>108120 SBX Warszawa Janki</t>
        </is>
      </c>
      <c r="N907" t="inlineStr">
        <is>
          <t>2026-09-11 19:06</t>
        </is>
      </c>
    </row>
    <row r="908">
      <c r="A908" t="n">
        <v>907</v>
      </c>
      <c r="B908" t="inlineStr">
        <is>
          <t>2026-03-12</t>
        </is>
      </c>
      <c r="C908" t="n">
        <v>2026</v>
      </c>
      <c r="D908" t="inlineStr">
        <is>
          <t>Marzec</t>
        </is>
      </c>
      <c r="E908" t="inlineStr">
        <is>
          <t>W3</t>
        </is>
      </c>
      <c r="F908" t="inlineStr">
        <is>
          <t>2026_Marzec_W3</t>
        </is>
      </c>
      <c r="G908" t="inlineStr">
        <is>
          <t>Czw</t>
        </is>
      </c>
      <c r="H908" t="inlineStr">
        <is>
          <t>PŁUŻYŃSKA, ALEKSANDRA</t>
        </is>
      </c>
      <c r="I908" t="inlineStr">
        <is>
          <t>Shift manager/Supervisor</t>
        </is>
      </c>
      <c r="J908" t="inlineStr">
        <is>
          <t>Standard 1,0|40h</t>
        </is>
      </c>
      <c r="K908" t="n">
        <v>8</v>
      </c>
      <c r="L908" t="inlineStr">
        <is>
          <t>384</t>
        </is>
      </c>
      <c r="M908" t="inlineStr">
        <is>
          <t>108120 SBX Warszawa Janki</t>
        </is>
      </c>
      <c r="N908" t="inlineStr">
        <is>
          <t>2026-09-11 19:06</t>
        </is>
      </c>
    </row>
    <row r="909">
      <c r="A909" t="n">
        <v>908</v>
      </c>
      <c r="B909" t="inlineStr">
        <is>
          <t>2026-03-13</t>
        </is>
      </c>
      <c r="C909" t="n">
        <v>2026</v>
      </c>
      <c r="D909" t="inlineStr">
        <is>
          <t>Marzec</t>
        </is>
      </c>
      <c r="E909" t="inlineStr">
        <is>
          <t>W3</t>
        </is>
      </c>
      <c r="F909" t="inlineStr">
        <is>
          <t>2026_Marzec_W3</t>
        </is>
      </c>
      <c r="G909" t="inlineStr">
        <is>
          <t>Pt</t>
        </is>
      </c>
      <c r="H909" t="inlineStr">
        <is>
          <t>PŁUŻYŃSKA, ALEKSANDRA</t>
        </is>
      </c>
      <c r="I909" t="inlineStr">
        <is>
          <t>Shift manager/Supervisor</t>
        </is>
      </c>
      <c r="J909" t="inlineStr">
        <is>
          <t>Standard 1,0|40h</t>
        </is>
      </c>
      <c r="K909" t="n">
        <v>8</v>
      </c>
      <c r="L909" t="inlineStr">
        <is>
          <t>384</t>
        </is>
      </c>
      <c r="M909" t="inlineStr">
        <is>
          <t>108120 SBX Warszawa Janki</t>
        </is>
      </c>
      <c r="N909" t="inlineStr">
        <is>
          <t>2026-09-11 19:06</t>
        </is>
      </c>
    </row>
    <row r="910">
      <c r="A910" t="n">
        <v>909</v>
      </c>
      <c r="B910" t="inlineStr">
        <is>
          <t>2026-03-14</t>
        </is>
      </c>
      <c r="C910" t="n">
        <v>2026</v>
      </c>
      <c r="D910" t="inlineStr">
        <is>
          <t>Marzec</t>
        </is>
      </c>
      <c r="E910" t="inlineStr">
        <is>
          <t>W3</t>
        </is>
      </c>
      <c r="F910" t="inlineStr">
        <is>
          <t>2026_Marzec_W3</t>
        </is>
      </c>
      <c r="G910" t="inlineStr">
        <is>
          <t>Sob</t>
        </is>
      </c>
      <c r="H910" t="inlineStr">
        <is>
          <t>PŁUŻYŃSKA, ALEKSANDRA</t>
        </is>
      </c>
      <c r="I910" t="inlineStr">
        <is>
          <t>Shift manager/Supervisor</t>
        </is>
      </c>
      <c r="J910" t="inlineStr">
        <is>
          <t>Standard 1,0|40h</t>
        </is>
      </c>
      <c r="K910" t="n">
        <v>8</v>
      </c>
      <c r="L910" t="inlineStr">
        <is>
          <t>384</t>
        </is>
      </c>
      <c r="M910" t="inlineStr">
        <is>
          <t>108120 SBX Warszawa Janki</t>
        </is>
      </c>
      <c r="N910" t="inlineStr">
        <is>
          <t>2026-09-11 19:06</t>
        </is>
      </c>
    </row>
    <row r="911">
      <c r="A911" t="n">
        <v>910</v>
      </c>
      <c r="B911" t="inlineStr">
        <is>
          <t>2026-03-15</t>
        </is>
      </c>
      <c r="C911" t="n">
        <v>2026</v>
      </c>
      <c r="D911" t="inlineStr">
        <is>
          <t>Marzec</t>
        </is>
      </c>
      <c r="E911" t="inlineStr">
        <is>
          <t>W3</t>
        </is>
      </c>
      <c r="F911" t="inlineStr">
        <is>
          <t>2026_Marzec_W3</t>
        </is>
      </c>
      <c r="G911" t="inlineStr">
        <is>
          <t>Nd</t>
        </is>
      </c>
      <c r="H911" t="inlineStr">
        <is>
          <t>PŁUŻYŃSKA, ALEKSANDRA</t>
        </is>
      </c>
      <c r="I911" t="inlineStr">
        <is>
          <t>Shift manager/Supervisor</t>
        </is>
      </c>
      <c r="J911" t="inlineStr">
        <is>
          <t>Standard 1,0|40h</t>
        </is>
      </c>
      <c r="K911" t="n">
        <v>8</v>
      </c>
      <c r="L911" t="inlineStr">
        <is>
          <t>384</t>
        </is>
      </c>
      <c r="M911" t="inlineStr">
        <is>
          <t>108120 SBX Warszawa Janki</t>
        </is>
      </c>
      <c r="N911" t="inlineStr">
        <is>
          <t>2026-09-11 19:06</t>
        </is>
      </c>
    </row>
    <row r="912">
      <c r="A912" t="n">
        <v>911</v>
      </c>
      <c r="B912" t="inlineStr">
        <is>
          <t>2026-03-18</t>
        </is>
      </c>
      <c r="C912" t="n">
        <v>2026</v>
      </c>
      <c r="D912" t="inlineStr">
        <is>
          <t>Marzec</t>
        </is>
      </c>
      <c r="E912" t="inlineStr">
        <is>
          <t>W4</t>
        </is>
      </c>
      <c r="F912" t="inlineStr">
        <is>
          <t>2026_Marzec_W4</t>
        </is>
      </c>
      <c r="G912" t="inlineStr">
        <is>
          <t>Śr</t>
        </is>
      </c>
      <c r="H912" t="inlineStr">
        <is>
          <t>PŁUŻYŃSKA, ALEKSANDRA</t>
        </is>
      </c>
      <c r="I912" t="inlineStr">
        <is>
          <t>Shift manager/Supervisor</t>
        </is>
      </c>
      <c r="J912" t="inlineStr">
        <is>
          <t>Standard 1,0|40h</t>
        </is>
      </c>
      <c r="K912" t="n">
        <v>8</v>
      </c>
      <c r="L912" t="inlineStr">
        <is>
          <t>384</t>
        </is>
      </c>
      <c r="M912" t="inlineStr">
        <is>
          <t>108120 SBX Warszawa Janki</t>
        </is>
      </c>
      <c r="N912" t="inlineStr">
        <is>
          <t>2026-09-11 19:06</t>
        </is>
      </c>
    </row>
    <row r="913">
      <c r="A913" t="n">
        <v>912</v>
      </c>
      <c r="B913" t="inlineStr">
        <is>
          <t>2026-03-19</t>
        </is>
      </c>
      <c r="C913" t="n">
        <v>2026</v>
      </c>
      <c r="D913" t="inlineStr">
        <is>
          <t>Marzec</t>
        </is>
      </c>
      <c r="E913" t="inlineStr">
        <is>
          <t>W4</t>
        </is>
      </c>
      <c r="F913" t="inlineStr">
        <is>
          <t>2026_Marzec_W4</t>
        </is>
      </c>
      <c r="G913" t="inlineStr">
        <is>
          <t>Czw</t>
        </is>
      </c>
      <c r="H913" t="inlineStr">
        <is>
          <t>PŁUŻYŃSKA, ALEKSANDRA</t>
        </is>
      </c>
      <c r="I913" t="inlineStr">
        <is>
          <t>Shift manager/Supervisor</t>
        </is>
      </c>
      <c r="J913" t="inlineStr">
        <is>
          <t>Standard 1,0|40h</t>
        </is>
      </c>
      <c r="K913" t="n">
        <v>2.5</v>
      </c>
      <c r="L913" t="inlineStr">
        <is>
          <t>384</t>
        </is>
      </c>
      <c r="M913" t="inlineStr">
        <is>
          <t>108120 SBX Warszawa Janki</t>
        </is>
      </c>
      <c r="N913" t="inlineStr">
        <is>
          <t>2026-09-11 19:06</t>
        </is>
      </c>
    </row>
    <row r="914">
      <c r="A914" t="n">
        <v>913</v>
      </c>
      <c r="B914" t="inlineStr">
        <is>
          <t>2026-03-19</t>
        </is>
      </c>
      <c r="C914" t="n">
        <v>2026</v>
      </c>
      <c r="D914" t="inlineStr">
        <is>
          <t>Marzec</t>
        </is>
      </c>
      <c r="E914" t="inlineStr">
        <is>
          <t>W4</t>
        </is>
      </c>
      <c r="F914" t="inlineStr">
        <is>
          <t>2026_Marzec_W4</t>
        </is>
      </c>
      <c r="G914" t="inlineStr">
        <is>
          <t>Czw</t>
        </is>
      </c>
      <c r="H914" t="inlineStr">
        <is>
          <t>PŁUŻYŃSKA, ALEKSANDRA</t>
        </is>
      </c>
      <c r="I914" t="inlineStr">
        <is>
          <t>Shift manager/Supervisor</t>
        </is>
      </c>
      <c r="J914" t="inlineStr">
        <is>
          <t>Standard 1,0|40h</t>
        </is>
      </c>
      <c r="K914" t="n">
        <v>5.45</v>
      </c>
      <c r="L914" t="inlineStr">
        <is>
          <t>384</t>
        </is>
      </c>
      <c r="M914" t="inlineStr">
        <is>
          <t>108120 SBX Warszawa Janki</t>
        </is>
      </c>
      <c r="N914" t="inlineStr">
        <is>
          <t>2026-09-11 19:06</t>
        </is>
      </c>
    </row>
    <row r="915">
      <c r="A915" t="n">
        <v>914</v>
      </c>
      <c r="B915" t="inlineStr">
        <is>
          <t>2026-03-20</t>
        </is>
      </c>
      <c r="C915" t="n">
        <v>2026</v>
      </c>
      <c r="D915" t="inlineStr">
        <is>
          <t>Marzec</t>
        </is>
      </c>
      <c r="E915" t="inlineStr">
        <is>
          <t>W4</t>
        </is>
      </c>
      <c r="F915" t="inlineStr">
        <is>
          <t>2026_Marzec_W4</t>
        </is>
      </c>
      <c r="G915" t="inlineStr">
        <is>
          <t>Pt</t>
        </is>
      </c>
      <c r="H915" t="inlineStr">
        <is>
          <t>PŁUŻYŃSKA, ALEKSANDRA</t>
        </is>
      </c>
      <c r="I915" t="inlineStr">
        <is>
          <t>Shift manager/Supervisor</t>
        </is>
      </c>
      <c r="J915" t="inlineStr">
        <is>
          <t>Standard 1,0|40h</t>
        </is>
      </c>
      <c r="K915" t="n">
        <v>8.17</v>
      </c>
      <c r="L915" t="inlineStr">
        <is>
          <t>384</t>
        </is>
      </c>
      <c r="M915" t="inlineStr">
        <is>
          <t>108120 SBX Warszawa Janki</t>
        </is>
      </c>
      <c r="N915" t="inlineStr">
        <is>
          <t>2026-09-11 19:06</t>
        </is>
      </c>
    </row>
    <row r="916">
      <c r="A916" t="n">
        <v>915</v>
      </c>
      <c r="B916" t="inlineStr">
        <is>
          <t>2026-03-21</t>
        </is>
      </c>
      <c r="C916" t="n">
        <v>2026</v>
      </c>
      <c r="D916" t="inlineStr">
        <is>
          <t>Marzec</t>
        </is>
      </c>
      <c r="E916" t="inlineStr">
        <is>
          <t>W4</t>
        </is>
      </c>
      <c r="F916" t="inlineStr">
        <is>
          <t>2026_Marzec_W4</t>
        </is>
      </c>
      <c r="G916" t="inlineStr">
        <is>
          <t>Sob</t>
        </is>
      </c>
      <c r="H916" t="inlineStr">
        <is>
          <t>PŁUŻYŃSKA, ALEKSANDRA</t>
        </is>
      </c>
      <c r="I916" t="inlineStr">
        <is>
          <t>Shift manager/Supervisor</t>
        </is>
      </c>
      <c r="J916" t="inlineStr">
        <is>
          <t>Standard 1,0|40h</t>
        </is>
      </c>
      <c r="K916" t="n">
        <v>7.71</v>
      </c>
      <c r="L916" t="inlineStr">
        <is>
          <t>384</t>
        </is>
      </c>
      <c r="M916" t="inlineStr">
        <is>
          <t>108120 SBX Warszawa Janki</t>
        </is>
      </c>
      <c r="N916" t="inlineStr">
        <is>
          <t>2026-09-11 19:06</t>
        </is>
      </c>
    </row>
    <row r="917">
      <c r="A917" t="n">
        <v>916</v>
      </c>
      <c r="B917" t="inlineStr">
        <is>
          <t>2026-03-23</t>
        </is>
      </c>
      <c r="C917" t="n">
        <v>2026</v>
      </c>
      <c r="D917" t="inlineStr">
        <is>
          <t>Marzec</t>
        </is>
      </c>
      <c r="E917" t="inlineStr">
        <is>
          <t>W4</t>
        </is>
      </c>
      <c r="F917" t="inlineStr">
        <is>
          <t>2026_Marzec_W4</t>
        </is>
      </c>
      <c r="G917" t="inlineStr">
        <is>
          <t>Pn</t>
        </is>
      </c>
      <c r="H917" t="inlineStr">
        <is>
          <t>PŁUŻYŃSKA, ALEKSANDRA</t>
        </is>
      </c>
      <c r="I917" t="inlineStr">
        <is>
          <t>Shift manager/Supervisor</t>
        </is>
      </c>
      <c r="J917" t="inlineStr">
        <is>
          <t>Standard 1,0|40h</t>
        </is>
      </c>
      <c r="K917" t="n">
        <v>8.210000000000001</v>
      </c>
      <c r="L917" t="inlineStr">
        <is>
          <t>384</t>
        </is>
      </c>
      <c r="M917" t="inlineStr">
        <is>
          <t>108120 SBX Warszawa Janki</t>
        </is>
      </c>
      <c r="N917" t="inlineStr">
        <is>
          <t>2026-09-11 19:06</t>
        </is>
      </c>
    </row>
    <row r="918">
      <c r="A918" t="n">
        <v>917</v>
      </c>
      <c r="B918" t="inlineStr">
        <is>
          <t>2026-03-24</t>
        </is>
      </c>
      <c r="C918" t="n">
        <v>2026</v>
      </c>
      <c r="D918" t="inlineStr">
        <is>
          <t>Marzec</t>
        </is>
      </c>
      <c r="E918" t="inlineStr">
        <is>
          <t>W5</t>
        </is>
      </c>
      <c r="F918" t="inlineStr">
        <is>
          <t>2026_Marzec_W5</t>
        </is>
      </c>
      <c r="G918" t="inlineStr">
        <is>
          <t>Wt</t>
        </is>
      </c>
      <c r="H918" t="inlineStr">
        <is>
          <t>PŁUŻYŃSKA, ALEKSANDRA</t>
        </is>
      </c>
      <c r="I918" t="inlineStr">
        <is>
          <t>Shift manager/Supervisor</t>
        </is>
      </c>
      <c r="J918" t="inlineStr">
        <is>
          <t>Standard 1,0|40h</t>
        </is>
      </c>
      <c r="K918" t="n">
        <v>8</v>
      </c>
      <c r="L918" t="inlineStr">
        <is>
          <t>384</t>
        </is>
      </c>
      <c r="M918" t="inlineStr">
        <is>
          <t>108120 SBX Warszawa Janki</t>
        </is>
      </c>
      <c r="N918" t="inlineStr">
        <is>
          <t>2026-09-11 19:06</t>
        </is>
      </c>
    </row>
    <row r="919">
      <c r="A919" t="n">
        <v>918</v>
      </c>
      <c r="B919" t="inlineStr">
        <is>
          <t>2026-03-25</t>
        </is>
      </c>
      <c r="C919" t="n">
        <v>2026</v>
      </c>
      <c r="D919" t="inlineStr">
        <is>
          <t>Marzec</t>
        </is>
      </c>
      <c r="E919" t="inlineStr">
        <is>
          <t>W5</t>
        </is>
      </c>
      <c r="F919" t="inlineStr">
        <is>
          <t>2026_Marzec_W5</t>
        </is>
      </c>
      <c r="G919" t="inlineStr">
        <is>
          <t>Śr</t>
        </is>
      </c>
      <c r="H919" t="inlineStr">
        <is>
          <t>PŁUŻYŃSKA, ALEKSANDRA</t>
        </is>
      </c>
      <c r="I919" t="inlineStr">
        <is>
          <t>Shift manager/Supervisor</t>
        </is>
      </c>
      <c r="J919" t="inlineStr">
        <is>
          <t>Standard 1,0|40h</t>
        </is>
      </c>
      <c r="K919" t="n">
        <v>8.199999999999999</v>
      </c>
      <c r="L919" t="inlineStr">
        <is>
          <t>384</t>
        </is>
      </c>
      <c r="M919" t="inlineStr">
        <is>
          <t>108120 SBX Warszawa Janki</t>
        </is>
      </c>
      <c r="N919" t="inlineStr">
        <is>
          <t>2026-09-11 19:06</t>
        </is>
      </c>
    </row>
    <row r="920">
      <c r="A920" t="n">
        <v>919</v>
      </c>
      <c r="B920" t="inlineStr">
        <is>
          <t>2026-03-27</t>
        </is>
      </c>
      <c r="C920" t="n">
        <v>2026</v>
      </c>
      <c r="D920" t="inlineStr">
        <is>
          <t>Marzec</t>
        </is>
      </c>
      <c r="E920" t="inlineStr">
        <is>
          <t>W5</t>
        </is>
      </c>
      <c r="F920" t="inlineStr">
        <is>
          <t>2026_Marzec_W5</t>
        </is>
      </c>
      <c r="G920" t="inlineStr">
        <is>
          <t>Pt</t>
        </is>
      </c>
      <c r="H920" t="inlineStr">
        <is>
          <t>PŁUŻYŃSKA, ALEKSANDRA</t>
        </is>
      </c>
      <c r="I920" t="inlineStr">
        <is>
          <t>Shift manager/Supervisor</t>
        </is>
      </c>
      <c r="J920" t="inlineStr">
        <is>
          <t>Standard 1,0|40h</t>
        </is>
      </c>
      <c r="K920" t="n">
        <v>8</v>
      </c>
      <c r="L920" t="inlineStr">
        <is>
          <t>384</t>
        </is>
      </c>
      <c r="M920" t="inlineStr">
        <is>
          <t>108120 SBX Warszawa Janki</t>
        </is>
      </c>
      <c r="N920" t="inlineStr">
        <is>
          <t>2026-09-11 19:06</t>
        </is>
      </c>
    </row>
    <row r="921">
      <c r="A921" t="n">
        <v>920</v>
      </c>
      <c r="B921" t="inlineStr">
        <is>
          <t>2026-03-30</t>
        </is>
      </c>
      <c r="C921" t="n">
        <v>2026</v>
      </c>
      <c r="D921" t="inlineStr">
        <is>
          <t>Marzec</t>
        </is>
      </c>
      <c r="E921" t="inlineStr">
        <is>
          <t>W5</t>
        </is>
      </c>
      <c r="F921" t="inlineStr">
        <is>
          <t>2026_Marzec_W5</t>
        </is>
      </c>
      <c r="G921" t="inlineStr">
        <is>
          <t>Pn</t>
        </is>
      </c>
      <c r="H921" t="inlineStr">
        <is>
          <t>PŁUŻYŃSKA, ALEKSANDRA</t>
        </is>
      </c>
      <c r="I921" t="inlineStr">
        <is>
          <t>Shift manager/Supervisor</t>
        </is>
      </c>
      <c r="J921" t="inlineStr">
        <is>
          <t>Standard 1,0|40h</t>
        </is>
      </c>
      <c r="K921" t="n">
        <v>8.84</v>
      </c>
      <c r="L921" t="inlineStr">
        <is>
          <t>384</t>
        </is>
      </c>
      <c r="M921" t="inlineStr">
        <is>
          <t>108120 SBX Warszawa Janki</t>
        </is>
      </c>
      <c r="N921" t="inlineStr">
        <is>
          <t>2026-09-11 19:06</t>
        </is>
      </c>
    </row>
    <row r="922">
      <c r="A922" t="n">
        <v>921</v>
      </c>
      <c r="B922" t="inlineStr">
        <is>
          <t>2026-03-31</t>
        </is>
      </c>
      <c r="C922" t="n">
        <v>2026</v>
      </c>
      <c r="D922" t="inlineStr">
        <is>
          <t>Marzec</t>
        </is>
      </c>
      <c r="E922" t="inlineStr">
        <is>
          <t>W6</t>
        </is>
      </c>
      <c r="F922" t="inlineStr">
        <is>
          <t>2026_Marzec_W6</t>
        </is>
      </c>
      <c r="G922" t="inlineStr">
        <is>
          <t>Wt</t>
        </is>
      </c>
      <c r="H922" t="inlineStr">
        <is>
          <t>PŁUŻYŃSKA, ALEKSANDRA</t>
        </is>
      </c>
      <c r="I922" t="inlineStr">
        <is>
          <t>Shift manager/Supervisor</t>
        </is>
      </c>
      <c r="J922" t="inlineStr">
        <is>
          <t>Standard 1,0|40h</t>
        </is>
      </c>
      <c r="K922" t="n">
        <v>8.48</v>
      </c>
      <c r="L922" t="inlineStr">
        <is>
          <t>384</t>
        </is>
      </c>
      <c r="M922" t="inlineStr">
        <is>
          <t>108120 SBX Warszawa Janki</t>
        </is>
      </c>
      <c r="N922" t="inlineStr">
        <is>
          <t>2026-09-11 19:06</t>
        </is>
      </c>
    </row>
    <row r="923">
      <c r="A923" t="n">
        <v>922</v>
      </c>
      <c r="B923" t="inlineStr">
        <is>
          <t>2026-04-02</t>
        </is>
      </c>
      <c r="C923" t="n">
        <v>2026</v>
      </c>
      <c r="D923" t="inlineStr">
        <is>
          <t>Kwiecień</t>
        </is>
      </c>
      <c r="E923" t="inlineStr">
        <is>
          <t>W1</t>
        </is>
      </c>
      <c r="F923" t="inlineStr">
        <is>
          <t>2026_Kwiecień_W1</t>
        </is>
      </c>
      <c r="G923" t="inlineStr">
        <is>
          <t>Czw</t>
        </is>
      </c>
      <c r="H923" t="inlineStr">
        <is>
          <t>PŁUŻYŃSKA, ALEKSANDRA</t>
        </is>
      </c>
      <c r="I923" t="inlineStr">
        <is>
          <t>Shift manager/Supervisor</t>
        </is>
      </c>
      <c r="J923" t="inlineStr">
        <is>
          <t>Standard 1,0|40h</t>
        </is>
      </c>
      <c r="K923" t="n">
        <v>8</v>
      </c>
      <c r="L923" t="inlineStr">
        <is>
          <t>384</t>
        </is>
      </c>
      <c r="M923" t="inlineStr">
        <is>
          <t>108120 SBX Warszawa Janki</t>
        </is>
      </c>
      <c r="N923" t="inlineStr">
        <is>
          <t>2026-09-11 19:06</t>
        </is>
      </c>
    </row>
    <row r="924">
      <c r="A924" t="n">
        <v>923</v>
      </c>
      <c r="B924" t="inlineStr">
        <is>
          <t>2026-04-03</t>
        </is>
      </c>
      <c r="C924" t="n">
        <v>2026</v>
      </c>
      <c r="D924" t="inlineStr">
        <is>
          <t>Kwiecień</t>
        </is>
      </c>
      <c r="E924" t="inlineStr">
        <is>
          <t>W1</t>
        </is>
      </c>
      <c r="F924" t="inlineStr">
        <is>
          <t>2026_Kwiecień_W1</t>
        </is>
      </c>
      <c r="G924" t="inlineStr">
        <is>
          <t>Pt</t>
        </is>
      </c>
      <c r="H924" t="inlineStr">
        <is>
          <t>PŁUŻYŃSKA, ALEKSANDRA</t>
        </is>
      </c>
      <c r="I924" t="inlineStr">
        <is>
          <t>Shift manager/Supervisor</t>
        </is>
      </c>
      <c r="J924" t="inlineStr">
        <is>
          <t>Standard 1,0|40h</t>
        </is>
      </c>
      <c r="K924" t="n">
        <v>7.97</v>
      </c>
      <c r="L924" t="inlineStr">
        <is>
          <t>384</t>
        </is>
      </c>
      <c r="M924" t="inlineStr">
        <is>
          <t>108120 SBX Warszawa Janki</t>
        </is>
      </c>
      <c r="N924" t="inlineStr">
        <is>
          <t>2026-09-11 19:06</t>
        </is>
      </c>
    </row>
    <row r="925">
      <c r="A925" t="n">
        <v>924</v>
      </c>
      <c r="B925" t="inlineStr">
        <is>
          <t>2026-04-04</t>
        </is>
      </c>
      <c r="C925" t="n">
        <v>2026</v>
      </c>
      <c r="D925" t="inlineStr">
        <is>
          <t>Kwiecień</t>
        </is>
      </c>
      <c r="E925" t="inlineStr">
        <is>
          <t>W1</t>
        </is>
      </c>
      <c r="F925" t="inlineStr">
        <is>
          <t>2026_Kwiecień_W1</t>
        </is>
      </c>
      <c r="G925" t="inlineStr">
        <is>
          <t>Sob</t>
        </is>
      </c>
      <c r="H925" t="inlineStr">
        <is>
          <t>PŁUŻYŃSKA, ALEKSANDRA</t>
        </is>
      </c>
      <c r="I925" t="inlineStr">
        <is>
          <t>Shift manager/Supervisor</t>
        </is>
      </c>
      <c r="J925" t="inlineStr">
        <is>
          <t>Standard 1,0|40h</t>
        </is>
      </c>
      <c r="K925" t="n">
        <v>7.35</v>
      </c>
      <c r="L925" t="inlineStr">
        <is>
          <t>384</t>
        </is>
      </c>
      <c r="M925" t="inlineStr">
        <is>
          <t>108120 SBX Warszawa Janki</t>
        </is>
      </c>
      <c r="N925" t="inlineStr">
        <is>
          <t>2026-09-11 19:06</t>
        </is>
      </c>
    </row>
    <row r="926">
      <c r="A926" t="n">
        <v>925</v>
      </c>
      <c r="B926" t="inlineStr">
        <is>
          <t>2026-04-07</t>
        </is>
      </c>
      <c r="C926" t="n">
        <v>2026</v>
      </c>
      <c r="D926" t="inlineStr">
        <is>
          <t>Kwiecień</t>
        </is>
      </c>
      <c r="E926" t="inlineStr">
        <is>
          <t>W2</t>
        </is>
      </c>
      <c r="F926" t="inlineStr">
        <is>
          <t>2026_Kwiecień_W2</t>
        </is>
      </c>
      <c r="G926" t="inlineStr">
        <is>
          <t>Wt</t>
        </is>
      </c>
      <c r="H926" t="inlineStr">
        <is>
          <t>PŁUŻYŃSKA, ALEKSANDRA</t>
        </is>
      </c>
      <c r="I926" t="inlineStr">
        <is>
          <t>Shift manager/Supervisor</t>
        </is>
      </c>
      <c r="J926" t="inlineStr">
        <is>
          <t>Standard 1,0|40h</t>
        </is>
      </c>
      <c r="K926" t="n">
        <v>8.140000000000001</v>
      </c>
      <c r="L926" t="inlineStr">
        <is>
          <t>384</t>
        </is>
      </c>
      <c r="M926" t="inlineStr">
        <is>
          <t>108120 SBX Warszawa Janki</t>
        </is>
      </c>
      <c r="N926" t="inlineStr">
        <is>
          <t>2026-09-11 19:06</t>
        </is>
      </c>
    </row>
    <row r="927">
      <c r="A927" t="n">
        <v>926</v>
      </c>
      <c r="B927" t="inlineStr">
        <is>
          <t>2026-04-09</t>
        </is>
      </c>
      <c r="C927" t="n">
        <v>2026</v>
      </c>
      <c r="D927" t="inlineStr">
        <is>
          <t>Kwiecień</t>
        </is>
      </c>
      <c r="E927" t="inlineStr">
        <is>
          <t>W2</t>
        </is>
      </c>
      <c r="F927" t="inlineStr">
        <is>
          <t>2026_Kwiecień_W2</t>
        </is>
      </c>
      <c r="G927" t="inlineStr">
        <is>
          <t>Czw</t>
        </is>
      </c>
      <c r="H927" t="inlineStr">
        <is>
          <t>PŁUŻYŃSKA, ALEKSANDRA</t>
        </is>
      </c>
      <c r="I927" t="inlineStr">
        <is>
          <t>Shift manager/Supervisor</t>
        </is>
      </c>
      <c r="J927" t="inlineStr">
        <is>
          <t>Standard 1,0|40h</t>
        </is>
      </c>
      <c r="K927" t="n">
        <v>8.039999999999999</v>
      </c>
      <c r="L927" t="inlineStr">
        <is>
          <t>384</t>
        </is>
      </c>
      <c r="M927" t="inlineStr">
        <is>
          <t>108120 SBX Warszawa Janki</t>
        </is>
      </c>
      <c r="N927" t="inlineStr">
        <is>
          <t>2026-09-11 19:06</t>
        </is>
      </c>
    </row>
    <row r="928">
      <c r="A928" t="n">
        <v>927</v>
      </c>
      <c r="B928" t="inlineStr">
        <is>
          <t>2026-04-10</t>
        </is>
      </c>
      <c r="C928" t="n">
        <v>2026</v>
      </c>
      <c r="D928" t="inlineStr">
        <is>
          <t>Kwiecień</t>
        </is>
      </c>
      <c r="E928" t="inlineStr">
        <is>
          <t>W2</t>
        </is>
      </c>
      <c r="F928" t="inlineStr">
        <is>
          <t>2026_Kwiecień_W2</t>
        </is>
      </c>
      <c r="G928" t="inlineStr">
        <is>
          <t>Pt</t>
        </is>
      </c>
      <c r="H928" t="inlineStr">
        <is>
          <t>PŁUŻYŃSKA, ALEKSANDRA</t>
        </is>
      </c>
      <c r="I928" t="inlineStr">
        <is>
          <t>Shift manager/Supervisor</t>
        </is>
      </c>
      <c r="J928" t="inlineStr">
        <is>
          <t>Standard 1,0|40h</t>
        </is>
      </c>
      <c r="K928" t="n">
        <v>8.630000000000001</v>
      </c>
      <c r="L928" t="inlineStr">
        <is>
          <t>384</t>
        </is>
      </c>
      <c r="M928" t="inlineStr">
        <is>
          <t>108120 SBX Warszawa Janki</t>
        </is>
      </c>
      <c r="N928" t="inlineStr">
        <is>
          <t>2026-09-11 19:06</t>
        </is>
      </c>
    </row>
    <row r="929">
      <c r="A929" t="n">
        <v>928</v>
      </c>
      <c r="B929" t="inlineStr">
        <is>
          <t>2026-04-11</t>
        </is>
      </c>
      <c r="C929" t="n">
        <v>2026</v>
      </c>
      <c r="D929" t="inlineStr">
        <is>
          <t>Kwiecień</t>
        </is>
      </c>
      <c r="E929" t="inlineStr">
        <is>
          <t>W2</t>
        </is>
      </c>
      <c r="F929" t="inlineStr">
        <is>
          <t>2026_Kwiecień_W2</t>
        </is>
      </c>
      <c r="G929" t="inlineStr">
        <is>
          <t>Sob</t>
        </is>
      </c>
      <c r="H929" t="inlineStr">
        <is>
          <t>PŁUŻYŃSKA, ALEKSANDRA</t>
        </is>
      </c>
      <c r="I929" t="inlineStr">
        <is>
          <t>Shift manager/Supervisor</t>
        </is>
      </c>
      <c r="J929" t="inlineStr">
        <is>
          <t>Standard 1,0|40h</t>
        </is>
      </c>
      <c r="K929" t="n">
        <v>8</v>
      </c>
      <c r="L929" t="inlineStr">
        <is>
          <t>384</t>
        </is>
      </c>
      <c r="M929" t="inlineStr">
        <is>
          <t>108120 SBX Warszawa Janki</t>
        </is>
      </c>
      <c r="N929" t="inlineStr">
        <is>
          <t>2026-09-11 19:06</t>
        </is>
      </c>
    </row>
    <row r="930">
      <c r="A930" t="n">
        <v>929</v>
      </c>
      <c r="B930" t="inlineStr">
        <is>
          <t>2026-04-12</t>
        </is>
      </c>
      <c r="C930" t="n">
        <v>2026</v>
      </c>
      <c r="D930" t="inlineStr">
        <is>
          <t>Kwiecień</t>
        </is>
      </c>
      <c r="E930" t="inlineStr">
        <is>
          <t>W2</t>
        </is>
      </c>
      <c r="F930" t="inlineStr">
        <is>
          <t>2026_Kwiecień_W2</t>
        </is>
      </c>
      <c r="G930" t="inlineStr">
        <is>
          <t>Nd</t>
        </is>
      </c>
      <c r="H930" t="inlineStr">
        <is>
          <t>PŁUŻYŃSKA, ALEKSANDRA</t>
        </is>
      </c>
      <c r="I930" t="inlineStr">
        <is>
          <t>Shift manager/Supervisor</t>
        </is>
      </c>
      <c r="J930" t="inlineStr">
        <is>
          <t>Standard 1,0|40h</t>
        </is>
      </c>
      <c r="K930" t="n">
        <v>7.65</v>
      </c>
      <c r="L930" t="inlineStr">
        <is>
          <t>384</t>
        </is>
      </c>
      <c r="M930" t="inlineStr">
        <is>
          <t>108120 SBX Warszawa Janki</t>
        </is>
      </c>
      <c r="N930" t="inlineStr">
        <is>
          <t>2026-09-11 19:06</t>
        </is>
      </c>
    </row>
    <row r="931">
      <c r="A931" t="n">
        <v>930</v>
      </c>
      <c r="B931" t="inlineStr">
        <is>
          <t>2026-04-13</t>
        </is>
      </c>
      <c r="C931" t="n">
        <v>2026</v>
      </c>
      <c r="D931" t="inlineStr">
        <is>
          <t>Kwiecień</t>
        </is>
      </c>
      <c r="E931" t="inlineStr">
        <is>
          <t>W2</t>
        </is>
      </c>
      <c r="F931" t="inlineStr">
        <is>
          <t>2026_Kwiecień_W2</t>
        </is>
      </c>
      <c r="G931" t="inlineStr">
        <is>
          <t>Pn</t>
        </is>
      </c>
      <c r="H931" t="inlineStr">
        <is>
          <t>PŁUŻYŃSKA, ALEKSANDRA</t>
        </is>
      </c>
      <c r="I931" t="inlineStr">
        <is>
          <t>Shift manager/Supervisor</t>
        </is>
      </c>
      <c r="J931" t="inlineStr">
        <is>
          <t>Standard 1,0|40h</t>
        </is>
      </c>
      <c r="K931" t="n">
        <v>8</v>
      </c>
      <c r="L931" t="inlineStr">
        <is>
          <t>384</t>
        </is>
      </c>
      <c r="M931" t="inlineStr">
        <is>
          <t>108120 SBX Warszawa Janki</t>
        </is>
      </c>
      <c r="N931" t="inlineStr">
        <is>
          <t>2026-09-11 19:06</t>
        </is>
      </c>
    </row>
    <row r="932">
      <c r="A932" t="n">
        <v>931</v>
      </c>
      <c r="B932" t="inlineStr">
        <is>
          <t>2026-04-17</t>
        </is>
      </c>
      <c r="C932" t="n">
        <v>2026</v>
      </c>
      <c r="D932" t="inlineStr">
        <is>
          <t>Kwiecień</t>
        </is>
      </c>
      <c r="E932" t="inlineStr">
        <is>
          <t>W3</t>
        </is>
      </c>
      <c r="F932" t="inlineStr">
        <is>
          <t>2026_Kwiecień_W3</t>
        </is>
      </c>
      <c r="G932" t="inlineStr">
        <is>
          <t>Pt</t>
        </is>
      </c>
      <c r="H932" t="inlineStr">
        <is>
          <t>PŁUŻYŃSKA, ALEKSANDRA</t>
        </is>
      </c>
      <c r="I932" t="inlineStr">
        <is>
          <t>Shift manager/Supervisor</t>
        </is>
      </c>
      <c r="J932" t="inlineStr">
        <is>
          <t>Standard 1,0|40h</t>
        </is>
      </c>
      <c r="K932" t="n">
        <v>8.06</v>
      </c>
      <c r="L932" t="inlineStr">
        <is>
          <t>384</t>
        </is>
      </c>
      <c r="M932" t="inlineStr">
        <is>
          <t>108120 SBX Warszawa Janki</t>
        </is>
      </c>
      <c r="N932" t="inlineStr">
        <is>
          <t>2026-09-11 19:06</t>
        </is>
      </c>
    </row>
    <row r="933">
      <c r="A933" t="n">
        <v>932</v>
      </c>
      <c r="B933" t="inlineStr">
        <is>
          <t>2026-04-18</t>
        </is>
      </c>
      <c r="C933" t="n">
        <v>2026</v>
      </c>
      <c r="D933" t="inlineStr">
        <is>
          <t>Kwiecień</t>
        </is>
      </c>
      <c r="E933" t="inlineStr">
        <is>
          <t>W3</t>
        </is>
      </c>
      <c r="F933" t="inlineStr">
        <is>
          <t>2026_Kwiecień_W3</t>
        </is>
      </c>
      <c r="G933" t="inlineStr">
        <is>
          <t>Sob</t>
        </is>
      </c>
      <c r="H933" t="inlineStr">
        <is>
          <t>PŁUŻYŃSKA, ALEKSANDRA</t>
        </is>
      </c>
      <c r="I933" t="inlineStr">
        <is>
          <t>Shift manager/Supervisor</t>
        </is>
      </c>
      <c r="J933" t="inlineStr">
        <is>
          <t>Standard 1,0|40h</t>
        </is>
      </c>
      <c r="K933" t="n">
        <v>7.85</v>
      </c>
      <c r="L933" t="inlineStr">
        <is>
          <t>384</t>
        </is>
      </c>
      <c r="M933" t="inlineStr">
        <is>
          <t>108120 SBX Warszawa Janki</t>
        </is>
      </c>
      <c r="N933" t="inlineStr">
        <is>
          <t>2026-09-11 19:06</t>
        </is>
      </c>
    </row>
    <row r="934">
      <c r="A934" t="n">
        <v>933</v>
      </c>
      <c r="B934" t="inlineStr">
        <is>
          <t>2026-04-19</t>
        </is>
      </c>
      <c r="C934" t="n">
        <v>2026</v>
      </c>
      <c r="D934" t="inlineStr">
        <is>
          <t>Kwiecień</t>
        </is>
      </c>
      <c r="E934" t="inlineStr">
        <is>
          <t>W3</t>
        </is>
      </c>
      <c r="F934" t="inlineStr">
        <is>
          <t>2026_Kwiecień_W3</t>
        </is>
      </c>
      <c r="G934" t="inlineStr">
        <is>
          <t>Nd</t>
        </is>
      </c>
      <c r="H934" t="inlineStr">
        <is>
          <t>PŁUŻYŃSKA, ALEKSANDRA</t>
        </is>
      </c>
      <c r="I934" t="inlineStr">
        <is>
          <t>Shift manager/Supervisor</t>
        </is>
      </c>
      <c r="J934" t="inlineStr">
        <is>
          <t>Standard 1,0|40h</t>
        </is>
      </c>
      <c r="K934" t="n">
        <v>7.54</v>
      </c>
      <c r="L934" t="inlineStr">
        <is>
          <t>384</t>
        </is>
      </c>
      <c r="M934" t="inlineStr">
        <is>
          <t>108120 SBX Warszawa Janki</t>
        </is>
      </c>
      <c r="N934" t="inlineStr">
        <is>
          <t>2026-09-11 19:06</t>
        </is>
      </c>
    </row>
    <row r="935">
      <c r="A935" t="n">
        <v>934</v>
      </c>
      <c r="B935" t="inlineStr">
        <is>
          <t>2026-04-20</t>
        </is>
      </c>
      <c r="C935" t="n">
        <v>2026</v>
      </c>
      <c r="D935" t="inlineStr">
        <is>
          <t>Kwiecień</t>
        </is>
      </c>
      <c r="E935" t="inlineStr">
        <is>
          <t>W3</t>
        </is>
      </c>
      <c r="F935" t="inlineStr">
        <is>
          <t>2026_Kwiecień_W3</t>
        </is>
      </c>
      <c r="G935" t="inlineStr">
        <is>
          <t>Pn</t>
        </is>
      </c>
      <c r="H935" t="inlineStr">
        <is>
          <t>PŁUŻYŃSKA, ALEKSANDRA</t>
        </is>
      </c>
      <c r="I935" t="inlineStr">
        <is>
          <t>Shift manager/Supervisor</t>
        </is>
      </c>
      <c r="J935" t="inlineStr">
        <is>
          <t>Standard 1,0|40h</t>
        </is>
      </c>
      <c r="K935" t="n">
        <v>7.55</v>
      </c>
      <c r="L935" t="inlineStr">
        <is>
          <t>384</t>
        </is>
      </c>
      <c r="M935" t="inlineStr">
        <is>
          <t>108120 SBX Warszawa Janki</t>
        </is>
      </c>
      <c r="N935" t="inlineStr">
        <is>
          <t>2026-09-11 19:06</t>
        </is>
      </c>
    </row>
    <row r="936">
      <c r="A936" t="n">
        <v>935</v>
      </c>
      <c r="B936" t="inlineStr">
        <is>
          <t>2026-04-21</t>
        </is>
      </c>
      <c r="C936" t="n">
        <v>2026</v>
      </c>
      <c r="D936" t="inlineStr">
        <is>
          <t>Kwiecień</t>
        </is>
      </c>
      <c r="E936" t="inlineStr">
        <is>
          <t>W4</t>
        </is>
      </c>
      <c r="F936" t="inlineStr">
        <is>
          <t>2026_Kwiecień_W4</t>
        </is>
      </c>
      <c r="G936" t="inlineStr">
        <is>
          <t>Wt</t>
        </is>
      </c>
      <c r="H936" t="inlineStr">
        <is>
          <t>PŁUŻYŃSKA, ALEKSANDRA</t>
        </is>
      </c>
      <c r="I936" t="inlineStr">
        <is>
          <t>Shift manager/Supervisor</t>
        </is>
      </c>
      <c r="J936" t="inlineStr">
        <is>
          <t>Standard 1,0|40h</t>
        </is>
      </c>
      <c r="K936" t="n">
        <v>8.06</v>
      </c>
      <c r="L936" t="inlineStr">
        <is>
          <t>384</t>
        </is>
      </c>
      <c r="M936" t="inlineStr">
        <is>
          <t>108120 SBX Warszawa Janki</t>
        </is>
      </c>
      <c r="N936" t="inlineStr">
        <is>
          <t>2026-09-11 19:06</t>
        </is>
      </c>
    </row>
    <row r="937">
      <c r="A937" t="n">
        <v>936</v>
      </c>
      <c r="B937" t="inlineStr">
        <is>
          <t>2026-04-28</t>
        </is>
      </c>
      <c r="C937" t="n">
        <v>2026</v>
      </c>
      <c r="D937" t="inlineStr">
        <is>
          <t>Kwiecień</t>
        </is>
      </c>
      <c r="E937" t="inlineStr">
        <is>
          <t>W5</t>
        </is>
      </c>
      <c r="F937" t="inlineStr">
        <is>
          <t>2026_Kwiecień_W5</t>
        </is>
      </c>
      <c r="G937" t="inlineStr">
        <is>
          <t>Wt</t>
        </is>
      </c>
      <c r="H937" t="inlineStr">
        <is>
          <t>PŁUŻYŃSKA, ALEKSANDRA</t>
        </is>
      </c>
      <c r="I937" t="inlineStr">
        <is>
          <t>Shift manager/Supervisor</t>
        </is>
      </c>
      <c r="J937" t="inlineStr">
        <is>
          <t>Standard 1,0|40h</t>
        </is>
      </c>
      <c r="K937" t="n">
        <v>8.960000000000001</v>
      </c>
      <c r="L937" t="inlineStr">
        <is>
          <t>384</t>
        </is>
      </c>
      <c r="M937" t="inlineStr">
        <is>
          <t>108120 SBX Warszawa Janki</t>
        </is>
      </c>
      <c r="N937" t="inlineStr">
        <is>
          <t>2026-09-11 19:06</t>
        </is>
      </c>
    </row>
    <row r="938">
      <c r="A938" t="n">
        <v>937</v>
      </c>
      <c r="B938" t="inlineStr">
        <is>
          <t>2026-04-29</t>
        </is>
      </c>
      <c r="C938" t="n">
        <v>2026</v>
      </c>
      <c r="D938" t="inlineStr">
        <is>
          <t>Kwiecień</t>
        </is>
      </c>
      <c r="E938" t="inlineStr">
        <is>
          <t>W5</t>
        </is>
      </c>
      <c r="F938" t="inlineStr">
        <is>
          <t>2026_Kwiecień_W5</t>
        </is>
      </c>
      <c r="G938" t="inlineStr">
        <is>
          <t>Śr</t>
        </is>
      </c>
      <c r="H938" t="inlineStr">
        <is>
          <t>PŁUŻYŃSKA, ALEKSANDRA</t>
        </is>
      </c>
      <c r="I938" t="inlineStr">
        <is>
          <t>Shift manager/Supervisor</t>
        </is>
      </c>
      <c r="J938" t="inlineStr">
        <is>
          <t>Standard 1,0|40h</t>
        </is>
      </c>
      <c r="K938" t="n">
        <v>8.210000000000001</v>
      </c>
      <c r="L938" t="inlineStr">
        <is>
          <t>384</t>
        </is>
      </c>
      <c r="M938" t="inlineStr">
        <is>
          <t>108120 SBX Warszawa Janki</t>
        </is>
      </c>
      <c r="N938" t="inlineStr">
        <is>
          <t>2026-09-11 19:06</t>
        </is>
      </c>
    </row>
    <row r="939">
      <c r="A939" t="n">
        <v>938</v>
      </c>
      <c r="B939" t="inlineStr">
        <is>
          <t>2026-05-01</t>
        </is>
      </c>
      <c r="C939" t="n">
        <v>2026</v>
      </c>
      <c r="D939" t="inlineStr">
        <is>
          <t>Maj</t>
        </is>
      </c>
      <c r="E939" t="inlineStr">
        <is>
          <t>W1</t>
        </is>
      </c>
      <c r="F939" t="inlineStr">
        <is>
          <t>2026_Maj_W1</t>
        </is>
      </c>
      <c r="G939" t="inlineStr">
        <is>
          <t>Pt</t>
        </is>
      </c>
      <c r="H939" t="inlineStr">
        <is>
          <t>PŁUŻYŃSKA, ALEKSANDRA</t>
        </is>
      </c>
      <c r="I939" t="inlineStr">
        <is>
          <t>Shift manager/Supervisor</t>
        </is>
      </c>
      <c r="J939" t="inlineStr">
        <is>
          <t>Standard 1,0|40h</t>
        </is>
      </c>
      <c r="K939" t="n">
        <v>8.06</v>
      </c>
      <c r="L939" t="inlineStr">
        <is>
          <t>384</t>
        </is>
      </c>
      <c r="M939" t="inlineStr">
        <is>
          <t>108120 SBX Warszawa Janki</t>
        </is>
      </c>
      <c r="N939" t="inlineStr">
        <is>
          <t>2026-09-11 19:06</t>
        </is>
      </c>
    </row>
    <row r="940">
      <c r="A940" t="n">
        <v>939</v>
      </c>
      <c r="B940" t="inlineStr">
        <is>
          <t>2026-05-05</t>
        </is>
      </c>
      <c r="C940" t="n">
        <v>2026</v>
      </c>
      <c r="D940" t="inlineStr">
        <is>
          <t>Maj</t>
        </is>
      </c>
      <c r="E940" t="inlineStr">
        <is>
          <t>W2</t>
        </is>
      </c>
      <c r="F940" t="inlineStr">
        <is>
          <t>2026_Maj_W2</t>
        </is>
      </c>
      <c r="G940" t="inlineStr">
        <is>
          <t>Wt</t>
        </is>
      </c>
      <c r="H940" t="inlineStr">
        <is>
          <t>PŁUŻYŃSKA, ALEKSANDRA</t>
        </is>
      </c>
      <c r="I940" t="inlineStr">
        <is>
          <t>Shift manager/Supervisor</t>
        </is>
      </c>
      <c r="J940" t="inlineStr">
        <is>
          <t>Standard 1,0|40h</t>
        </is>
      </c>
      <c r="K940" t="n">
        <v>8.130000000000001</v>
      </c>
      <c r="L940" t="inlineStr">
        <is>
          <t>384</t>
        </is>
      </c>
      <c r="M940" t="inlineStr">
        <is>
          <t>108120 SBX Warszawa Janki</t>
        </is>
      </c>
      <c r="N940" t="inlineStr">
        <is>
          <t>2026-09-11 19:06</t>
        </is>
      </c>
    </row>
    <row r="941">
      <c r="A941" t="n">
        <v>940</v>
      </c>
      <c r="B941" t="inlineStr">
        <is>
          <t>2026-05-06</t>
        </is>
      </c>
      <c r="C941" t="n">
        <v>2026</v>
      </c>
      <c r="D941" t="inlineStr">
        <is>
          <t>Maj</t>
        </is>
      </c>
      <c r="E941" t="inlineStr">
        <is>
          <t>W2</t>
        </is>
      </c>
      <c r="F941" t="inlineStr">
        <is>
          <t>2026_Maj_W2</t>
        </is>
      </c>
      <c r="G941" t="inlineStr">
        <is>
          <t>Śr</t>
        </is>
      </c>
      <c r="H941" t="inlineStr">
        <is>
          <t>PŁUŻYŃSKA, ALEKSANDRA</t>
        </is>
      </c>
      <c r="I941" t="inlineStr">
        <is>
          <t>Shift manager/Supervisor</t>
        </is>
      </c>
      <c r="J941" t="inlineStr">
        <is>
          <t>Standard 1,0|40h</t>
        </is>
      </c>
      <c r="K941" t="n">
        <v>8.06</v>
      </c>
      <c r="L941" t="inlineStr">
        <is>
          <t>384</t>
        </is>
      </c>
      <c r="M941" t="inlineStr">
        <is>
          <t>108120 SBX Warszawa Janki</t>
        </is>
      </c>
      <c r="N941" t="inlineStr">
        <is>
          <t>2026-09-11 19:06</t>
        </is>
      </c>
    </row>
    <row r="942">
      <c r="A942" t="n">
        <v>941</v>
      </c>
      <c r="B942" t="inlineStr">
        <is>
          <t>2026-05-07</t>
        </is>
      </c>
      <c r="C942" t="n">
        <v>2026</v>
      </c>
      <c r="D942" t="inlineStr">
        <is>
          <t>Maj</t>
        </is>
      </c>
      <c r="E942" t="inlineStr">
        <is>
          <t>W2</t>
        </is>
      </c>
      <c r="F942" t="inlineStr">
        <is>
          <t>2026_Maj_W2</t>
        </is>
      </c>
      <c r="G942" t="inlineStr">
        <is>
          <t>Czw</t>
        </is>
      </c>
      <c r="H942" t="inlineStr">
        <is>
          <t>PŁUŻYŃSKA, ALEKSANDRA</t>
        </is>
      </c>
      <c r="I942" t="inlineStr">
        <is>
          <t>Shift manager/Supervisor</t>
        </is>
      </c>
      <c r="J942" t="inlineStr">
        <is>
          <t>Standard 1,0|40h</t>
        </is>
      </c>
      <c r="K942" t="n">
        <v>8.42</v>
      </c>
      <c r="L942" t="inlineStr">
        <is>
          <t>384</t>
        </is>
      </c>
      <c r="M942" t="inlineStr">
        <is>
          <t>108120 SBX Warszawa Janki</t>
        </is>
      </c>
      <c r="N942" t="inlineStr">
        <is>
          <t>2026-09-11 19:06</t>
        </is>
      </c>
    </row>
    <row r="943">
      <c r="A943" t="n">
        <v>942</v>
      </c>
      <c r="B943" t="inlineStr">
        <is>
          <t>2026-05-08</t>
        </is>
      </c>
      <c r="C943" t="n">
        <v>2026</v>
      </c>
      <c r="D943" t="inlineStr">
        <is>
          <t>Maj</t>
        </is>
      </c>
      <c r="E943" t="inlineStr">
        <is>
          <t>W2</t>
        </is>
      </c>
      <c r="F943" t="inlineStr">
        <is>
          <t>2026_Maj_W2</t>
        </is>
      </c>
      <c r="G943" t="inlineStr">
        <is>
          <t>Pt</t>
        </is>
      </c>
      <c r="H943" t="inlineStr">
        <is>
          <t>PŁUŻYŃSKA, ALEKSANDRA</t>
        </is>
      </c>
      <c r="I943" t="inlineStr">
        <is>
          <t>Shift manager/Supervisor</t>
        </is>
      </c>
      <c r="J943" t="inlineStr">
        <is>
          <t>Standard 1,0|40h</t>
        </is>
      </c>
      <c r="K943" t="n">
        <v>4.2</v>
      </c>
      <c r="L943" t="inlineStr">
        <is>
          <t>384</t>
        </is>
      </c>
      <c r="M943" t="inlineStr">
        <is>
          <t>108120 SBX Warszawa Janki</t>
        </is>
      </c>
      <c r="N943" t="inlineStr">
        <is>
          <t>2026-09-11 19:06</t>
        </is>
      </c>
    </row>
    <row r="944">
      <c r="A944" t="n">
        <v>943</v>
      </c>
      <c r="B944" t="inlineStr">
        <is>
          <t>2026-05-11</t>
        </is>
      </c>
      <c r="C944" t="n">
        <v>2026</v>
      </c>
      <c r="D944" t="inlineStr">
        <is>
          <t>Maj</t>
        </is>
      </c>
      <c r="E944" t="inlineStr">
        <is>
          <t>W2</t>
        </is>
      </c>
      <c r="F944" t="inlineStr">
        <is>
          <t>2026_Maj_W2</t>
        </is>
      </c>
      <c r="G944" t="inlineStr">
        <is>
          <t>Pn</t>
        </is>
      </c>
      <c r="H944" t="inlineStr">
        <is>
          <t>PŁUŻYŃSKA, ALEKSANDRA</t>
        </is>
      </c>
      <c r="I944" t="inlineStr">
        <is>
          <t>Shift manager/Supervisor</t>
        </is>
      </c>
      <c r="J944" t="inlineStr">
        <is>
          <t>Standard 1,0|40h</t>
        </is>
      </c>
      <c r="K944" t="n">
        <v>8.06</v>
      </c>
      <c r="L944" t="inlineStr">
        <is>
          <t>384</t>
        </is>
      </c>
      <c r="M944" t="inlineStr">
        <is>
          <t>108120 SBX Warszawa Janki</t>
        </is>
      </c>
      <c r="N944" t="inlineStr">
        <is>
          <t>2026-09-11 19:06</t>
        </is>
      </c>
    </row>
    <row r="945">
      <c r="A945" t="n">
        <v>944</v>
      </c>
      <c r="B945" t="inlineStr">
        <is>
          <t>2026-05-12</t>
        </is>
      </c>
      <c r="C945" t="n">
        <v>2026</v>
      </c>
      <c r="D945" t="inlineStr">
        <is>
          <t>Maj</t>
        </is>
      </c>
      <c r="E945" t="inlineStr">
        <is>
          <t>W3</t>
        </is>
      </c>
      <c r="F945" t="inlineStr">
        <is>
          <t>2026_Maj_W3</t>
        </is>
      </c>
      <c r="G945" t="inlineStr">
        <is>
          <t>Wt</t>
        </is>
      </c>
      <c r="H945" t="inlineStr">
        <is>
          <t>PŁUŻYŃSKA, ALEKSANDRA</t>
        </is>
      </c>
      <c r="I945" t="inlineStr">
        <is>
          <t>Shift manager/Supervisor</t>
        </is>
      </c>
      <c r="J945" t="inlineStr">
        <is>
          <t>Standard 1,0|40h</t>
        </is>
      </c>
      <c r="K945" t="n">
        <v>8.56</v>
      </c>
      <c r="L945" t="inlineStr">
        <is>
          <t>384</t>
        </is>
      </c>
      <c r="M945" t="inlineStr">
        <is>
          <t>108120 SBX Warszawa Janki</t>
        </is>
      </c>
      <c r="N945" t="inlineStr">
        <is>
          <t>2026-09-11 19:06</t>
        </is>
      </c>
    </row>
    <row r="946">
      <c r="A946" t="n">
        <v>945</v>
      </c>
      <c r="B946" t="inlineStr">
        <is>
          <t>2026-05-14</t>
        </is>
      </c>
      <c r="C946" t="n">
        <v>2026</v>
      </c>
      <c r="D946" t="inlineStr">
        <is>
          <t>Maj</t>
        </is>
      </c>
      <c r="E946" t="inlineStr">
        <is>
          <t>W3</t>
        </is>
      </c>
      <c r="F946" t="inlineStr">
        <is>
          <t>2026_Maj_W3</t>
        </is>
      </c>
      <c r="G946" t="inlineStr">
        <is>
          <t>Czw</t>
        </is>
      </c>
      <c r="H946" t="inlineStr">
        <is>
          <t>PŁUŻYŃSKA, ALEKSANDRA</t>
        </is>
      </c>
      <c r="I946" t="inlineStr">
        <is>
          <t>Shift manager/Supervisor</t>
        </is>
      </c>
      <c r="J946" t="inlineStr">
        <is>
          <t>Standard 1,0|40h</t>
        </is>
      </c>
      <c r="K946" t="n">
        <v>6.96</v>
      </c>
      <c r="L946" t="inlineStr">
        <is>
          <t>384</t>
        </is>
      </c>
      <c r="M946" t="inlineStr">
        <is>
          <t>108120 SBX Warszawa Janki</t>
        </is>
      </c>
      <c r="N946" t="inlineStr">
        <is>
          <t>2026-09-11 19:06</t>
        </is>
      </c>
    </row>
    <row r="947">
      <c r="A947" t="n">
        <v>946</v>
      </c>
      <c r="B947" t="inlineStr">
        <is>
          <t>2026-05-15</t>
        </is>
      </c>
      <c r="C947" t="n">
        <v>2026</v>
      </c>
      <c r="D947" t="inlineStr">
        <is>
          <t>Maj</t>
        </is>
      </c>
      <c r="E947" t="inlineStr">
        <is>
          <t>W3</t>
        </is>
      </c>
      <c r="F947" t="inlineStr">
        <is>
          <t>2026_Maj_W3</t>
        </is>
      </c>
      <c r="G947" t="inlineStr">
        <is>
          <t>Pt</t>
        </is>
      </c>
      <c r="H947" t="inlineStr">
        <is>
          <t>PŁUŻYŃSKA, ALEKSANDRA</t>
        </is>
      </c>
      <c r="I947" t="inlineStr">
        <is>
          <t>Shift manager/Supervisor</t>
        </is>
      </c>
      <c r="J947" t="inlineStr">
        <is>
          <t>Standard 1,0|40h</t>
        </is>
      </c>
      <c r="K947" t="n">
        <v>8.23</v>
      </c>
      <c r="L947" t="inlineStr">
        <is>
          <t>384</t>
        </is>
      </c>
      <c r="M947" t="inlineStr">
        <is>
          <t>108120 SBX Warszawa Janki</t>
        </is>
      </c>
      <c r="N947" t="inlineStr">
        <is>
          <t>2026-09-11 19:06</t>
        </is>
      </c>
    </row>
    <row r="948">
      <c r="A948" t="n">
        <v>947</v>
      </c>
      <c r="B948" t="inlineStr">
        <is>
          <t>2026-05-16</t>
        </is>
      </c>
      <c r="C948" t="n">
        <v>2026</v>
      </c>
      <c r="D948" t="inlineStr">
        <is>
          <t>Maj</t>
        </is>
      </c>
      <c r="E948" t="inlineStr">
        <is>
          <t>W3</t>
        </is>
      </c>
      <c r="F948" t="inlineStr">
        <is>
          <t>2026_Maj_W3</t>
        </is>
      </c>
      <c r="G948" t="inlineStr">
        <is>
          <t>Sob</t>
        </is>
      </c>
      <c r="H948" t="inlineStr">
        <is>
          <t>PŁUŻYŃSKA, ALEKSANDRA</t>
        </is>
      </c>
      <c r="I948" t="inlineStr">
        <is>
          <t>Shift manager/Supervisor</t>
        </is>
      </c>
      <c r="J948" t="inlineStr">
        <is>
          <t>Standard 1,0|40h</t>
        </is>
      </c>
      <c r="K948" t="n">
        <v>7.96</v>
      </c>
      <c r="L948" t="inlineStr">
        <is>
          <t>384</t>
        </is>
      </c>
      <c r="M948" t="inlineStr">
        <is>
          <t>108120 SBX Warszawa Janki</t>
        </is>
      </c>
      <c r="N948" t="inlineStr">
        <is>
          <t>2026-09-11 19:06</t>
        </is>
      </c>
    </row>
    <row r="949">
      <c r="A949" t="n">
        <v>948</v>
      </c>
      <c r="B949" t="inlineStr">
        <is>
          <t>2026-05-17</t>
        </is>
      </c>
      <c r="C949" t="n">
        <v>2026</v>
      </c>
      <c r="D949" t="inlineStr">
        <is>
          <t>Maj</t>
        </is>
      </c>
      <c r="E949" t="inlineStr">
        <is>
          <t>W3</t>
        </is>
      </c>
      <c r="F949" t="inlineStr">
        <is>
          <t>2026_Maj_W3</t>
        </is>
      </c>
      <c r="G949" t="inlineStr">
        <is>
          <t>Nd</t>
        </is>
      </c>
      <c r="H949" t="inlineStr">
        <is>
          <t>PŁUŻYŃSKA, ALEKSANDRA</t>
        </is>
      </c>
      <c r="I949" t="inlineStr">
        <is>
          <t>Shift manager/Supervisor</t>
        </is>
      </c>
      <c r="J949" t="inlineStr">
        <is>
          <t>Standard 1,0|40h</t>
        </is>
      </c>
      <c r="K949" t="n">
        <v>6.92</v>
      </c>
      <c r="L949" t="inlineStr">
        <is>
          <t>384</t>
        </is>
      </c>
      <c r="M949" t="inlineStr">
        <is>
          <t>108120 SBX Warszawa Janki</t>
        </is>
      </c>
      <c r="N949" t="inlineStr">
        <is>
          <t>2026-09-11 19:06</t>
        </is>
      </c>
    </row>
    <row r="950">
      <c r="A950" t="n">
        <v>949</v>
      </c>
      <c r="B950" t="inlineStr">
        <is>
          <t>2026-05-19</t>
        </is>
      </c>
      <c r="C950" t="n">
        <v>2026</v>
      </c>
      <c r="D950" t="inlineStr">
        <is>
          <t>Maj</t>
        </is>
      </c>
      <c r="E950" t="inlineStr">
        <is>
          <t>W4</t>
        </is>
      </c>
      <c r="F950" t="inlineStr">
        <is>
          <t>2026_Maj_W4</t>
        </is>
      </c>
      <c r="G950" t="inlineStr">
        <is>
          <t>Wt</t>
        </is>
      </c>
      <c r="H950" t="inlineStr">
        <is>
          <t>PŁUŻYŃSKA, ALEKSANDRA</t>
        </is>
      </c>
      <c r="I950" t="inlineStr">
        <is>
          <t>Shift manager/Supervisor</t>
        </is>
      </c>
      <c r="J950" t="inlineStr">
        <is>
          <t>Standard 1,0|40h</t>
        </is>
      </c>
      <c r="K950" t="n">
        <v>8.1</v>
      </c>
      <c r="L950" t="inlineStr">
        <is>
          <t>384</t>
        </is>
      </c>
      <c r="M950" t="inlineStr">
        <is>
          <t>108120 SBX Warszawa Janki</t>
        </is>
      </c>
      <c r="N950" t="inlineStr">
        <is>
          <t>2026-09-11 19:06</t>
        </is>
      </c>
    </row>
    <row r="951">
      <c r="A951" t="n">
        <v>950</v>
      </c>
      <c r="B951" t="inlineStr">
        <is>
          <t>2026-05-20</t>
        </is>
      </c>
      <c r="C951" t="n">
        <v>2026</v>
      </c>
      <c r="D951" t="inlineStr">
        <is>
          <t>Maj</t>
        </is>
      </c>
      <c r="E951" t="inlineStr">
        <is>
          <t>W4</t>
        </is>
      </c>
      <c r="F951" t="inlineStr">
        <is>
          <t>2026_Maj_W4</t>
        </is>
      </c>
      <c r="G951" t="inlineStr">
        <is>
          <t>Śr</t>
        </is>
      </c>
      <c r="H951" t="inlineStr">
        <is>
          <t>PŁUŻYŃSKA, ALEKSANDRA</t>
        </is>
      </c>
      <c r="I951" t="inlineStr">
        <is>
          <t>Shift manager/Supervisor</t>
        </is>
      </c>
      <c r="J951" t="inlineStr">
        <is>
          <t>Standard 1,0|40h</t>
        </is>
      </c>
      <c r="K951" t="n">
        <v>7.97</v>
      </c>
      <c r="L951" t="inlineStr">
        <is>
          <t>384</t>
        </is>
      </c>
      <c r="M951" t="inlineStr">
        <is>
          <t>108120 SBX Warszawa Janki</t>
        </is>
      </c>
      <c r="N951" t="inlineStr">
        <is>
          <t>2026-09-11 19:06</t>
        </is>
      </c>
    </row>
    <row r="952">
      <c r="A952" t="n">
        <v>951</v>
      </c>
      <c r="B952" t="inlineStr">
        <is>
          <t>2026-05-22</t>
        </is>
      </c>
      <c r="C952" t="n">
        <v>2026</v>
      </c>
      <c r="D952" t="inlineStr">
        <is>
          <t>Maj</t>
        </is>
      </c>
      <c r="E952" t="inlineStr">
        <is>
          <t>W4</t>
        </is>
      </c>
      <c r="F952" t="inlineStr">
        <is>
          <t>2026_Maj_W4</t>
        </is>
      </c>
      <c r="G952" t="inlineStr">
        <is>
          <t>Pt</t>
        </is>
      </c>
      <c r="H952" t="inlineStr">
        <is>
          <t>PŁUŻYŃSKA, ALEKSANDRA</t>
        </is>
      </c>
      <c r="I952" t="inlineStr">
        <is>
          <t>Shift manager/Supervisor</t>
        </is>
      </c>
      <c r="J952" t="inlineStr">
        <is>
          <t>Standard 1,0|40h</t>
        </is>
      </c>
      <c r="K952" t="n">
        <v>8.199999999999999</v>
      </c>
      <c r="L952" t="inlineStr">
        <is>
          <t>384</t>
        </is>
      </c>
      <c r="M952" t="inlineStr">
        <is>
          <t>108120 SBX Warszawa Janki</t>
        </is>
      </c>
      <c r="N952" t="inlineStr">
        <is>
          <t>2026-09-11 19:06</t>
        </is>
      </c>
    </row>
    <row r="953">
      <c r="A953" t="n">
        <v>952</v>
      </c>
      <c r="B953" t="inlineStr">
        <is>
          <t>2026-05-23</t>
        </is>
      </c>
      <c r="C953" t="n">
        <v>2026</v>
      </c>
      <c r="D953" t="inlineStr">
        <is>
          <t>Maj</t>
        </is>
      </c>
      <c r="E953" t="inlineStr">
        <is>
          <t>W4</t>
        </is>
      </c>
      <c r="F953" t="inlineStr">
        <is>
          <t>2026_Maj_W4</t>
        </is>
      </c>
      <c r="G953" t="inlineStr">
        <is>
          <t>Sob</t>
        </is>
      </c>
      <c r="H953" t="inlineStr">
        <is>
          <t>PŁUŻYŃSKA, ALEKSANDRA</t>
        </is>
      </c>
      <c r="I953" t="inlineStr">
        <is>
          <t>Shift manager/Supervisor</t>
        </is>
      </c>
      <c r="J953" t="inlineStr">
        <is>
          <t>Standard 1,0|40h</t>
        </is>
      </c>
      <c r="K953" t="n">
        <v>9.56</v>
      </c>
      <c r="L953" t="inlineStr">
        <is>
          <t>384</t>
        </is>
      </c>
      <c r="M953" t="inlineStr">
        <is>
          <t>108120 SBX Warszawa Janki</t>
        </is>
      </c>
      <c r="N953" t="inlineStr">
        <is>
          <t>2026-09-11 19:06</t>
        </is>
      </c>
    </row>
    <row r="954">
      <c r="A954" t="n">
        <v>953</v>
      </c>
      <c r="B954" t="inlineStr">
        <is>
          <t>2026-05-24</t>
        </is>
      </c>
      <c r="C954" t="n">
        <v>2026</v>
      </c>
      <c r="D954" t="inlineStr">
        <is>
          <t>Maj</t>
        </is>
      </c>
      <c r="E954" t="inlineStr">
        <is>
          <t>W4</t>
        </is>
      </c>
      <c r="F954" t="inlineStr">
        <is>
          <t>2026_Maj_W4</t>
        </is>
      </c>
      <c r="G954" t="inlineStr">
        <is>
          <t>Nd</t>
        </is>
      </c>
      <c r="H954" t="inlineStr">
        <is>
          <t>PŁUŻYŃSKA, ALEKSANDRA</t>
        </is>
      </c>
      <c r="I954" t="inlineStr">
        <is>
          <t>Shift manager/Supervisor</t>
        </is>
      </c>
      <c r="J954" t="inlineStr">
        <is>
          <t>Standard 1,0|40h</t>
        </is>
      </c>
      <c r="K954" t="n">
        <v>5.73</v>
      </c>
      <c r="L954" t="inlineStr">
        <is>
          <t>384</t>
        </is>
      </c>
      <c r="M954" t="inlineStr">
        <is>
          <t>108120 SBX Warszawa Janki</t>
        </is>
      </c>
      <c r="N954" t="inlineStr">
        <is>
          <t>2026-09-11 19:06</t>
        </is>
      </c>
    </row>
    <row r="955">
      <c r="A955" t="n">
        <v>954</v>
      </c>
      <c r="B955" t="inlineStr">
        <is>
          <t>2026-05-25</t>
        </is>
      </c>
      <c r="C955" t="n">
        <v>2026</v>
      </c>
      <c r="D955" t="inlineStr">
        <is>
          <t>Maj</t>
        </is>
      </c>
      <c r="E955" t="inlineStr">
        <is>
          <t>W4</t>
        </is>
      </c>
      <c r="F955" t="inlineStr">
        <is>
          <t>2026_Maj_W4</t>
        </is>
      </c>
      <c r="G955" t="inlineStr">
        <is>
          <t>Pn</t>
        </is>
      </c>
      <c r="H955" t="inlineStr">
        <is>
          <t>PŁUŻYŃSKA, ALEKSANDRA</t>
        </is>
      </c>
      <c r="I955" t="inlineStr">
        <is>
          <t>Shift manager/Supervisor</t>
        </is>
      </c>
      <c r="J955" t="inlineStr">
        <is>
          <t>Standard 1,0|40h</t>
        </is>
      </c>
      <c r="K955" t="n">
        <v>8.539999999999999</v>
      </c>
      <c r="L955" t="inlineStr">
        <is>
          <t>384</t>
        </is>
      </c>
      <c r="M955" t="inlineStr">
        <is>
          <t>108120 SBX Warszawa Janki</t>
        </is>
      </c>
      <c r="N955" t="inlineStr">
        <is>
          <t>2026-09-11 19:06</t>
        </is>
      </c>
    </row>
    <row r="956">
      <c r="A956" t="n">
        <v>955</v>
      </c>
      <c r="B956" t="inlineStr">
        <is>
          <t>2026-05-27</t>
        </is>
      </c>
      <c r="C956" t="n">
        <v>2026</v>
      </c>
      <c r="D956" t="inlineStr">
        <is>
          <t>Maj</t>
        </is>
      </c>
      <c r="E956" t="inlineStr">
        <is>
          <t>W5</t>
        </is>
      </c>
      <c r="F956" t="inlineStr">
        <is>
          <t>2026_Maj_W5</t>
        </is>
      </c>
      <c r="G956" t="inlineStr">
        <is>
          <t>Śr</t>
        </is>
      </c>
      <c r="H956" t="inlineStr">
        <is>
          <t>PŁUŻYŃSKA, ALEKSANDRA</t>
        </is>
      </c>
      <c r="I956" t="inlineStr">
        <is>
          <t>Shift manager/Supervisor</t>
        </is>
      </c>
      <c r="J956" t="inlineStr">
        <is>
          <t>Standard 1,0|40h</t>
        </is>
      </c>
      <c r="K956" t="n">
        <v>8.24</v>
      </c>
      <c r="L956" t="inlineStr">
        <is>
          <t>384</t>
        </is>
      </c>
      <c r="M956" t="inlineStr">
        <is>
          <t>108120 SBX Warszawa Janki</t>
        </is>
      </c>
      <c r="N956" t="inlineStr">
        <is>
          <t>2026-09-11 19:06</t>
        </is>
      </c>
    </row>
    <row r="957">
      <c r="A957" t="n">
        <v>956</v>
      </c>
      <c r="B957" t="inlineStr">
        <is>
          <t>2026-05-28</t>
        </is>
      </c>
      <c r="C957" t="n">
        <v>2026</v>
      </c>
      <c r="D957" t="inlineStr">
        <is>
          <t>Maj</t>
        </is>
      </c>
      <c r="E957" t="inlineStr">
        <is>
          <t>W5</t>
        </is>
      </c>
      <c r="F957" t="inlineStr">
        <is>
          <t>2026_Maj_W5</t>
        </is>
      </c>
      <c r="G957" t="inlineStr">
        <is>
          <t>Czw</t>
        </is>
      </c>
      <c r="H957" t="inlineStr">
        <is>
          <t>PŁUŻYŃSKA, ALEKSANDRA</t>
        </is>
      </c>
      <c r="I957" t="inlineStr">
        <is>
          <t>Shift manager/Supervisor</t>
        </is>
      </c>
      <c r="J957" t="inlineStr">
        <is>
          <t>Standard 1,0|40h</t>
        </is>
      </c>
      <c r="K957" t="n">
        <v>8.470000000000001</v>
      </c>
      <c r="L957" t="inlineStr">
        <is>
          <t>384</t>
        </is>
      </c>
      <c r="M957" t="inlineStr">
        <is>
          <t>108120 SBX Warszawa Janki</t>
        </is>
      </c>
      <c r="N957" t="inlineStr">
        <is>
          <t>2026-09-11 19:06</t>
        </is>
      </c>
    </row>
    <row r="958">
      <c r="A958" t="n">
        <v>957</v>
      </c>
      <c r="B958" t="inlineStr">
        <is>
          <t>2026-05-29</t>
        </is>
      </c>
      <c r="C958" t="n">
        <v>2026</v>
      </c>
      <c r="D958" t="inlineStr">
        <is>
          <t>Maj</t>
        </is>
      </c>
      <c r="E958" t="inlineStr">
        <is>
          <t>W5</t>
        </is>
      </c>
      <c r="F958" t="inlineStr">
        <is>
          <t>2026_Maj_W5</t>
        </is>
      </c>
      <c r="G958" t="inlineStr">
        <is>
          <t>Pt</t>
        </is>
      </c>
      <c r="H958" t="inlineStr">
        <is>
          <t>PŁUŻYŃSKA, ALEKSANDRA</t>
        </is>
      </c>
      <c r="I958" t="inlineStr">
        <is>
          <t>Shift manager/Supervisor</t>
        </is>
      </c>
      <c r="J958" t="inlineStr">
        <is>
          <t>Standard 1,0|40h</t>
        </is>
      </c>
      <c r="K958" t="n">
        <v>8.67</v>
      </c>
      <c r="L958" t="inlineStr">
        <is>
          <t>384</t>
        </is>
      </c>
      <c r="M958" t="inlineStr">
        <is>
          <t>108120 SBX Warszawa Janki</t>
        </is>
      </c>
      <c r="N958" t="inlineStr">
        <is>
          <t>2026-09-11 19:06</t>
        </is>
      </c>
    </row>
    <row r="959">
      <c r="A959" t="n">
        <v>958</v>
      </c>
      <c r="B959" t="inlineStr">
        <is>
          <t>2026-06-06</t>
        </is>
      </c>
      <c r="C959" t="n">
        <v>2026</v>
      </c>
      <c r="D959" t="inlineStr">
        <is>
          <t>Czerwiec</t>
        </is>
      </c>
      <c r="E959" t="inlineStr">
        <is>
          <t>W2</t>
        </is>
      </c>
      <c r="F959" t="inlineStr">
        <is>
          <t>2026_Czerwiec_W2</t>
        </is>
      </c>
      <c r="G959" t="inlineStr">
        <is>
          <t>Sob</t>
        </is>
      </c>
      <c r="H959" t="inlineStr">
        <is>
          <t>PŁUŻYŃSKA, ALEKSANDRA</t>
        </is>
      </c>
      <c r="I959" t="inlineStr">
        <is>
          <t>Shift manager/Supervisor</t>
        </is>
      </c>
      <c r="J959" t="inlineStr">
        <is>
          <t>Standard 0,5|20h</t>
        </is>
      </c>
      <c r="K959" t="n">
        <v>7.72</v>
      </c>
      <c r="L959" t="inlineStr">
        <is>
          <t>384</t>
        </is>
      </c>
      <c r="M959" t="inlineStr">
        <is>
          <t>108120 SBX Warszawa Janki</t>
        </is>
      </c>
      <c r="N959" t="inlineStr">
        <is>
          <t>2026-09-11 19:06</t>
        </is>
      </c>
    </row>
    <row r="960">
      <c r="A960" t="n">
        <v>959</v>
      </c>
      <c r="B960" t="inlineStr">
        <is>
          <t>2026-06-23</t>
        </is>
      </c>
      <c r="C960" t="n">
        <v>2026</v>
      </c>
      <c r="D960" t="inlineStr">
        <is>
          <t>Czerwiec</t>
        </is>
      </c>
      <c r="E960" t="inlineStr">
        <is>
          <t>W5</t>
        </is>
      </c>
      <c r="F960" t="inlineStr">
        <is>
          <t>2026_Czerwiec_W5</t>
        </is>
      </c>
      <c r="G960" t="inlineStr">
        <is>
          <t>Wt</t>
        </is>
      </c>
      <c r="H960" t="inlineStr">
        <is>
          <t>PŁUŻYŃSKA, ALEKSANDRA</t>
        </is>
      </c>
      <c r="I960" t="inlineStr">
        <is>
          <t>Shift manager/Supervisor</t>
        </is>
      </c>
      <c r="J960" t="inlineStr">
        <is>
          <t>Standard 0,5|20h</t>
        </is>
      </c>
      <c r="K960" t="n">
        <v>8.24</v>
      </c>
      <c r="L960" t="inlineStr">
        <is>
          <t>384</t>
        </is>
      </c>
      <c r="M960" t="inlineStr">
        <is>
          <t>108120 SBX Warszawa Janki</t>
        </is>
      </c>
      <c r="N960" t="inlineStr">
        <is>
          <t>2026-09-11 19:06</t>
        </is>
      </c>
    </row>
    <row r="961">
      <c r="A961" t="n">
        <v>960</v>
      </c>
      <c r="B961" t="inlineStr">
        <is>
          <t>2026-06-26</t>
        </is>
      </c>
      <c r="C961" t="n">
        <v>2026</v>
      </c>
      <c r="D961" t="inlineStr">
        <is>
          <t>Czerwiec</t>
        </is>
      </c>
      <c r="E961" t="inlineStr">
        <is>
          <t>W5</t>
        </is>
      </c>
      <c r="F961" t="inlineStr">
        <is>
          <t>2026_Czerwiec_W5</t>
        </is>
      </c>
      <c r="G961" t="inlineStr">
        <is>
          <t>Pt</t>
        </is>
      </c>
      <c r="H961" t="inlineStr">
        <is>
          <t>PŁUŻYŃSKA, ALEKSANDRA</t>
        </is>
      </c>
      <c r="I961" t="inlineStr">
        <is>
          <t>Shift manager/Supervisor</t>
        </is>
      </c>
      <c r="J961" t="inlineStr">
        <is>
          <t>Standard 0,5|20h</t>
        </is>
      </c>
      <c r="K961" t="n">
        <v>8.08</v>
      </c>
      <c r="L961" t="inlineStr">
        <is>
          <t>384</t>
        </is>
      </c>
      <c r="M961" t="inlineStr">
        <is>
          <t>108120 SBX Warszawa Janki</t>
        </is>
      </c>
      <c r="N961" t="inlineStr">
        <is>
          <t>2026-09-11 19:06</t>
        </is>
      </c>
    </row>
    <row r="962">
      <c r="A962" t="n">
        <v>961</v>
      </c>
      <c r="B962" t="inlineStr">
        <is>
          <t>2026-06-27</t>
        </is>
      </c>
      <c r="C962" t="n">
        <v>2026</v>
      </c>
      <c r="D962" t="inlineStr">
        <is>
          <t>Czerwiec</t>
        </is>
      </c>
      <c r="E962" t="inlineStr">
        <is>
          <t>W5</t>
        </is>
      </c>
      <c r="F962" t="inlineStr">
        <is>
          <t>2026_Czerwiec_W5</t>
        </is>
      </c>
      <c r="G962" t="inlineStr">
        <is>
          <t>Sob</t>
        </is>
      </c>
      <c r="H962" t="inlineStr">
        <is>
          <t>PŁUŻYŃSKA, ALEKSANDRA</t>
        </is>
      </c>
      <c r="I962" t="inlineStr">
        <is>
          <t>Shift manager/Supervisor</t>
        </is>
      </c>
      <c r="J962" t="inlineStr">
        <is>
          <t>Standard 0,5|20h</t>
        </is>
      </c>
      <c r="K962" t="n">
        <v>8</v>
      </c>
      <c r="L962" t="inlineStr">
        <is>
          <t>384</t>
        </is>
      </c>
      <c r="M962" t="inlineStr">
        <is>
          <t>108120 SBX Warszawa Janki</t>
        </is>
      </c>
      <c r="N962" t="inlineStr">
        <is>
          <t>2026-09-11 19:06</t>
        </is>
      </c>
    </row>
    <row r="963">
      <c r="A963" t="n">
        <v>962</v>
      </c>
      <c r="B963" t="inlineStr">
        <is>
          <t>2026-06-28</t>
        </is>
      </c>
      <c r="C963" t="n">
        <v>2026</v>
      </c>
      <c r="D963" t="inlineStr">
        <is>
          <t>Czerwiec</t>
        </is>
      </c>
      <c r="E963" t="inlineStr">
        <is>
          <t>W5</t>
        </is>
      </c>
      <c r="F963" t="inlineStr">
        <is>
          <t>2026_Czerwiec_W5</t>
        </is>
      </c>
      <c r="G963" t="inlineStr">
        <is>
          <t>Nd</t>
        </is>
      </c>
      <c r="H963" t="inlineStr">
        <is>
          <t>PŁUŻYŃSKA, ALEKSANDRA</t>
        </is>
      </c>
      <c r="I963" t="inlineStr">
        <is>
          <t>Shift manager/Supervisor</t>
        </is>
      </c>
      <c r="J963" t="inlineStr">
        <is>
          <t>Standard 0,5|20h</t>
        </is>
      </c>
      <c r="K963" t="n">
        <v>8.970000000000001</v>
      </c>
      <c r="L963" t="inlineStr">
        <is>
          <t>384</t>
        </is>
      </c>
      <c r="M963" t="inlineStr">
        <is>
          <t>108120 SBX Warszawa Janki</t>
        </is>
      </c>
      <c r="N963" t="inlineStr">
        <is>
          <t>2026-09-11 19:06</t>
        </is>
      </c>
    </row>
    <row r="964">
      <c r="A964" t="n">
        <v>963</v>
      </c>
      <c r="B964" t="inlineStr">
        <is>
          <t>2026-06-29</t>
        </is>
      </c>
      <c r="C964" t="n">
        <v>2026</v>
      </c>
      <c r="D964" t="inlineStr">
        <is>
          <t>Czerwiec</t>
        </is>
      </c>
      <c r="E964" t="inlineStr">
        <is>
          <t>W5</t>
        </is>
      </c>
      <c r="F964" t="inlineStr">
        <is>
          <t>2026_Czerwiec_W5</t>
        </is>
      </c>
      <c r="G964" t="inlineStr">
        <is>
          <t>Pn</t>
        </is>
      </c>
      <c r="H964" t="inlineStr">
        <is>
          <t>PŁUŻYŃSKA, ALEKSANDRA</t>
        </is>
      </c>
      <c r="I964" t="inlineStr">
        <is>
          <t>Shift manager/Supervisor</t>
        </is>
      </c>
      <c r="J964" t="inlineStr">
        <is>
          <t>Standard 0,5|20h</t>
        </is>
      </c>
      <c r="K964" t="n">
        <v>7.98</v>
      </c>
      <c r="L964" t="inlineStr">
        <is>
          <t>384</t>
        </is>
      </c>
      <c r="M964" t="inlineStr">
        <is>
          <t>108120 SBX Warszawa Janki</t>
        </is>
      </c>
      <c r="N964" t="inlineStr">
        <is>
          <t>2026-09-11 19:06</t>
        </is>
      </c>
    </row>
    <row r="965">
      <c r="A965" t="n">
        <v>964</v>
      </c>
      <c r="B965" t="inlineStr">
        <is>
          <t>2026-07-01</t>
        </is>
      </c>
      <c r="C965" t="n">
        <v>2026</v>
      </c>
      <c r="D965" t="inlineStr">
        <is>
          <t>Lipiec</t>
        </is>
      </c>
      <c r="E965" t="inlineStr">
        <is>
          <t>W1</t>
        </is>
      </c>
      <c r="F965" t="inlineStr">
        <is>
          <t>2026_Lipiec_W1</t>
        </is>
      </c>
      <c r="G965" t="inlineStr">
        <is>
          <t>Śr</t>
        </is>
      </c>
      <c r="H965" t="inlineStr">
        <is>
          <t>PŁUŻYŃSKA, ALEKSANDRA</t>
        </is>
      </c>
      <c r="I965" t="inlineStr">
        <is>
          <t>Shift manager/Supervisor</t>
        </is>
      </c>
      <c r="J965" t="inlineStr">
        <is>
          <t>Standard 1,0|40h</t>
        </is>
      </c>
      <c r="K965" t="n">
        <v>8</v>
      </c>
      <c r="L965" t="inlineStr">
        <is>
          <t>384</t>
        </is>
      </c>
      <c r="M965" t="inlineStr">
        <is>
          <t>108120 SBX Warszawa Janki</t>
        </is>
      </c>
      <c r="N965" t="inlineStr">
        <is>
          <t>2026-09-11 19:06</t>
        </is>
      </c>
    </row>
    <row r="966">
      <c r="A966" t="n">
        <v>965</v>
      </c>
      <c r="B966" t="inlineStr">
        <is>
          <t>2026-07-02</t>
        </is>
      </c>
      <c r="C966" t="n">
        <v>2026</v>
      </c>
      <c r="D966" t="inlineStr">
        <is>
          <t>Lipiec</t>
        </is>
      </c>
      <c r="E966" t="inlineStr">
        <is>
          <t>W1</t>
        </is>
      </c>
      <c r="F966" t="inlineStr">
        <is>
          <t>2026_Lipiec_W1</t>
        </is>
      </c>
      <c r="G966" t="inlineStr">
        <is>
          <t>Czw</t>
        </is>
      </c>
      <c r="H966" t="inlineStr">
        <is>
          <t>PŁUŻYŃSKA, ALEKSANDRA</t>
        </is>
      </c>
      <c r="I966" t="inlineStr">
        <is>
          <t>Shift manager/Supervisor</t>
        </is>
      </c>
      <c r="J966" t="inlineStr">
        <is>
          <t>Standard 1,0|40h</t>
        </is>
      </c>
      <c r="K966" t="n">
        <v>8.529999999999999</v>
      </c>
      <c r="L966" t="inlineStr">
        <is>
          <t>384</t>
        </is>
      </c>
      <c r="M966" t="inlineStr">
        <is>
          <t>108120 SBX Warszawa Janki</t>
        </is>
      </c>
      <c r="N966" t="inlineStr">
        <is>
          <t>2026-09-11 19:06</t>
        </is>
      </c>
    </row>
    <row r="967">
      <c r="A967" t="n">
        <v>966</v>
      </c>
      <c r="B967" t="inlineStr">
        <is>
          <t>2026-07-06</t>
        </is>
      </c>
      <c r="C967" t="n">
        <v>2026</v>
      </c>
      <c r="D967" t="inlineStr">
        <is>
          <t>Lipiec</t>
        </is>
      </c>
      <c r="E967" t="inlineStr">
        <is>
          <t>W1</t>
        </is>
      </c>
      <c r="F967" t="inlineStr">
        <is>
          <t>2026_Lipiec_W1</t>
        </is>
      </c>
      <c r="G967" t="inlineStr">
        <is>
          <t>Pn</t>
        </is>
      </c>
      <c r="H967" t="inlineStr">
        <is>
          <t>PŁUŻYŃSKA, ALEKSANDRA</t>
        </is>
      </c>
      <c r="I967" t="inlineStr">
        <is>
          <t>Shift manager/Supervisor</t>
        </is>
      </c>
      <c r="J967" t="inlineStr">
        <is>
          <t>Standard 1,0|40h</t>
        </is>
      </c>
      <c r="K967" t="n">
        <v>7.99</v>
      </c>
      <c r="L967" t="inlineStr">
        <is>
          <t>384</t>
        </is>
      </c>
      <c r="M967" t="inlineStr">
        <is>
          <t>108120 SBX Warszawa Janki</t>
        </is>
      </c>
      <c r="N967" t="inlineStr">
        <is>
          <t>2026-09-11 19:06</t>
        </is>
      </c>
    </row>
    <row r="968">
      <c r="A968" t="n">
        <v>967</v>
      </c>
      <c r="B968" t="inlineStr">
        <is>
          <t>2026-07-07</t>
        </is>
      </c>
      <c r="C968" t="n">
        <v>2026</v>
      </c>
      <c r="D968" t="inlineStr">
        <is>
          <t>Lipiec</t>
        </is>
      </c>
      <c r="E968" t="inlineStr">
        <is>
          <t>W2</t>
        </is>
      </c>
      <c r="F968" t="inlineStr">
        <is>
          <t>2026_Lipiec_W2</t>
        </is>
      </c>
      <c r="G968" t="inlineStr">
        <is>
          <t>Wt</t>
        </is>
      </c>
      <c r="H968" t="inlineStr">
        <is>
          <t>PŁUŻYŃSKA, ALEKSANDRA</t>
        </is>
      </c>
      <c r="I968" t="inlineStr">
        <is>
          <t>Shift manager/Supervisor</t>
        </is>
      </c>
      <c r="J968" t="inlineStr">
        <is>
          <t>Standard 1,0|40h</t>
        </is>
      </c>
      <c r="K968" t="n">
        <v>8.1</v>
      </c>
      <c r="L968" t="inlineStr">
        <is>
          <t>384</t>
        </is>
      </c>
      <c r="M968" t="inlineStr">
        <is>
          <t>108120 SBX Warszawa Janki</t>
        </is>
      </c>
      <c r="N968" t="inlineStr">
        <is>
          <t>2026-09-11 19:06</t>
        </is>
      </c>
    </row>
    <row r="969">
      <c r="A969" t="n">
        <v>968</v>
      </c>
      <c r="B969" t="inlineStr">
        <is>
          <t>2026-07-09</t>
        </is>
      </c>
      <c r="C969" t="n">
        <v>2026</v>
      </c>
      <c r="D969" t="inlineStr">
        <is>
          <t>Lipiec</t>
        </is>
      </c>
      <c r="E969" t="inlineStr">
        <is>
          <t>W2</t>
        </is>
      </c>
      <c r="F969" t="inlineStr">
        <is>
          <t>2026_Lipiec_W2</t>
        </is>
      </c>
      <c r="G969" t="inlineStr">
        <is>
          <t>Czw</t>
        </is>
      </c>
      <c r="H969" t="inlineStr">
        <is>
          <t>PŁUŻYŃSKA, ALEKSANDRA</t>
        </is>
      </c>
      <c r="I969" t="inlineStr">
        <is>
          <t>Shift manager/Supervisor</t>
        </is>
      </c>
      <c r="J969" t="inlineStr">
        <is>
          <t>Standard 1,0|40h</t>
        </is>
      </c>
      <c r="K969" t="n">
        <v>8.279999999999999</v>
      </c>
      <c r="L969" t="inlineStr">
        <is>
          <t>384</t>
        </is>
      </c>
      <c r="M969" t="inlineStr">
        <is>
          <t>108120 SBX Warszawa Janki</t>
        </is>
      </c>
      <c r="N969" t="inlineStr">
        <is>
          <t>2026-09-11 19:06</t>
        </is>
      </c>
    </row>
    <row r="970">
      <c r="A970" t="n">
        <v>969</v>
      </c>
      <c r="B970" t="inlineStr">
        <is>
          <t>2026-07-11</t>
        </is>
      </c>
      <c r="C970" t="n">
        <v>2026</v>
      </c>
      <c r="D970" t="inlineStr">
        <is>
          <t>Lipiec</t>
        </is>
      </c>
      <c r="E970" t="inlineStr">
        <is>
          <t>W2</t>
        </is>
      </c>
      <c r="F970" t="inlineStr">
        <is>
          <t>2026_Lipiec_W2</t>
        </is>
      </c>
      <c r="G970" t="inlineStr">
        <is>
          <t>Sob</t>
        </is>
      </c>
      <c r="H970" t="inlineStr">
        <is>
          <t>PŁUŻYŃSKA, ALEKSANDRA</t>
        </is>
      </c>
      <c r="I970" t="inlineStr">
        <is>
          <t>Shift manager/Supervisor</t>
        </is>
      </c>
      <c r="J970" t="inlineStr">
        <is>
          <t>Standard 1,0|40h</t>
        </is>
      </c>
      <c r="K970" t="n">
        <v>7.77</v>
      </c>
      <c r="L970" t="inlineStr">
        <is>
          <t>384</t>
        </is>
      </c>
      <c r="M970" t="inlineStr">
        <is>
          <t>108120 SBX Warszawa Janki</t>
        </is>
      </c>
      <c r="N970" t="inlineStr">
        <is>
          <t>2026-09-11 19:06</t>
        </is>
      </c>
    </row>
    <row r="971">
      <c r="A971" t="n">
        <v>970</v>
      </c>
      <c r="B971" t="inlineStr">
        <is>
          <t>2026-07-12</t>
        </is>
      </c>
      <c r="C971" t="n">
        <v>2026</v>
      </c>
      <c r="D971" t="inlineStr">
        <is>
          <t>Lipiec</t>
        </is>
      </c>
      <c r="E971" t="inlineStr">
        <is>
          <t>W2</t>
        </is>
      </c>
      <c r="F971" t="inlineStr">
        <is>
          <t>2026_Lipiec_W2</t>
        </is>
      </c>
      <c r="G971" t="inlineStr">
        <is>
          <t>Nd</t>
        </is>
      </c>
      <c r="H971" t="inlineStr">
        <is>
          <t>PŁUŻYŃSKA, ALEKSANDRA</t>
        </is>
      </c>
      <c r="I971" t="inlineStr">
        <is>
          <t>Shift manager/Supervisor</t>
        </is>
      </c>
      <c r="J971" t="inlineStr">
        <is>
          <t>Standard 1,0|40h</t>
        </is>
      </c>
      <c r="K971" t="n">
        <v>7.29</v>
      </c>
      <c r="L971" t="inlineStr">
        <is>
          <t>384</t>
        </is>
      </c>
      <c r="M971" t="inlineStr">
        <is>
          <t>108120 SBX Warszawa Janki</t>
        </is>
      </c>
      <c r="N971" t="inlineStr">
        <is>
          <t>2026-09-11 19:06</t>
        </is>
      </c>
    </row>
    <row r="972">
      <c r="A972" t="n">
        <v>971</v>
      </c>
      <c r="B972" t="inlineStr">
        <is>
          <t>2026-07-13</t>
        </is>
      </c>
      <c r="C972" t="n">
        <v>2026</v>
      </c>
      <c r="D972" t="inlineStr">
        <is>
          <t>Lipiec</t>
        </is>
      </c>
      <c r="E972" t="inlineStr">
        <is>
          <t>W2</t>
        </is>
      </c>
      <c r="F972" t="inlineStr">
        <is>
          <t>2026_Lipiec_W2</t>
        </is>
      </c>
      <c r="G972" t="inlineStr">
        <is>
          <t>Pn</t>
        </is>
      </c>
      <c r="H972" t="inlineStr">
        <is>
          <t>PŁUŻYŃSKA, ALEKSANDRA</t>
        </is>
      </c>
      <c r="I972" t="inlineStr">
        <is>
          <t>Shift manager/Supervisor</t>
        </is>
      </c>
      <c r="J972" t="inlineStr">
        <is>
          <t>Standard 1,0|40h</t>
        </is>
      </c>
      <c r="K972" t="n">
        <v>7.73</v>
      </c>
      <c r="L972" t="inlineStr">
        <is>
          <t>384</t>
        </is>
      </c>
      <c r="M972" t="inlineStr">
        <is>
          <t>108120 SBX Warszawa Janki</t>
        </is>
      </c>
      <c r="N972" t="inlineStr">
        <is>
          <t>2026-09-11 19:06</t>
        </is>
      </c>
    </row>
    <row r="973">
      <c r="A973" t="n">
        <v>972</v>
      </c>
      <c r="B973" t="inlineStr">
        <is>
          <t>2026-07-14</t>
        </is>
      </c>
      <c r="C973" t="n">
        <v>2026</v>
      </c>
      <c r="D973" t="inlineStr">
        <is>
          <t>Lipiec</t>
        </is>
      </c>
      <c r="E973" t="inlineStr">
        <is>
          <t>W3</t>
        </is>
      </c>
      <c r="F973" t="inlineStr">
        <is>
          <t>2026_Lipiec_W3</t>
        </is>
      </c>
      <c r="G973" t="inlineStr">
        <is>
          <t>Wt</t>
        </is>
      </c>
      <c r="H973" t="inlineStr">
        <is>
          <t>PŁUŻYŃSKA, ALEKSANDRA</t>
        </is>
      </c>
      <c r="I973" t="inlineStr">
        <is>
          <t>Shift manager/Supervisor</t>
        </is>
      </c>
      <c r="J973" t="inlineStr">
        <is>
          <t>Standard 1,0|40h</t>
        </is>
      </c>
      <c r="K973" t="n">
        <v>7.91</v>
      </c>
      <c r="L973" t="inlineStr">
        <is>
          <t>384</t>
        </is>
      </c>
      <c r="M973" t="inlineStr">
        <is>
          <t>108120 SBX Warszawa Janki</t>
        </is>
      </c>
      <c r="N973" t="inlineStr">
        <is>
          <t>2026-09-11 19:06</t>
        </is>
      </c>
    </row>
    <row r="974">
      <c r="A974" t="n">
        <v>973</v>
      </c>
      <c r="B974" t="inlineStr">
        <is>
          <t>2026-07-17</t>
        </is>
      </c>
      <c r="C974" t="n">
        <v>2026</v>
      </c>
      <c r="D974" t="inlineStr">
        <is>
          <t>Lipiec</t>
        </is>
      </c>
      <c r="E974" t="inlineStr">
        <is>
          <t>W3</t>
        </is>
      </c>
      <c r="F974" t="inlineStr">
        <is>
          <t>2026_Lipiec_W3</t>
        </is>
      </c>
      <c r="G974" t="inlineStr">
        <is>
          <t>Pt</t>
        </is>
      </c>
      <c r="H974" t="inlineStr">
        <is>
          <t>PŁUŻYŃSKA, ALEKSANDRA</t>
        </is>
      </c>
      <c r="I974" t="inlineStr">
        <is>
          <t>Shift manager/Supervisor</t>
        </is>
      </c>
      <c r="J974" t="inlineStr">
        <is>
          <t>Standard 1,0|40h</t>
        </is>
      </c>
      <c r="K974" t="n">
        <v>7.93</v>
      </c>
      <c r="L974" t="inlineStr">
        <is>
          <t>384</t>
        </is>
      </c>
      <c r="M974" t="inlineStr">
        <is>
          <t>108120 SBX Warszawa Janki</t>
        </is>
      </c>
      <c r="N974" t="inlineStr">
        <is>
          <t>2026-09-11 19:06</t>
        </is>
      </c>
    </row>
    <row r="975">
      <c r="A975" t="n">
        <v>974</v>
      </c>
      <c r="B975" t="inlineStr">
        <is>
          <t>2026-07-18</t>
        </is>
      </c>
      <c r="C975" t="n">
        <v>2026</v>
      </c>
      <c r="D975" t="inlineStr">
        <is>
          <t>Lipiec</t>
        </is>
      </c>
      <c r="E975" t="inlineStr">
        <is>
          <t>W3</t>
        </is>
      </c>
      <c r="F975" t="inlineStr">
        <is>
          <t>2026_Lipiec_W3</t>
        </is>
      </c>
      <c r="G975" t="inlineStr">
        <is>
          <t>Sob</t>
        </is>
      </c>
      <c r="H975" t="inlineStr">
        <is>
          <t>PŁUŻYŃSKA, ALEKSANDRA</t>
        </is>
      </c>
      <c r="I975" t="inlineStr">
        <is>
          <t>Shift manager/Supervisor</t>
        </is>
      </c>
      <c r="J975" t="inlineStr">
        <is>
          <t>Standard 1,0|40h</t>
        </is>
      </c>
      <c r="K975" t="n">
        <v>7.73</v>
      </c>
      <c r="L975" t="inlineStr">
        <is>
          <t>384</t>
        </is>
      </c>
      <c r="M975" t="inlineStr">
        <is>
          <t>108120 SBX Warszawa Janki</t>
        </is>
      </c>
      <c r="N975" t="inlineStr">
        <is>
          <t>2026-09-11 19:06</t>
        </is>
      </c>
    </row>
    <row r="976">
      <c r="A976" t="n">
        <v>975</v>
      </c>
      <c r="B976" t="inlineStr">
        <is>
          <t>2026-07-19</t>
        </is>
      </c>
      <c r="C976" t="n">
        <v>2026</v>
      </c>
      <c r="D976" t="inlineStr">
        <is>
          <t>Lipiec</t>
        </is>
      </c>
      <c r="E976" t="inlineStr">
        <is>
          <t>W3</t>
        </is>
      </c>
      <c r="F976" t="inlineStr">
        <is>
          <t>2026_Lipiec_W3</t>
        </is>
      </c>
      <c r="G976" t="inlineStr">
        <is>
          <t>Nd</t>
        </is>
      </c>
      <c r="H976" t="inlineStr">
        <is>
          <t>PŁUŻYŃSKA, ALEKSANDRA</t>
        </is>
      </c>
      <c r="I976" t="inlineStr">
        <is>
          <t>Shift manager/Supervisor</t>
        </is>
      </c>
      <c r="J976" t="inlineStr">
        <is>
          <t>Standard 1,0|40h</t>
        </is>
      </c>
      <c r="K976" t="n">
        <v>6.85</v>
      </c>
      <c r="L976" t="inlineStr">
        <is>
          <t>384</t>
        </is>
      </c>
      <c r="M976" t="inlineStr">
        <is>
          <t>108120 SBX Warszawa Janki</t>
        </is>
      </c>
      <c r="N976" t="inlineStr">
        <is>
          <t>2026-09-11 19:06</t>
        </is>
      </c>
    </row>
    <row r="977">
      <c r="A977" t="n">
        <v>976</v>
      </c>
      <c r="B977" t="inlineStr">
        <is>
          <t>2026-07-13</t>
        </is>
      </c>
      <c r="C977" t="n">
        <v>2026</v>
      </c>
      <c r="D977" t="inlineStr">
        <is>
          <t>Lipiec</t>
        </is>
      </c>
      <c r="E977" t="inlineStr">
        <is>
          <t>W2</t>
        </is>
      </c>
      <c r="F977" t="inlineStr">
        <is>
          <t>2026_Lipiec_W2</t>
        </is>
      </c>
      <c r="G977" t="inlineStr">
        <is>
          <t>Pn</t>
        </is>
      </c>
      <c r="H977" t="inlineStr">
        <is>
          <t>RENKAS, ANTONINA</t>
        </is>
      </c>
      <c r="I977" t="inlineStr">
        <is>
          <t>Crew Civil</t>
        </is>
      </c>
      <c r="J977" t="inlineStr">
        <is>
          <t>Zlecenie</t>
        </is>
      </c>
      <c r="K977" t="n">
        <v>3.97</v>
      </c>
      <c r="L977" t="inlineStr">
        <is>
          <t>384</t>
        </is>
      </c>
      <c r="M977" t="inlineStr">
        <is>
          <t>108120 SBX Warszawa Janki</t>
        </is>
      </c>
      <c r="N977" t="inlineStr">
        <is>
          <t>2026-09-11 19:06</t>
        </is>
      </c>
    </row>
    <row r="978">
      <c r="A978" t="n">
        <v>977</v>
      </c>
      <c r="B978" t="inlineStr">
        <is>
          <t>2026-07-14</t>
        </is>
      </c>
      <c r="C978" t="n">
        <v>2026</v>
      </c>
      <c r="D978" t="inlineStr">
        <is>
          <t>Lipiec</t>
        </is>
      </c>
      <c r="E978" t="inlineStr">
        <is>
          <t>W3</t>
        </is>
      </c>
      <c r="F978" t="inlineStr">
        <is>
          <t>2026_Lipiec_W3</t>
        </is>
      </c>
      <c r="G978" t="inlineStr">
        <is>
          <t>Wt</t>
        </is>
      </c>
      <c r="H978" t="inlineStr">
        <is>
          <t>RENKAS, ANTONINA</t>
        </is>
      </c>
      <c r="I978" t="inlineStr">
        <is>
          <t>Crew Civil</t>
        </is>
      </c>
      <c r="J978" t="inlineStr">
        <is>
          <t>Zlecenie</t>
        </is>
      </c>
      <c r="K978" t="n">
        <v>6</v>
      </c>
      <c r="L978" t="inlineStr">
        <is>
          <t>384</t>
        </is>
      </c>
      <c r="M978" t="inlineStr">
        <is>
          <t>108120 SBX Warszawa Janki</t>
        </is>
      </c>
      <c r="N978" t="inlineStr">
        <is>
          <t>2026-09-11 19:06</t>
        </is>
      </c>
    </row>
    <row r="979">
      <c r="A979" t="n">
        <v>978</v>
      </c>
      <c r="B979" t="inlineStr">
        <is>
          <t>2026-07-15</t>
        </is>
      </c>
      <c r="C979" t="n">
        <v>2026</v>
      </c>
      <c r="D979" t="inlineStr">
        <is>
          <t>Lipiec</t>
        </is>
      </c>
      <c r="E979" t="inlineStr">
        <is>
          <t>W3</t>
        </is>
      </c>
      <c r="F979" t="inlineStr">
        <is>
          <t>2026_Lipiec_W3</t>
        </is>
      </c>
      <c r="G979" t="inlineStr">
        <is>
          <t>Śr</t>
        </is>
      </c>
      <c r="H979" t="inlineStr">
        <is>
          <t>RENKAS, ANTONINA</t>
        </is>
      </c>
      <c r="I979" t="inlineStr">
        <is>
          <t>Crew Civil</t>
        </is>
      </c>
      <c r="J979" t="inlineStr">
        <is>
          <t>Zlecenie</t>
        </is>
      </c>
      <c r="K979" t="n">
        <v>7.52</v>
      </c>
      <c r="L979" t="inlineStr">
        <is>
          <t>384</t>
        </is>
      </c>
      <c r="M979" t="inlineStr">
        <is>
          <t>108120 SBX Warszawa Janki</t>
        </is>
      </c>
      <c r="N979" t="inlineStr">
        <is>
          <t>2026-09-11 19:06</t>
        </is>
      </c>
    </row>
    <row r="980">
      <c r="A980" t="n">
        <v>979</v>
      </c>
      <c r="B980" t="inlineStr">
        <is>
          <t>2026-07-16</t>
        </is>
      </c>
      <c r="C980" t="n">
        <v>2026</v>
      </c>
      <c r="D980" t="inlineStr">
        <is>
          <t>Lipiec</t>
        </is>
      </c>
      <c r="E980" t="inlineStr">
        <is>
          <t>W3</t>
        </is>
      </c>
      <c r="F980" t="inlineStr">
        <is>
          <t>2026_Lipiec_W3</t>
        </is>
      </c>
      <c r="G980" t="inlineStr">
        <is>
          <t>Czw</t>
        </is>
      </c>
      <c r="H980" t="inlineStr">
        <is>
          <t>RENKAS, ANTONINA</t>
        </is>
      </c>
      <c r="I980" t="inlineStr">
        <is>
          <t>Crew Civil</t>
        </is>
      </c>
      <c r="J980" t="inlineStr">
        <is>
          <t>Zlecenie</t>
        </is>
      </c>
      <c r="K980" t="n">
        <v>7.19</v>
      </c>
      <c r="L980" t="inlineStr">
        <is>
          <t>384</t>
        </is>
      </c>
      <c r="M980" t="inlineStr">
        <is>
          <t>108120 SBX Warszawa Janki</t>
        </is>
      </c>
      <c r="N980" t="inlineStr">
        <is>
          <t>2026-09-11 19:06</t>
        </is>
      </c>
    </row>
    <row r="981">
      <c r="A981" t="n">
        <v>980</v>
      </c>
      <c r="B981" t="inlineStr">
        <is>
          <t>2026-07-21</t>
        </is>
      </c>
      <c r="C981" t="n">
        <v>2026</v>
      </c>
      <c r="D981" t="inlineStr">
        <is>
          <t>Lipiec</t>
        </is>
      </c>
      <c r="E981" t="inlineStr">
        <is>
          <t>W4</t>
        </is>
      </c>
      <c r="F981" t="inlineStr">
        <is>
          <t>2026_Lipiec_W4</t>
        </is>
      </c>
      <c r="G981" t="inlineStr">
        <is>
          <t>Wt</t>
        </is>
      </c>
      <c r="H981" t="inlineStr">
        <is>
          <t>RENKAS, ANTONINA</t>
        </is>
      </c>
      <c r="I981" t="inlineStr">
        <is>
          <t>Crew Civil</t>
        </is>
      </c>
      <c r="J981" t="inlineStr">
        <is>
          <t>Zlecenie</t>
        </is>
      </c>
      <c r="K981" t="n">
        <v>6.96</v>
      </c>
      <c r="L981" t="inlineStr">
        <is>
          <t>384</t>
        </is>
      </c>
      <c r="M981" t="inlineStr">
        <is>
          <t>108120 SBX Warszawa Janki</t>
        </is>
      </c>
      <c r="N981" t="inlineStr">
        <is>
          <t>2026-09-11 19:06</t>
        </is>
      </c>
    </row>
    <row r="982">
      <c r="A982" t="n">
        <v>981</v>
      </c>
      <c r="B982" t="inlineStr">
        <is>
          <t>2026-07-23</t>
        </is>
      </c>
      <c r="C982" t="n">
        <v>2026</v>
      </c>
      <c r="D982" t="inlineStr">
        <is>
          <t>Lipiec</t>
        </is>
      </c>
      <c r="E982" t="inlineStr">
        <is>
          <t>W4</t>
        </is>
      </c>
      <c r="F982" t="inlineStr">
        <is>
          <t>2026_Lipiec_W4</t>
        </is>
      </c>
      <c r="G982" t="inlineStr">
        <is>
          <t>Czw</t>
        </is>
      </c>
      <c r="H982" t="inlineStr">
        <is>
          <t>RENKAS, ANTONINA</t>
        </is>
      </c>
      <c r="I982" t="inlineStr">
        <is>
          <t>Crew Civil</t>
        </is>
      </c>
      <c r="J982" t="inlineStr">
        <is>
          <t>Zlecenie</t>
        </is>
      </c>
      <c r="K982" t="n">
        <v>7.16</v>
      </c>
      <c r="L982" t="inlineStr">
        <is>
          <t>384</t>
        </is>
      </c>
      <c r="M982" t="inlineStr">
        <is>
          <t>108120 SBX Warszawa Janki</t>
        </is>
      </c>
      <c r="N982" t="inlineStr">
        <is>
          <t>2026-09-11 19:06</t>
        </is>
      </c>
    </row>
    <row r="983">
      <c r="A983" t="n">
        <v>982</v>
      </c>
      <c r="B983" t="inlineStr">
        <is>
          <t>2026-07-25</t>
        </is>
      </c>
      <c r="C983" t="n">
        <v>2026</v>
      </c>
      <c r="D983" t="inlineStr">
        <is>
          <t>Lipiec</t>
        </is>
      </c>
      <c r="E983" t="inlineStr">
        <is>
          <t>W4</t>
        </is>
      </c>
      <c r="F983" t="inlineStr">
        <is>
          <t>2026_Lipiec_W4</t>
        </is>
      </c>
      <c r="G983" t="inlineStr">
        <is>
          <t>Sob</t>
        </is>
      </c>
      <c r="H983" t="inlineStr">
        <is>
          <t>RENKAS, ANTONINA</t>
        </is>
      </c>
      <c r="I983" t="inlineStr">
        <is>
          <t>Crew Civil</t>
        </is>
      </c>
      <c r="J983" t="inlineStr">
        <is>
          <t>Zlecenie</t>
        </is>
      </c>
      <c r="K983" t="n">
        <v>6.98</v>
      </c>
      <c r="L983" t="inlineStr">
        <is>
          <t>384</t>
        </is>
      </c>
      <c r="M983" t="inlineStr">
        <is>
          <t>108120 SBX Warszawa Janki</t>
        </is>
      </c>
      <c r="N983" t="inlineStr">
        <is>
          <t>2026-09-11 19:06</t>
        </is>
      </c>
    </row>
    <row r="984">
      <c r="A984" t="n">
        <v>983</v>
      </c>
      <c r="B984" t="inlineStr">
        <is>
          <t>2026-07-27</t>
        </is>
      </c>
      <c r="C984" t="n">
        <v>2026</v>
      </c>
      <c r="D984" t="inlineStr">
        <is>
          <t>Lipiec</t>
        </is>
      </c>
      <c r="E984" t="inlineStr">
        <is>
          <t>W4</t>
        </is>
      </c>
      <c r="F984" t="inlineStr">
        <is>
          <t>2026_Lipiec_W4</t>
        </is>
      </c>
      <c r="G984" t="inlineStr">
        <is>
          <t>Pn</t>
        </is>
      </c>
      <c r="H984" t="inlineStr">
        <is>
          <t>RENKAS, ANTONINA</t>
        </is>
      </c>
      <c r="I984" t="inlineStr">
        <is>
          <t>Crew Civil</t>
        </is>
      </c>
      <c r="J984" t="inlineStr">
        <is>
          <t>Zlecenie</t>
        </is>
      </c>
      <c r="K984" t="n">
        <v>7.09</v>
      </c>
      <c r="L984" t="inlineStr">
        <is>
          <t>384</t>
        </is>
      </c>
      <c r="M984" t="inlineStr">
        <is>
          <t>108120 SBX Warszawa Janki</t>
        </is>
      </c>
      <c r="N984" t="inlineStr">
        <is>
          <t>2026-09-11 19:06</t>
        </is>
      </c>
    </row>
    <row r="985">
      <c r="A985" t="n">
        <v>984</v>
      </c>
      <c r="B985" t="inlineStr">
        <is>
          <t>2026-08-01</t>
        </is>
      </c>
      <c r="C985" t="n">
        <v>2026</v>
      </c>
      <c r="D985" t="inlineStr">
        <is>
          <t>Sierpień</t>
        </is>
      </c>
      <c r="E985" t="inlineStr">
        <is>
          <t>W1</t>
        </is>
      </c>
      <c r="F985" t="inlineStr">
        <is>
          <t>2026_Sierpień_W1</t>
        </is>
      </c>
      <c r="G985" t="inlineStr">
        <is>
          <t>Sob</t>
        </is>
      </c>
      <c r="H985" t="inlineStr">
        <is>
          <t>RENKAS, ANTONINA</t>
        </is>
      </c>
      <c r="I985" t="inlineStr">
        <is>
          <t>Crew Civil</t>
        </is>
      </c>
      <c r="J985" t="inlineStr">
        <is>
          <t>Zlecenie</t>
        </is>
      </c>
      <c r="K985" t="n">
        <v>7.46</v>
      </c>
      <c r="L985" t="inlineStr">
        <is>
          <t>384</t>
        </is>
      </c>
      <c r="M985" t="inlineStr">
        <is>
          <t>108120 SBX Warszawa Janki</t>
        </is>
      </c>
      <c r="N985" t="inlineStr">
        <is>
          <t>2026-09-11 19:06</t>
        </is>
      </c>
    </row>
    <row r="986">
      <c r="A986" t="n">
        <v>985</v>
      </c>
      <c r="B986" t="inlineStr">
        <is>
          <t>2026-08-04</t>
        </is>
      </c>
      <c r="C986" t="n">
        <v>2026</v>
      </c>
      <c r="D986" t="inlineStr">
        <is>
          <t>Sierpień</t>
        </is>
      </c>
      <c r="E986" t="inlineStr">
        <is>
          <t>W2</t>
        </is>
      </c>
      <c r="F986" t="inlineStr">
        <is>
          <t>2026_Sierpień_W2</t>
        </is>
      </c>
      <c r="G986" t="inlineStr">
        <is>
          <t>Wt</t>
        </is>
      </c>
      <c r="H986" t="inlineStr">
        <is>
          <t>RENKAS, ANTONINA</t>
        </is>
      </c>
      <c r="I986" t="inlineStr">
        <is>
          <t>Crew Civil</t>
        </is>
      </c>
      <c r="J986" t="inlineStr">
        <is>
          <t>Zlecenie</t>
        </is>
      </c>
      <c r="K986" t="n">
        <v>8.630000000000001</v>
      </c>
      <c r="L986" t="inlineStr">
        <is>
          <t>384</t>
        </is>
      </c>
      <c r="M986" t="inlineStr">
        <is>
          <t>108120 SBX Warszawa Janki</t>
        </is>
      </c>
      <c r="N986" t="inlineStr">
        <is>
          <t>2026-09-11 19:06</t>
        </is>
      </c>
    </row>
    <row r="987">
      <c r="A987" t="n">
        <v>986</v>
      </c>
      <c r="B987" t="inlineStr">
        <is>
          <t>2026-08-07</t>
        </is>
      </c>
      <c r="C987" t="n">
        <v>2026</v>
      </c>
      <c r="D987" t="inlineStr">
        <is>
          <t>Sierpień</t>
        </is>
      </c>
      <c r="E987" t="inlineStr">
        <is>
          <t>W2</t>
        </is>
      </c>
      <c r="F987" t="inlineStr">
        <is>
          <t>2026_Sierpień_W2</t>
        </is>
      </c>
      <c r="G987" t="inlineStr">
        <is>
          <t>Pt</t>
        </is>
      </c>
      <c r="H987" t="inlineStr">
        <is>
          <t>RENKAS, ANTONINA</t>
        </is>
      </c>
      <c r="I987" t="inlineStr">
        <is>
          <t>Crew Civil</t>
        </is>
      </c>
      <c r="J987" t="inlineStr">
        <is>
          <t>Zlecenie</t>
        </is>
      </c>
      <c r="K987" t="n">
        <v>8.15</v>
      </c>
      <c r="L987" t="inlineStr">
        <is>
          <t>384</t>
        </is>
      </c>
      <c r="M987" t="inlineStr">
        <is>
          <t>108120 SBX Warszawa Janki</t>
        </is>
      </c>
      <c r="N987" t="inlineStr">
        <is>
          <t>2026-09-11 19:06</t>
        </is>
      </c>
    </row>
    <row r="988">
      <c r="A988" t="n">
        <v>987</v>
      </c>
      <c r="B988" t="inlineStr">
        <is>
          <t>2026-08-11</t>
        </is>
      </c>
      <c r="C988" t="n">
        <v>2026</v>
      </c>
      <c r="D988" t="inlineStr">
        <is>
          <t>Sierpień</t>
        </is>
      </c>
      <c r="E988" t="inlineStr">
        <is>
          <t>W3</t>
        </is>
      </c>
      <c r="F988" t="inlineStr">
        <is>
          <t>2026_Sierpień_W3</t>
        </is>
      </c>
      <c r="G988" t="inlineStr">
        <is>
          <t>Wt</t>
        </is>
      </c>
      <c r="H988" t="inlineStr">
        <is>
          <t>RENKAS, ANTONINA</t>
        </is>
      </c>
      <c r="I988" t="inlineStr">
        <is>
          <t>Crew Civil</t>
        </is>
      </c>
      <c r="J988" t="inlineStr">
        <is>
          <t>Zlecenie</t>
        </is>
      </c>
      <c r="K988" t="n">
        <v>4.87</v>
      </c>
      <c r="L988" t="inlineStr">
        <is>
          <t>384</t>
        </is>
      </c>
      <c r="M988" t="inlineStr">
        <is>
          <t>108120 SBX Warszawa Janki</t>
        </is>
      </c>
      <c r="N988" t="inlineStr">
        <is>
          <t>2026-09-11 19:06</t>
        </is>
      </c>
    </row>
    <row r="989">
      <c r="A989" t="n">
        <v>988</v>
      </c>
      <c r="B989" t="inlineStr">
        <is>
          <t>2026-08-13</t>
        </is>
      </c>
      <c r="C989" t="n">
        <v>2026</v>
      </c>
      <c r="D989" t="inlineStr">
        <is>
          <t>Sierpień</t>
        </is>
      </c>
      <c r="E989" t="inlineStr">
        <is>
          <t>W3</t>
        </is>
      </c>
      <c r="F989" t="inlineStr">
        <is>
          <t>2026_Sierpień_W3</t>
        </is>
      </c>
      <c r="G989" t="inlineStr">
        <is>
          <t>Czw</t>
        </is>
      </c>
      <c r="H989" t="inlineStr">
        <is>
          <t>RENKAS, ANTONINA</t>
        </is>
      </c>
      <c r="I989" t="inlineStr">
        <is>
          <t>Crew Civil</t>
        </is>
      </c>
      <c r="J989" t="inlineStr">
        <is>
          <t>Zlecenie</t>
        </is>
      </c>
      <c r="K989" t="n">
        <v>7.85</v>
      </c>
      <c r="L989" t="inlineStr">
        <is>
          <t>384</t>
        </is>
      </c>
      <c r="M989" t="inlineStr">
        <is>
          <t>108120 SBX Warszawa Janki</t>
        </is>
      </c>
      <c r="N989" t="inlineStr">
        <is>
          <t>2026-09-11 19:06</t>
        </is>
      </c>
    </row>
    <row r="990">
      <c r="A990" t="n">
        <v>989</v>
      </c>
      <c r="B990" t="inlineStr">
        <is>
          <t>2026-08-14</t>
        </is>
      </c>
      <c r="C990" t="n">
        <v>2026</v>
      </c>
      <c r="D990" t="inlineStr">
        <is>
          <t>Sierpień</t>
        </is>
      </c>
      <c r="E990" t="inlineStr">
        <is>
          <t>W3</t>
        </is>
      </c>
      <c r="F990" t="inlineStr">
        <is>
          <t>2026_Sierpień_W3</t>
        </is>
      </c>
      <c r="G990" t="inlineStr">
        <is>
          <t>Pt</t>
        </is>
      </c>
      <c r="H990" t="inlineStr">
        <is>
          <t>RENKAS, ANTONINA</t>
        </is>
      </c>
      <c r="I990" t="inlineStr">
        <is>
          <t>Crew Civil</t>
        </is>
      </c>
      <c r="J990" t="inlineStr">
        <is>
          <t>Zlecenie</t>
        </is>
      </c>
      <c r="K990" t="n">
        <v>7.78</v>
      </c>
      <c r="L990" t="inlineStr">
        <is>
          <t>384</t>
        </is>
      </c>
      <c r="M990" t="inlineStr">
        <is>
          <t>108120 SBX Warszawa Janki</t>
        </is>
      </c>
      <c r="N990" t="inlineStr">
        <is>
          <t>2026-09-11 19:06</t>
        </is>
      </c>
    </row>
    <row r="991">
      <c r="A991" t="n">
        <v>990</v>
      </c>
      <c r="B991" t="inlineStr">
        <is>
          <t>2026-08-16</t>
        </is>
      </c>
      <c r="C991" t="n">
        <v>2026</v>
      </c>
      <c r="D991" t="inlineStr">
        <is>
          <t>Sierpień</t>
        </is>
      </c>
      <c r="E991" t="inlineStr">
        <is>
          <t>W3</t>
        </is>
      </c>
      <c r="F991" t="inlineStr">
        <is>
          <t>2026_Sierpień_W3</t>
        </is>
      </c>
      <c r="G991" t="inlineStr">
        <is>
          <t>Nd</t>
        </is>
      </c>
      <c r="H991" t="inlineStr">
        <is>
          <t>RENKAS, ANTONINA</t>
        </is>
      </c>
      <c r="I991" t="inlineStr">
        <is>
          <t>Crew Civil</t>
        </is>
      </c>
      <c r="J991" t="inlineStr">
        <is>
          <t>Zlecenie</t>
        </is>
      </c>
      <c r="K991" t="n">
        <v>7.86</v>
      </c>
      <c r="L991" t="inlineStr">
        <is>
          <t>384</t>
        </is>
      </c>
      <c r="M991" t="inlineStr">
        <is>
          <t>108120 SBX Warszawa Janki</t>
        </is>
      </c>
      <c r="N991" t="inlineStr">
        <is>
          <t>2026-09-11 19:06</t>
        </is>
      </c>
    </row>
    <row r="992">
      <c r="A992" t="n">
        <v>991</v>
      </c>
      <c r="B992" t="inlineStr">
        <is>
          <t>2026-08-17</t>
        </is>
      </c>
      <c r="C992" t="n">
        <v>2026</v>
      </c>
      <c r="D992" t="inlineStr">
        <is>
          <t>Sierpień</t>
        </is>
      </c>
      <c r="E992" t="inlineStr">
        <is>
          <t>W3</t>
        </is>
      </c>
      <c r="F992" t="inlineStr">
        <is>
          <t>2026_Sierpień_W3</t>
        </is>
      </c>
      <c r="G992" t="inlineStr">
        <is>
          <t>Pn</t>
        </is>
      </c>
      <c r="H992" t="inlineStr">
        <is>
          <t>RENKAS, ANTONINA</t>
        </is>
      </c>
      <c r="I992" t="inlineStr">
        <is>
          <t>Crew Civil</t>
        </is>
      </c>
      <c r="J992" t="inlineStr">
        <is>
          <t>Zlecenie</t>
        </is>
      </c>
      <c r="K992" t="n">
        <v>6.22</v>
      </c>
      <c r="L992" t="inlineStr">
        <is>
          <t>384</t>
        </is>
      </c>
      <c r="M992" t="inlineStr">
        <is>
          <t>108120 SBX Warszawa Janki</t>
        </is>
      </c>
      <c r="N992" t="inlineStr">
        <is>
          <t>2026-09-11 19:06</t>
        </is>
      </c>
    </row>
    <row r="993">
      <c r="A993" t="n">
        <v>992</v>
      </c>
      <c r="B993" t="inlineStr">
        <is>
          <t>2026-08-21</t>
        </is>
      </c>
      <c r="C993" t="n">
        <v>2026</v>
      </c>
      <c r="D993" t="inlineStr">
        <is>
          <t>Sierpień</t>
        </is>
      </c>
      <c r="E993" t="inlineStr">
        <is>
          <t>W4</t>
        </is>
      </c>
      <c r="F993" t="inlineStr">
        <is>
          <t>2026_Sierpień_W4</t>
        </is>
      </c>
      <c r="G993" t="inlineStr">
        <is>
          <t>Pt</t>
        </is>
      </c>
      <c r="H993" t="inlineStr">
        <is>
          <t>RENKAS, ANTONINA</t>
        </is>
      </c>
      <c r="I993" t="inlineStr">
        <is>
          <t>Crew Civil</t>
        </is>
      </c>
      <c r="J993" t="inlineStr">
        <is>
          <t>Zlecenie</t>
        </is>
      </c>
      <c r="K993" t="n">
        <v>8.09</v>
      </c>
      <c r="L993" t="inlineStr">
        <is>
          <t>384</t>
        </is>
      </c>
      <c r="M993" t="inlineStr">
        <is>
          <t>108120 SBX Warszawa Janki</t>
        </is>
      </c>
      <c r="N993" t="inlineStr">
        <is>
          <t>2026-09-11 19:06</t>
        </is>
      </c>
    </row>
    <row r="994">
      <c r="A994" t="n">
        <v>993</v>
      </c>
      <c r="B994" t="inlineStr">
        <is>
          <t>2026-08-22</t>
        </is>
      </c>
      <c r="C994" t="n">
        <v>2026</v>
      </c>
      <c r="D994" t="inlineStr">
        <is>
          <t>Sierpień</t>
        </is>
      </c>
      <c r="E994" t="inlineStr">
        <is>
          <t>W4</t>
        </is>
      </c>
      <c r="F994" t="inlineStr">
        <is>
          <t>2026_Sierpień_W4</t>
        </is>
      </c>
      <c r="G994" t="inlineStr">
        <is>
          <t>Sob</t>
        </is>
      </c>
      <c r="H994" t="inlineStr">
        <is>
          <t>RENKAS, ANTONINA</t>
        </is>
      </c>
      <c r="I994" t="inlineStr">
        <is>
          <t>Crew Civil</t>
        </is>
      </c>
      <c r="J994" t="inlineStr">
        <is>
          <t>Zlecenie</t>
        </is>
      </c>
      <c r="K994" t="n">
        <v>5.41</v>
      </c>
      <c r="L994" t="inlineStr">
        <is>
          <t>384</t>
        </is>
      </c>
      <c r="M994" t="inlineStr">
        <is>
          <t>108120 SBX Warszawa Janki</t>
        </is>
      </c>
      <c r="N994" t="inlineStr">
        <is>
          <t>2026-09-11 19:06</t>
        </is>
      </c>
    </row>
    <row r="995">
      <c r="A995" t="n">
        <v>994</v>
      </c>
      <c r="B995" t="inlineStr">
        <is>
          <t>2026-08-23</t>
        </is>
      </c>
      <c r="C995" t="n">
        <v>2026</v>
      </c>
      <c r="D995" t="inlineStr">
        <is>
          <t>Sierpień</t>
        </is>
      </c>
      <c r="E995" t="inlineStr">
        <is>
          <t>W4</t>
        </is>
      </c>
      <c r="F995" t="inlineStr">
        <is>
          <t>2026_Sierpień_W4</t>
        </is>
      </c>
      <c r="G995" t="inlineStr">
        <is>
          <t>Nd</t>
        </is>
      </c>
      <c r="H995" t="inlineStr">
        <is>
          <t>RENKAS, ANTONINA</t>
        </is>
      </c>
      <c r="I995" t="inlineStr">
        <is>
          <t>Crew Civil</t>
        </is>
      </c>
      <c r="J995" t="inlineStr">
        <is>
          <t>Zlecenie</t>
        </is>
      </c>
      <c r="K995" t="n">
        <v>1.6</v>
      </c>
      <c r="L995" t="inlineStr">
        <is>
          <t>384</t>
        </is>
      </c>
      <c r="M995" t="inlineStr">
        <is>
          <t>108120 SBX Warszawa Janki</t>
        </is>
      </c>
      <c r="N995" t="inlineStr">
        <is>
          <t>2026-09-11 19:06</t>
        </is>
      </c>
    </row>
    <row r="996">
      <c r="A996" t="n">
        <v>995</v>
      </c>
      <c r="B996" t="inlineStr">
        <is>
          <t>2026-08-26</t>
        </is>
      </c>
      <c r="C996" t="n">
        <v>2026</v>
      </c>
      <c r="D996" t="inlineStr">
        <is>
          <t>Sierpień</t>
        </is>
      </c>
      <c r="E996" t="inlineStr">
        <is>
          <t>W5</t>
        </is>
      </c>
      <c r="F996" t="inlineStr">
        <is>
          <t>2026_Sierpień_W5</t>
        </is>
      </c>
      <c r="G996" t="inlineStr">
        <is>
          <t>Śr</t>
        </is>
      </c>
      <c r="H996" t="inlineStr">
        <is>
          <t>RENKAS, ANTONINA</t>
        </is>
      </c>
      <c r="I996" t="inlineStr">
        <is>
          <t>Crew Civil</t>
        </is>
      </c>
      <c r="J996" t="inlineStr">
        <is>
          <t>Zlecenie</t>
        </is>
      </c>
      <c r="K996" t="n">
        <v>6.11</v>
      </c>
      <c r="L996" t="inlineStr">
        <is>
          <t>384</t>
        </is>
      </c>
      <c r="M996" t="inlineStr">
        <is>
          <t>108120 SBX Warszawa Janki</t>
        </is>
      </c>
      <c r="N996" t="inlineStr">
        <is>
          <t>2026-09-11 19:06</t>
        </is>
      </c>
    </row>
    <row r="997">
      <c r="A997" t="n">
        <v>996</v>
      </c>
      <c r="B997" t="inlineStr">
        <is>
          <t>2026-08-29</t>
        </is>
      </c>
      <c r="C997" t="n">
        <v>2026</v>
      </c>
      <c r="D997" t="inlineStr">
        <is>
          <t>Sierpień</t>
        </is>
      </c>
      <c r="E997" t="inlineStr">
        <is>
          <t>W5</t>
        </is>
      </c>
      <c r="F997" t="inlineStr">
        <is>
          <t>2026_Sierpień_W5</t>
        </is>
      </c>
      <c r="G997" t="inlineStr">
        <is>
          <t>Sob</t>
        </is>
      </c>
      <c r="H997" t="inlineStr">
        <is>
          <t>RENKAS, ANTONINA</t>
        </is>
      </c>
      <c r="I997" t="inlineStr">
        <is>
          <t>Crew Civil</t>
        </is>
      </c>
      <c r="J997" t="inlineStr">
        <is>
          <t>Zlecenie</t>
        </is>
      </c>
      <c r="K997" t="n">
        <v>6.5</v>
      </c>
      <c r="L997" t="inlineStr">
        <is>
          <t>384</t>
        </is>
      </c>
      <c r="M997" t="inlineStr">
        <is>
          <t>108120 SBX Warszawa Janki</t>
        </is>
      </c>
      <c r="N997" t="inlineStr">
        <is>
          <t>2026-09-11 19:06</t>
        </is>
      </c>
    </row>
    <row r="998">
      <c r="A998" t="n">
        <v>997</v>
      </c>
      <c r="B998" t="inlineStr">
        <is>
          <t>2026-08-30</t>
        </is>
      </c>
      <c r="C998" t="n">
        <v>2026</v>
      </c>
      <c r="D998" t="inlineStr">
        <is>
          <t>Sierpień</t>
        </is>
      </c>
      <c r="E998" t="inlineStr">
        <is>
          <t>W5</t>
        </is>
      </c>
      <c r="F998" t="inlineStr">
        <is>
          <t>2026_Sierpień_W5</t>
        </is>
      </c>
      <c r="G998" t="inlineStr">
        <is>
          <t>Nd</t>
        </is>
      </c>
      <c r="H998" t="inlineStr">
        <is>
          <t>RENKAS, ANTONINA</t>
        </is>
      </c>
      <c r="I998" t="inlineStr">
        <is>
          <t>Crew Civil</t>
        </is>
      </c>
      <c r="J998" t="inlineStr">
        <is>
          <t>Zlecenie</t>
        </is>
      </c>
      <c r="K998" t="n">
        <v>6.48</v>
      </c>
      <c r="L998" t="inlineStr">
        <is>
          <t>384</t>
        </is>
      </c>
      <c r="M998" t="inlineStr">
        <is>
          <t>108120 SBX Warszawa Janki</t>
        </is>
      </c>
      <c r="N998" t="inlineStr">
        <is>
          <t>2026-09-11 19:06</t>
        </is>
      </c>
    </row>
    <row r="999">
      <c r="A999" t="n">
        <v>998</v>
      </c>
      <c r="B999" t="inlineStr">
        <is>
          <t>2026-08-31</t>
        </is>
      </c>
      <c r="C999" t="n">
        <v>2026</v>
      </c>
      <c r="D999" t="inlineStr">
        <is>
          <t>Sierpień</t>
        </is>
      </c>
      <c r="E999" t="inlineStr">
        <is>
          <t>W5</t>
        </is>
      </c>
      <c r="F999" t="inlineStr">
        <is>
          <t>2026_Sierpień_W5</t>
        </is>
      </c>
      <c r="G999" t="inlineStr">
        <is>
          <t>Pn</t>
        </is>
      </c>
      <c r="H999" t="inlineStr">
        <is>
          <t>RENKAS, ANTONINA</t>
        </is>
      </c>
      <c r="I999" t="inlineStr">
        <is>
          <t>Crew Civil</t>
        </is>
      </c>
      <c r="J999" t="inlineStr">
        <is>
          <t>Zlecenie</t>
        </is>
      </c>
      <c r="K999" t="n">
        <v>7.3</v>
      </c>
      <c r="L999" t="inlineStr">
        <is>
          <t>384</t>
        </is>
      </c>
      <c r="M999" t="inlineStr">
        <is>
          <t>108120 SBX Warszawa Janki</t>
        </is>
      </c>
      <c r="N999" t="inlineStr">
        <is>
          <t>2026-09-11 19:06</t>
        </is>
      </c>
    </row>
    <row r="1000">
      <c r="A1000" t="n">
        <v>999</v>
      </c>
      <c r="B1000" t="inlineStr">
        <is>
          <t>2026-09-05</t>
        </is>
      </c>
      <c r="C1000" t="n">
        <v>2026</v>
      </c>
      <c r="D1000" t="inlineStr">
        <is>
          <t>Wrzesień</t>
        </is>
      </c>
      <c r="E1000" t="inlineStr">
        <is>
          <t>W1</t>
        </is>
      </c>
      <c r="F1000" t="inlineStr">
        <is>
          <t>2026_Wrzesień_W1</t>
        </is>
      </c>
      <c r="G1000" t="inlineStr">
        <is>
          <t>Sob</t>
        </is>
      </c>
      <c r="H1000" t="inlineStr">
        <is>
          <t>RENKAS, ANTONINA</t>
        </is>
      </c>
      <c r="I1000" t="inlineStr">
        <is>
          <t>Crew Civil</t>
        </is>
      </c>
      <c r="J1000" t="inlineStr">
        <is>
          <t>Zlecenie</t>
        </is>
      </c>
      <c r="K1000" t="n">
        <v>8.029999999999999</v>
      </c>
      <c r="L1000" t="inlineStr">
        <is>
          <t>384</t>
        </is>
      </c>
      <c r="M1000" t="inlineStr">
        <is>
          <t>108120 SBX Warszawa Janki</t>
        </is>
      </c>
      <c r="N1000" t="inlineStr">
        <is>
          <t>2026-09-11 19:06</t>
        </is>
      </c>
    </row>
    <row r="1001">
      <c r="A1001" t="n">
        <v>1000</v>
      </c>
      <c r="B1001" t="inlineStr">
        <is>
          <t>2026-08-20</t>
        </is>
      </c>
      <c r="C1001" t="n">
        <v>2026</v>
      </c>
      <c r="D1001" t="inlineStr">
        <is>
          <t>Sierpień</t>
        </is>
      </c>
      <c r="E1001" t="inlineStr">
        <is>
          <t>W4</t>
        </is>
      </c>
      <c r="F1001" t="inlineStr">
        <is>
          <t>2026_Sierpień_W4</t>
        </is>
      </c>
      <c r="G1001" t="inlineStr">
        <is>
          <t>Czw</t>
        </is>
      </c>
      <c r="H1001" t="inlineStr">
        <is>
          <t>SEROCZYŃSKA, LENA</t>
        </is>
      </c>
      <c r="I1001" t="inlineStr">
        <is>
          <t>Crew Civil</t>
        </is>
      </c>
      <c r="J1001" t="inlineStr">
        <is>
          <t>Zlecenie</t>
        </is>
      </c>
      <c r="K1001" t="n">
        <v>6.37</v>
      </c>
      <c r="L1001" t="inlineStr">
        <is>
          <t>384</t>
        </is>
      </c>
      <c r="M1001" t="inlineStr">
        <is>
          <t>108120 SBX Warszawa Janki</t>
        </is>
      </c>
      <c r="N1001" t="inlineStr">
        <is>
          <t>2026-09-11 19:06</t>
        </is>
      </c>
    </row>
    <row r="1002">
      <c r="A1002" t="n">
        <v>1001</v>
      </c>
      <c r="B1002" t="inlineStr">
        <is>
          <t>2026-08-21</t>
        </is>
      </c>
      <c r="C1002" t="n">
        <v>2026</v>
      </c>
      <c r="D1002" t="inlineStr">
        <is>
          <t>Sierpień</t>
        </is>
      </c>
      <c r="E1002" t="inlineStr">
        <is>
          <t>W4</t>
        </is>
      </c>
      <c r="F1002" t="inlineStr">
        <is>
          <t>2026_Sierpień_W4</t>
        </is>
      </c>
      <c r="G1002" t="inlineStr">
        <is>
          <t>Pt</t>
        </is>
      </c>
      <c r="H1002" t="inlineStr">
        <is>
          <t>SEROCZYŃSKA, LENA</t>
        </is>
      </c>
      <c r="I1002" t="inlineStr">
        <is>
          <t>Crew Civil</t>
        </is>
      </c>
      <c r="J1002" t="inlineStr">
        <is>
          <t>Zlecenie</t>
        </is>
      </c>
      <c r="K1002" t="n">
        <v>5.98</v>
      </c>
      <c r="L1002" t="inlineStr">
        <is>
          <t>384</t>
        </is>
      </c>
      <c r="M1002" t="inlineStr">
        <is>
          <t>108120 SBX Warszawa Janki</t>
        </is>
      </c>
      <c r="N1002" t="inlineStr">
        <is>
          <t>2026-09-11 19:06</t>
        </is>
      </c>
    </row>
    <row r="1003">
      <c r="A1003" t="n">
        <v>1002</v>
      </c>
      <c r="B1003" t="inlineStr">
        <is>
          <t>2026-08-23</t>
        </is>
      </c>
      <c r="C1003" t="n">
        <v>2026</v>
      </c>
      <c r="D1003" t="inlineStr">
        <is>
          <t>Sierpień</t>
        </is>
      </c>
      <c r="E1003" t="inlineStr">
        <is>
          <t>W4</t>
        </is>
      </c>
      <c r="F1003" t="inlineStr">
        <is>
          <t>2026_Sierpień_W4</t>
        </is>
      </c>
      <c r="G1003" t="inlineStr">
        <is>
          <t>Nd</t>
        </is>
      </c>
      <c r="H1003" t="inlineStr">
        <is>
          <t>SEROCZYŃSKA, LENA</t>
        </is>
      </c>
      <c r="I1003" t="inlineStr">
        <is>
          <t>Crew Civil</t>
        </is>
      </c>
      <c r="J1003" t="inlineStr">
        <is>
          <t>Zlecenie</t>
        </is>
      </c>
      <c r="K1003" t="n">
        <v>1.42</v>
      </c>
      <c r="L1003" t="inlineStr">
        <is>
          <t>384</t>
        </is>
      </c>
      <c r="M1003" t="inlineStr">
        <is>
          <t>108120 SBX Warszawa Janki</t>
        </is>
      </c>
      <c r="N1003" t="inlineStr">
        <is>
          <t>2026-09-11 19:06</t>
        </is>
      </c>
    </row>
    <row r="1004">
      <c r="A1004" t="n">
        <v>1003</v>
      </c>
      <c r="B1004" t="inlineStr">
        <is>
          <t>2026-08-25</t>
        </is>
      </c>
      <c r="C1004" t="n">
        <v>2026</v>
      </c>
      <c r="D1004" t="inlineStr">
        <is>
          <t>Sierpień</t>
        </is>
      </c>
      <c r="E1004" t="inlineStr">
        <is>
          <t>W5</t>
        </is>
      </c>
      <c r="F1004" t="inlineStr">
        <is>
          <t>2026_Sierpień_W5</t>
        </is>
      </c>
      <c r="G1004" t="inlineStr">
        <is>
          <t>Wt</t>
        </is>
      </c>
      <c r="H1004" t="inlineStr">
        <is>
          <t>SEROCZYŃSKA, LENA</t>
        </is>
      </c>
      <c r="I1004" t="inlineStr">
        <is>
          <t>Crew Civil</t>
        </is>
      </c>
      <c r="J1004" t="inlineStr">
        <is>
          <t>Zlecenie</t>
        </is>
      </c>
      <c r="K1004" t="n">
        <v>7.39</v>
      </c>
      <c r="L1004" t="inlineStr">
        <is>
          <t>384</t>
        </is>
      </c>
      <c r="M1004" t="inlineStr">
        <is>
          <t>108120 SBX Warszawa Janki</t>
        </is>
      </c>
      <c r="N1004" t="inlineStr">
        <is>
          <t>2026-09-11 19:06</t>
        </is>
      </c>
    </row>
    <row r="1005">
      <c r="A1005" t="n">
        <v>1004</v>
      </c>
      <c r="B1005" t="inlineStr">
        <is>
          <t>2026-08-27</t>
        </is>
      </c>
      <c r="C1005" t="n">
        <v>2026</v>
      </c>
      <c r="D1005" t="inlineStr">
        <is>
          <t>Sierpień</t>
        </is>
      </c>
      <c r="E1005" t="inlineStr">
        <is>
          <t>W5</t>
        </is>
      </c>
      <c r="F1005" t="inlineStr">
        <is>
          <t>2026_Sierpień_W5</t>
        </is>
      </c>
      <c r="G1005" t="inlineStr">
        <is>
          <t>Czw</t>
        </is>
      </c>
      <c r="H1005" t="inlineStr">
        <is>
          <t>SEROCZYŃSKA, LENA</t>
        </is>
      </c>
      <c r="I1005" t="inlineStr">
        <is>
          <t>Crew Civil</t>
        </is>
      </c>
      <c r="J1005" t="inlineStr">
        <is>
          <t>Zlecenie</t>
        </is>
      </c>
      <c r="K1005" t="n">
        <v>8.039999999999999</v>
      </c>
      <c r="L1005" t="inlineStr">
        <is>
          <t>384</t>
        </is>
      </c>
      <c r="M1005" t="inlineStr">
        <is>
          <t>108120 SBX Warszawa Janki</t>
        </is>
      </c>
      <c r="N1005" t="inlineStr">
        <is>
          <t>2026-09-11 19:06</t>
        </is>
      </c>
    </row>
    <row r="1006">
      <c r="A1006" t="n">
        <v>1005</v>
      </c>
      <c r="B1006" t="inlineStr">
        <is>
          <t>2026-09-03</t>
        </is>
      </c>
      <c r="C1006" t="n">
        <v>2026</v>
      </c>
      <c r="D1006" t="inlineStr">
        <is>
          <t>Wrzesień</t>
        </is>
      </c>
      <c r="E1006" t="inlineStr">
        <is>
          <t>W1</t>
        </is>
      </c>
      <c r="F1006" t="inlineStr">
        <is>
          <t>2026_Wrzesień_W1</t>
        </is>
      </c>
      <c r="G1006" t="inlineStr">
        <is>
          <t>Czw</t>
        </is>
      </c>
      <c r="H1006" t="inlineStr">
        <is>
          <t>SEROCZYŃSKA, LENA</t>
        </is>
      </c>
      <c r="I1006" t="inlineStr">
        <is>
          <t>Crew Civil</t>
        </is>
      </c>
      <c r="J1006" t="inlineStr">
        <is>
          <t>Zlecenie</t>
        </is>
      </c>
      <c r="K1006" t="n">
        <v>5.18</v>
      </c>
      <c r="L1006" t="inlineStr">
        <is>
          <t>384</t>
        </is>
      </c>
      <c r="M1006" t="inlineStr">
        <is>
          <t>108120 SBX Warszawa Janki</t>
        </is>
      </c>
      <c r="N1006" t="inlineStr">
        <is>
          <t>2026-09-11 19:06</t>
        </is>
      </c>
    </row>
    <row r="1007">
      <c r="A1007" t="n">
        <v>1006</v>
      </c>
      <c r="B1007" t="inlineStr">
        <is>
          <t>2026-01-02</t>
        </is>
      </c>
      <c r="C1007" t="n">
        <v>2026</v>
      </c>
      <c r="D1007" t="inlineStr">
        <is>
          <t>Styczeń</t>
        </is>
      </c>
      <c r="E1007" t="inlineStr">
        <is>
          <t>W1</t>
        </is>
      </c>
      <c r="F1007" t="inlineStr">
        <is>
          <t>2026_Styczeń_W1</t>
        </is>
      </c>
      <c r="G1007" t="inlineStr">
        <is>
          <t>Pt</t>
        </is>
      </c>
      <c r="H1007" t="inlineStr">
        <is>
          <t>SZELUGA, DAWID</t>
        </is>
      </c>
      <c r="I1007" t="inlineStr">
        <is>
          <t>General/Store Manager</t>
        </is>
      </c>
      <c r="J1007" t="inlineStr">
        <is>
          <t>Standard 1,0|40h</t>
        </is>
      </c>
      <c r="K1007" t="n">
        <v>8</v>
      </c>
      <c r="L1007" t="inlineStr">
        <is>
          <t>384</t>
        </is>
      </c>
      <c r="M1007" t="inlineStr">
        <is>
          <t>108120 SBX Warszawa Janki</t>
        </is>
      </c>
      <c r="N1007" t="inlineStr">
        <is>
          <t>2026-09-11 19:06</t>
        </is>
      </c>
    </row>
    <row r="1008">
      <c r="A1008" t="n">
        <v>1007</v>
      </c>
      <c r="B1008" t="inlineStr">
        <is>
          <t>2026-01-05</t>
        </is>
      </c>
      <c r="C1008" t="n">
        <v>2026</v>
      </c>
      <c r="D1008" t="inlineStr">
        <is>
          <t>Styczeń</t>
        </is>
      </c>
      <c r="E1008" t="inlineStr">
        <is>
          <t>W1</t>
        </is>
      </c>
      <c r="F1008" t="inlineStr">
        <is>
          <t>2026_Styczeń_W1</t>
        </is>
      </c>
      <c r="G1008" t="inlineStr">
        <is>
          <t>Pn</t>
        </is>
      </c>
      <c r="H1008" t="inlineStr">
        <is>
          <t>SZELUGA, DAWID</t>
        </is>
      </c>
      <c r="I1008" t="inlineStr">
        <is>
          <t>General/Store Manager</t>
        </is>
      </c>
      <c r="J1008" t="inlineStr">
        <is>
          <t>Standard 1,0|40h</t>
        </is>
      </c>
      <c r="K1008" t="n">
        <v>8</v>
      </c>
      <c r="L1008" t="inlineStr">
        <is>
          <t>384</t>
        </is>
      </c>
      <c r="M1008" t="inlineStr">
        <is>
          <t>108120 SBX Warszawa Janki</t>
        </is>
      </c>
      <c r="N1008" t="inlineStr">
        <is>
          <t>2026-09-11 19:06</t>
        </is>
      </c>
    </row>
    <row r="1009">
      <c r="A1009" t="n">
        <v>1008</v>
      </c>
      <c r="B1009" t="inlineStr">
        <is>
          <t>2026-01-07</t>
        </is>
      </c>
      <c r="C1009" t="n">
        <v>2026</v>
      </c>
      <c r="D1009" t="inlineStr">
        <is>
          <t>Styczeń</t>
        </is>
      </c>
      <c r="E1009" t="inlineStr">
        <is>
          <t>W2</t>
        </is>
      </c>
      <c r="F1009" t="inlineStr">
        <is>
          <t>2026_Styczeń_W2</t>
        </is>
      </c>
      <c r="G1009" t="inlineStr">
        <is>
          <t>Śr</t>
        </is>
      </c>
      <c r="H1009" t="inlineStr">
        <is>
          <t>SZELUGA, DAWID</t>
        </is>
      </c>
      <c r="I1009" t="inlineStr">
        <is>
          <t>General/Store Manager</t>
        </is>
      </c>
      <c r="J1009" t="inlineStr">
        <is>
          <t>Standard 1,0|40h</t>
        </is>
      </c>
      <c r="K1009" t="n">
        <v>8</v>
      </c>
      <c r="L1009" t="inlineStr">
        <is>
          <t>384</t>
        </is>
      </c>
      <c r="M1009" t="inlineStr">
        <is>
          <t>108120 SBX Warszawa Janki</t>
        </is>
      </c>
      <c r="N1009" t="inlineStr">
        <is>
          <t>2026-09-11 19:06</t>
        </is>
      </c>
    </row>
    <row r="1010">
      <c r="A1010" t="n">
        <v>1009</v>
      </c>
      <c r="B1010" t="inlineStr">
        <is>
          <t>2026-01-08</t>
        </is>
      </c>
      <c r="C1010" t="n">
        <v>2026</v>
      </c>
      <c r="D1010" t="inlineStr">
        <is>
          <t>Styczeń</t>
        </is>
      </c>
      <c r="E1010" t="inlineStr">
        <is>
          <t>W2</t>
        </is>
      </c>
      <c r="F1010" t="inlineStr">
        <is>
          <t>2026_Styczeń_W2</t>
        </is>
      </c>
      <c r="G1010" t="inlineStr">
        <is>
          <t>Czw</t>
        </is>
      </c>
      <c r="H1010" t="inlineStr">
        <is>
          <t>SZELUGA, DAWID</t>
        </is>
      </c>
      <c r="I1010" t="inlineStr">
        <is>
          <t>General/Store Manager</t>
        </is>
      </c>
      <c r="J1010" t="inlineStr">
        <is>
          <t>Standard 1,0|40h</t>
        </is>
      </c>
      <c r="K1010" t="n">
        <v>8</v>
      </c>
      <c r="L1010" t="inlineStr">
        <is>
          <t>384</t>
        </is>
      </c>
      <c r="M1010" t="inlineStr">
        <is>
          <t>108120 SBX Warszawa Janki</t>
        </is>
      </c>
      <c r="N1010" t="inlineStr">
        <is>
          <t>2026-09-11 19:06</t>
        </is>
      </c>
    </row>
    <row r="1011">
      <c r="A1011" t="n">
        <v>1010</v>
      </c>
      <c r="B1011" t="inlineStr">
        <is>
          <t>2026-01-09</t>
        </is>
      </c>
      <c r="C1011" t="n">
        <v>2026</v>
      </c>
      <c r="D1011" t="inlineStr">
        <is>
          <t>Styczeń</t>
        </is>
      </c>
      <c r="E1011" t="inlineStr">
        <is>
          <t>W2</t>
        </is>
      </c>
      <c r="F1011" t="inlineStr">
        <is>
          <t>2026_Styczeń_W2</t>
        </is>
      </c>
      <c r="G1011" t="inlineStr">
        <is>
          <t>Pt</t>
        </is>
      </c>
      <c r="H1011" t="inlineStr">
        <is>
          <t>SZELUGA, DAWID</t>
        </is>
      </c>
      <c r="I1011" t="inlineStr">
        <is>
          <t>General/Store Manager</t>
        </is>
      </c>
      <c r="J1011" t="inlineStr">
        <is>
          <t>Standard 1,0|40h</t>
        </is>
      </c>
      <c r="K1011" t="n">
        <v>10.75</v>
      </c>
      <c r="L1011" t="inlineStr">
        <is>
          <t>384</t>
        </is>
      </c>
      <c r="M1011" t="inlineStr">
        <is>
          <t>108120 SBX Warszawa Janki</t>
        </is>
      </c>
      <c r="N1011" t="inlineStr">
        <is>
          <t>2026-09-11 19:06</t>
        </is>
      </c>
    </row>
    <row r="1012">
      <c r="A1012" t="n">
        <v>1011</v>
      </c>
      <c r="B1012" t="inlineStr">
        <is>
          <t>2026-01-12</t>
        </is>
      </c>
      <c r="C1012" t="n">
        <v>2026</v>
      </c>
      <c r="D1012" t="inlineStr">
        <is>
          <t>Styczeń</t>
        </is>
      </c>
      <c r="E1012" t="inlineStr">
        <is>
          <t>W2</t>
        </is>
      </c>
      <c r="F1012" t="inlineStr">
        <is>
          <t>2026_Styczeń_W2</t>
        </is>
      </c>
      <c r="G1012" t="inlineStr">
        <is>
          <t>Pn</t>
        </is>
      </c>
      <c r="H1012" t="inlineStr">
        <is>
          <t>SZELUGA, DAWID</t>
        </is>
      </c>
      <c r="I1012" t="inlineStr">
        <is>
          <t>General/Store Manager</t>
        </is>
      </c>
      <c r="J1012" t="inlineStr">
        <is>
          <t>Standard 1,0|40h</t>
        </is>
      </c>
      <c r="K1012" t="n">
        <v>8</v>
      </c>
      <c r="L1012" t="inlineStr">
        <is>
          <t>384</t>
        </is>
      </c>
      <c r="M1012" t="inlineStr">
        <is>
          <t>108120 SBX Warszawa Janki</t>
        </is>
      </c>
      <c r="N1012" t="inlineStr">
        <is>
          <t>2026-09-11 19:06</t>
        </is>
      </c>
    </row>
    <row r="1013">
      <c r="A1013" t="n">
        <v>1012</v>
      </c>
      <c r="B1013" t="inlineStr">
        <is>
          <t>2026-01-13</t>
        </is>
      </c>
      <c r="C1013" t="n">
        <v>2026</v>
      </c>
      <c r="D1013" t="inlineStr">
        <is>
          <t>Styczeń</t>
        </is>
      </c>
      <c r="E1013" t="inlineStr">
        <is>
          <t>W3</t>
        </is>
      </c>
      <c r="F1013" t="inlineStr">
        <is>
          <t>2026_Styczeń_W3</t>
        </is>
      </c>
      <c r="G1013" t="inlineStr">
        <is>
          <t>Wt</t>
        </is>
      </c>
      <c r="H1013" t="inlineStr">
        <is>
          <t>SZELUGA, DAWID</t>
        </is>
      </c>
      <c r="I1013" t="inlineStr">
        <is>
          <t>General/Store Manager</t>
        </is>
      </c>
      <c r="J1013" t="inlineStr">
        <is>
          <t>Standard 1,0|40h</t>
        </is>
      </c>
      <c r="K1013" t="n">
        <v>8</v>
      </c>
      <c r="L1013" t="inlineStr">
        <is>
          <t>384</t>
        </is>
      </c>
      <c r="M1013" t="inlineStr">
        <is>
          <t>108120 SBX Warszawa Janki</t>
        </is>
      </c>
      <c r="N1013" t="inlineStr">
        <is>
          <t>2026-09-11 19:06</t>
        </is>
      </c>
    </row>
    <row r="1014">
      <c r="A1014" t="n">
        <v>1013</v>
      </c>
      <c r="B1014" t="inlineStr">
        <is>
          <t>2026-01-14</t>
        </is>
      </c>
      <c r="C1014" t="n">
        <v>2026</v>
      </c>
      <c r="D1014" t="inlineStr">
        <is>
          <t>Styczeń</t>
        </is>
      </c>
      <c r="E1014" t="inlineStr">
        <is>
          <t>W3</t>
        </is>
      </c>
      <c r="F1014" t="inlineStr">
        <is>
          <t>2026_Styczeń_W3</t>
        </is>
      </c>
      <c r="G1014" t="inlineStr">
        <is>
          <t>Śr</t>
        </is>
      </c>
      <c r="H1014" t="inlineStr">
        <is>
          <t>SZELUGA, DAWID</t>
        </is>
      </c>
      <c r="I1014" t="inlineStr">
        <is>
          <t>General/Store Manager</t>
        </is>
      </c>
      <c r="J1014" t="inlineStr">
        <is>
          <t>Standard 1,0|40h</t>
        </is>
      </c>
      <c r="K1014" t="n">
        <v>8</v>
      </c>
      <c r="L1014" t="inlineStr">
        <is>
          <t>384</t>
        </is>
      </c>
      <c r="M1014" t="inlineStr">
        <is>
          <t>108120 SBX Warszawa Janki</t>
        </is>
      </c>
      <c r="N1014" t="inlineStr">
        <is>
          <t>2026-09-11 19:06</t>
        </is>
      </c>
    </row>
    <row r="1015">
      <c r="A1015" t="n">
        <v>1014</v>
      </c>
      <c r="B1015" t="inlineStr">
        <is>
          <t>2026-01-15</t>
        </is>
      </c>
      <c r="C1015" t="n">
        <v>2026</v>
      </c>
      <c r="D1015" t="inlineStr">
        <is>
          <t>Styczeń</t>
        </is>
      </c>
      <c r="E1015" t="inlineStr">
        <is>
          <t>W3</t>
        </is>
      </c>
      <c r="F1015" t="inlineStr">
        <is>
          <t>2026_Styczeń_W3</t>
        </is>
      </c>
      <c r="G1015" t="inlineStr">
        <is>
          <t>Czw</t>
        </is>
      </c>
      <c r="H1015" t="inlineStr">
        <is>
          <t>SZELUGA, DAWID</t>
        </is>
      </c>
      <c r="I1015" t="inlineStr">
        <is>
          <t>General/Store Manager</t>
        </is>
      </c>
      <c r="J1015" t="inlineStr">
        <is>
          <t>Standard 1,0|40h</t>
        </is>
      </c>
      <c r="K1015" t="n">
        <v>8</v>
      </c>
      <c r="L1015" t="inlineStr">
        <is>
          <t>384</t>
        </is>
      </c>
      <c r="M1015" t="inlineStr">
        <is>
          <t>108120 SBX Warszawa Janki</t>
        </is>
      </c>
      <c r="N1015" t="inlineStr">
        <is>
          <t>2026-09-11 19:06</t>
        </is>
      </c>
    </row>
    <row r="1016">
      <c r="A1016" t="n">
        <v>1015</v>
      </c>
      <c r="B1016" t="inlineStr">
        <is>
          <t>2026-01-16</t>
        </is>
      </c>
      <c r="C1016" t="n">
        <v>2026</v>
      </c>
      <c r="D1016" t="inlineStr">
        <is>
          <t>Styczeń</t>
        </is>
      </c>
      <c r="E1016" t="inlineStr">
        <is>
          <t>W3</t>
        </is>
      </c>
      <c r="F1016" t="inlineStr">
        <is>
          <t>2026_Styczeń_W3</t>
        </is>
      </c>
      <c r="G1016" t="inlineStr">
        <is>
          <t>Pt</t>
        </is>
      </c>
      <c r="H1016" t="inlineStr">
        <is>
          <t>SZELUGA, DAWID</t>
        </is>
      </c>
      <c r="I1016" t="inlineStr">
        <is>
          <t>General/Store Manager</t>
        </is>
      </c>
      <c r="J1016" t="inlineStr">
        <is>
          <t>Standard 1,0|40h</t>
        </is>
      </c>
      <c r="K1016" t="n">
        <v>6</v>
      </c>
      <c r="L1016" t="inlineStr">
        <is>
          <t>384</t>
        </is>
      </c>
      <c r="M1016" t="inlineStr">
        <is>
          <t>108120 SBX Warszawa Janki</t>
        </is>
      </c>
      <c r="N1016" t="inlineStr">
        <is>
          <t>2026-09-11 19:06</t>
        </is>
      </c>
    </row>
    <row r="1017">
      <c r="A1017" t="n">
        <v>1016</v>
      </c>
      <c r="B1017" t="inlineStr">
        <is>
          <t>2026-01-19</t>
        </is>
      </c>
      <c r="C1017" t="n">
        <v>2026</v>
      </c>
      <c r="D1017" t="inlineStr">
        <is>
          <t>Styczeń</t>
        </is>
      </c>
      <c r="E1017" t="inlineStr">
        <is>
          <t>W3</t>
        </is>
      </c>
      <c r="F1017" t="inlineStr">
        <is>
          <t>2026_Styczeń_W3</t>
        </is>
      </c>
      <c r="G1017" t="inlineStr">
        <is>
          <t>Pn</t>
        </is>
      </c>
      <c r="H1017" t="inlineStr">
        <is>
          <t>SZELUGA, DAWID</t>
        </is>
      </c>
      <c r="I1017" t="inlineStr">
        <is>
          <t>General/Store Manager</t>
        </is>
      </c>
      <c r="J1017" t="inlineStr">
        <is>
          <t>Standard 1,0|40h</t>
        </is>
      </c>
      <c r="K1017" t="n">
        <v>0.25</v>
      </c>
      <c r="L1017" t="inlineStr">
        <is>
          <t>384</t>
        </is>
      </c>
      <c r="M1017" t="inlineStr">
        <is>
          <t>108120 SBX Warszawa Janki</t>
        </is>
      </c>
      <c r="N1017" t="inlineStr">
        <is>
          <t>2026-09-11 19:06</t>
        </is>
      </c>
    </row>
    <row r="1018">
      <c r="A1018" t="n">
        <v>1017</v>
      </c>
      <c r="B1018" t="inlineStr">
        <is>
          <t>2026-01-20</t>
        </is>
      </c>
      <c r="C1018" t="n">
        <v>2026</v>
      </c>
      <c r="D1018" t="inlineStr">
        <is>
          <t>Styczeń</t>
        </is>
      </c>
      <c r="E1018" t="inlineStr">
        <is>
          <t>W4</t>
        </is>
      </c>
      <c r="F1018" t="inlineStr">
        <is>
          <t>2026_Styczeń_W4</t>
        </is>
      </c>
      <c r="G1018" t="inlineStr">
        <is>
          <t>Wt</t>
        </is>
      </c>
      <c r="H1018" t="inlineStr">
        <is>
          <t>SZELUGA, DAWID</t>
        </is>
      </c>
      <c r="I1018" t="inlineStr">
        <is>
          <t>General/Store Manager</t>
        </is>
      </c>
      <c r="J1018" t="inlineStr">
        <is>
          <t>Standard 1,0|40h</t>
        </is>
      </c>
      <c r="K1018" t="n">
        <v>8</v>
      </c>
      <c r="L1018" t="inlineStr">
        <is>
          <t>384</t>
        </is>
      </c>
      <c r="M1018" t="inlineStr">
        <is>
          <t>108120 SBX Warszawa Janki</t>
        </is>
      </c>
      <c r="N1018" t="inlineStr">
        <is>
          <t>2026-09-11 19:06</t>
        </is>
      </c>
    </row>
    <row r="1019">
      <c r="A1019" t="n">
        <v>1018</v>
      </c>
      <c r="B1019" t="inlineStr">
        <is>
          <t>2026-01-21</t>
        </is>
      </c>
      <c r="C1019" t="n">
        <v>2026</v>
      </c>
      <c r="D1019" t="inlineStr">
        <is>
          <t>Styczeń</t>
        </is>
      </c>
      <c r="E1019" t="inlineStr">
        <is>
          <t>W4</t>
        </is>
      </c>
      <c r="F1019" t="inlineStr">
        <is>
          <t>2026_Styczeń_W4</t>
        </is>
      </c>
      <c r="G1019" t="inlineStr">
        <is>
          <t>Śr</t>
        </is>
      </c>
      <c r="H1019" t="inlineStr">
        <is>
          <t>SZELUGA, DAWID</t>
        </is>
      </c>
      <c r="I1019" t="inlineStr">
        <is>
          <t>General/Store Manager</t>
        </is>
      </c>
      <c r="J1019" t="inlineStr">
        <is>
          <t>Standard 1,0|40h</t>
        </is>
      </c>
      <c r="K1019" t="n">
        <v>4</v>
      </c>
      <c r="L1019" t="inlineStr">
        <is>
          <t>384</t>
        </is>
      </c>
      <c r="M1019" t="inlineStr">
        <is>
          <t>108120 SBX Warszawa Janki</t>
        </is>
      </c>
      <c r="N1019" t="inlineStr">
        <is>
          <t>2026-09-11 19:06</t>
        </is>
      </c>
    </row>
    <row r="1020">
      <c r="A1020" t="n">
        <v>1019</v>
      </c>
      <c r="B1020" t="inlineStr">
        <is>
          <t>2026-01-22</t>
        </is>
      </c>
      <c r="C1020" t="n">
        <v>2026</v>
      </c>
      <c r="D1020" t="inlineStr">
        <is>
          <t>Styczeń</t>
        </is>
      </c>
      <c r="E1020" t="inlineStr">
        <is>
          <t>W4</t>
        </is>
      </c>
      <c r="F1020" t="inlineStr">
        <is>
          <t>2026_Styczeń_W4</t>
        </is>
      </c>
      <c r="G1020" t="inlineStr">
        <is>
          <t>Czw</t>
        </is>
      </c>
      <c r="H1020" t="inlineStr">
        <is>
          <t>SZELUGA, DAWID</t>
        </is>
      </c>
      <c r="I1020" t="inlineStr">
        <is>
          <t>General/Store Manager</t>
        </is>
      </c>
      <c r="J1020" t="inlineStr">
        <is>
          <t>Standard 1,0|40h</t>
        </is>
      </c>
      <c r="K1020" t="n">
        <v>4</v>
      </c>
      <c r="L1020" t="inlineStr">
        <is>
          <t>384</t>
        </is>
      </c>
      <c r="M1020" t="inlineStr">
        <is>
          <t>108120 SBX Warszawa Janki</t>
        </is>
      </c>
      <c r="N1020" t="inlineStr">
        <is>
          <t>2026-09-11 19:06</t>
        </is>
      </c>
    </row>
    <row r="1021">
      <c r="A1021" t="n">
        <v>1020</v>
      </c>
      <c r="B1021" t="inlineStr">
        <is>
          <t>2026-01-23</t>
        </is>
      </c>
      <c r="C1021" t="n">
        <v>2026</v>
      </c>
      <c r="D1021" t="inlineStr">
        <is>
          <t>Styczeń</t>
        </is>
      </c>
      <c r="E1021" t="inlineStr">
        <is>
          <t>W4</t>
        </is>
      </c>
      <c r="F1021" t="inlineStr">
        <is>
          <t>2026_Styczeń_W4</t>
        </is>
      </c>
      <c r="G1021" t="inlineStr">
        <is>
          <t>Pt</t>
        </is>
      </c>
      <c r="H1021" t="inlineStr">
        <is>
          <t>SZELUGA, DAWID</t>
        </is>
      </c>
      <c r="I1021" t="inlineStr">
        <is>
          <t>General/Store Manager</t>
        </is>
      </c>
      <c r="J1021" t="inlineStr">
        <is>
          <t>Standard 1,0|40h</t>
        </is>
      </c>
      <c r="K1021" t="n">
        <v>8.5</v>
      </c>
      <c r="L1021" t="inlineStr">
        <is>
          <t>384</t>
        </is>
      </c>
      <c r="M1021" t="inlineStr">
        <is>
          <t>108120 SBX Warszawa Janki</t>
        </is>
      </c>
      <c r="N1021" t="inlineStr">
        <is>
          <t>2026-09-11 19:06</t>
        </is>
      </c>
    </row>
    <row r="1022">
      <c r="A1022" t="n">
        <v>1021</v>
      </c>
      <c r="B1022" t="inlineStr">
        <is>
          <t>2026-01-26</t>
        </is>
      </c>
      <c r="C1022" t="n">
        <v>2026</v>
      </c>
      <c r="D1022" t="inlineStr">
        <is>
          <t>Styczeń</t>
        </is>
      </c>
      <c r="E1022" t="inlineStr">
        <is>
          <t>W4</t>
        </is>
      </c>
      <c r="F1022" t="inlineStr">
        <is>
          <t>2026_Styczeń_W4</t>
        </is>
      </c>
      <c r="G1022" t="inlineStr">
        <is>
          <t>Pn</t>
        </is>
      </c>
      <c r="H1022" t="inlineStr">
        <is>
          <t>SZELUGA, DAWID</t>
        </is>
      </c>
      <c r="I1022" t="inlineStr">
        <is>
          <t>General/Store Manager</t>
        </is>
      </c>
      <c r="J1022" t="inlineStr">
        <is>
          <t>Standard 1,0|40h</t>
        </is>
      </c>
      <c r="K1022" t="n">
        <v>6.5</v>
      </c>
      <c r="L1022" t="inlineStr">
        <is>
          <t>384</t>
        </is>
      </c>
      <c r="M1022" t="inlineStr">
        <is>
          <t>108120 SBX Warszawa Janki</t>
        </is>
      </c>
      <c r="N1022" t="inlineStr">
        <is>
          <t>2026-09-11 19:06</t>
        </is>
      </c>
    </row>
    <row r="1023">
      <c r="A1023" t="n">
        <v>1022</v>
      </c>
      <c r="B1023" t="inlineStr">
        <is>
          <t>2026-01-27</t>
        </is>
      </c>
      <c r="C1023" t="n">
        <v>2026</v>
      </c>
      <c r="D1023" t="inlineStr">
        <is>
          <t>Styczeń</t>
        </is>
      </c>
      <c r="E1023" t="inlineStr">
        <is>
          <t>W5</t>
        </is>
      </c>
      <c r="F1023" t="inlineStr">
        <is>
          <t>2026_Styczeń_W5</t>
        </is>
      </c>
      <c r="G1023" t="inlineStr">
        <is>
          <t>Wt</t>
        </is>
      </c>
      <c r="H1023" t="inlineStr">
        <is>
          <t>SZELUGA, DAWID</t>
        </is>
      </c>
      <c r="I1023" t="inlineStr">
        <is>
          <t>General/Store Manager</t>
        </is>
      </c>
      <c r="J1023" t="inlineStr">
        <is>
          <t>Standard 1,0|40h</t>
        </is>
      </c>
      <c r="K1023" t="n">
        <v>11.33</v>
      </c>
      <c r="L1023" t="inlineStr">
        <is>
          <t>384</t>
        </is>
      </c>
      <c r="M1023" t="inlineStr">
        <is>
          <t>108120 SBX Warszawa Janki</t>
        </is>
      </c>
      <c r="N1023" t="inlineStr">
        <is>
          <t>2026-09-11 19:06</t>
        </is>
      </c>
    </row>
    <row r="1024">
      <c r="A1024" t="n">
        <v>1023</v>
      </c>
      <c r="B1024" t="inlineStr">
        <is>
          <t>2026-02-01</t>
        </is>
      </c>
      <c r="C1024" t="n">
        <v>2026</v>
      </c>
      <c r="D1024" t="inlineStr">
        <is>
          <t>Luty</t>
        </is>
      </c>
      <c r="E1024" t="inlineStr">
        <is>
          <t>W1</t>
        </is>
      </c>
      <c r="F1024" t="inlineStr">
        <is>
          <t>2026_Luty_W1</t>
        </is>
      </c>
      <c r="G1024" t="inlineStr">
        <is>
          <t>Nd</t>
        </is>
      </c>
      <c r="H1024" t="inlineStr">
        <is>
          <t>SZELUGA, DAWID</t>
        </is>
      </c>
      <c r="I1024" t="inlineStr">
        <is>
          <t>General/Store Manager</t>
        </is>
      </c>
      <c r="J1024" t="inlineStr">
        <is>
          <t>Standard 1,0|40h</t>
        </is>
      </c>
      <c r="K1024" t="n">
        <v>6</v>
      </c>
      <c r="L1024" t="inlineStr">
        <is>
          <t>384</t>
        </is>
      </c>
      <c r="M1024" t="inlineStr">
        <is>
          <t>108120 SBX Warszawa Janki</t>
        </is>
      </c>
      <c r="N1024" t="inlineStr">
        <is>
          <t>2026-09-11 19:06</t>
        </is>
      </c>
    </row>
    <row r="1025">
      <c r="A1025" t="n">
        <v>1024</v>
      </c>
      <c r="B1025" t="inlineStr">
        <is>
          <t>2026-02-02</t>
        </is>
      </c>
      <c r="C1025" t="n">
        <v>2026</v>
      </c>
      <c r="D1025" t="inlineStr">
        <is>
          <t>Luty</t>
        </is>
      </c>
      <c r="E1025" t="inlineStr">
        <is>
          <t>W1</t>
        </is>
      </c>
      <c r="F1025" t="inlineStr">
        <is>
          <t>2026_Luty_W1</t>
        </is>
      </c>
      <c r="G1025" t="inlineStr">
        <is>
          <t>Pn</t>
        </is>
      </c>
      <c r="H1025" t="inlineStr">
        <is>
          <t>SZELUGA, DAWID</t>
        </is>
      </c>
      <c r="I1025" t="inlineStr">
        <is>
          <t>General/Store Manager</t>
        </is>
      </c>
      <c r="J1025" t="inlineStr">
        <is>
          <t>Standard 1,0|40h</t>
        </is>
      </c>
      <c r="K1025" t="n">
        <v>8</v>
      </c>
      <c r="L1025" t="inlineStr">
        <is>
          <t>384</t>
        </is>
      </c>
      <c r="M1025" t="inlineStr">
        <is>
          <t>108120 SBX Warszawa Janki</t>
        </is>
      </c>
      <c r="N1025" t="inlineStr">
        <is>
          <t>2026-09-11 19:06</t>
        </is>
      </c>
    </row>
    <row r="1026">
      <c r="A1026" t="n">
        <v>1025</v>
      </c>
      <c r="B1026" t="inlineStr">
        <is>
          <t>2026-02-03</t>
        </is>
      </c>
      <c r="C1026" t="n">
        <v>2026</v>
      </c>
      <c r="D1026" t="inlineStr">
        <is>
          <t>Luty</t>
        </is>
      </c>
      <c r="E1026" t="inlineStr">
        <is>
          <t>W2</t>
        </is>
      </c>
      <c r="F1026" t="inlineStr">
        <is>
          <t>2026_Luty_W2</t>
        </is>
      </c>
      <c r="G1026" t="inlineStr">
        <is>
          <t>Wt</t>
        </is>
      </c>
      <c r="H1026" t="inlineStr">
        <is>
          <t>SZELUGA, DAWID</t>
        </is>
      </c>
      <c r="I1026" t="inlineStr">
        <is>
          <t>General/Store Manager</t>
        </is>
      </c>
      <c r="J1026" t="inlineStr">
        <is>
          <t>Standard 1,0|40h</t>
        </is>
      </c>
      <c r="K1026" t="n">
        <v>9.74</v>
      </c>
      <c r="L1026" t="inlineStr">
        <is>
          <t>384</t>
        </is>
      </c>
      <c r="M1026" t="inlineStr">
        <is>
          <t>108120 SBX Warszawa Janki</t>
        </is>
      </c>
      <c r="N1026" t="inlineStr">
        <is>
          <t>2026-09-11 19:06</t>
        </is>
      </c>
    </row>
    <row r="1027">
      <c r="A1027" t="n">
        <v>1026</v>
      </c>
      <c r="B1027" t="inlineStr">
        <is>
          <t>2026-02-04</t>
        </is>
      </c>
      <c r="C1027" t="n">
        <v>2026</v>
      </c>
      <c r="D1027" t="inlineStr">
        <is>
          <t>Luty</t>
        </is>
      </c>
      <c r="E1027" t="inlineStr">
        <is>
          <t>W2</t>
        </is>
      </c>
      <c r="F1027" t="inlineStr">
        <is>
          <t>2026_Luty_W2</t>
        </is>
      </c>
      <c r="G1027" t="inlineStr">
        <is>
          <t>Śr</t>
        </is>
      </c>
      <c r="H1027" t="inlineStr">
        <is>
          <t>SZELUGA, DAWID</t>
        </is>
      </c>
      <c r="I1027" t="inlineStr">
        <is>
          <t>General/Store Manager</t>
        </is>
      </c>
      <c r="J1027" t="inlineStr">
        <is>
          <t>Standard 1,0|40h</t>
        </is>
      </c>
      <c r="K1027" t="n">
        <v>8.029999999999999</v>
      </c>
      <c r="L1027" t="inlineStr">
        <is>
          <t>384</t>
        </is>
      </c>
      <c r="M1027" t="inlineStr">
        <is>
          <t>108120 SBX Warszawa Janki</t>
        </is>
      </c>
      <c r="N1027" t="inlineStr">
        <is>
          <t>2026-09-11 19:06</t>
        </is>
      </c>
    </row>
    <row r="1028">
      <c r="A1028" t="n">
        <v>1027</v>
      </c>
      <c r="B1028" t="inlineStr">
        <is>
          <t>2026-02-05</t>
        </is>
      </c>
      <c r="C1028" t="n">
        <v>2026</v>
      </c>
      <c r="D1028" t="inlineStr">
        <is>
          <t>Luty</t>
        </is>
      </c>
      <c r="E1028" t="inlineStr">
        <is>
          <t>W2</t>
        </is>
      </c>
      <c r="F1028" t="inlineStr">
        <is>
          <t>2026_Luty_W2</t>
        </is>
      </c>
      <c r="G1028" t="inlineStr">
        <is>
          <t>Czw</t>
        </is>
      </c>
      <c r="H1028" t="inlineStr">
        <is>
          <t>SZELUGA, DAWID</t>
        </is>
      </c>
      <c r="I1028" t="inlineStr">
        <is>
          <t>General/Store Manager</t>
        </is>
      </c>
      <c r="J1028" t="inlineStr">
        <is>
          <t>Standard 1,0|40h</t>
        </is>
      </c>
      <c r="K1028" t="n">
        <v>6.15</v>
      </c>
      <c r="L1028" t="inlineStr">
        <is>
          <t>384</t>
        </is>
      </c>
      <c r="M1028" t="inlineStr">
        <is>
          <t>108120 SBX Warszawa Janki</t>
        </is>
      </c>
      <c r="N1028" t="inlineStr">
        <is>
          <t>2026-09-11 19:06</t>
        </is>
      </c>
    </row>
    <row r="1029">
      <c r="A1029" t="n">
        <v>1028</v>
      </c>
      <c r="B1029" t="inlineStr">
        <is>
          <t>2026-02-06</t>
        </is>
      </c>
      <c r="C1029" t="n">
        <v>2026</v>
      </c>
      <c r="D1029" t="inlineStr">
        <is>
          <t>Luty</t>
        </is>
      </c>
      <c r="E1029" t="inlineStr">
        <is>
          <t>W2</t>
        </is>
      </c>
      <c r="F1029" t="inlineStr">
        <is>
          <t>2026_Luty_W2</t>
        </is>
      </c>
      <c r="G1029" t="inlineStr">
        <is>
          <t>Pt</t>
        </is>
      </c>
      <c r="H1029" t="inlineStr">
        <is>
          <t>SZELUGA, DAWID</t>
        </is>
      </c>
      <c r="I1029" t="inlineStr">
        <is>
          <t>General/Store Manager</t>
        </is>
      </c>
      <c r="J1029" t="inlineStr">
        <is>
          <t>Standard 1,0|40h</t>
        </is>
      </c>
      <c r="K1029" t="n">
        <v>7.97</v>
      </c>
      <c r="L1029" t="inlineStr">
        <is>
          <t>384</t>
        </is>
      </c>
      <c r="M1029" t="inlineStr">
        <is>
          <t>108120 SBX Warszawa Janki</t>
        </is>
      </c>
      <c r="N1029" t="inlineStr">
        <is>
          <t>2026-09-11 19:06</t>
        </is>
      </c>
    </row>
    <row r="1030">
      <c r="A1030" t="n">
        <v>1029</v>
      </c>
      <c r="B1030" t="inlineStr">
        <is>
          <t>2026-02-09</t>
        </is>
      </c>
      <c r="C1030" t="n">
        <v>2026</v>
      </c>
      <c r="D1030" t="inlineStr">
        <is>
          <t>Luty</t>
        </is>
      </c>
      <c r="E1030" t="inlineStr">
        <is>
          <t>W2</t>
        </is>
      </c>
      <c r="F1030" t="inlineStr">
        <is>
          <t>2026_Luty_W2</t>
        </is>
      </c>
      <c r="G1030" t="inlineStr">
        <is>
          <t>Pn</t>
        </is>
      </c>
      <c r="H1030" t="inlineStr">
        <is>
          <t>SZELUGA, DAWID</t>
        </is>
      </c>
      <c r="I1030" t="inlineStr">
        <is>
          <t>General/Store Manager</t>
        </is>
      </c>
      <c r="J1030" t="inlineStr">
        <is>
          <t>Standard 1,0|40h</t>
        </is>
      </c>
      <c r="K1030" t="n">
        <v>6</v>
      </c>
      <c r="L1030" t="inlineStr">
        <is>
          <t>384</t>
        </is>
      </c>
      <c r="M1030" t="inlineStr">
        <is>
          <t>108120 SBX Warszawa Janki</t>
        </is>
      </c>
      <c r="N1030" t="inlineStr">
        <is>
          <t>2026-09-11 19:06</t>
        </is>
      </c>
    </row>
    <row r="1031">
      <c r="A1031" t="n">
        <v>1030</v>
      </c>
      <c r="B1031" t="inlineStr">
        <is>
          <t>2026-02-10</t>
        </is>
      </c>
      <c r="C1031" t="n">
        <v>2026</v>
      </c>
      <c r="D1031" t="inlineStr">
        <is>
          <t>Luty</t>
        </is>
      </c>
      <c r="E1031" t="inlineStr">
        <is>
          <t>W3</t>
        </is>
      </c>
      <c r="F1031" t="inlineStr">
        <is>
          <t>2026_Luty_W3</t>
        </is>
      </c>
      <c r="G1031" t="inlineStr">
        <is>
          <t>Wt</t>
        </is>
      </c>
      <c r="H1031" t="inlineStr">
        <is>
          <t>SZELUGA, DAWID</t>
        </is>
      </c>
      <c r="I1031" t="inlineStr">
        <is>
          <t>General/Store Manager</t>
        </is>
      </c>
      <c r="J1031" t="inlineStr">
        <is>
          <t>Standard 1,0|40h</t>
        </is>
      </c>
      <c r="K1031" t="n">
        <v>8</v>
      </c>
      <c r="L1031" t="inlineStr">
        <is>
          <t>384</t>
        </is>
      </c>
      <c r="M1031" t="inlineStr">
        <is>
          <t>108120 SBX Warszawa Janki</t>
        </is>
      </c>
      <c r="N1031" t="inlineStr">
        <is>
          <t>2026-09-11 19:06</t>
        </is>
      </c>
    </row>
    <row r="1032">
      <c r="A1032" t="n">
        <v>1031</v>
      </c>
      <c r="B1032" t="inlineStr">
        <is>
          <t>2026-02-11</t>
        </is>
      </c>
      <c r="C1032" t="n">
        <v>2026</v>
      </c>
      <c r="D1032" t="inlineStr">
        <is>
          <t>Luty</t>
        </is>
      </c>
      <c r="E1032" t="inlineStr">
        <is>
          <t>W3</t>
        </is>
      </c>
      <c r="F1032" t="inlineStr">
        <is>
          <t>2026_Luty_W3</t>
        </is>
      </c>
      <c r="G1032" t="inlineStr">
        <is>
          <t>Śr</t>
        </is>
      </c>
      <c r="H1032" t="inlineStr">
        <is>
          <t>SZELUGA, DAWID</t>
        </is>
      </c>
      <c r="I1032" t="inlineStr">
        <is>
          <t>General/Store Manager</t>
        </is>
      </c>
      <c r="J1032" t="inlineStr">
        <is>
          <t>Standard 1,0|40h</t>
        </is>
      </c>
      <c r="K1032" t="n">
        <v>6</v>
      </c>
      <c r="L1032" t="inlineStr">
        <is>
          <t>384</t>
        </is>
      </c>
      <c r="M1032" t="inlineStr">
        <is>
          <t>108120 SBX Warszawa Janki</t>
        </is>
      </c>
      <c r="N1032" t="inlineStr">
        <is>
          <t>2026-09-11 19:06</t>
        </is>
      </c>
    </row>
    <row r="1033">
      <c r="A1033" t="n">
        <v>1032</v>
      </c>
      <c r="B1033" t="inlineStr">
        <is>
          <t>2026-02-13</t>
        </is>
      </c>
      <c r="C1033" t="n">
        <v>2026</v>
      </c>
      <c r="D1033" t="inlineStr">
        <is>
          <t>Luty</t>
        </is>
      </c>
      <c r="E1033" t="inlineStr">
        <is>
          <t>W3</t>
        </is>
      </c>
      <c r="F1033" t="inlineStr">
        <is>
          <t>2026_Luty_W3</t>
        </is>
      </c>
      <c r="G1033" t="inlineStr">
        <is>
          <t>Pt</t>
        </is>
      </c>
      <c r="H1033" t="inlineStr">
        <is>
          <t>SZELUGA, DAWID</t>
        </is>
      </c>
      <c r="I1033" t="inlineStr">
        <is>
          <t>General/Store Manager</t>
        </is>
      </c>
      <c r="J1033" t="inlineStr">
        <is>
          <t>Standard 1,0|40h</t>
        </is>
      </c>
      <c r="K1033" t="n">
        <v>8</v>
      </c>
      <c r="L1033" t="inlineStr">
        <is>
          <t>384</t>
        </is>
      </c>
      <c r="M1033" t="inlineStr">
        <is>
          <t>108120 SBX Warszawa Janki</t>
        </is>
      </c>
      <c r="N1033" t="inlineStr">
        <is>
          <t>2026-09-11 19:06</t>
        </is>
      </c>
    </row>
    <row r="1034">
      <c r="A1034" t="n">
        <v>1033</v>
      </c>
      <c r="B1034" t="inlineStr">
        <is>
          <t>2026-02-14</t>
        </is>
      </c>
      <c r="C1034" t="n">
        <v>2026</v>
      </c>
      <c r="D1034" t="inlineStr">
        <is>
          <t>Luty</t>
        </is>
      </c>
      <c r="E1034" t="inlineStr">
        <is>
          <t>W3</t>
        </is>
      </c>
      <c r="F1034" t="inlineStr">
        <is>
          <t>2026_Luty_W3</t>
        </is>
      </c>
      <c r="G1034" t="inlineStr">
        <is>
          <t>Sob</t>
        </is>
      </c>
      <c r="H1034" t="inlineStr">
        <is>
          <t>SZELUGA, DAWID</t>
        </is>
      </c>
      <c r="I1034" t="inlineStr">
        <is>
          <t>General/Store Manager</t>
        </is>
      </c>
      <c r="J1034" t="inlineStr">
        <is>
          <t>Standard 1,0|40h</t>
        </is>
      </c>
      <c r="K1034" t="n">
        <v>8.5</v>
      </c>
      <c r="L1034" t="inlineStr">
        <is>
          <t>384</t>
        </is>
      </c>
      <c r="M1034" t="inlineStr">
        <is>
          <t>108120 SBX Warszawa Janki</t>
        </is>
      </c>
      <c r="N1034" t="inlineStr">
        <is>
          <t>2026-09-11 19:06</t>
        </is>
      </c>
    </row>
    <row r="1035">
      <c r="A1035" t="n">
        <v>1034</v>
      </c>
      <c r="B1035" t="inlineStr">
        <is>
          <t>2026-02-15</t>
        </is>
      </c>
      <c r="C1035" t="n">
        <v>2026</v>
      </c>
      <c r="D1035" t="inlineStr">
        <is>
          <t>Luty</t>
        </is>
      </c>
      <c r="E1035" t="inlineStr">
        <is>
          <t>W3</t>
        </is>
      </c>
      <c r="F1035" t="inlineStr">
        <is>
          <t>2026_Luty_W3</t>
        </is>
      </c>
      <c r="G1035" t="inlineStr">
        <is>
          <t>Nd</t>
        </is>
      </c>
      <c r="H1035" t="inlineStr">
        <is>
          <t>SZELUGA, DAWID</t>
        </is>
      </c>
      <c r="I1035" t="inlineStr">
        <is>
          <t>General/Store Manager</t>
        </is>
      </c>
      <c r="J1035" t="inlineStr">
        <is>
          <t>Standard 1,0|40h</t>
        </is>
      </c>
      <c r="K1035" t="n">
        <v>6</v>
      </c>
      <c r="L1035" t="inlineStr">
        <is>
          <t>384</t>
        </is>
      </c>
      <c r="M1035" t="inlineStr">
        <is>
          <t>108120 SBX Warszawa Janki</t>
        </is>
      </c>
      <c r="N1035" t="inlineStr">
        <is>
          <t>2026-09-11 19:06</t>
        </is>
      </c>
    </row>
    <row r="1036">
      <c r="A1036" t="n">
        <v>1035</v>
      </c>
      <c r="B1036" t="inlineStr">
        <is>
          <t>2026-02-16</t>
        </is>
      </c>
      <c r="C1036" t="n">
        <v>2026</v>
      </c>
      <c r="D1036" t="inlineStr">
        <is>
          <t>Luty</t>
        </is>
      </c>
      <c r="E1036" t="inlineStr">
        <is>
          <t>W3</t>
        </is>
      </c>
      <c r="F1036" t="inlineStr">
        <is>
          <t>2026_Luty_W3</t>
        </is>
      </c>
      <c r="G1036" t="inlineStr">
        <is>
          <t>Pn</t>
        </is>
      </c>
      <c r="H1036" t="inlineStr">
        <is>
          <t>SZELUGA, DAWID</t>
        </is>
      </c>
      <c r="I1036" t="inlineStr">
        <is>
          <t>General/Store Manager</t>
        </is>
      </c>
      <c r="J1036" t="inlineStr">
        <is>
          <t>Standard 1,0|40h</t>
        </is>
      </c>
      <c r="K1036" t="n">
        <v>8.81</v>
      </c>
      <c r="L1036" t="inlineStr">
        <is>
          <t>384</t>
        </is>
      </c>
      <c r="M1036" t="inlineStr">
        <is>
          <t>108120 SBX Warszawa Janki</t>
        </is>
      </c>
      <c r="N1036" t="inlineStr">
        <is>
          <t>2026-09-11 19:06</t>
        </is>
      </c>
    </row>
    <row r="1037">
      <c r="A1037" t="n">
        <v>1036</v>
      </c>
      <c r="B1037" t="inlineStr">
        <is>
          <t>2026-02-17</t>
        </is>
      </c>
      <c r="C1037" t="n">
        <v>2026</v>
      </c>
      <c r="D1037" t="inlineStr">
        <is>
          <t>Luty</t>
        </is>
      </c>
      <c r="E1037" t="inlineStr">
        <is>
          <t>W4</t>
        </is>
      </c>
      <c r="F1037" t="inlineStr">
        <is>
          <t>2026_Luty_W4</t>
        </is>
      </c>
      <c r="G1037" t="inlineStr">
        <is>
          <t>Wt</t>
        </is>
      </c>
      <c r="H1037" t="inlineStr">
        <is>
          <t>SZELUGA, DAWID</t>
        </is>
      </c>
      <c r="I1037" t="inlineStr">
        <is>
          <t>General/Store Manager</t>
        </is>
      </c>
      <c r="J1037" t="inlineStr">
        <is>
          <t>Standard 1,0|40h</t>
        </is>
      </c>
      <c r="K1037" t="n">
        <v>8</v>
      </c>
      <c r="L1037" t="inlineStr">
        <is>
          <t>384</t>
        </is>
      </c>
      <c r="M1037" t="inlineStr">
        <is>
          <t>108120 SBX Warszawa Janki</t>
        </is>
      </c>
      <c r="N1037" t="inlineStr">
        <is>
          <t>2026-09-11 19:06</t>
        </is>
      </c>
    </row>
    <row r="1038">
      <c r="A1038" t="n">
        <v>1037</v>
      </c>
      <c r="B1038" t="inlineStr">
        <is>
          <t>2026-02-19</t>
        </is>
      </c>
      <c r="C1038" t="n">
        <v>2026</v>
      </c>
      <c r="D1038" t="inlineStr">
        <is>
          <t>Luty</t>
        </is>
      </c>
      <c r="E1038" t="inlineStr">
        <is>
          <t>W4</t>
        </is>
      </c>
      <c r="F1038" t="inlineStr">
        <is>
          <t>2026_Luty_W4</t>
        </is>
      </c>
      <c r="G1038" t="inlineStr">
        <is>
          <t>Czw</t>
        </is>
      </c>
      <c r="H1038" t="inlineStr">
        <is>
          <t>SZELUGA, DAWID</t>
        </is>
      </c>
      <c r="I1038" t="inlineStr">
        <is>
          <t>General/Store Manager</t>
        </is>
      </c>
      <c r="J1038" t="inlineStr">
        <is>
          <t>Standard 1,0|40h</t>
        </is>
      </c>
      <c r="K1038" t="n">
        <v>8</v>
      </c>
      <c r="L1038" t="inlineStr">
        <is>
          <t>384</t>
        </is>
      </c>
      <c r="M1038" t="inlineStr">
        <is>
          <t>108120 SBX Warszawa Janki</t>
        </is>
      </c>
      <c r="N1038" t="inlineStr">
        <is>
          <t>2026-09-11 19:06</t>
        </is>
      </c>
    </row>
    <row r="1039">
      <c r="A1039" t="n">
        <v>1038</v>
      </c>
      <c r="B1039" t="inlineStr">
        <is>
          <t>2026-02-23</t>
        </is>
      </c>
      <c r="C1039" t="n">
        <v>2026</v>
      </c>
      <c r="D1039" t="inlineStr">
        <is>
          <t>Luty</t>
        </is>
      </c>
      <c r="E1039" t="inlineStr">
        <is>
          <t>W4</t>
        </is>
      </c>
      <c r="F1039" t="inlineStr">
        <is>
          <t>2026_Luty_W4</t>
        </is>
      </c>
      <c r="G1039" t="inlineStr">
        <is>
          <t>Pn</t>
        </is>
      </c>
      <c r="H1039" t="inlineStr">
        <is>
          <t>SZELUGA, DAWID</t>
        </is>
      </c>
      <c r="I1039" t="inlineStr">
        <is>
          <t>General/Store Manager</t>
        </is>
      </c>
      <c r="J1039" t="inlineStr">
        <is>
          <t>Standard 1,0|40h</t>
        </is>
      </c>
      <c r="K1039" t="n">
        <v>6</v>
      </c>
      <c r="L1039" t="inlineStr">
        <is>
          <t>384</t>
        </is>
      </c>
      <c r="M1039" t="inlineStr">
        <is>
          <t>108120 SBX Warszawa Janki</t>
        </is>
      </c>
      <c r="N1039" t="inlineStr">
        <is>
          <t>2026-09-11 19:06</t>
        </is>
      </c>
    </row>
    <row r="1040">
      <c r="A1040" t="n">
        <v>1039</v>
      </c>
      <c r="B1040" t="inlineStr">
        <is>
          <t>2026-02-24</t>
        </is>
      </c>
      <c r="C1040" t="n">
        <v>2026</v>
      </c>
      <c r="D1040" t="inlineStr">
        <is>
          <t>Luty</t>
        </is>
      </c>
      <c r="E1040" t="inlineStr">
        <is>
          <t>W5</t>
        </is>
      </c>
      <c r="F1040" t="inlineStr">
        <is>
          <t>2026_Luty_W5</t>
        </is>
      </c>
      <c r="G1040" t="inlineStr">
        <is>
          <t>Wt</t>
        </is>
      </c>
      <c r="H1040" t="inlineStr">
        <is>
          <t>SZELUGA, DAWID</t>
        </is>
      </c>
      <c r="I1040" t="inlineStr">
        <is>
          <t>General/Store Manager</t>
        </is>
      </c>
      <c r="J1040" t="inlineStr">
        <is>
          <t>Standard 1,0|40h</t>
        </is>
      </c>
      <c r="K1040" t="n">
        <v>8</v>
      </c>
      <c r="L1040" t="inlineStr">
        <is>
          <t>384</t>
        </is>
      </c>
      <c r="M1040" t="inlineStr">
        <is>
          <t>108120 SBX Warszawa Janki</t>
        </is>
      </c>
      <c r="N1040" t="inlineStr">
        <is>
          <t>2026-09-11 19:06</t>
        </is>
      </c>
    </row>
    <row r="1041">
      <c r="A1041" t="n">
        <v>1040</v>
      </c>
      <c r="B1041" t="inlineStr">
        <is>
          <t>2026-02-27</t>
        </is>
      </c>
      <c r="C1041" t="n">
        <v>2026</v>
      </c>
      <c r="D1041" t="inlineStr">
        <is>
          <t>Luty</t>
        </is>
      </c>
      <c r="E1041" t="inlineStr">
        <is>
          <t>W5</t>
        </is>
      </c>
      <c r="F1041" t="inlineStr">
        <is>
          <t>2026_Luty_W5</t>
        </is>
      </c>
      <c r="G1041" t="inlineStr">
        <is>
          <t>Pt</t>
        </is>
      </c>
      <c r="H1041" t="inlineStr">
        <is>
          <t>SZELUGA, DAWID</t>
        </is>
      </c>
      <c r="I1041" t="inlineStr">
        <is>
          <t>General/Store Manager</t>
        </is>
      </c>
      <c r="J1041" t="inlineStr">
        <is>
          <t>Standard 1,0|40h</t>
        </is>
      </c>
      <c r="K1041" t="n">
        <v>6</v>
      </c>
      <c r="L1041" t="inlineStr">
        <is>
          <t>384</t>
        </is>
      </c>
      <c r="M1041" t="inlineStr">
        <is>
          <t>108120 SBX Warszawa Janki</t>
        </is>
      </c>
      <c r="N1041" t="inlineStr">
        <is>
          <t>2026-09-11 19:06</t>
        </is>
      </c>
    </row>
    <row r="1042">
      <c r="A1042" t="n">
        <v>1041</v>
      </c>
      <c r="B1042" t="inlineStr">
        <is>
          <t>2026-03-01</t>
        </is>
      </c>
      <c r="C1042" t="n">
        <v>2026</v>
      </c>
      <c r="D1042" t="inlineStr">
        <is>
          <t>Marzec</t>
        </is>
      </c>
      <c r="E1042" t="inlineStr">
        <is>
          <t>W1</t>
        </is>
      </c>
      <c r="F1042" t="inlineStr">
        <is>
          <t>2026_Marzec_W1</t>
        </is>
      </c>
      <c r="G1042" t="inlineStr">
        <is>
          <t>Nd</t>
        </is>
      </c>
      <c r="H1042" t="inlineStr">
        <is>
          <t>SZELUGA, DAWID</t>
        </is>
      </c>
      <c r="I1042" t="inlineStr">
        <is>
          <t>General/Store Manager</t>
        </is>
      </c>
      <c r="J1042" t="inlineStr">
        <is>
          <t>Standard 1,0|40h</t>
        </is>
      </c>
      <c r="K1042" t="n">
        <v>10</v>
      </c>
      <c r="L1042" t="inlineStr">
        <is>
          <t>384</t>
        </is>
      </c>
      <c r="M1042" t="inlineStr">
        <is>
          <t>108120 SBX Warszawa Janki</t>
        </is>
      </c>
      <c r="N1042" t="inlineStr">
        <is>
          <t>2026-09-11 19:06</t>
        </is>
      </c>
    </row>
    <row r="1043">
      <c r="A1043" t="n">
        <v>1042</v>
      </c>
      <c r="B1043" t="inlineStr">
        <is>
          <t>2026-03-02</t>
        </is>
      </c>
      <c r="C1043" t="n">
        <v>2026</v>
      </c>
      <c r="D1043" t="inlineStr">
        <is>
          <t>Marzec</t>
        </is>
      </c>
      <c r="E1043" t="inlineStr">
        <is>
          <t>W1</t>
        </is>
      </c>
      <c r="F1043" t="inlineStr">
        <is>
          <t>2026_Marzec_W1</t>
        </is>
      </c>
      <c r="G1043" t="inlineStr">
        <is>
          <t>Pn</t>
        </is>
      </c>
      <c r="H1043" t="inlineStr">
        <is>
          <t>SZELUGA, DAWID</t>
        </is>
      </c>
      <c r="I1043" t="inlineStr">
        <is>
          <t>General/Store Manager</t>
        </is>
      </c>
      <c r="J1043" t="inlineStr">
        <is>
          <t>Standard 1,0|40h</t>
        </is>
      </c>
      <c r="K1043" t="n">
        <v>8</v>
      </c>
      <c r="L1043" t="inlineStr">
        <is>
          <t>384</t>
        </is>
      </c>
      <c r="M1043" t="inlineStr">
        <is>
          <t>108120 SBX Warszawa Janki</t>
        </is>
      </c>
      <c r="N1043" t="inlineStr">
        <is>
          <t>2026-09-11 19:06</t>
        </is>
      </c>
    </row>
    <row r="1044">
      <c r="A1044" t="n">
        <v>1043</v>
      </c>
      <c r="B1044" t="inlineStr">
        <is>
          <t>2026-03-03</t>
        </is>
      </c>
      <c r="C1044" t="n">
        <v>2026</v>
      </c>
      <c r="D1044" t="inlineStr">
        <is>
          <t>Marzec</t>
        </is>
      </c>
      <c r="E1044" t="inlineStr">
        <is>
          <t>W2</t>
        </is>
      </c>
      <c r="F1044" t="inlineStr">
        <is>
          <t>2026_Marzec_W2</t>
        </is>
      </c>
      <c r="G1044" t="inlineStr">
        <is>
          <t>Wt</t>
        </is>
      </c>
      <c r="H1044" t="inlineStr">
        <is>
          <t>SZELUGA, DAWID</t>
        </is>
      </c>
      <c r="I1044" t="inlineStr">
        <is>
          <t>General/Store Manager</t>
        </is>
      </c>
      <c r="J1044" t="inlineStr">
        <is>
          <t>Standard 1,0|40h</t>
        </is>
      </c>
      <c r="K1044" t="n">
        <v>8</v>
      </c>
      <c r="L1044" t="inlineStr">
        <is>
          <t>384</t>
        </is>
      </c>
      <c r="M1044" t="inlineStr">
        <is>
          <t>108120 SBX Warszawa Janki</t>
        </is>
      </c>
      <c r="N1044" t="inlineStr">
        <is>
          <t>2026-09-11 19:06</t>
        </is>
      </c>
    </row>
    <row r="1045">
      <c r="A1045" t="n">
        <v>1044</v>
      </c>
      <c r="B1045" t="inlineStr">
        <is>
          <t>2026-03-05</t>
        </is>
      </c>
      <c r="C1045" t="n">
        <v>2026</v>
      </c>
      <c r="D1045" t="inlineStr">
        <is>
          <t>Marzec</t>
        </is>
      </c>
      <c r="E1045" t="inlineStr">
        <is>
          <t>W2</t>
        </is>
      </c>
      <c r="F1045" t="inlineStr">
        <is>
          <t>2026_Marzec_W2</t>
        </is>
      </c>
      <c r="G1045" t="inlineStr">
        <is>
          <t>Czw</t>
        </is>
      </c>
      <c r="H1045" t="inlineStr">
        <is>
          <t>SZELUGA, DAWID</t>
        </is>
      </c>
      <c r="I1045" t="inlineStr">
        <is>
          <t>General/Store Manager</t>
        </is>
      </c>
      <c r="J1045" t="inlineStr">
        <is>
          <t>Standard 1,0|40h</t>
        </is>
      </c>
      <c r="K1045" t="n">
        <v>8</v>
      </c>
      <c r="L1045" t="inlineStr">
        <is>
          <t>384</t>
        </is>
      </c>
      <c r="M1045" t="inlineStr">
        <is>
          <t>108120 SBX Warszawa Janki</t>
        </is>
      </c>
      <c r="N1045" t="inlineStr">
        <is>
          <t>2026-09-11 19:06</t>
        </is>
      </c>
    </row>
    <row r="1046">
      <c r="A1046" t="n">
        <v>1045</v>
      </c>
      <c r="B1046" t="inlineStr">
        <is>
          <t>2026-03-06</t>
        </is>
      </c>
      <c r="C1046" t="n">
        <v>2026</v>
      </c>
      <c r="D1046" t="inlineStr">
        <is>
          <t>Marzec</t>
        </is>
      </c>
      <c r="E1046" t="inlineStr">
        <is>
          <t>W2</t>
        </is>
      </c>
      <c r="F1046" t="inlineStr">
        <is>
          <t>2026_Marzec_W2</t>
        </is>
      </c>
      <c r="G1046" t="inlineStr">
        <is>
          <t>Pt</t>
        </is>
      </c>
      <c r="H1046" t="inlineStr">
        <is>
          <t>SZELUGA, DAWID</t>
        </is>
      </c>
      <c r="I1046" t="inlineStr">
        <is>
          <t>General/Store Manager</t>
        </is>
      </c>
      <c r="J1046" t="inlineStr">
        <is>
          <t>Standard 1,0|40h</t>
        </is>
      </c>
      <c r="K1046" t="n">
        <v>8</v>
      </c>
      <c r="L1046" t="inlineStr">
        <is>
          <t>384</t>
        </is>
      </c>
      <c r="M1046" t="inlineStr">
        <is>
          <t>108120 SBX Warszawa Janki</t>
        </is>
      </c>
      <c r="N1046" t="inlineStr">
        <is>
          <t>2026-09-11 19:06</t>
        </is>
      </c>
    </row>
    <row r="1047">
      <c r="A1047" t="n">
        <v>1046</v>
      </c>
      <c r="B1047" t="inlineStr">
        <is>
          <t>2026-03-07</t>
        </is>
      </c>
      <c r="C1047" t="n">
        <v>2026</v>
      </c>
      <c r="D1047" t="inlineStr">
        <is>
          <t>Marzec</t>
        </is>
      </c>
      <c r="E1047" t="inlineStr">
        <is>
          <t>W2</t>
        </is>
      </c>
      <c r="F1047" t="inlineStr">
        <is>
          <t>2026_Marzec_W2</t>
        </is>
      </c>
      <c r="G1047" t="inlineStr">
        <is>
          <t>Sob</t>
        </is>
      </c>
      <c r="H1047" t="inlineStr">
        <is>
          <t>SZELUGA, DAWID</t>
        </is>
      </c>
      <c r="I1047" t="inlineStr">
        <is>
          <t>General/Store Manager</t>
        </is>
      </c>
      <c r="J1047" t="inlineStr">
        <is>
          <t>Standard 1,0|40h</t>
        </is>
      </c>
      <c r="K1047" t="n">
        <v>6</v>
      </c>
      <c r="L1047" t="inlineStr">
        <is>
          <t>384</t>
        </is>
      </c>
      <c r="M1047" t="inlineStr">
        <is>
          <t>108120 SBX Warszawa Janki</t>
        </is>
      </c>
      <c r="N1047" t="inlineStr">
        <is>
          <t>2026-09-11 19:06</t>
        </is>
      </c>
    </row>
    <row r="1048">
      <c r="A1048" t="n">
        <v>1047</v>
      </c>
      <c r="B1048" t="inlineStr">
        <is>
          <t>2026-03-09</t>
        </is>
      </c>
      <c r="C1048" t="n">
        <v>2026</v>
      </c>
      <c r="D1048" t="inlineStr">
        <is>
          <t>Marzec</t>
        </is>
      </c>
      <c r="E1048" t="inlineStr">
        <is>
          <t>W2</t>
        </is>
      </c>
      <c r="F1048" t="inlineStr">
        <is>
          <t>2026_Marzec_W2</t>
        </is>
      </c>
      <c r="G1048" t="inlineStr">
        <is>
          <t>Pn</t>
        </is>
      </c>
      <c r="H1048" t="inlineStr">
        <is>
          <t>SZELUGA, DAWID</t>
        </is>
      </c>
      <c r="I1048" t="inlineStr">
        <is>
          <t>General/Store Manager</t>
        </is>
      </c>
      <c r="J1048" t="inlineStr">
        <is>
          <t>Standard 1,0|40h</t>
        </is>
      </c>
      <c r="K1048" t="n">
        <v>12</v>
      </c>
      <c r="L1048" t="inlineStr">
        <is>
          <t>384</t>
        </is>
      </c>
      <c r="M1048" t="inlineStr">
        <is>
          <t>108120 SBX Warszawa Janki</t>
        </is>
      </c>
      <c r="N1048" t="inlineStr">
        <is>
          <t>2026-09-11 19:06</t>
        </is>
      </c>
    </row>
    <row r="1049">
      <c r="A1049" t="n">
        <v>1048</v>
      </c>
      <c r="B1049" t="inlineStr">
        <is>
          <t>2026-03-10</t>
        </is>
      </c>
      <c r="C1049" t="n">
        <v>2026</v>
      </c>
      <c r="D1049" t="inlineStr">
        <is>
          <t>Marzec</t>
        </is>
      </c>
      <c r="E1049" t="inlineStr">
        <is>
          <t>W3</t>
        </is>
      </c>
      <c r="F1049" t="inlineStr">
        <is>
          <t>2026_Marzec_W3</t>
        </is>
      </c>
      <c r="G1049" t="inlineStr">
        <is>
          <t>Wt</t>
        </is>
      </c>
      <c r="H1049" t="inlineStr">
        <is>
          <t>SZELUGA, DAWID</t>
        </is>
      </c>
      <c r="I1049" t="inlineStr">
        <is>
          <t>General/Store Manager</t>
        </is>
      </c>
      <c r="J1049" t="inlineStr">
        <is>
          <t>Standard 1,0|40h</t>
        </is>
      </c>
      <c r="K1049" t="n">
        <v>8.41</v>
      </c>
      <c r="L1049" t="inlineStr">
        <is>
          <t>384</t>
        </is>
      </c>
      <c r="M1049" t="inlineStr">
        <is>
          <t>108120 SBX Warszawa Janki</t>
        </is>
      </c>
      <c r="N1049" t="inlineStr">
        <is>
          <t>2026-09-11 19:06</t>
        </is>
      </c>
    </row>
    <row r="1050">
      <c r="A1050" t="n">
        <v>1049</v>
      </c>
      <c r="B1050" t="inlineStr">
        <is>
          <t>2026-03-11</t>
        </is>
      </c>
      <c r="C1050" t="n">
        <v>2026</v>
      </c>
      <c r="D1050" t="inlineStr">
        <is>
          <t>Marzec</t>
        </is>
      </c>
      <c r="E1050" t="inlineStr">
        <is>
          <t>W3</t>
        </is>
      </c>
      <c r="F1050" t="inlineStr">
        <is>
          <t>2026_Marzec_W3</t>
        </is>
      </c>
      <c r="G1050" t="inlineStr">
        <is>
          <t>Śr</t>
        </is>
      </c>
      <c r="H1050" t="inlineStr">
        <is>
          <t>SZELUGA, DAWID</t>
        </is>
      </c>
      <c r="I1050" t="inlineStr">
        <is>
          <t>General/Store Manager</t>
        </is>
      </c>
      <c r="J1050" t="inlineStr">
        <is>
          <t>Standard 1,0|40h</t>
        </is>
      </c>
      <c r="K1050" t="n">
        <v>8</v>
      </c>
      <c r="L1050" t="inlineStr">
        <is>
          <t>384</t>
        </is>
      </c>
      <c r="M1050" t="inlineStr">
        <is>
          <t>108120 SBX Warszawa Janki</t>
        </is>
      </c>
      <c r="N1050" t="inlineStr">
        <is>
          <t>2026-09-11 19:06</t>
        </is>
      </c>
    </row>
    <row r="1051">
      <c r="A1051" t="n">
        <v>1050</v>
      </c>
      <c r="B1051" t="inlineStr">
        <is>
          <t>2026-03-15</t>
        </is>
      </c>
      <c r="C1051" t="n">
        <v>2026</v>
      </c>
      <c r="D1051" t="inlineStr">
        <is>
          <t>Marzec</t>
        </is>
      </c>
      <c r="E1051" t="inlineStr">
        <is>
          <t>W3</t>
        </is>
      </c>
      <c r="F1051" t="inlineStr">
        <is>
          <t>2026_Marzec_W3</t>
        </is>
      </c>
      <c r="G1051" t="inlineStr">
        <is>
          <t>Nd</t>
        </is>
      </c>
      <c r="H1051" t="inlineStr">
        <is>
          <t>SZELUGA, DAWID</t>
        </is>
      </c>
      <c r="I1051" t="inlineStr">
        <is>
          <t>General/Store Manager</t>
        </is>
      </c>
      <c r="J1051" t="inlineStr">
        <is>
          <t>Standard 1,0|40h</t>
        </is>
      </c>
      <c r="K1051" t="n">
        <v>6</v>
      </c>
      <c r="L1051" t="inlineStr">
        <is>
          <t>384</t>
        </is>
      </c>
      <c r="M1051" t="inlineStr">
        <is>
          <t>108120 SBX Warszawa Janki</t>
        </is>
      </c>
      <c r="N1051" t="inlineStr">
        <is>
          <t>2026-09-11 19:06</t>
        </is>
      </c>
    </row>
    <row r="1052">
      <c r="A1052" t="n">
        <v>1051</v>
      </c>
      <c r="B1052" t="inlineStr">
        <is>
          <t>2026-03-16</t>
        </is>
      </c>
      <c r="C1052" t="n">
        <v>2026</v>
      </c>
      <c r="D1052" t="inlineStr">
        <is>
          <t>Marzec</t>
        </is>
      </c>
      <c r="E1052" t="inlineStr">
        <is>
          <t>W3</t>
        </is>
      </c>
      <c r="F1052" t="inlineStr">
        <is>
          <t>2026_Marzec_W3</t>
        </is>
      </c>
      <c r="G1052" t="inlineStr">
        <is>
          <t>Pn</t>
        </is>
      </c>
      <c r="H1052" t="inlineStr">
        <is>
          <t>SZELUGA, DAWID</t>
        </is>
      </c>
      <c r="I1052" t="inlineStr">
        <is>
          <t>General/Store Manager</t>
        </is>
      </c>
      <c r="J1052" t="inlineStr">
        <is>
          <t>Standard 1,0|40h</t>
        </is>
      </c>
      <c r="K1052" t="n">
        <v>8</v>
      </c>
      <c r="L1052" t="inlineStr">
        <is>
          <t>384</t>
        </is>
      </c>
      <c r="M1052" t="inlineStr">
        <is>
          <t>108120 SBX Warszawa Janki</t>
        </is>
      </c>
      <c r="N1052" t="inlineStr">
        <is>
          <t>2026-09-11 19:06</t>
        </is>
      </c>
    </row>
    <row r="1053">
      <c r="A1053" t="n">
        <v>1052</v>
      </c>
      <c r="B1053" t="inlineStr">
        <is>
          <t>2026-03-17</t>
        </is>
      </c>
      <c r="C1053" t="n">
        <v>2026</v>
      </c>
      <c r="D1053" t="inlineStr">
        <is>
          <t>Marzec</t>
        </is>
      </c>
      <c r="E1053" t="inlineStr">
        <is>
          <t>W4</t>
        </is>
      </c>
      <c r="F1053" t="inlineStr">
        <is>
          <t>2026_Marzec_W4</t>
        </is>
      </c>
      <c r="G1053" t="inlineStr">
        <is>
          <t>Wt</t>
        </is>
      </c>
      <c r="H1053" t="inlineStr">
        <is>
          <t>SZELUGA, DAWID</t>
        </is>
      </c>
      <c r="I1053" t="inlineStr">
        <is>
          <t>General/Store Manager</t>
        </is>
      </c>
      <c r="J1053" t="inlineStr">
        <is>
          <t>Standard 1,0|40h</t>
        </is>
      </c>
      <c r="K1053" t="n">
        <v>8</v>
      </c>
      <c r="L1053" t="inlineStr">
        <is>
          <t>384</t>
        </is>
      </c>
      <c r="M1053" t="inlineStr">
        <is>
          <t>108120 SBX Warszawa Janki</t>
        </is>
      </c>
      <c r="N1053" t="inlineStr">
        <is>
          <t>2026-09-11 19:06</t>
        </is>
      </c>
    </row>
    <row r="1054">
      <c r="A1054" t="n">
        <v>1053</v>
      </c>
      <c r="B1054" t="inlineStr">
        <is>
          <t>2026-03-18</t>
        </is>
      </c>
      <c r="C1054" t="n">
        <v>2026</v>
      </c>
      <c r="D1054" t="inlineStr">
        <is>
          <t>Marzec</t>
        </is>
      </c>
      <c r="E1054" t="inlineStr">
        <is>
          <t>W4</t>
        </is>
      </c>
      <c r="F1054" t="inlineStr">
        <is>
          <t>2026_Marzec_W4</t>
        </is>
      </c>
      <c r="G1054" t="inlineStr">
        <is>
          <t>Śr</t>
        </is>
      </c>
      <c r="H1054" t="inlineStr">
        <is>
          <t>SZELUGA, DAWID</t>
        </is>
      </c>
      <c r="I1054" t="inlineStr">
        <is>
          <t>General/Store Manager</t>
        </is>
      </c>
      <c r="J1054" t="inlineStr">
        <is>
          <t>Standard 1,0|40h</t>
        </is>
      </c>
      <c r="K1054" t="n">
        <v>7</v>
      </c>
      <c r="L1054" t="inlineStr">
        <is>
          <t>384</t>
        </is>
      </c>
      <c r="M1054" t="inlineStr">
        <is>
          <t>108120 SBX Warszawa Janki</t>
        </is>
      </c>
      <c r="N1054" t="inlineStr">
        <is>
          <t>2026-09-11 19:06</t>
        </is>
      </c>
    </row>
    <row r="1055">
      <c r="A1055" t="n">
        <v>1054</v>
      </c>
      <c r="B1055" t="inlineStr">
        <is>
          <t>2026-03-23</t>
        </is>
      </c>
      <c r="C1055" t="n">
        <v>2026</v>
      </c>
      <c r="D1055" t="inlineStr">
        <is>
          <t>Marzec</t>
        </is>
      </c>
      <c r="E1055" t="inlineStr">
        <is>
          <t>W4</t>
        </is>
      </c>
      <c r="F1055" t="inlineStr">
        <is>
          <t>2026_Marzec_W4</t>
        </is>
      </c>
      <c r="G1055" t="inlineStr">
        <is>
          <t>Pn</t>
        </is>
      </c>
      <c r="H1055" t="inlineStr">
        <is>
          <t>SZELUGA, DAWID</t>
        </is>
      </c>
      <c r="I1055" t="inlineStr">
        <is>
          <t>General/Store Manager</t>
        </is>
      </c>
      <c r="J1055" t="inlineStr">
        <is>
          <t>Standard 1,0|40h</t>
        </is>
      </c>
      <c r="K1055" t="n">
        <v>7.5</v>
      </c>
      <c r="L1055" t="inlineStr">
        <is>
          <t>384</t>
        </is>
      </c>
      <c r="M1055" t="inlineStr">
        <is>
          <t>108120 SBX Warszawa Janki</t>
        </is>
      </c>
      <c r="N1055" t="inlineStr">
        <is>
          <t>2026-09-11 19:06</t>
        </is>
      </c>
    </row>
    <row r="1056">
      <c r="A1056" t="n">
        <v>1055</v>
      </c>
      <c r="B1056" t="inlineStr">
        <is>
          <t>2026-03-24</t>
        </is>
      </c>
      <c r="C1056" t="n">
        <v>2026</v>
      </c>
      <c r="D1056" t="inlineStr">
        <is>
          <t>Marzec</t>
        </is>
      </c>
      <c r="E1056" t="inlineStr">
        <is>
          <t>W5</t>
        </is>
      </c>
      <c r="F1056" t="inlineStr">
        <is>
          <t>2026_Marzec_W5</t>
        </is>
      </c>
      <c r="G1056" t="inlineStr">
        <is>
          <t>Wt</t>
        </is>
      </c>
      <c r="H1056" t="inlineStr">
        <is>
          <t>SZELUGA, DAWID</t>
        </is>
      </c>
      <c r="I1056" t="inlineStr">
        <is>
          <t>General/Store Manager</t>
        </is>
      </c>
      <c r="J1056" t="inlineStr">
        <is>
          <t>Standard 1,0|40h</t>
        </is>
      </c>
      <c r="K1056" t="n">
        <v>8</v>
      </c>
      <c r="L1056" t="inlineStr">
        <is>
          <t>384</t>
        </is>
      </c>
      <c r="M1056" t="inlineStr">
        <is>
          <t>108120 SBX Warszawa Janki</t>
        </is>
      </c>
      <c r="N1056" t="inlineStr">
        <is>
          <t>2026-09-11 19:06</t>
        </is>
      </c>
    </row>
    <row r="1057">
      <c r="A1057" t="n">
        <v>1056</v>
      </c>
      <c r="B1057" t="inlineStr">
        <is>
          <t>2026-03-28</t>
        </is>
      </c>
      <c r="C1057" t="n">
        <v>2026</v>
      </c>
      <c r="D1057" t="inlineStr">
        <is>
          <t>Marzec</t>
        </is>
      </c>
      <c r="E1057" t="inlineStr">
        <is>
          <t>W5</t>
        </is>
      </c>
      <c r="F1057" t="inlineStr">
        <is>
          <t>2026_Marzec_W5</t>
        </is>
      </c>
      <c r="G1057" t="inlineStr">
        <is>
          <t>Sob</t>
        </is>
      </c>
      <c r="H1057" t="inlineStr">
        <is>
          <t>SZELUGA, DAWID</t>
        </is>
      </c>
      <c r="I1057" t="inlineStr">
        <is>
          <t>General/Store Manager</t>
        </is>
      </c>
      <c r="J1057" t="inlineStr">
        <is>
          <t>Standard 1,0|40h</t>
        </is>
      </c>
      <c r="K1057" t="n">
        <v>8</v>
      </c>
      <c r="L1057" t="inlineStr">
        <is>
          <t>384</t>
        </is>
      </c>
      <c r="M1057" t="inlineStr">
        <is>
          <t>108120 SBX Warszawa Janki</t>
        </is>
      </c>
      <c r="N1057" t="inlineStr">
        <is>
          <t>2026-09-11 19:06</t>
        </is>
      </c>
    </row>
    <row r="1058">
      <c r="A1058" t="n">
        <v>1057</v>
      </c>
      <c r="B1058" t="inlineStr">
        <is>
          <t>2026-03-30</t>
        </is>
      </c>
      <c r="C1058" t="n">
        <v>2026</v>
      </c>
      <c r="D1058" t="inlineStr">
        <is>
          <t>Marzec</t>
        </is>
      </c>
      <c r="E1058" t="inlineStr">
        <is>
          <t>W5</t>
        </is>
      </c>
      <c r="F1058" t="inlineStr">
        <is>
          <t>2026_Marzec_W5</t>
        </is>
      </c>
      <c r="G1058" t="inlineStr">
        <is>
          <t>Pn</t>
        </is>
      </c>
      <c r="H1058" t="inlineStr">
        <is>
          <t>SZELUGA, DAWID</t>
        </is>
      </c>
      <c r="I1058" t="inlineStr">
        <is>
          <t>General/Store Manager</t>
        </is>
      </c>
      <c r="J1058" t="inlineStr">
        <is>
          <t>Standard 1,0|40h</t>
        </is>
      </c>
      <c r="K1058" t="n">
        <v>6</v>
      </c>
      <c r="L1058" t="inlineStr">
        <is>
          <t>384</t>
        </is>
      </c>
      <c r="M1058" t="inlineStr">
        <is>
          <t>108120 SBX Warszawa Janki</t>
        </is>
      </c>
      <c r="N1058" t="inlineStr">
        <is>
          <t>2026-09-11 19:06</t>
        </is>
      </c>
    </row>
    <row r="1059">
      <c r="A1059" t="n">
        <v>1058</v>
      </c>
      <c r="B1059" t="inlineStr">
        <is>
          <t>2026-03-31</t>
        </is>
      </c>
      <c r="C1059" t="n">
        <v>2026</v>
      </c>
      <c r="D1059" t="inlineStr">
        <is>
          <t>Marzec</t>
        </is>
      </c>
      <c r="E1059" t="inlineStr">
        <is>
          <t>W6</t>
        </is>
      </c>
      <c r="F1059" t="inlineStr">
        <is>
          <t>2026_Marzec_W6</t>
        </is>
      </c>
      <c r="G1059" t="inlineStr">
        <is>
          <t>Wt</t>
        </is>
      </c>
      <c r="H1059" t="inlineStr">
        <is>
          <t>SZELUGA, DAWID</t>
        </is>
      </c>
      <c r="I1059" t="inlineStr">
        <is>
          <t>General/Store Manager</t>
        </is>
      </c>
      <c r="J1059" t="inlineStr">
        <is>
          <t>Standard 1,0|40h</t>
        </is>
      </c>
      <c r="K1059" t="n">
        <v>9.4</v>
      </c>
      <c r="L1059" t="inlineStr">
        <is>
          <t>384</t>
        </is>
      </c>
      <c r="M1059" t="inlineStr">
        <is>
          <t>108120 SBX Warszawa Janki</t>
        </is>
      </c>
      <c r="N1059" t="inlineStr">
        <is>
          <t>2026-09-11 19:06</t>
        </is>
      </c>
    </row>
    <row r="1060">
      <c r="A1060" t="n">
        <v>1059</v>
      </c>
      <c r="B1060" t="inlineStr">
        <is>
          <t>2026-04-01</t>
        </is>
      </c>
      <c r="C1060" t="n">
        <v>2026</v>
      </c>
      <c r="D1060" t="inlineStr">
        <is>
          <t>Kwiecień</t>
        </is>
      </c>
      <c r="E1060" t="inlineStr">
        <is>
          <t>W1</t>
        </is>
      </c>
      <c r="F1060" t="inlineStr">
        <is>
          <t>2026_Kwiecień_W1</t>
        </is>
      </c>
      <c r="G1060" t="inlineStr">
        <is>
          <t>Śr</t>
        </is>
      </c>
      <c r="H1060" t="inlineStr">
        <is>
          <t>SZELUGA, DAWID</t>
        </is>
      </c>
      <c r="I1060" t="inlineStr">
        <is>
          <t>General/Store Manager</t>
        </is>
      </c>
      <c r="J1060" t="inlineStr">
        <is>
          <t>Standard 1,0|40h</t>
        </is>
      </c>
      <c r="K1060" t="n">
        <v>6</v>
      </c>
      <c r="L1060" t="inlineStr">
        <is>
          <t>384</t>
        </is>
      </c>
      <c r="M1060" t="inlineStr">
        <is>
          <t>108120 SBX Warszawa Janki</t>
        </is>
      </c>
      <c r="N1060" t="inlineStr">
        <is>
          <t>2026-09-11 19:06</t>
        </is>
      </c>
    </row>
    <row r="1061">
      <c r="A1061" t="n">
        <v>1060</v>
      </c>
      <c r="B1061" t="inlineStr">
        <is>
          <t>2026-04-02</t>
        </is>
      </c>
      <c r="C1061" t="n">
        <v>2026</v>
      </c>
      <c r="D1061" t="inlineStr">
        <is>
          <t>Kwiecień</t>
        </is>
      </c>
      <c r="E1061" t="inlineStr">
        <is>
          <t>W1</t>
        </is>
      </c>
      <c r="F1061" t="inlineStr">
        <is>
          <t>2026_Kwiecień_W1</t>
        </is>
      </c>
      <c r="G1061" t="inlineStr">
        <is>
          <t>Czw</t>
        </is>
      </c>
      <c r="H1061" t="inlineStr">
        <is>
          <t>SZELUGA, DAWID</t>
        </is>
      </c>
      <c r="I1061" t="inlineStr">
        <is>
          <t>General/Store Manager</t>
        </is>
      </c>
      <c r="J1061" t="inlineStr">
        <is>
          <t>Standard 1,0|40h</t>
        </is>
      </c>
      <c r="K1061" t="n">
        <v>6.5</v>
      </c>
      <c r="L1061" t="inlineStr">
        <is>
          <t>384</t>
        </is>
      </c>
      <c r="M1061" t="inlineStr">
        <is>
          <t>108120 SBX Warszawa Janki</t>
        </is>
      </c>
      <c r="N1061" t="inlineStr">
        <is>
          <t>2026-09-11 19:06</t>
        </is>
      </c>
    </row>
    <row r="1062">
      <c r="A1062" t="n">
        <v>1061</v>
      </c>
      <c r="B1062" t="inlineStr">
        <is>
          <t>2026-04-03</t>
        </is>
      </c>
      <c r="C1062" t="n">
        <v>2026</v>
      </c>
      <c r="D1062" t="inlineStr">
        <is>
          <t>Kwiecień</t>
        </is>
      </c>
      <c r="E1062" t="inlineStr">
        <is>
          <t>W1</t>
        </is>
      </c>
      <c r="F1062" t="inlineStr">
        <is>
          <t>2026_Kwiecień_W1</t>
        </is>
      </c>
      <c r="G1062" t="inlineStr">
        <is>
          <t>Pt</t>
        </is>
      </c>
      <c r="H1062" t="inlineStr">
        <is>
          <t>SZELUGA, DAWID</t>
        </is>
      </c>
      <c r="I1062" t="inlineStr">
        <is>
          <t>General/Store Manager</t>
        </is>
      </c>
      <c r="J1062" t="inlineStr">
        <is>
          <t>Standard 1,0|40h</t>
        </is>
      </c>
      <c r="K1062" t="n">
        <v>7.27</v>
      </c>
      <c r="L1062" t="inlineStr">
        <is>
          <t>384</t>
        </is>
      </c>
      <c r="M1062" t="inlineStr">
        <is>
          <t>108120 SBX Warszawa Janki</t>
        </is>
      </c>
      <c r="N1062" t="inlineStr">
        <is>
          <t>2026-09-11 19:06</t>
        </is>
      </c>
    </row>
    <row r="1063">
      <c r="A1063" t="n">
        <v>1062</v>
      </c>
      <c r="B1063" t="inlineStr">
        <is>
          <t>2026-04-06</t>
        </is>
      </c>
      <c r="C1063" t="n">
        <v>2026</v>
      </c>
      <c r="D1063" t="inlineStr">
        <is>
          <t>Kwiecień</t>
        </is>
      </c>
      <c r="E1063" t="inlineStr">
        <is>
          <t>W1</t>
        </is>
      </c>
      <c r="F1063" t="inlineStr">
        <is>
          <t>2026_Kwiecień_W1</t>
        </is>
      </c>
      <c r="G1063" t="inlineStr">
        <is>
          <t>Pn</t>
        </is>
      </c>
      <c r="H1063" t="inlineStr">
        <is>
          <t>SZELUGA, DAWID</t>
        </is>
      </c>
      <c r="I1063" t="inlineStr">
        <is>
          <t>General/Store Manager</t>
        </is>
      </c>
      <c r="J1063" t="inlineStr">
        <is>
          <t>Standard 1,0|40h</t>
        </is>
      </c>
      <c r="K1063" t="n">
        <v>5</v>
      </c>
      <c r="L1063" t="inlineStr">
        <is>
          <t>384</t>
        </is>
      </c>
      <c r="M1063" t="inlineStr">
        <is>
          <t>108120 SBX Warszawa Janki</t>
        </is>
      </c>
      <c r="N1063" t="inlineStr">
        <is>
          <t>2026-09-11 19:06</t>
        </is>
      </c>
    </row>
    <row r="1064">
      <c r="A1064" t="n">
        <v>1063</v>
      </c>
      <c r="B1064" t="inlineStr">
        <is>
          <t>2026-04-07</t>
        </is>
      </c>
      <c r="C1064" t="n">
        <v>2026</v>
      </c>
      <c r="D1064" t="inlineStr">
        <is>
          <t>Kwiecień</t>
        </is>
      </c>
      <c r="E1064" t="inlineStr">
        <is>
          <t>W2</t>
        </is>
      </c>
      <c r="F1064" t="inlineStr">
        <is>
          <t>2026_Kwiecień_W2</t>
        </is>
      </c>
      <c r="G1064" t="inlineStr">
        <is>
          <t>Wt</t>
        </is>
      </c>
      <c r="H1064" t="inlineStr">
        <is>
          <t>SZELUGA, DAWID</t>
        </is>
      </c>
      <c r="I1064" t="inlineStr">
        <is>
          <t>General/Store Manager</t>
        </is>
      </c>
      <c r="J1064" t="inlineStr">
        <is>
          <t>Standard 1,0|40h</t>
        </is>
      </c>
      <c r="K1064" t="n">
        <v>7.5</v>
      </c>
      <c r="L1064" t="inlineStr">
        <is>
          <t>384</t>
        </is>
      </c>
      <c r="M1064" t="inlineStr">
        <is>
          <t>108120 SBX Warszawa Janki</t>
        </is>
      </c>
      <c r="N1064" t="inlineStr">
        <is>
          <t>2026-09-11 19:06</t>
        </is>
      </c>
    </row>
    <row r="1065">
      <c r="A1065" t="n">
        <v>1064</v>
      </c>
      <c r="B1065" t="inlineStr">
        <is>
          <t>2026-04-08</t>
        </is>
      </c>
      <c r="C1065" t="n">
        <v>2026</v>
      </c>
      <c r="D1065" t="inlineStr">
        <is>
          <t>Kwiecień</t>
        </is>
      </c>
      <c r="E1065" t="inlineStr">
        <is>
          <t>W2</t>
        </is>
      </c>
      <c r="F1065" t="inlineStr">
        <is>
          <t>2026_Kwiecień_W2</t>
        </is>
      </c>
      <c r="G1065" t="inlineStr">
        <is>
          <t>Śr</t>
        </is>
      </c>
      <c r="H1065" t="inlineStr">
        <is>
          <t>SZELUGA, DAWID</t>
        </is>
      </c>
      <c r="I1065" t="inlineStr">
        <is>
          <t>General/Store Manager</t>
        </is>
      </c>
      <c r="J1065" t="inlineStr">
        <is>
          <t>Standard 1,0|40h</t>
        </is>
      </c>
      <c r="K1065" t="n">
        <v>7.25</v>
      </c>
      <c r="L1065" t="inlineStr">
        <is>
          <t>384</t>
        </is>
      </c>
      <c r="M1065" t="inlineStr">
        <is>
          <t>108120 SBX Warszawa Janki</t>
        </is>
      </c>
      <c r="N1065" t="inlineStr">
        <is>
          <t>2026-09-11 19:06</t>
        </is>
      </c>
    </row>
    <row r="1066">
      <c r="A1066" t="n">
        <v>1065</v>
      </c>
      <c r="B1066" t="inlineStr">
        <is>
          <t>2026-04-13</t>
        </is>
      </c>
      <c r="C1066" t="n">
        <v>2026</v>
      </c>
      <c r="D1066" t="inlineStr">
        <is>
          <t>Kwiecień</t>
        </is>
      </c>
      <c r="E1066" t="inlineStr">
        <is>
          <t>W2</t>
        </is>
      </c>
      <c r="F1066" t="inlineStr">
        <is>
          <t>2026_Kwiecień_W2</t>
        </is>
      </c>
      <c r="G1066" t="inlineStr">
        <is>
          <t>Pn</t>
        </is>
      </c>
      <c r="H1066" t="inlineStr">
        <is>
          <t>SZELUGA, DAWID</t>
        </is>
      </c>
      <c r="I1066" t="inlineStr">
        <is>
          <t>General/Store Manager</t>
        </is>
      </c>
      <c r="J1066" t="inlineStr">
        <is>
          <t>Standard 1,0|40h</t>
        </is>
      </c>
      <c r="K1066" t="n">
        <v>6</v>
      </c>
      <c r="L1066" t="inlineStr">
        <is>
          <t>384</t>
        </is>
      </c>
      <c r="M1066" t="inlineStr">
        <is>
          <t>108120 SBX Warszawa Janki</t>
        </is>
      </c>
      <c r="N1066" t="inlineStr">
        <is>
          <t>2026-09-11 19:06</t>
        </is>
      </c>
    </row>
    <row r="1067">
      <c r="A1067" t="n">
        <v>1066</v>
      </c>
      <c r="B1067" t="inlineStr">
        <is>
          <t>2026-04-14</t>
        </is>
      </c>
      <c r="C1067" t="n">
        <v>2026</v>
      </c>
      <c r="D1067" t="inlineStr">
        <is>
          <t>Kwiecień</t>
        </is>
      </c>
      <c r="E1067" t="inlineStr">
        <is>
          <t>W3</t>
        </is>
      </c>
      <c r="F1067" t="inlineStr">
        <is>
          <t>2026_Kwiecień_W3</t>
        </is>
      </c>
      <c r="G1067" t="inlineStr">
        <is>
          <t>Wt</t>
        </is>
      </c>
      <c r="H1067" t="inlineStr">
        <is>
          <t>SZELUGA, DAWID</t>
        </is>
      </c>
      <c r="I1067" t="inlineStr">
        <is>
          <t>General/Store Manager</t>
        </is>
      </c>
      <c r="J1067" t="inlineStr">
        <is>
          <t>Standard 1,0|40h</t>
        </is>
      </c>
      <c r="K1067" t="n">
        <v>8</v>
      </c>
      <c r="L1067" t="inlineStr">
        <is>
          <t>384</t>
        </is>
      </c>
      <c r="M1067" t="inlineStr">
        <is>
          <t>108120 SBX Warszawa Janki</t>
        </is>
      </c>
      <c r="N1067" t="inlineStr">
        <is>
          <t>2026-09-11 19:06</t>
        </is>
      </c>
    </row>
    <row r="1068">
      <c r="A1068" t="n">
        <v>1067</v>
      </c>
      <c r="B1068" t="inlineStr">
        <is>
          <t>2026-04-15</t>
        </is>
      </c>
      <c r="C1068" t="n">
        <v>2026</v>
      </c>
      <c r="D1068" t="inlineStr">
        <is>
          <t>Kwiecień</t>
        </is>
      </c>
      <c r="E1068" t="inlineStr">
        <is>
          <t>W3</t>
        </is>
      </c>
      <c r="F1068" t="inlineStr">
        <is>
          <t>2026_Kwiecień_W3</t>
        </is>
      </c>
      <c r="G1068" t="inlineStr">
        <is>
          <t>Śr</t>
        </is>
      </c>
      <c r="H1068" t="inlineStr">
        <is>
          <t>SZELUGA, DAWID</t>
        </is>
      </c>
      <c r="I1068" t="inlineStr">
        <is>
          <t>General/Store Manager</t>
        </is>
      </c>
      <c r="J1068" t="inlineStr">
        <is>
          <t>Standard 1,0|40h</t>
        </is>
      </c>
      <c r="K1068" t="n">
        <v>8</v>
      </c>
      <c r="L1068" t="inlineStr">
        <is>
          <t>384</t>
        </is>
      </c>
      <c r="M1068" t="inlineStr">
        <is>
          <t>108120 SBX Warszawa Janki</t>
        </is>
      </c>
      <c r="N1068" t="inlineStr">
        <is>
          <t>2026-09-11 19:06</t>
        </is>
      </c>
    </row>
    <row r="1069">
      <c r="A1069" t="n">
        <v>1068</v>
      </c>
      <c r="B1069" t="inlineStr">
        <is>
          <t>2026-04-20</t>
        </is>
      </c>
      <c r="C1069" t="n">
        <v>2026</v>
      </c>
      <c r="D1069" t="inlineStr">
        <is>
          <t>Kwiecień</t>
        </is>
      </c>
      <c r="E1069" t="inlineStr">
        <is>
          <t>W3</t>
        </is>
      </c>
      <c r="F1069" t="inlineStr">
        <is>
          <t>2026_Kwiecień_W3</t>
        </is>
      </c>
      <c r="G1069" t="inlineStr">
        <is>
          <t>Pn</t>
        </is>
      </c>
      <c r="H1069" t="inlineStr">
        <is>
          <t>SZELUGA, DAWID</t>
        </is>
      </c>
      <c r="I1069" t="inlineStr">
        <is>
          <t>General/Store Manager</t>
        </is>
      </c>
      <c r="J1069" t="inlineStr">
        <is>
          <t>Standard 1,0|40h</t>
        </is>
      </c>
      <c r="K1069" t="n">
        <v>8.73</v>
      </c>
      <c r="L1069" t="inlineStr">
        <is>
          <t>384</t>
        </is>
      </c>
      <c r="M1069" t="inlineStr">
        <is>
          <t>108120 SBX Warszawa Janki</t>
        </is>
      </c>
      <c r="N1069" t="inlineStr">
        <is>
          <t>2026-09-11 19:06</t>
        </is>
      </c>
    </row>
    <row r="1070">
      <c r="A1070" t="n">
        <v>1069</v>
      </c>
      <c r="B1070" t="inlineStr">
        <is>
          <t>2026-04-21</t>
        </is>
      </c>
      <c r="C1070" t="n">
        <v>2026</v>
      </c>
      <c r="D1070" t="inlineStr">
        <is>
          <t>Kwiecień</t>
        </is>
      </c>
      <c r="E1070" t="inlineStr">
        <is>
          <t>W4</t>
        </is>
      </c>
      <c r="F1070" t="inlineStr">
        <is>
          <t>2026_Kwiecień_W4</t>
        </is>
      </c>
      <c r="G1070" t="inlineStr">
        <is>
          <t>Wt</t>
        </is>
      </c>
      <c r="H1070" t="inlineStr">
        <is>
          <t>SZELUGA, DAWID</t>
        </is>
      </c>
      <c r="I1070" t="inlineStr">
        <is>
          <t>General/Store Manager</t>
        </is>
      </c>
      <c r="J1070" t="inlineStr">
        <is>
          <t>Standard 1,0|40h</t>
        </is>
      </c>
      <c r="K1070" t="n">
        <v>8.07</v>
      </c>
      <c r="L1070" t="inlineStr">
        <is>
          <t>384</t>
        </is>
      </c>
      <c r="M1070" t="inlineStr">
        <is>
          <t>108120 SBX Warszawa Janki</t>
        </is>
      </c>
      <c r="N1070" t="inlineStr">
        <is>
          <t>2026-09-11 19:06</t>
        </is>
      </c>
    </row>
    <row r="1071">
      <c r="A1071" t="n">
        <v>1070</v>
      </c>
      <c r="B1071" t="inlineStr">
        <is>
          <t>2026-04-22</t>
        </is>
      </c>
      <c r="C1071" t="n">
        <v>2026</v>
      </c>
      <c r="D1071" t="inlineStr">
        <is>
          <t>Kwiecień</t>
        </is>
      </c>
      <c r="E1071" t="inlineStr">
        <is>
          <t>W4</t>
        </is>
      </c>
      <c r="F1071" t="inlineStr">
        <is>
          <t>2026_Kwiecień_W4</t>
        </is>
      </c>
      <c r="G1071" t="inlineStr">
        <is>
          <t>Śr</t>
        </is>
      </c>
      <c r="H1071" t="inlineStr">
        <is>
          <t>SZELUGA, DAWID</t>
        </is>
      </c>
      <c r="I1071" t="inlineStr">
        <is>
          <t>General/Store Manager</t>
        </is>
      </c>
      <c r="J1071" t="inlineStr">
        <is>
          <t>Standard 1,0|40h</t>
        </is>
      </c>
      <c r="K1071" t="n">
        <v>8</v>
      </c>
      <c r="L1071" t="inlineStr">
        <is>
          <t>384</t>
        </is>
      </c>
      <c r="M1071" t="inlineStr">
        <is>
          <t>108120 SBX Warszawa Janki</t>
        </is>
      </c>
      <c r="N1071" t="inlineStr">
        <is>
          <t>2026-09-11 19:06</t>
        </is>
      </c>
    </row>
    <row r="1072">
      <c r="A1072" t="n">
        <v>1071</v>
      </c>
      <c r="B1072" t="inlineStr">
        <is>
          <t>2026-04-26</t>
        </is>
      </c>
      <c r="C1072" t="n">
        <v>2026</v>
      </c>
      <c r="D1072" t="inlineStr">
        <is>
          <t>Kwiecień</t>
        </is>
      </c>
      <c r="E1072" t="inlineStr">
        <is>
          <t>W4</t>
        </is>
      </c>
      <c r="F1072" t="inlineStr">
        <is>
          <t>2026_Kwiecień_W4</t>
        </is>
      </c>
      <c r="G1072" t="inlineStr">
        <is>
          <t>Nd</t>
        </is>
      </c>
      <c r="H1072" t="inlineStr">
        <is>
          <t>SZELUGA, DAWID</t>
        </is>
      </c>
      <c r="I1072" t="inlineStr">
        <is>
          <t>General/Store Manager</t>
        </is>
      </c>
      <c r="J1072" t="inlineStr">
        <is>
          <t>Standard 1,0|40h</t>
        </is>
      </c>
      <c r="K1072" t="n">
        <v>6</v>
      </c>
      <c r="L1072" t="inlineStr">
        <is>
          <t>384</t>
        </is>
      </c>
      <c r="M1072" t="inlineStr">
        <is>
          <t>108120 SBX Warszawa Janki</t>
        </is>
      </c>
      <c r="N1072" t="inlineStr">
        <is>
          <t>2026-09-11 19:06</t>
        </is>
      </c>
    </row>
    <row r="1073">
      <c r="A1073" t="n">
        <v>1072</v>
      </c>
      <c r="B1073" t="inlineStr">
        <is>
          <t>2026-04-27</t>
        </is>
      </c>
      <c r="C1073" t="n">
        <v>2026</v>
      </c>
      <c r="D1073" t="inlineStr">
        <is>
          <t>Kwiecień</t>
        </is>
      </c>
      <c r="E1073" t="inlineStr">
        <is>
          <t>W4</t>
        </is>
      </c>
      <c r="F1073" t="inlineStr">
        <is>
          <t>2026_Kwiecień_W4</t>
        </is>
      </c>
      <c r="G1073" t="inlineStr">
        <is>
          <t>Pn</t>
        </is>
      </c>
      <c r="H1073" t="inlineStr">
        <is>
          <t>SZELUGA, DAWID</t>
        </is>
      </c>
      <c r="I1073" t="inlineStr">
        <is>
          <t>General/Store Manager</t>
        </is>
      </c>
      <c r="J1073" t="inlineStr">
        <is>
          <t>Standard 1,0|40h</t>
        </is>
      </c>
      <c r="K1073" t="n">
        <v>8</v>
      </c>
      <c r="L1073" t="inlineStr">
        <is>
          <t>384</t>
        </is>
      </c>
      <c r="M1073" t="inlineStr">
        <is>
          <t>108120 SBX Warszawa Janki</t>
        </is>
      </c>
      <c r="N1073" t="inlineStr">
        <is>
          <t>2026-09-11 19:06</t>
        </is>
      </c>
    </row>
    <row r="1074">
      <c r="A1074" t="n">
        <v>1073</v>
      </c>
      <c r="B1074" t="inlineStr">
        <is>
          <t>2026-04-28</t>
        </is>
      </c>
      <c r="C1074" t="n">
        <v>2026</v>
      </c>
      <c r="D1074" t="inlineStr">
        <is>
          <t>Kwiecień</t>
        </is>
      </c>
      <c r="E1074" t="inlineStr">
        <is>
          <t>W5</t>
        </is>
      </c>
      <c r="F1074" t="inlineStr">
        <is>
          <t>2026_Kwiecień_W5</t>
        </is>
      </c>
      <c r="G1074" t="inlineStr">
        <is>
          <t>Wt</t>
        </is>
      </c>
      <c r="H1074" t="inlineStr">
        <is>
          <t>SZELUGA, DAWID</t>
        </is>
      </c>
      <c r="I1074" t="inlineStr">
        <is>
          <t>General/Store Manager</t>
        </is>
      </c>
      <c r="J1074" t="inlineStr">
        <is>
          <t>Standard 1,0|40h</t>
        </is>
      </c>
      <c r="K1074" t="n">
        <v>10.5</v>
      </c>
      <c r="L1074" t="inlineStr">
        <is>
          <t>384</t>
        </is>
      </c>
      <c r="M1074" t="inlineStr">
        <is>
          <t>108120 SBX Warszawa Janki</t>
        </is>
      </c>
      <c r="N1074" t="inlineStr">
        <is>
          <t>2026-09-11 19:06</t>
        </is>
      </c>
    </row>
    <row r="1075">
      <c r="A1075" t="n">
        <v>1074</v>
      </c>
      <c r="B1075" t="inlineStr">
        <is>
          <t>2026-04-30</t>
        </is>
      </c>
      <c r="C1075" t="n">
        <v>2026</v>
      </c>
      <c r="D1075" t="inlineStr">
        <is>
          <t>Kwiecień</t>
        </is>
      </c>
      <c r="E1075" t="inlineStr">
        <is>
          <t>W5</t>
        </is>
      </c>
      <c r="F1075" t="inlineStr">
        <is>
          <t>2026_Kwiecień_W5</t>
        </is>
      </c>
      <c r="G1075" t="inlineStr">
        <is>
          <t>Czw</t>
        </is>
      </c>
      <c r="H1075" t="inlineStr">
        <is>
          <t>SZELUGA, DAWID</t>
        </is>
      </c>
      <c r="I1075" t="inlineStr">
        <is>
          <t>General/Store Manager</t>
        </is>
      </c>
      <c r="J1075" t="inlineStr">
        <is>
          <t>Standard 1,0|40h</t>
        </is>
      </c>
      <c r="K1075" t="n">
        <v>8.56</v>
      </c>
      <c r="L1075" t="inlineStr">
        <is>
          <t>384</t>
        </is>
      </c>
      <c r="M1075" t="inlineStr">
        <is>
          <t>108120 SBX Warszawa Janki</t>
        </is>
      </c>
      <c r="N1075" t="inlineStr">
        <is>
          <t>2026-09-11 19:06</t>
        </is>
      </c>
    </row>
    <row r="1076">
      <c r="A1076" t="n">
        <v>1075</v>
      </c>
      <c r="B1076" t="inlineStr">
        <is>
          <t>2026-05-01</t>
        </is>
      </c>
      <c r="C1076" t="n">
        <v>2026</v>
      </c>
      <c r="D1076" t="inlineStr">
        <is>
          <t>Maj</t>
        </is>
      </c>
      <c r="E1076" t="inlineStr">
        <is>
          <t>W1</t>
        </is>
      </c>
      <c r="F1076" t="inlineStr">
        <is>
          <t>2026_Maj_W1</t>
        </is>
      </c>
      <c r="G1076" t="inlineStr">
        <is>
          <t>Pt</t>
        </is>
      </c>
      <c r="H1076" t="inlineStr">
        <is>
          <t>SZELUGA, DAWID</t>
        </is>
      </c>
      <c r="I1076" t="inlineStr">
        <is>
          <t>General/Store Manager</t>
        </is>
      </c>
      <c r="J1076" t="inlineStr">
        <is>
          <t>Standard 1,0|40h</t>
        </is>
      </c>
      <c r="K1076" t="n">
        <v>7.18</v>
      </c>
      <c r="L1076" t="inlineStr">
        <is>
          <t>384</t>
        </is>
      </c>
      <c r="M1076" t="inlineStr">
        <is>
          <t>108120 SBX Warszawa Janki</t>
        </is>
      </c>
      <c r="N1076" t="inlineStr">
        <is>
          <t>2026-09-11 19:06</t>
        </is>
      </c>
    </row>
    <row r="1077">
      <c r="A1077" t="n">
        <v>1076</v>
      </c>
      <c r="B1077" t="inlineStr">
        <is>
          <t>2026-05-05</t>
        </is>
      </c>
      <c r="C1077" t="n">
        <v>2026</v>
      </c>
      <c r="D1077" t="inlineStr">
        <is>
          <t>Maj</t>
        </is>
      </c>
      <c r="E1077" t="inlineStr">
        <is>
          <t>W2</t>
        </is>
      </c>
      <c r="F1077" t="inlineStr">
        <is>
          <t>2026_Maj_W2</t>
        </is>
      </c>
      <c r="G1077" t="inlineStr">
        <is>
          <t>Wt</t>
        </is>
      </c>
      <c r="H1077" t="inlineStr">
        <is>
          <t>SZELUGA, DAWID</t>
        </is>
      </c>
      <c r="I1077" t="inlineStr">
        <is>
          <t>General/Store Manager</t>
        </is>
      </c>
      <c r="J1077" t="inlineStr">
        <is>
          <t>Standard 1,0|40h</t>
        </is>
      </c>
      <c r="K1077" t="n">
        <v>8.220000000000001</v>
      </c>
      <c r="L1077" t="inlineStr">
        <is>
          <t>384</t>
        </is>
      </c>
      <c r="M1077" t="inlineStr">
        <is>
          <t>108120 SBX Warszawa Janki</t>
        </is>
      </c>
      <c r="N1077" t="inlineStr">
        <is>
          <t>2026-09-11 19:06</t>
        </is>
      </c>
    </row>
    <row r="1078">
      <c r="A1078" t="n">
        <v>1077</v>
      </c>
      <c r="B1078" t="inlineStr">
        <is>
          <t>2026-05-06</t>
        </is>
      </c>
      <c r="C1078" t="n">
        <v>2026</v>
      </c>
      <c r="D1078" t="inlineStr">
        <is>
          <t>Maj</t>
        </is>
      </c>
      <c r="E1078" t="inlineStr">
        <is>
          <t>W2</t>
        </is>
      </c>
      <c r="F1078" t="inlineStr">
        <is>
          <t>2026_Maj_W2</t>
        </is>
      </c>
      <c r="G1078" t="inlineStr">
        <is>
          <t>Śr</t>
        </is>
      </c>
      <c r="H1078" t="inlineStr">
        <is>
          <t>SZELUGA, DAWID</t>
        </is>
      </c>
      <c r="I1078" t="inlineStr">
        <is>
          <t>General/Store Manager</t>
        </is>
      </c>
      <c r="J1078" t="inlineStr">
        <is>
          <t>Standard 1,0|40h</t>
        </is>
      </c>
      <c r="K1078" t="n">
        <v>7.89</v>
      </c>
      <c r="L1078" t="inlineStr">
        <is>
          <t>384</t>
        </is>
      </c>
      <c r="M1078" t="inlineStr">
        <is>
          <t>108120 SBX Warszawa Janki</t>
        </is>
      </c>
      <c r="N1078" t="inlineStr">
        <is>
          <t>2026-09-11 19:06</t>
        </is>
      </c>
    </row>
    <row r="1079">
      <c r="A1079" t="n">
        <v>1078</v>
      </c>
      <c r="B1079" t="inlineStr">
        <is>
          <t>2026-05-07</t>
        </is>
      </c>
      <c r="C1079" t="n">
        <v>2026</v>
      </c>
      <c r="D1079" t="inlineStr">
        <is>
          <t>Maj</t>
        </is>
      </c>
      <c r="E1079" t="inlineStr">
        <is>
          <t>W2</t>
        </is>
      </c>
      <c r="F1079" t="inlineStr">
        <is>
          <t>2026_Maj_W2</t>
        </is>
      </c>
      <c r="G1079" t="inlineStr">
        <is>
          <t>Czw</t>
        </is>
      </c>
      <c r="H1079" t="inlineStr">
        <is>
          <t>SZELUGA, DAWID</t>
        </is>
      </c>
      <c r="I1079" t="inlineStr">
        <is>
          <t>General/Store Manager</t>
        </is>
      </c>
      <c r="J1079" t="inlineStr">
        <is>
          <t>Standard 1,0|40h</t>
        </is>
      </c>
      <c r="K1079" t="n">
        <v>8</v>
      </c>
      <c r="L1079" t="inlineStr">
        <is>
          <t>384</t>
        </is>
      </c>
      <c r="M1079" t="inlineStr">
        <is>
          <t>108120 SBX Warszawa Janki</t>
        </is>
      </c>
      <c r="N1079" t="inlineStr">
        <is>
          <t>2026-09-11 19:06</t>
        </is>
      </c>
    </row>
    <row r="1080">
      <c r="A1080" t="n">
        <v>1079</v>
      </c>
      <c r="B1080" t="inlineStr">
        <is>
          <t>2026-05-08</t>
        </is>
      </c>
      <c r="C1080" t="n">
        <v>2026</v>
      </c>
      <c r="D1080" t="inlineStr">
        <is>
          <t>Maj</t>
        </is>
      </c>
      <c r="E1080" t="inlineStr">
        <is>
          <t>W2</t>
        </is>
      </c>
      <c r="F1080" t="inlineStr">
        <is>
          <t>2026_Maj_W2</t>
        </is>
      </c>
      <c r="G1080" t="inlineStr">
        <is>
          <t>Pt</t>
        </is>
      </c>
      <c r="H1080" t="inlineStr">
        <is>
          <t>SZELUGA, DAWID</t>
        </is>
      </c>
      <c r="I1080" t="inlineStr">
        <is>
          <t>General/Store Manager</t>
        </is>
      </c>
      <c r="J1080" t="inlineStr">
        <is>
          <t>Standard 1,0|40h</t>
        </is>
      </c>
      <c r="K1080" t="n">
        <v>8</v>
      </c>
      <c r="L1080" t="inlineStr">
        <is>
          <t>384</t>
        </is>
      </c>
      <c r="M1080" t="inlineStr">
        <is>
          <t>108120 SBX Warszawa Janki</t>
        </is>
      </c>
      <c r="N1080" t="inlineStr">
        <is>
          <t>2026-09-11 19:06</t>
        </is>
      </c>
    </row>
    <row r="1081">
      <c r="A1081" t="n">
        <v>1080</v>
      </c>
      <c r="B1081" t="inlineStr">
        <is>
          <t>2026-05-10</t>
        </is>
      </c>
      <c r="C1081" t="n">
        <v>2026</v>
      </c>
      <c r="D1081" t="inlineStr">
        <is>
          <t>Maj</t>
        </is>
      </c>
      <c r="E1081" t="inlineStr">
        <is>
          <t>W2</t>
        </is>
      </c>
      <c r="F1081" t="inlineStr">
        <is>
          <t>2026_Maj_W2</t>
        </is>
      </c>
      <c r="G1081" t="inlineStr">
        <is>
          <t>Nd</t>
        </is>
      </c>
      <c r="H1081" t="inlineStr">
        <is>
          <t>SZELUGA, DAWID</t>
        </is>
      </c>
      <c r="I1081" t="inlineStr">
        <is>
          <t>General/Store Manager</t>
        </is>
      </c>
      <c r="J1081" t="inlineStr">
        <is>
          <t>Standard 1,0|40h</t>
        </is>
      </c>
      <c r="K1081" t="n">
        <v>7</v>
      </c>
      <c r="L1081" t="inlineStr">
        <is>
          <t>384</t>
        </is>
      </c>
      <c r="M1081" t="inlineStr">
        <is>
          <t>108120 SBX Warszawa Janki</t>
        </is>
      </c>
      <c r="N1081" t="inlineStr">
        <is>
          <t>2026-09-11 19:06</t>
        </is>
      </c>
    </row>
    <row r="1082">
      <c r="A1082" t="n">
        <v>1081</v>
      </c>
      <c r="B1082" t="inlineStr">
        <is>
          <t>2026-05-12</t>
        </is>
      </c>
      <c r="C1082" t="n">
        <v>2026</v>
      </c>
      <c r="D1082" t="inlineStr">
        <is>
          <t>Maj</t>
        </is>
      </c>
      <c r="E1082" t="inlineStr">
        <is>
          <t>W3</t>
        </is>
      </c>
      <c r="F1082" t="inlineStr">
        <is>
          <t>2026_Maj_W3</t>
        </is>
      </c>
      <c r="G1082" t="inlineStr">
        <is>
          <t>Wt</t>
        </is>
      </c>
      <c r="H1082" t="inlineStr">
        <is>
          <t>SZELUGA, DAWID</t>
        </is>
      </c>
      <c r="I1082" t="inlineStr">
        <is>
          <t>General/Store Manager</t>
        </is>
      </c>
      <c r="J1082" t="inlineStr">
        <is>
          <t>Standard 1,0|40h</t>
        </is>
      </c>
      <c r="K1082" t="n">
        <v>8</v>
      </c>
      <c r="L1082" t="inlineStr">
        <is>
          <t>384</t>
        </is>
      </c>
      <c r="M1082" t="inlineStr">
        <is>
          <t>108120 SBX Warszawa Janki</t>
        </is>
      </c>
      <c r="N1082" t="inlineStr">
        <is>
          <t>2026-09-11 19:06</t>
        </is>
      </c>
    </row>
    <row r="1083">
      <c r="A1083" t="n">
        <v>1082</v>
      </c>
      <c r="B1083" t="inlineStr">
        <is>
          <t>2026-05-13</t>
        </is>
      </c>
      <c r="C1083" t="n">
        <v>2026</v>
      </c>
      <c r="D1083" t="inlineStr">
        <is>
          <t>Maj</t>
        </is>
      </c>
      <c r="E1083" t="inlineStr">
        <is>
          <t>W3</t>
        </is>
      </c>
      <c r="F1083" t="inlineStr">
        <is>
          <t>2026_Maj_W3</t>
        </is>
      </c>
      <c r="G1083" t="inlineStr">
        <is>
          <t>Śr</t>
        </is>
      </c>
      <c r="H1083" t="inlineStr">
        <is>
          <t>SZELUGA, DAWID</t>
        </is>
      </c>
      <c r="I1083" t="inlineStr">
        <is>
          <t>General/Store Manager</t>
        </is>
      </c>
      <c r="J1083" t="inlineStr">
        <is>
          <t>Standard 1,0|40h</t>
        </is>
      </c>
      <c r="K1083" t="n">
        <v>8</v>
      </c>
      <c r="L1083" t="inlineStr">
        <is>
          <t>384</t>
        </is>
      </c>
      <c r="M1083" t="inlineStr">
        <is>
          <t>108120 SBX Warszawa Janki</t>
        </is>
      </c>
      <c r="N1083" t="inlineStr">
        <is>
          <t>2026-09-11 19:06</t>
        </is>
      </c>
    </row>
    <row r="1084">
      <c r="A1084" t="n">
        <v>1083</v>
      </c>
      <c r="B1084" t="inlineStr">
        <is>
          <t>2026-05-14</t>
        </is>
      </c>
      <c r="C1084" t="n">
        <v>2026</v>
      </c>
      <c r="D1084" t="inlineStr">
        <is>
          <t>Maj</t>
        </is>
      </c>
      <c r="E1084" t="inlineStr">
        <is>
          <t>W3</t>
        </is>
      </c>
      <c r="F1084" t="inlineStr">
        <is>
          <t>2026_Maj_W3</t>
        </is>
      </c>
      <c r="G1084" t="inlineStr">
        <is>
          <t>Czw</t>
        </is>
      </c>
      <c r="H1084" t="inlineStr">
        <is>
          <t>SZELUGA, DAWID</t>
        </is>
      </c>
      <c r="I1084" t="inlineStr">
        <is>
          <t>General/Store Manager</t>
        </is>
      </c>
      <c r="J1084" t="inlineStr">
        <is>
          <t>Standard 1,0|40h</t>
        </is>
      </c>
      <c r="K1084" t="n">
        <v>8</v>
      </c>
      <c r="L1084" t="inlineStr">
        <is>
          <t>384</t>
        </is>
      </c>
      <c r="M1084" t="inlineStr">
        <is>
          <t>108120 SBX Warszawa Janki</t>
        </is>
      </c>
      <c r="N1084" t="inlineStr">
        <is>
          <t>2026-09-11 19:06</t>
        </is>
      </c>
    </row>
    <row r="1085">
      <c r="A1085" t="n">
        <v>1084</v>
      </c>
      <c r="B1085" t="inlineStr">
        <is>
          <t>2026-05-15</t>
        </is>
      </c>
      <c r="C1085" t="n">
        <v>2026</v>
      </c>
      <c r="D1085" t="inlineStr">
        <is>
          <t>Maj</t>
        </is>
      </c>
      <c r="E1085" t="inlineStr">
        <is>
          <t>W3</t>
        </is>
      </c>
      <c r="F1085" t="inlineStr">
        <is>
          <t>2026_Maj_W3</t>
        </is>
      </c>
      <c r="G1085" t="inlineStr">
        <is>
          <t>Pt</t>
        </is>
      </c>
      <c r="H1085" t="inlineStr">
        <is>
          <t>SZELUGA, DAWID</t>
        </is>
      </c>
      <c r="I1085" t="inlineStr">
        <is>
          <t>General/Store Manager</t>
        </is>
      </c>
      <c r="J1085" t="inlineStr">
        <is>
          <t>Standard 1,0|40h</t>
        </is>
      </c>
      <c r="K1085" t="n">
        <v>8</v>
      </c>
      <c r="L1085" t="inlineStr">
        <is>
          <t>384</t>
        </is>
      </c>
      <c r="M1085" t="inlineStr">
        <is>
          <t>108120 SBX Warszawa Janki</t>
        </is>
      </c>
      <c r="N1085" t="inlineStr">
        <is>
          <t>2026-09-11 19:06</t>
        </is>
      </c>
    </row>
    <row r="1086">
      <c r="A1086" t="n">
        <v>1085</v>
      </c>
      <c r="B1086" t="inlineStr">
        <is>
          <t>2026-05-16</t>
        </is>
      </c>
      <c r="C1086" t="n">
        <v>2026</v>
      </c>
      <c r="D1086" t="inlineStr">
        <is>
          <t>Maj</t>
        </is>
      </c>
      <c r="E1086" t="inlineStr">
        <is>
          <t>W3</t>
        </is>
      </c>
      <c r="F1086" t="inlineStr">
        <is>
          <t>2026_Maj_W3</t>
        </is>
      </c>
      <c r="G1086" t="inlineStr">
        <is>
          <t>Sob</t>
        </is>
      </c>
      <c r="H1086" t="inlineStr">
        <is>
          <t>SZELUGA, DAWID</t>
        </is>
      </c>
      <c r="I1086" t="inlineStr">
        <is>
          <t>General/Store Manager</t>
        </is>
      </c>
      <c r="J1086" t="inlineStr">
        <is>
          <t>Standard 1,0|40h</t>
        </is>
      </c>
      <c r="K1086" t="n">
        <v>4</v>
      </c>
      <c r="L1086" t="inlineStr">
        <is>
          <t>384</t>
        </is>
      </c>
      <c r="M1086" t="inlineStr">
        <is>
          <t>108120 SBX Warszawa Janki</t>
        </is>
      </c>
      <c r="N1086" t="inlineStr">
        <is>
          <t>2026-09-11 19:06</t>
        </is>
      </c>
    </row>
    <row r="1087">
      <c r="A1087" t="n">
        <v>1086</v>
      </c>
      <c r="B1087" t="inlineStr">
        <is>
          <t>2026-05-18</t>
        </is>
      </c>
      <c r="C1087" t="n">
        <v>2026</v>
      </c>
      <c r="D1087" t="inlineStr">
        <is>
          <t>Maj</t>
        </is>
      </c>
      <c r="E1087" t="inlineStr">
        <is>
          <t>W3</t>
        </is>
      </c>
      <c r="F1087" t="inlineStr">
        <is>
          <t>2026_Maj_W3</t>
        </is>
      </c>
      <c r="G1087" t="inlineStr">
        <is>
          <t>Pn</t>
        </is>
      </c>
      <c r="H1087" t="inlineStr">
        <is>
          <t>SZELUGA, DAWID</t>
        </is>
      </c>
      <c r="I1087" t="inlineStr">
        <is>
          <t>General/Store Manager</t>
        </is>
      </c>
      <c r="J1087" t="inlineStr">
        <is>
          <t>Standard 1,0|40h</t>
        </is>
      </c>
      <c r="K1087" t="n">
        <v>7.92</v>
      </c>
      <c r="L1087" t="inlineStr">
        <is>
          <t>384</t>
        </is>
      </c>
      <c r="M1087" t="inlineStr">
        <is>
          <t>108120 SBX Warszawa Janki</t>
        </is>
      </c>
      <c r="N1087" t="inlineStr">
        <is>
          <t>2026-09-11 19:06</t>
        </is>
      </c>
    </row>
    <row r="1088">
      <c r="A1088" t="n">
        <v>1087</v>
      </c>
      <c r="B1088" t="inlineStr">
        <is>
          <t>2026-05-19</t>
        </is>
      </c>
      <c r="C1088" t="n">
        <v>2026</v>
      </c>
      <c r="D1088" t="inlineStr">
        <is>
          <t>Maj</t>
        </is>
      </c>
      <c r="E1088" t="inlineStr">
        <is>
          <t>W4</t>
        </is>
      </c>
      <c r="F1088" t="inlineStr">
        <is>
          <t>2026_Maj_W4</t>
        </is>
      </c>
      <c r="G1088" t="inlineStr">
        <is>
          <t>Wt</t>
        </is>
      </c>
      <c r="H1088" t="inlineStr">
        <is>
          <t>SZELUGA, DAWID</t>
        </is>
      </c>
      <c r="I1088" t="inlineStr">
        <is>
          <t>General/Store Manager</t>
        </is>
      </c>
      <c r="J1088" t="inlineStr">
        <is>
          <t>Standard 1,0|40h</t>
        </is>
      </c>
      <c r="K1088" t="n">
        <v>8</v>
      </c>
      <c r="L1088" t="inlineStr">
        <is>
          <t>384</t>
        </is>
      </c>
      <c r="M1088" t="inlineStr">
        <is>
          <t>108120 SBX Warszawa Janki</t>
        </is>
      </c>
      <c r="N1088" t="inlineStr">
        <is>
          <t>2026-09-11 19:06</t>
        </is>
      </c>
    </row>
    <row r="1089">
      <c r="A1089" t="n">
        <v>1088</v>
      </c>
      <c r="B1089" t="inlineStr">
        <is>
          <t>2026-05-20</t>
        </is>
      </c>
      <c r="C1089" t="n">
        <v>2026</v>
      </c>
      <c r="D1089" t="inlineStr">
        <is>
          <t>Maj</t>
        </is>
      </c>
      <c r="E1089" t="inlineStr">
        <is>
          <t>W4</t>
        </is>
      </c>
      <c r="F1089" t="inlineStr">
        <is>
          <t>2026_Maj_W4</t>
        </is>
      </c>
      <c r="G1089" t="inlineStr">
        <is>
          <t>Śr</t>
        </is>
      </c>
      <c r="H1089" t="inlineStr">
        <is>
          <t>SZELUGA, DAWID</t>
        </is>
      </c>
      <c r="I1089" t="inlineStr">
        <is>
          <t>General/Store Manager</t>
        </is>
      </c>
      <c r="J1089" t="inlineStr">
        <is>
          <t>Standard 1,0|40h</t>
        </is>
      </c>
      <c r="K1089" t="n">
        <v>8.859999999999999</v>
      </c>
      <c r="L1089" t="inlineStr">
        <is>
          <t>384</t>
        </is>
      </c>
      <c r="M1089" t="inlineStr">
        <is>
          <t>108120 SBX Warszawa Janki</t>
        </is>
      </c>
      <c r="N1089" t="inlineStr">
        <is>
          <t>2026-09-11 19:06</t>
        </is>
      </c>
    </row>
    <row r="1090">
      <c r="A1090" t="n">
        <v>1089</v>
      </c>
      <c r="B1090" t="inlineStr">
        <is>
          <t>2026-05-25</t>
        </is>
      </c>
      <c r="C1090" t="n">
        <v>2026</v>
      </c>
      <c r="D1090" t="inlineStr">
        <is>
          <t>Maj</t>
        </is>
      </c>
      <c r="E1090" t="inlineStr">
        <is>
          <t>W4</t>
        </is>
      </c>
      <c r="F1090" t="inlineStr">
        <is>
          <t>2026_Maj_W4</t>
        </is>
      </c>
      <c r="G1090" t="inlineStr">
        <is>
          <t>Pn</t>
        </is>
      </c>
      <c r="H1090" t="inlineStr">
        <is>
          <t>SZELUGA, DAWID</t>
        </is>
      </c>
      <c r="I1090" t="inlineStr">
        <is>
          <t>General/Store Manager</t>
        </is>
      </c>
      <c r="J1090" t="inlineStr">
        <is>
          <t>Standard 1,0|40h</t>
        </is>
      </c>
      <c r="K1090" t="n">
        <v>8</v>
      </c>
      <c r="L1090" t="inlineStr">
        <is>
          <t>384</t>
        </is>
      </c>
      <c r="M1090" t="inlineStr">
        <is>
          <t>108120 SBX Warszawa Janki</t>
        </is>
      </c>
      <c r="N1090" t="inlineStr">
        <is>
          <t>2026-09-11 19:06</t>
        </is>
      </c>
    </row>
    <row r="1091">
      <c r="A1091" t="n">
        <v>1090</v>
      </c>
      <c r="B1091" t="inlineStr">
        <is>
          <t>2026-05-26</t>
        </is>
      </c>
      <c r="C1091" t="n">
        <v>2026</v>
      </c>
      <c r="D1091" t="inlineStr">
        <is>
          <t>Maj</t>
        </is>
      </c>
      <c r="E1091" t="inlineStr">
        <is>
          <t>W5</t>
        </is>
      </c>
      <c r="F1091" t="inlineStr">
        <is>
          <t>2026_Maj_W5</t>
        </is>
      </c>
      <c r="G1091" t="inlineStr">
        <is>
          <t>Wt</t>
        </is>
      </c>
      <c r="H1091" t="inlineStr">
        <is>
          <t>SZELUGA, DAWID</t>
        </is>
      </c>
      <c r="I1091" t="inlineStr">
        <is>
          <t>General/Store Manager</t>
        </is>
      </c>
      <c r="J1091" t="inlineStr">
        <is>
          <t>Standard 1,0|40h</t>
        </is>
      </c>
      <c r="K1091" t="n">
        <v>12</v>
      </c>
      <c r="L1091" t="inlineStr">
        <is>
          <t>384</t>
        </is>
      </c>
      <c r="M1091" t="inlineStr">
        <is>
          <t>108120 SBX Warszawa Janki</t>
        </is>
      </c>
      <c r="N1091" t="inlineStr">
        <is>
          <t>2026-09-11 19:06</t>
        </is>
      </c>
    </row>
    <row r="1092">
      <c r="A1092" t="n">
        <v>1091</v>
      </c>
      <c r="B1092" t="inlineStr">
        <is>
          <t>2026-05-28</t>
        </is>
      </c>
      <c r="C1092" t="n">
        <v>2026</v>
      </c>
      <c r="D1092" t="inlineStr">
        <is>
          <t>Maj</t>
        </is>
      </c>
      <c r="E1092" t="inlineStr">
        <is>
          <t>W5</t>
        </is>
      </c>
      <c r="F1092" t="inlineStr">
        <is>
          <t>2026_Maj_W5</t>
        </is>
      </c>
      <c r="G1092" t="inlineStr">
        <is>
          <t>Czw</t>
        </is>
      </c>
      <c r="H1092" t="inlineStr">
        <is>
          <t>SZELUGA, DAWID</t>
        </is>
      </c>
      <c r="I1092" t="inlineStr">
        <is>
          <t>General/Store Manager</t>
        </is>
      </c>
      <c r="J1092" t="inlineStr">
        <is>
          <t>Standard 1,0|40h</t>
        </is>
      </c>
      <c r="K1092" t="n">
        <v>8.5</v>
      </c>
      <c r="L1092" t="inlineStr">
        <is>
          <t>384</t>
        </is>
      </c>
      <c r="M1092" t="inlineStr">
        <is>
          <t>108120 SBX Warszawa Janki</t>
        </is>
      </c>
      <c r="N1092" t="inlineStr">
        <is>
          <t>2026-09-11 19:06</t>
        </is>
      </c>
    </row>
    <row r="1093">
      <c r="A1093" t="n">
        <v>1092</v>
      </c>
      <c r="B1093" t="inlineStr">
        <is>
          <t>2026-05-29</t>
        </is>
      </c>
      <c r="C1093" t="n">
        <v>2026</v>
      </c>
      <c r="D1093" t="inlineStr">
        <is>
          <t>Maj</t>
        </is>
      </c>
      <c r="E1093" t="inlineStr">
        <is>
          <t>W5</t>
        </is>
      </c>
      <c r="F1093" t="inlineStr">
        <is>
          <t>2026_Maj_W5</t>
        </is>
      </c>
      <c r="G1093" t="inlineStr">
        <is>
          <t>Pt</t>
        </is>
      </c>
      <c r="H1093" t="inlineStr">
        <is>
          <t>SZELUGA, DAWID</t>
        </is>
      </c>
      <c r="I1093" t="inlineStr">
        <is>
          <t>General/Store Manager</t>
        </is>
      </c>
      <c r="J1093" t="inlineStr">
        <is>
          <t>Standard 1,0|40h</t>
        </is>
      </c>
      <c r="K1093" t="n">
        <v>8.25</v>
      </c>
      <c r="L1093" t="inlineStr">
        <is>
          <t>384</t>
        </is>
      </c>
      <c r="M1093" t="inlineStr">
        <is>
          <t>108120 SBX Warszawa Janki</t>
        </is>
      </c>
      <c r="N1093" t="inlineStr">
        <is>
          <t>2026-09-11 19:06</t>
        </is>
      </c>
    </row>
    <row r="1094">
      <c r="A1094" t="n">
        <v>1093</v>
      </c>
      <c r="B1094" t="inlineStr">
        <is>
          <t>2026-05-30</t>
        </is>
      </c>
      <c r="C1094" t="n">
        <v>2026</v>
      </c>
      <c r="D1094" t="inlineStr">
        <is>
          <t>Maj</t>
        </is>
      </c>
      <c r="E1094" t="inlineStr">
        <is>
          <t>W5</t>
        </is>
      </c>
      <c r="F1094" t="inlineStr">
        <is>
          <t>2026_Maj_W5</t>
        </is>
      </c>
      <c r="G1094" t="inlineStr">
        <is>
          <t>Sob</t>
        </is>
      </c>
      <c r="H1094" t="inlineStr">
        <is>
          <t>SZELUGA, DAWID</t>
        </is>
      </c>
      <c r="I1094" t="inlineStr">
        <is>
          <t>General/Store Manager</t>
        </is>
      </c>
      <c r="J1094" t="inlineStr">
        <is>
          <t>Standard 1,0|40h</t>
        </is>
      </c>
      <c r="K1094" t="n">
        <v>8.5</v>
      </c>
      <c r="L1094" t="inlineStr">
        <is>
          <t>384</t>
        </is>
      </c>
      <c r="M1094" t="inlineStr">
        <is>
          <t>108120 SBX Warszawa Janki</t>
        </is>
      </c>
      <c r="N1094" t="inlineStr">
        <is>
          <t>2026-09-11 19:06</t>
        </is>
      </c>
    </row>
    <row r="1095">
      <c r="A1095" t="n">
        <v>1094</v>
      </c>
      <c r="B1095" t="inlineStr">
        <is>
          <t>2026-06-01</t>
        </is>
      </c>
      <c r="C1095" t="n">
        <v>2026</v>
      </c>
      <c r="D1095" t="inlineStr">
        <is>
          <t>Czerwiec</t>
        </is>
      </c>
      <c r="E1095" t="inlineStr">
        <is>
          <t>W1</t>
        </is>
      </c>
      <c r="F1095" t="inlineStr">
        <is>
          <t>2026_Czerwiec_W1</t>
        </is>
      </c>
      <c r="G1095" t="inlineStr">
        <is>
          <t>Pn</t>
        </is>
      </c>
      <c r="H1095" t="inlineStr">
        <is>
          <t>SZELUGA, DAWID</t>
        </is>
      </c>
      <c r="I1095" t="inlineStr">
        <is>
          <t>General/Store Manager</t>
        </is>
      </c>
      <c r="J1095" t="inlineStr">
        <is>
          <t>Standard 1,0|40h</t>
        </is>
      </c>
      <c r="K1095" t="n">
        <v>8</v>
      </c>
      <c r="L1095" t="inlineStr">
        <is>
          <t>384</t>
        </is>
      </c>
      <c r="M1095" t="inlineStr">
        <is>
          <t>108120 SBX Warszawa Janki</t>
        </is>
      </c>
      <c r="N1095" t="inlineStr">
        <is>
          <t>2026-09-11 19:06</t>
        </is>
      </c>
    </row>
    <row r="1096">
      <c r="A1096" t="n">
        <v>1095</v>
      </c>
      <c r="B1096" t="inlineStr">
        <is>
          <t>2026-06-02</t>
        </is>
      </c>
      <c r="C1096" t="n">
        <v>2026</v>
      </c>
      <c r="D1096" t="inlineStr">
        <is>
          <t>Czerwiec</t>
        </is>
      </c>
      <c r="E1096" t="inlineStr">
        <is>
          <t>W2</t>
        </is>
      </c>
      <c r="F1096" t="inlineStr">
        <is>
          <t>2026_Czerwiec_W2</t>
        </is>
      </c>
      <c r="G1096" t="inlineStr">
        <is>
          <t>Wt</t>
        </is>
      </c>
      <c r="H1096" t="inlineStr">
        <is>
          <t>SZELUGA, DAWID</t>
        </is>
      </c>
      <c r="I1096" t="inlineStr">
        <is>
          <t>General/Store Manager</t>
        </is>
      </c>
      <c r="J1096" t="inlineStr">
        <is>
          <t>Standard 1,0|40h</t>
        </is>
      </c>
      <c r="K1096" t="n">
        <v>9</v>
      </c>
      <c r="L1096" t="inlineStr">
        <is>
          <t>384</t>
        </is>
      </c>
      <c r="M1096" t="inlineStr">
        <is>
          <t>108120 SBX Warszawa Janki</t>
        </is>
      </c>
      <c r="N1096" t="inlineStr">
        <is>
          <t>2026-09-11 19:06</t>
        </is>
      </c>
    </row>
    <row r="1097">
      <c r="A1097" t="n">
        <v>1096</v>
      </c>
      <c r="B1097" t="inlineStr">
        <is>
          <t>2026-06-03</t>
        </is>
      </c>
      <c r="C1097" t="n">
        <v>2026</v>
      </c>
      <c r="D1097" t="inlineStr">
        <is>
          <t>Czerwiec</t>
        </is>
      </c>
      <c r="E1097" t="inlineStr">
        <is>
          <t>W2</t>
        </is>
      </c>
      <c r="F1097" t="inlineStr">
        <is>
          <t>2026_Czerwiec_W2</t>
        </is>
      </c>
      <c r="G1097" t="inlineStr">
        <is>
          <t>Śr</t>
        </is>
      </c>
      <c r="H1097" t="inlineStr">
        <is>
          <t>SZELUGA, DAWID</t>
        </is>
      </c>
      <c r="I1097" t="inlineStr">
        <is>
          <t>General/Store Manager</t>
        </is>
      </c>
      <c r="J1097" t="inlineStr">
        <is>
          <t>Standard 1,0|40h</t>
        </is>
      </c>
      <c r="K1097" t="n">
        <v>8</v>
      </c>
      <c r="L1097" t="inlineStr">
        <is>
          <t>384</t>
        </is>
      </c>
      <c r="M1097" t="inlineStr">
        <is>
          <t>108120 SBX Warszawa Janki</t>
        </is>
      </c>
      <c r="N1097" t="inlineStr">
        <is>
          <t>2026-09-11 19:06</t>
        </is>
      </c>
    </row>
    <row r="1098">
      <c r="A1098" t="n">
        <v>1097</v>
      </c>
      <c r="B1098" t="inlineStr">
        <is>
          <t>2026-06-05</t>
        </is>
      </c>
      <c r="C1098" t="n">
        <v>2026</v>
      </c>
      <c r="D1098" t="inlineStr">
        <is>
          <t>Czerwiec</t>
        </is>
      </c>
      <c r="E1098" t="inlineStr">
        <is>
          <t>W2</t>
        </is>
      </c>
      <c r="F1098" t="inlineStr">
        <is>
          <t>2026_Czerwiec_W2</t>
        </is>
      </c>
      <c r="G1098" t="inlineStr">
        <is>
          <t>Pt</t>
        </is>
      </c>
      <c r="H1098" t="inlineStr">
        <is>
          <t>SZELUGA, DAWID</t>
        </is>
      </c>
      <c r="I1098" t="inlineStr">
        <is>
          <t>General/Store Manager</t>
        </is>
      </c>
      <c r="J1098" t="inlineStr">
        <is>
          <t>Standard 1,0|40h</t>
        </is>
      </c>
      <c r="K1098" t="n">
        <v>8</v>
      </c>
      <c r="L1098" t="inlineStr">
        <is>
          <t>384</t>
        </is>
      </c>
      <c r="M1098" t="inlineStr">
        <is>
          <t>108120 SBX Warszawa Janki</t>
        </is>
      </c>
      <c r="N1098" t="inlineStr">
        <is>
          <t>2026-09-11 19:06</t>
        </is>
      </c>
    </row>
    <row r="1099">
      <c r="A1099" t="n">
        <v>1098</v>
      </c>
      <c r="B1099" t="inlineStr">
        <is>
          <t>2026-06-06</t>
        </is>
      </c>
      <c r="C1099" t="n">
        <v>2026</v>
      </c>
      <c r="D1099" t="inlineStr">
        <is>
          <t>Czerwiec</t>
        </is>
      </c>
      <c r="E1099" t="inlineStr">
        <is>
          <t>W2</t>
        </is>
      </c>
      <c r="F1099" t="inlineStr">
        <is>
          <t>2026_Czerwiec_W2</t>
        </is>
      </c>
      <c r="G1099" t="inlineStr">
        <is>
          <t>Sob</t>
        </is>
      </c>
      <c r="H1099" t="inlineStr">
        <is>
          <t>SZELUGA, DAWID</t>
        </is>
      </c>
      <c r="I1099" t="inlineStr">
        <is>
          <t>General/Store Manager</t>
        </is>
      </c>
      <c r="J1099" t="inlineStr">
        <is>
          <t>Standard 1,0|40h</t>
        </is>
      </c>
      <c r="K1099" t="n">
        <v>7</v>
      </c>
      <c r="L1099" t="inlineStr">
        <is>
          <t>384</t>
        </is>
      </c>
      <c r="M1099" t="inlineStr">
        <is>
          <t>108120 SBX Warszawa Janki</t>
        </is>
      </c>
      <c r="N1099" t="inlineStr">
        <is>
          <t>2026-09-11 19:06</t>
        </is>
      </c>
    </row>
    <row r="1100">
      <c r="A1100" t="n">
        <v>1099</v>
      </c>
      <c r="B1100" t="inlineStr">
        <is>
          <t>2026-06-08</t>
        </is>
      </c>
      <c r="C1100" t="n">
        <v>2026</v>
      </c>
      <c r="D1100" t="inlineStr">
        <is>
          <t>Czerwiec</t>
        </is>
      </c>
      <c r="E1100" t="inlineStr">
        <is>
          <t>W2</t>
        </is>
      </c>
      <c r="F1100" t="inlineStr">
        <is>
          <t>2026_Czerwiec_W2</t>
        </is>
      </c>
      <c r="G1100" t="inlineStr">
        <is>
          <t>Pn</t>
        </is>
      </c>
      <c r="H1100" t="inlineStr">
        <is>
          <t>SZELUGA, DAWID</t>
        </is>
      </c>
      <c r="I1100" t="inlineStr">
        <is>
          <t>General/Store Manager</t>
        </is>
      </c>
      <c r="J1100" t="inlineStr">
        <is>
          <t>Standard 1,0|40h</t>
        </is>
      </c>
      <c r="K1100" t="n">
        <v>8</v>
      </c>
      <c r="L1100" t="inlineStr">
        <is>
          <t>384</t>
        </is>
      </c>
      <c r="M1100" t="inlineStr">
        <is>
          <t>108120 SBX Warszawa Janki</t>
        </is>
      </c>
      <c r="N1100" t="inlineStr">
        <is>
          <t>2026-09-11 19:06</t>
        </is>
      </c>
    </row>
    <row r="1101">
      <c r="A1101" t="n">
        <v>1100</v>
      </c>
      <c r="B1101" t="inlineStr">
        <is>
          <t>2026-06-09</t>
        </is>
      </c>
      <c r="C1101" t="n">
        <v>2026</v>
      </c>
      <c r="D1101" t="inlineStr">
        <is>
          <t>Czerwiec</t>
        </is>
      </c>
      <c r="E1101" t="inlineStr">
        <is>
          <t>W3</t>
        </is>
      </c>
      <c r="F1101" t="inlineStr">
        <is>
          <t>2026_Czerwiec_W3</t>
        </is>
      </c>
      <c r="G1101" t="inlineStr">
        <is>
          <t>Wt</t>
        </is>
      </c>
      <c r="H1101" t="inlineStr">
        <is>
          <t>SZELUGA, DAWID</t>
        </is>
      </c>
      <c r="I1101" t="inlineStr">
        <is>
          <t>General/Store Manager</t>
        </is>
      </c>
      <c r="J1101" t="inlineStr">
        <is>
          <t>Standard 1,0|40h</t>
        </is>
      </c>
      <c r="K1101" t="n">
        <v>8</v>
      </c>
      <c r="L1101" t="inlineStr">
        <is>
          <t>384</t>
        </is>
      </c>
      <c r="M1101" t="inlineStr">
        <is>
          <t>108120 SBX Warszawa Janki</t>
        </is>
      </c>
      <c r="N1101" t="inlineStr">
        <is>
          <t>2026-09-11 19:06</t>
        </is>
      </c>
    </row>
    <row r="1102">
      <c r="A1102" t="n">
        <v>1101</v>
      </c>
      <c r="B1102" t="inlineStr">
        <is>
          <t>2026-06-13</t>
        </is>
      </c>
      <c r="C1102" t="n">
        <v>2026</v>
      </c>
      <c r="D1102" t="inlineStr">
        <is>
          <t>Czerwiec</t>
        </is>
      </c>
      <c r="E1102" t="inlineStr">
        <is>
          <t>W3</t>
        </is>
      </c>
      <c r="F1102" t="inlineStr">
        <is>
          <t>2026_Czerwiec_W3</t>
        </is>
      </c>
      <c r="G1102" t="inlineStr">
        <is>
          <t>Sob</t>
        </is>
      </c>
      <c r="H1102" t="inlineStr">
        <is>
          <t>SZELUGA, DAWID</t>
        </is>
      </c>
      <c r="I1102" t="inlineStr">
        <is>
          <t>General/Store Manager</t>
        </is>
      </c>
      <c r="J1102" t="inlineStr">
        <is>
          <t>Standard 1,0|40h</t>
        </is>
      </c>
      <c r="K1102" t="n">
        <v>8</v>
      </c>
      <c r="L1102" t="inlineStr">
        <is>
          <t>384</t>
        </is>
      </c>
      <c r="M1102" t="inlineStr">
        <is>
          <t>108120 SBX Warszawa Janki</t>
        </is>
      </c>
      <c r="N1102" t="inlineStr">
        <is>
          <t>2026-09-11 19:06</t>
        </is>
      </c>
    </row>
    <row r="1103">
      <c r="A1103" t="n">
        <v>1102</v>
      </c>
      <c r="B1103" t="inlineStr">
        <is>
          <t>2026-06-16</t>
        </is>
      </c>
      <c r="C1103" t="n">
        <v>2026</v>
      </c>
      <c r="D1103" t="inlineStr">
        <is>
          <t>Czerwiec</t>
        </is>
      </c>
      <c r="E1103" t="inlineStr">
        <is>
          <t>W4</t>
        </is>
      </c>
      <c r="F1103" t="inlineStr">
        <is>
          <t>2026_Czerwiec_W4</t>
        </is>
      </c>
      <c r="G1103" t="inlineStr">
        <is>
          <t>Wt</t>
        </is>
      </c>
      <c r="H1103" t="inlineStr">
        <is>
          <t>SZELUGA, DAWID</t>
        </is>
      </c>
      <c r="I1103" t="inlineStr">
        <is>
          <t>General/Store Manager</t>
        </is>
      </c>
      <c r="J1103" t="inlineStr">
        <is>
          <t>Standard 1,0|40h</t>
        </is>
      </c>
      <c r="K1103" t="n">
        <v>8</v>
      </c>
      <c r="L1103" t="inlineStr">
        <is>
          <t>384</t>
        </is>
      </c>
      <c r="M1103" t="inlineStr">
        <is>
          <t>108120 SBX Warszawa Janki</t>
        </is>
      </c>
      <c r="N1103" t="inlineStr">
        <is>
          <t>2026-09-11 19:06</t>
        </is>
      </c>
    </row>
    <row r="1104">
      <c r="A1104" t="n">
        <v>1103</v>
      </c>
      <c r="B1104" t="inlineStr">
        <is>
          <t>2026-06-18</t>
        </is>
      </c>
      <c r="C1104" t="n">
        <v>2026</v>
      </c>
      <c r="D1104" t="inlineStr">
        <is>
          <t>Czerwiec</t>
        </is>
      </c>
      <c r="E1104" t="inlineStr">
        <is>
          <t>W4</t>
        </is>
      </c>
      <c r="F1104" t="inlineStr">
        <is>
          <t>2026_Czerwiec_W4</t>
        </is>
      </c>
      <c r="G1104" t="inlineStr">
        <is>
          <t>Czw</t>
        </is>
      </c>
      <c r="H1104" t="inlineStr">
        <is>
          <t>SZELUGA, DAWID</t>
        </is>
      </c>
      <c r="I1104" t="inlineStr">
        <is>
          <t>General/Store Manager</t>
        </is>
      </c>
      <c r="J1104" t="inlineStr">
        <is>
          <t>Standard 1,0|40h</t>
        </is>
      </c>
      <c r="K1104" t="n">
        <v>8</v>
      </c>
      <c r="L1104" t="inlineStr">
        <is>
          <t>384</t>
        </is>
      </c>
      <c r="M1104" t="inlineStr">
        <is>
          <t>108120 SBX Warszawa Janki</t>
        </is>
      </c>
      <c r="N1104" t="inlineStr">
        <is>
          <t>2026-09-11 19:06</t>
        </is>
      </c>
    </row>
    <row r="1105">
      <c r="A1105" t="n">
        <v>1104</v>
      </c>
      <c r="B1105" t="inlineStr">
        <is>
          <t>2026-06-20</t>
        </is>
      </c>
      <c r="C1105" t="n">
        <v>2026</v>
      </c>
      <c r="D1105" t="inlineStr">
        <is>
          <t>Czerwiec</t>
        </is>
      </c>
      <c r="E1105" t="inlineStr">
        <is>
          <t>W4</t>
        </is>
      </c>
      <c r="F1105" t="inlineStr">
        <is>
          <t>2026_Czerwiec_W4</t>
        </is>
      </c>
      <c r="G1105" t="inlineStr">
        <is>
          <t>Sob</t>
        </is>
      </c>
      <c r="H1105" t="inlineStr">
        <is>
          <t>SZELUGA, DAWID</t>
        </is>
      </c>
      <c r="I1105" t="inlineStr">
        <is>
          <t>General/Store Manager</t>
        </is>
      </c>
      <c r="J1105" t="inlineStr">
        <is>
          <t>Standard 1,0|40h</t>
        </is>
      </c>
      <c r="K1105" t="n">
        <v>8.41</v>
      </c>
      <c r="L1105" t="inlineStr">
        <is>
          <t>384</t>
        </is>
      </c>
      <c r="M1105" t="inlineStr">
        <is>
          <t>108120 SBX Warszawa Janki</t>
        </is>
      </c>
      <c r="N1105" t="inlineStr">
        <is>
          <t>2026-09-11 19:06</t>
        </is>
      </c>
    </row>
    <row r="1106">
      <c r="A1106" t="n">
        <v>1105</v>
      </c>
      <c r="B1106" t="inlineStr">
        <is>
          <t>2026-06-22</t>
        </is>
      </c>
      <c r="C1106" t="n">
        <v>2026</v>
      </c>
      <c r="D1106" t="inlineStr">
        <is>
          <t>Czerwiec</t>
        </is>
      </c>
      <c r="E1106" t="inlineStr">
        <is>
          <t>W4</t>
        </is>
      </c>
      <c r="F1106" t="inlineStr">
        <is>
          <t>2026_Czerwiec_W4</t>
        </is>
      </c>
      <c r="G1106" t="inlineStr">
        <is>
          <t>Pn</t>
        </is>
      </c>
      <c r="H1106" t="inlineStr">
        <is>
          <t>SZELUGA, DAWID</t>
        </is>
      </c>
      <c r="I1106" t="inlineStr">
        <is>
          <t>General/Store Manager</t>
        </is>
      </c>
      <c r="J1106" t="inlineStr">
        <is>
          <t>Standard 1,0|40h</t>
        </is>
      </c>
      <c r="K1106" t="n">
        <v>8</v>
      </c>
      <c r="L1106" t="inlineStr">
        <is>
          <t>384</t>
        </is>
      </c>
      <c r="M1106" t="inlineStr">
        <is>
          <t>108120 SBX Warszawa Janki</t>
        </is>
      </c>
      <c r="N1106" t="inlineStr">
        <is>
          <t>2026-09-11 19:06</t>
        </is>
      </c>
    </row>
    <row r="1107">
      <c r="A1107" t="n">
        <v>1106</v>
      </c>
      <c r="B1107" t="inlineStr">
        <is>
          <t>2026-06-23</t>
        </is>
      </c>
      <c r="C1107" t="n">
        <v>2026</v>
      </c>
      <c r="D1107" t="inlineStr">
        <is>
          <t>Czerwiec</t>
        </is>
      </c>
      <c r="E1107" t="inlineStr">
        <is>
          <t>W5</t>
        </is>
      </c>
      <c r="F1107" t="inlineStr">
        <is>
          <t>2026_Czerwiec_W5</t>
        </is>
      </c>
      <c r="G1107" t="inlineStr">
        <is>
          <t>Wt</t>
        </is>
      </c>
      <c r="H1107" t="inlineStr">
        <is>
          <t>SZELUGA, DAWID</t>
        </is>
      </c>
      <c r="I1107" t="inlineStr">
        <is>
          <t>General/Store Manager</t>
        </is>
      </c>
      <c r="J1107" t="inlineStr">
        <is>
          <t>Standard 1,0|40h</t>
        </is>
      </c>
      <c r="K1107" t="n">
        <v>8.01</v>
      </c>
      <c r="L1107" t="inlineStr">
        <is>
          <t>384</t>
        </is>
      </c>
      <c r="M1107" t="inlineStr">
        <is>
          <t>108120 SBX Warszawa Janki</t>
        </is>
      </c>
      <c r="N1107" t="inlineStr">
        <is>
          <t>2026-09-11 19:06</t>
        </is>
      </c>
    </row>
    <row r="1108">
      <c r="A1108" t="n">
        <v>1107</v>
      </c>
      <c r="B1108" t="inlineStr">
        <is>
          <t>2026-06-24</t>
        </is>
      </c>
      <c r="C1108" t="n">
        <v>2026</v>
      </c>
      <c r="D1108" t="inlineStr">
        <is>
          <t>Czerwiec</t>
        </is>
      </c>
      <c r="E1108" t="inlineStr">
        <is>
          <t>W5</t>
        </is>
      </c>
      <c r="F1108" t="inlineStr">
        <is>
          <t>2026_Czerwiec_W5</t>
        </is>
      </c>
      <c r="G1108" t="inlineStr">
        <is>
          <t>Śr</t>
        </is>
      </c>
      <c r="H1108" t="inlineStr">
        <is>
          <t>SZELUGA, DAWID</t>
        </is>
      </c>
      <c r="I1108" t="inlineStr">
        <is>
          <t>General/Store Manager</t>
        </is>
      </c>
      <c r="J1108" t="inlineStr">
        <is>
          <t>Standard 1,0|40h</t>
        </is>
      </c>
      <c r="K1108" t="n">
        <v>8</v>
      </c>
      <c r="L1108" t="inlineStr">
        <is>
          <t>384</t>
        </is>
      </c>
      <c r="M1108" t="inlineStr">
        <is>
          <t>108120 SBX Warszawa Janki</t>
        </is>
      </c>
      <c r="N1108" t="inlineStr">
        <is>
          <t>2026-09-11 19:06</t>
        </is>
      </c>
    </row>
    <row r="1109">
      <c r="A1109" t="n">
        <v>1108</v>
      </c>
      <c r="B1109" t="inlineStr">
        <is>
          <t>2026-06-25</t>
        </is>
      </c>
      <c r="C1109" t="n">
        <v>2026</v>
      </c>
      <c r="D1109" t="inlineStr">
        <is>
          <t>Czerwiec</t>
        </is>
      </c>
      <c r="E1109" t="inlineStr">
        <is>
          <t>W5</t>
        </is>
      </c>
      <c r="F1109" t="inlineStr">
        <is>
          <t>2026_Czerwiec_W5</t>
        </is>
      </c>
      <c r="G1109" t="inlineStr">
        <is>
          <t>Czw</t>
        </is>
      </c>
      <c r="H1109" t="inlineStr">
        <is>
          <t>SZELUGA, DAWID</t>
        </is>
      </c>
      <c r="I1109" t="inlineStr">
        <is>
          <t>General/Store Manager</t>
        </is>
      </c>
      <c r="J1109" t="inlineStr">
        <is>
          <t>Standard 1,0|40h</t>
        </is>
      </c>
      <c r="K1109" t="n">
        <v>8</v>
      </c>
      <c r="L1109" t="inlineStr">
        <is>
          <t>384</t>
        </is>
      </c>
      <c r="M1109" t="inlineStr">
        <is>
          <t>108120 SBX Warszawa Janki</t>
        </is>
      </c>
      <c r="N1109" t="inlineStr">
        <is>
          <t>2026-09-11 19:06</t>
        </is>
      </c>
    </row>
    <row r="1110">
      <c r="A1110" t="n">
        <v>1109</v>
      </c>
      <c r="B1110" t="inlineStr">
        <is>
          <t>2026-06-26</t>
        </is>
      </c>
      <c r="C1110" t="n">
        <v>2026</v>
      </c>
      <c r="D1110" t="inlineStr">
        <is>
          <t>Czerwiec</t>
        </is>
      </c>
      <c r="E1110" t="inlineStr">
        <is>
          <t>W5</t>
        </is>
      </c>
      <c r="F1110" t="inlineStr">
        <is>
          <t>2026_Czerwiec_W5</t>
        </is>
      </c>
      <c r="G1110" t="inlineStr">
        <is>
          <t>Pt</t>
        </is>
      </c>
      <c r="H1110" t="inlineStr">
        <is>
          <t>SZELUGA, DAWID</t>
        </is>
      </c>
      <c r="I1110" t="inlineStr">
        <is>
          <t>General/Store Manager</t>
        </is>
      </c>
      <c r="J1110" t="inlineStr">
        <is>
          <t>Standard 1,0|40h</t>
        </is>
      </c>
      <c r="K1110" t="n">
        <v>8</v>
      </c>
      <c r="L1110" t="inlineStr">
        <is>
          <t>384</t>
        </is>
      </c>
      <c r="M1110" t="inlineStr">
        <is>
          <t>108120 SBX Warszawa Janki</t>
        </is>
      </c>
      <c r="N1110" t="inlineStr">
        <is>
          <t>2026-09-11 19:06</t>
        </is>
      </c>
    </row>
    <row r="1111">
      <c r="A1111" t="n">
        <v>1110</v>
      </c>
      <c r="B1111" t="inlineStr">
        <is>
          <t>2026-06-29</t>
        </is>
      </c>
      <c r="C1111" t="n">
        <v>2026</v>
      </c>
      <c r="D1111" t="inlineStr">
        <is>
          <t>Czerwiec</t>
        </is>
      </c>
      <c r="E1111" t="inlineStr">
        <is>
          <t>W5</t>
        </is>
      </c>
      <c r="F1111" t="inlineStr">
        <is>
          <t>2026_Czerwiec_W5</t>
        </is>
      </c>
      <c r="G1111" t="inlineStr">
        <is>
          <t>Pn</t>
        </is>
      </c>
      <c r="H1111" t="inlineStr">
        <is>
          <t>SZELUGA, DAWID</t>
        </is>
      </c>
      <c r="I1111" t="inlineStr">
        <is>
          <t>General/Store Manager</t>
        </is>
      </c>
      <c r="J1111" t="inlineStr">
        <is>
          <t>Standard 1,0|40h</t>
        </is>
      </c>
      <c r="K1111" t="n">
        <v>8</v>
      </c>
      <c r="L1111" t="inlineStr">
        <is>
          <t>384</t>
        </is>
      </c>
      <c r="M1111" t="inlineStr">
        <is>
          <t>108120 SBX Warszawa Janki</t>
        </is>
      </c>
      <c r="N1111" t="inlineStr">
        <is>
          <t>2026-09-11 19:06</t>
        </is>
      </c>
    </row>
    <row r="1112">
      <c r="A1112" t="n">
        <v>1111</v>
      </c>
      <c r="B1112" t="inlineStr">
        <is>
          <t>2026-06-30</t>
        </is>
      </c>
      <c r="C1112" t="n">
        <v>2026</v>
      </c>
      <c r="D1112" t="inlineStr">
        <is>
          <t>Czerwiec</t>
        </is>
      </c>
      <c r="E1112" t="inlineStr">
        <is>
          <t>W6</t>
        </is>
      </c>
      <c r="F1112" t="inlineStr">
        <is>
          <t>2026_Czerwiec_W6</t>
        </is>
      </c>
      <c r="G1112" t="inlineStr">
        <is>
          <t>Wt</t>
        </is>
      </c>
      <c r="H1112" t="inlineStr">
        <is>
          <t>SZELUGA, DAWID</t>
        </is>
      </c>
      <c r="I1112" t="inlineStr">
        <is>
          <t>General/Store Manager</t>
        </is>
      </c>
      <c r="J1112" t="inlineStr">
        <is>
          <t>Standard 1,0|40h</t>
        </is>
      </c>
      <c r="K1112" t="n">
        <v>8</v>
      </c>
      <c r="L1112" t="inlineStr">
        <is>
          <t>384</t>
        </is>
      </c>
      <c r="M1112" t="inlineStr">
        <is>
          <t>108120 SBX Warszawa Janki</t>
        </is>
      </c>
      <c r="N1112" t="inlineStr">
        <is>
          <t>2026-09-11 19:06</t>
        </is>
      </c>
    </row>
    <row r="1113">
      <c r="A1113" t="n">
        <v>1112</v>
      </c>
      <c r="B1113" t="inlineStr">
        <is>
          <t>2026-07-01</t>
        </is>
      </c>
      <c r="C1113" t="n">
        <v>2026</v>
      </c>
      <c r="D1113" t="inlineStr">
        <is>
          <t>Lipiec</t>
        </is>
      </c>
      <c r="E1113" t="inlineStr">
        <is>
          <t>W1</t>
        </is>
      </c>
      <c r="F1113" t="inlineStr">
        <is>
          <t>2026_Lipiec_W1</t>
        </is>
      </c>
      <c r="G1113" t="inlineStr">
        <is>
          <t>Śr</t>
        </is>
      </c>
      <c r="H1113" t="inlineStr">
        <is>
          <t>SZELUGA, DAWID</t>
        </is>
      </c>
      <c r="I1113" t="inlineStr">
        <is>
          <t>General/Store Manager</t>
        </is>
      </c>
      <c r="J1113" t="inlineStr">
        <is>
          <t>Standard 1,0|40h</t>
        </is>
      </c>
      <c r="K1113" t="n">
        <v>8</v>
      </c>
      <c r="L1113" t="inlineStr">
        <is>
          <t>384</t>
        </is>
      </c>
      <c r="M1113" t="inlineStr">
        <is>
          <t>108120 SBX Warszawa Janki</t>
        </is>
      </c>
      <c r="N1113" t="inlineStr">
        <is>
          <t>2026-09-11 19:06</t>
        </is>
      </c>
    </row>
    <row r="1114">
      <c r="A1114" t="n">
        <v>1113</v>
      </c>
      <c r="B1114" t="inlineStr">
        <is>
          <t>2026-07-02</t>
        </is>
      </c>
      <c r="C1114" t="n">
        <v>2026</v>
      </c>
      <c r="D1114" t="inlineStr">
        <is>
          <t>Lipiec</t>
        </is>
      </c>
      <c r="E1114" t="inlineStr">
        <is>
          <t>W1</t>
        </is>
      </c>
      <c r="F1114" t="inlineStr">
        <is>
          <t>2026_Lipiec_W1</t>
        </is>
      </c>
      <c r="G1114" t="inlineStr">
        <is>
          <t>Czw</t>
        </is>
      </c>
      <c r="H1114" t="inlineStr">
        <is>
          <t>SZELUGA, DAWID</t>
        </is>
      </c>
      <c r="I1114" t="inlineStr">
        <is>
          <t>General/Store Manager</t>
        </is>
      </c>
      <c r="J1114" t="inlineStr">
        <is>
          <t>Standard 1,0|40h</t>
        </is>
      </c>
      <c r="K1114" t="n">
        <v>8</v>
      </c>
      <c r="L1114" t="inlineStr">
        <is>
          <t>384</t>
        </is>
      </c>
      <c r="M1114" t="inlineStr">
        <is>
          <t>108120 SBX Warszawa Janki</t>
        </is>
      </c>
      <c r="N1114" t="inlineStr">
        <is>
          <t>2026-09-11 19:06</t>
        </is>
      </c>
    </row>
    <row r="1115">
      <c r="A1115" t="n">
        <v>1114</v>
      </c>
      <c r="B1115" t="inlineStr">
        <is>
          <t>2026-07-06</t>
        </is>
      </c>
      <c r="C1115" t="n">
        <v>2026</v>
      </c>
      <c r="D1115" t="inlineStr">
        <is>
          <t>Lipiec</t>
        </is>
      </c>
      <c r="E1115" t="inlineStr">
        <is>
          <t>W1</t>
        </is>
      </c>
      <c r="F1115" t="inlineStr">
        <is>
          <t>2026_Lipiec_W1</t>
        </is>
      </c>
      <c r="G1115" t="inlineStr">
        <is>
          <t>Pn</t>
        </is>
      </c>
      <c r="H1115" t="inlineStr">
        <is>
          <t>SZELUGA, DAWID</t>
        </is>
      </c>
      <c r="I1115" t="inlineStr">
        <is>
          <t>General/Store Manager</t>
        </is>
      </c>
      <c r="J1115" t="inlineStr">
        <is>
          <t>Standard 1,0|40h</t>
        </is>
      </c>
      <c r="K1115" t="n">
        <v>8</v>
      </c>
      <c r="L1115" t="inlineStr">
        <is>
          <t>384</t>
        </is>
      </c>
      <c r="M1115" t="inlineStr">
        <is>
          <t>108120 SBX Warszawa Janki</t>
        </is>
      </c>
      <c r="N1115" t="inlineStr">
        <is>
          <t>2026-09-11 19:06</t>
        </is>
      </c>
    </row>
    <row r="1116">
      <c r="A1116" t="n">
        <v>1115</v>
      </c>
      <c r="B1116" t="inlineStr">
        <is>
          <t>2026-07-07</t>
        </is>
      </c>
      <c r="C1116" t="n">
        <v>2026</v>
      </c>
      <c r="D1116" t="inlineStr">
        <is>
          <t>Lipiec</t>
        </is>
      </c>
      <c r="E1116" t="inlineStr">
        <is>
          <t>W2</t>
        </is>
      </c>
      <c r="F1116" t="inlineStr">
        <is>
          <t>2026_Lipiec_W2</t>
        </is>
      </c>
      <c r="G1116" t="inlineStr">
        <is>
          <t>Wt</t>
        </is>
      </c>
      <c r="H1116" t="inlineStr">
        <is>
          <t>SZELUGA, DAWID</t>
        </is>
      </c>
      <c r="I1116" t="inlineStr">
        <is>
          <t>General/Store Manager</t>
        </is>
      </c>
      <c r="J1116" t="inlineStr">
        <is>
          <t>Standard 1,0|40h</t>
        </is>
      </c>
      <c r="K1116" t="n">
        <v>8</v>
      </c>
      <c r="L1116" t="inlineStr">
        <is>
          <t>384</t>
        </is>
      </c>
      <c r="M1116" t="inlineStr">
        <is>
          <t>108120 SBX Warszawa Janki</t>
        </is>
      </c>
      <c r="N1116" t="inlineStr">
        <is>
          <t>2026-09-11 19:06</t>
        </is>
      </c>
    </row>
    <row r="1117">
      <c r="A1117" t="n">
        <v>1116</v>
      </c>
      <c r="B1117" t="inlineStr">
        <is>
          <t>2026-07-08</t>
        </is>
      </c>
      <c r="C1117" t="n">
        <v>2026</v>
      </c>
      <c r="D1117" t="inlineStr">
        <is>
          <t>Lipiec</t>
        </is>
      </c>
      <c r="E1117" t="inlineStr">
        <is>
          <t>W2</t>
        </is>
      </c>
      <c r="F1117" t="inlineStr">
        <is>
          <t>2026_Lipiec_W2</t>
        </is>
      </c>
      <c r="G1117" t="inlineStr">
        <is>
          <t>Śr</t>
        </is>
      </c>
      <c r="H1117" t="inlineStr">
        <is>
          <t>SZELUGA, DAWID</t>
        </is>
      </c>
      <c r="I1117" t="inlineStr">
        <is>
          <t>General/Store Manager</t>
        </is>
      </c>
      <c r="J1117" t="inlineStr">
        <is>
          <t>Standard 1,0|40h</t>
        </is>
      </c>
      <c r="K1117" t="n">
        <v>8</v>
      </c>
      <c r="L1117" t="inlineStr">
        <is>
          <t>384</t>
        </is>
      </c>
      <c r="M1117" t="inlineStr">
        <is>
          <t>108120 SBX Warszawa Janki</t>
        </is>
      </c>
      <c r="N1117" t="inlineStr">
        <is>
          <t>2026-09-11 19:06</t>
        </is>
      </c>
    </row>
    <row r="1118">
      <c r="A1118" t="n">
        <v>1117</v>
      </c>
      <c r="B1118" t="inlineStr">
        <is>
          <t>2026-07-09</t>
        </is>
      </c>
      <c r="C1118" t="n">
        <v>2026</v>
      </c>
      <c r="D1118" t="inlineStr">
        <is>
          <t>Lipiec</t>
        </is>
      </c>
      <c r="E1118" t="inlineStr">
        <is>
          <t>W2</t>
        </is>
      </c>
      <c r="F1118" t="inlineStr">
        <is>
          <t>2026_Lipiec_W2</t>
        </is>
      </c>
      <c r="G1118" t="inlineStr">
        <is>
          <t>Czw</t>
        </is>
      </c>
      <c r="H1118" t="inlineStr">
        <is>
          <t>SZELUGA, DAWID</t>
        </is>
      </c>
      <c r="I1118" t="inlineStr">
        <is>
          <t>General/Store Manager</t>
        </is>
      </c>
      <c r="J1118" t="inlineStr">
        <is>
          <t>Standard 1,0|40h</t>
        </is>
      </c>
      <c r="K1118" t="n">
        <v>8</v>
      </c>
      <c r="L1118" t="inlineStr">
        <is>
          <t>384</t>
        </is>
      </c>
      <c r="M1118" t="inlineStr">
        <is>
          <t>108120 SBX Warszawa Janki</t>
        </is>
      </c>
      <c r="N1118" t="inlineStr">
        <is>
          <t>2026-09-11 19:06</t>
        </is>
      </c>
    </row>
    <row r="1119">
      <c r="A1119" t="n">
        <v>1118</v>
      </c>
      <c r="B1119" t="inlineStr">
        <is>
          <t>2026-07-10</t>
        </is>
      </c>
      <c r="C1119" t="n">
        <v>2026</v>
      </c>
      <c r="D1119" t="inlineStr">
        <is>
          <t>Lipiec</t>
        </is>
      </c>
      <c r="E1119" t="inlineStr">
        <is>
          <t>W2</t>
        </is>
      </c>
      <c r="F1119" t="inlineStr">
        <is>
          <t>2026_Lipiec_W2</t>
        </is>
      </c>
      <c r="G1119" t="inlineStr">
        <is>
          <t>Pt</t>
        </is>
      </c>
      <c r="H1119" t="inlineStr">
        <is>
          <t>SZELUGA, DAWID</t>
        </is>
      </c>
      <c r="I1119" t="inlineStr">
        <is>
          <t>General/Store Manager</t>
        </is>
      </c>
      <c r="J1119" t="inlineStr">
        <is>
          <t>Standard 1,0|40h</t>
        </is>
      </c>
      <c r="K1119" t="n">
        <v>8</v>
      </c>
      <c r="L1119" t="inlineStr">
        <is>
          <t>384</t>
        </is>
      </c>
      <c r="M1119" t="inlineStr">
        <is>
          <t>108120 SBX Warszawa Janki</t>
        </is>
      </c>
      <c r="N1119" t="inlineStr">
        <is>
          <t>2026-09-11 19:06</t>
        </is>
      </c>
    </row>
    <row r="1120">
      <c r="A1120" t="n">
        <v>1119</v>
      </c>
      <c r="B1120" t="inlineStr">
        <is>
          <t>2026-07-13</t>
        </is>
      </c>
      <c r="C1120" t="n">
        <v>2026</v>
      </c>
      <c r="D1120" t="inlineStr">
        <is>
          <t>Lipiec</t>
        </is>
      </c>
      <c r="E1120" t="inlineStr">
        <is>
          <t>W2</t>
        </is>
      </c>
      <c r="F1120" t="inlineStr">
        <is>
          <t>2026_Lipiec_W2</t>
        </is>
      </c>
      <c r="G1120" t="inlineStr">
        <is>
          <t>Pn</t>
        </is>
      </c>
      <c r="H1120" t="inlineStr">
        <is>
          <t>SZELUGA, DAWID</t>
        </is>
      </c>
      <c r="I1120" t="inlineStr">
        <is>
          <t>General/Store Manager</t>
        </is>
      </c>
      <c r="J1120" t="inlineStr">
        <is>
          <t>Standard 1,0|40h</t>
        </is>
      </c>
      <c r="K1120" t="n">
        <v>8</v>
      </c>
      <c r="L1120" t="inlineStr">
        <is>
          <t>384</t>
        </is>
      </c>
      <c r="M1120" t="inlineStr">
        <is>
          <t>108120 SBX Warszawa Janki</t>
        </is>
      </c>
      <c r="N1120" t="inlineStr">
        <is>
          <t>2026-09-11 19:06</t>
        </is>
      </c>
    </row>
    <row r="1121">
      <c r="A1121" t="n">
        <v>1120</v>
      </c>
      <c r="B1121" t="inlineStr">
        <is>
          <t>2026-07-14</t>
        </is>
      </c>
      <c r="C1121" t="n">
        <v>2026</v>
      </c>
      <c r="D1121" t="inlineStr">
        <is>
          <t>Lipiec</t>
        </is>
      </c>
      <c r="E1121" t="inlineStr">
        <is>
          <t>W3</t>
        </is>
      </c>
      <c r="F1121" t="inlineStr">
        <is>
          <t>2026_Lipiec_W3</t>
        </is>
      </c>
      <c r="G1121" t="inlineStr">
        <is>
          <t>Wt</t>
        </is>
      </c>
      <c r="H1121" t="inlineStr">
        <is>
          <t>SZELUGA, DAWID</t>
        </is>
      </c>
      <c r="I1121" t="inlineStr">
        <is>
          <t>General/Store Manager</t>
        </is>
      </c>
      <c r="J1121" t="inlineStr">
        <is>
          <t>Standard 1,0|40h</t>
        </is>
      </c>
      <c r="K1121" t="n">
        <v>8</v>
      </c>
      <c r="L1121" t="inlineStr">
        <is>
          <t>384</t>
        </is>
      </c>
      <c r="M1121" t="inlineStr">
        <is>
          <t>108120 SBX Warszawa Janki</t>
        </is>
      </c>
      <c r="N1121" t="inlineStr">
        <is>
          <t>2026-09-11 19:06</t>
        </is>
      </c>
    </row>
    <row r="1122">
      <c r="A1122" t="n">
        <v>1121</v>
      </c>
      <c r="B1122" t="inlineStr">
        <is>
          <t>2026-07-15</t>
        </is>
      </c>
      <c r="C1122" t="n">
        <v>2026</v>
      </c>
      <c r="D1122" t="inlineStr">
        <is>
          <t>Lipiec</t>
        </is>
      </c>
      <c r="E1122" t="inlineStr">
        <is>
          <t>W3</t>
        </is>
      </c>
      <c r="F1122" t="inlineStr">
        <is>
          <t>2026_Lipiec_W3</t>
        </is>
      </c>
      <c r="G1122" t="inlineStr">
        <is>
          <t>Śr</t>
        </is>
      </c>
      <c r="H1122" t="inlineStr">
        <is>
          <t>SZELUGA, DAWID</t>
        </is>
      </c>
      <c r="I1122" t="inlineStr">
        <is>
          <t>General/Store Manager</t>
        </is>
      </c>
      <c r="J1122" t="inlineStr">
        <is>
          <t>Standard 1,0|40h</t>
        </is>
      </c>
      <c r="K1122" t="n">
        <v>8</v>
      </c>
      <c r="L1122" t="inlineStr">
        <is>
          <t>384</t>
        </is>
      </c>
      <c r="M1122" t="inlineStr">
        <is>
          <t>108120 SBX Warszawa Janki</t>
        </is>
      </c>
      <c r="N1122" t="inlineStr">
        <is>
          <t>2026-09-11 19:06</t>
        </is>
      </c>
    </row>
    <row r="1123">
      <c r="A1123" t="n">
        <v>1122</v>
      </c>
      <c r="B1123" t="inlineStr">
        <is>
          <t>2026-07-16</t>
        </is>
      </c>
      <c r="C1123" t="n">
        <v>2026</v>
      </c>
      <c r="D1123" t="inlineStr">
        <is>
          <t>Lipiec</t>
        </is>
      </c>
      <c r="E1123" t="inlineStr">
        <is>
          <t>W3</t>
        </is>
      </c>
      <c r="F1123" t="inlineStr">
        <is>
          <t>2026_Lipiec_W3</t>
        </is>
      </c>
      <c r="G1123" t="inlineStr">
        <is>
          <t>Czw</t>
        </is>
      </c>
      <c r="H1123" t="inlineStr">
        <is>
          <t>SZELUGA, DAWID</t>
        </is>
      </c>
      <c r="I1123" t="inlineStr">
        <is>
          <t>General/Store Manager</t>
        </is>
      </c>
      <c r="J1123" t="inlineStr">
        <is>
          <t>Standard 1,0|40h</t>
        </is>
      </c>
      <c r="K1123" t="n">
        <v>8</v>
      </c>
      <c r="L1123" t="inlineStr">
        <is>
          <t>384</t>
        </is>
      </c>
      <c r="M1123" t="inlineStr">
        <is>
          <t>108120 SBX Warszawa Janki</t>
        </is>
      </c>
      <c r="N1123" t="inlineStr">
        <is>
          <t>2026-09-11 19:06</t>
        </is>
      </c>
    </row>
    <row r="1124">
      <c r="A1124" t="n">
        <v>1123</v>
      </c>
      <c r="B1124" t="inlineStr">
        <is>
          <t>2026-07-17</t>
        </is>
      </c>
      <c r="C1124" t="n">
        <v>2026</v>
      </c>
      <c r="D1124" t="inlineStr">
        <is>
          <t>Lipiec</t>
        </is>
      </c>
      <c r="E1124" t="inlineStr">
        <is>
          <t>W3</t>
        </is>
      </c>
      <c r="F1124" t="inlineStr">
        <is>
          <t>2026_Lipiec_W3</t>
        </is>
      </c>
      <c r="G1124" t="inlineStr">
        <is>
          <t>Pt</t>
        </is>
      </c>
      <c r="H1124" t="inlineStr">
        <is>
          <t>SZELUGA, DAWID</t>
        </is>
      </c>
      <c r="I1124" t="inlineStr">
        <is>
          <t>General/Store Manager</t>
        </is>
      </c>
      <c r="J1124" t="inlineStr">
        <is>
          <t>Standard 1,0|40h</t>
        </is>
      </c>
      <c r="K1124" t="n">
        <v>8</v>
      </c>
      <c r="L1124" t="inlineStr">
        <is>
          <t>384</t>
        </is>
      </c>
      <c r="M1124" t="inlineStr">
        <is>
          <t>108120 SBX Warszawa Janki</t>
        </is>
      </c>
      <c r="N1124" t="inlineStr">
        <is>
          <t>2026-09-11 19:06</t>
        </is>
      </c>
    </row>
    <row r="1125">
      <c r="A1125" t="n">
        <v>1124</v>
      </c>
      <c r="B1125" t="inlineStr">
        <is>
          <t>2026-07-20</t>
        </is>
      </c>
      <c r="C1125" t="n">
        <v>2026</v>
      </c>
      <c r="D1125" t="inlineStr">
        <is>
          <t>Lipiec</t>
        </is>
      </c>
      <c r="E1125" t="inlineStr">
        <is>
          <t>W3</t>
        </is>
      </c>
      <c r="F1125" t="inlineStr">
        <is>
          <t>2026_Lipiec_W3</t>
        </is>
      </c>
      <c r="G1125" t="inlineStr">
        <is>
          <t>Pn</t>
        </is>
      </c>
      <c r="H1125" t="inlineStr">
        <is>
          <t>SZELUGA, DAWID</t>
        </is>
      </c>
      <c r="I1125" t="inlineStr">
        <is>
          <t>General/Store Manager</t>
        </is>
      </c>
      <c r="J1125" t="inlineStr">
        <is>
          <t>Standard 1,0|40h</t>
        </is>
      </c>
      <c r="K1125" t="n">
        <v>8</v>
      </c>
      <c r="L1125" t="inlineStr">
        <is>
          <t>384</t>
        </is>
      </c>
      <c r="M1125" t="inlineStr">
        <is>
          <t>108120 SBX Warszawa Janki</t>
        </is>
      </c>
      <c r="N1125" t="inlineStr">
        <is>
          <t>2026-09-11 19:06</t>
        </is>
      </c>
    </row>
    <row r="1126">
      <c r="A1126" t="n">
        <v>1125</v>
      </c>
      <c r="B1126" t="inlineStr">
        <is>
          <t>2026-07-21</t>
        </is>
      </c>
      <c r="C1126" t="n">
        <v>2026</v>
      </c>
      <c r="D1126" t="inlineStr">
        <is>
          <t>Lipiec</t>
        </is>
      </c>
      <c r="E1126" t="inlineStr">
        <is>
          <t>W4</t>
        </is>
      </c>
      <c r="F1126" t="inlineStr">
        <is>
          <t>2026_Lipiec_W4</t>
        </is>
      </c>
      <c r="G1126" t="inlineStr">
        <is>
          <t>Wt</t>
        </is>
      </c>
      <c r="H1126" t="inlineStr">
        <is>
          <t>SZELUGA, DAWID</t>
        </is>
      </c>
      <c r="I1126" t="inlineStr">
        <is>
          <t>General/Store Manager</t>
        </is>
      </c>
      <c r="J1126" t="inlineStr">
        <is>
          <t>Standard 1,0|40h</t>
        </is>
      </c>
      <c r="K1126" t="n">
        <v>8</v>
      </c>
      <c r="L1126" t="inlineStr">
        <is>
          <t>384</t>
        </is>
      </c>
      <c r="M1126" t="inlineStr">
        <is>
          <t>108120 SBX Warszawa Janki</t>
        </is>
      </c>
      <c r="N1126" t="inlineStr">
        <is>
          <t>2026-09-11 19:06</t>
        </is>
      </c>
    </row>
    <row r="1127">
      <c r="A1127" t="n">
        <v>1126</v>
      </c>
      <c r="B1127" t="inlineStr">
        <is>
          <t>2026-07-22</t>
        </is>
      </c>
      <c r="C1127" t="n">
        <v>2026</v>
      </c>
      <c r="D1127" t="inlineStr">
        <is>
          <t>Lipiec</t>
        </is>
      </c>
      <c r="E1127" t="inlineStr">
        <is>
          <t>W4</t>
        </is>
      </c>
      <c r="F1127" t="inlineStr">
        <is>
          <t>2026_Lipiec_W4</t>
        </is>
      </c>
      <c r="G1127" t="inlineStr">
        <is>
          <t>Śr</t>
        </is>
      </c>
      <c r="H1127" t="inlineStr">
        <is>
          <t>SZELUGA, DAWID</t>
        </is>
      </c>
      <c r="I1127" t="inlineStr">
        <is>
          <t>General/Store Manager</t>
        </is>
      </c>
      <c r="J1127" t="inlineStr">
        <is>
          <t>Standard 1,0|40h</t>
        </is>
      </c>
      <c r="K1127" t="n">
        <v>8</v>
      </c>
      <c r="L1127" t="inlineStr">
        <is>
          <t>384</t>
        </is>
      </c>
      <c r="M1127" t="inlineStr">
        <is>
          <t>108120 SBX Warszawa Janki</t>
        </is>
      </c>
      <c r="N1127" t="inlineStr">
        <is>
          <t>2026-09-11 19:06</t>
        </is>
      </c>
    </row>
    <row r="1128">
      <c r="A1128" t="n">
        <v>1127</v>
      </c>
      <c r="B1128" t="inlineStr">
        <is>
          <t>2026-07-23</t>
        </is>
      </c>
      <c r="C1128" t="n">
        <v>2026</v>
      </c>
      <c r="D1128" t="inlineStr">
        <is>
          <t>Lipiec</t>
        </is>
      </c>
      <c r="E1128" t="inlineStr">
        <is>
          <t>W4</t>
        </is>
      </c>
      <c r="F1128" t="inlineStr">
        <is>
          <t>2026_Lipiec_W4</t>
        </is>
      </c>
      <c r="G1128" t="inlineStr">
        <is>
          <t>Czw</t>
        </is>
      </c>
      <c r="H1128" t="inlineStr">
        <is>
          <t>SZELUGA, DAWID</t>
        </is>
      </c>
      <c r="I1128" t="inlineStr">
        <is>
          <t>General/Store Manager</t>
        </is>
      </c>
      <c r="J1128" t="inlineStr">
        <is>
          <t>Standard 1,0|40h</t>
        </is>
      </c>
      <c r="K1128" t="n">
        <v>8</v>
      </c>
      <c r="L1128" t="inlineStr">
        <is>
          <t>384</t>
        </is>
      </c>
      <c r="M1128" t="inlineStr">
        <is>
          <t>108120 SBX Warszawa Janki</t>
        </is>
      </c>
      <c r="N1128" t="inlineStr">
        <is>
          <t>2026-09-11 19:06</t>
        </is>
      </c>
    </row>
    <row r="1129">
      <c r="A1129" t="n">
        <v>1128</v>
      </c>
      <c r="B1129" t="inlineStr">
        <is>
          <t>2026-07-24</t>
        </is>
      </c>
      <c r="C1129" t="n">
        <v>2026</v>
      </c>
      <c r="D1129" t="inlineStr">
        <is>
          <t>Lipiec</t>
        </is>
      </c>
      <c r="E1129" t="inlineStr">
        <is>
          <t>W4</t>
        </is>
      </c>
      <c r="F1129" t="inlineStr">
        <is>
          <t>2026_Lipiec_W4</t>
        </is>
      </c>
      <c r="G1129" t="inlineStr">
        <is>
          <t>Pt</t>
        </is>
      </c>
      <c r="H1129" t="inlineStr">
        <is>
          <t>SZELUGA, DAWID</t>
        </is>
      </c>
      <c r="I1129" t="inlineStr">
        <is>
          <t>General/Store Manager</t>
        </is>
      </c>
      <c r="J1129" t="inlineStr">
        <is>
          <t>Standard 1,0|40h</t>
        </is>
      </c>
      <c r="K1129" t="n">
        <v>8</v>
      </c>
      <c r="L1129" t="inlineStr">
        <is>
          <t>384</t>
        </is>
      </c>
      <c r="M1129" t="inlineStr">
        <is>
          <t>108120 SBX Warszawa Janki</t>
        </is>
      </c>
      <c r="N1129" t="inlineStr">
        <is>
          <t>2026-09-11 19:06</t>
        </is>
      </c>
    </row>
    <row r="1130">
      <c r="A1130" t="n">
        <v>1129</v>
      </c>
      <c r="B1130" t="inlineStr">
        <is>
          <t>2026-07-27</t>
        </is>
      </c>
      <c r="C1130" t="n">
        <v>2026</v>
      </c>
      <c r="D1130" t="inlineStr">
        <is>
          <t>Lipiec</t>
        </is>
      </c>
      <c r="E1130" t="inlineStr">
        <is>
          <t>W4</t>
        </is>
      </c>
      <c r="F1130" t="inlineStr">
        <is>
          <t>2026_Lipiec_W4</t>
        </is>
      </c>
      <c r="G1130" t="inlineStr">
        <is>
          <t>Pn</t>
        </is>
      </c>
      <c r="H1130" t="inlineStr">
        <is>
          <t>SZELUGA, DAWID</t>
        </is>
      </c>
      <c r="I1130" t="inlineStr">
        <is>
          <t>General/Store Manager</t>
        </is>
      </c>
      <c r="J1130" t="inlineStr">
        <is>
          <t>Standard 1,0|40h</t>
        </is>
      </c>
      <c r="K1130" t="n">
        <v>8</v>
      </c>
      <c r="L1130" t="inlineStr">
        <is>
          <t>384</t>
        </is>
      </c>
      <c r="M1130" t="inlineStr">
        <is>
          <t>108120 SBX Warszawa Janki</t>
        </is>
      </c>
      <c r="N1130" t="inlineStr">
        <is>
          <t>2026-09-11 19:06</t>
        </is>
      </c>
    </row>
    <row r="1131">
      <c r="A1131" t="n">
        <v>1130</v>
      </c>
      <c r="B1131" t="inlineStr">
        <is>
          <t>2026-07-28</t>
        </is>
      </c>
      <c r="C1131" t="n">
        <v>2026</v>
      </c>
      <c r="D1131" t="inlineStr">
        <is>
          <t>Lipiec</t>
        </is>
      </c>
      <c r="E1131" t="inlineStr">
        <is>
          <t>W5</t>
        </is>
      </c>
      <c r="F1131" t="inlineStr">
        <is>
          <t>2026_Lipiec_W5</t>
        </is>
      </c>
      <c r="G1131" t="inlineStr">
        <is>
          <t>Wt</t>
        </is>
      </c>
      <c r="H1131" t="inlineStr">
        <is>
          <t>SZELUGA, DAWID</t>
        </is>
      </c>
      <c r="I1131" t="inlineStr">
        <is>
          <t>General/Store Manager</t>
        </is>
      </c>
      <c r="J1131" t="inlineStr">
        <is>
          <t>Standard 1,0|40h</t>
        </is>
      </c>
      <c r="K1131" t="n">
        <v>8</v>
      </c>
      <c r="L1131" t="inlineStr">
        <is>
          <t>384</t>
        </is>
      </c>
      <c r="M1131" t="inlineStr">
        <is>
          <t>108120 SBX Warszawa Janki</t>
        </is>
      </c>
      <c r="N1131" t="inlineStr">
        <is>
          <t>2026-09-11 19:06</t>
        </is>
      </c>
    </row>
    <row r="1132">
      <c r="A1132" t="n">
        <v>1131</v>
      </c>
      <c r="B1132" t="inlineStr">
        <is>
          <t>2026-08-03</t>
        </is>
      </c>
      <c r="C1132" t="n">
        <v>2026</v>
      </c>
      <c r="D1132" t="inlineStr">
        <is>
          <t>Sierpień</t>
        </is>
      </c>
      <c r="E1132" t="inlineStr">
        <is>
          <t>W1</t>
        </is>
      </c>
      <c r="F1132" t="inlineStr">
        <is>
          <t>2026_Sierpień_W1</t>
        </is>
      </c>
      <c r="G1132" t="inlineStr">
        <is>
          <t>Pn</t>
        </is>
      </c>
      <c r="H1132" t="inlineStr">
        <is>
          <t>SZELUGA, DAWID</t>
        </is>
      </c>
      <c r="I1132" t="inlineStr">
        <is>
          <t>General/Store Manager</t>
        </is>
      </c>
      <c r="J1132" t="inlineStr">
        <is>
          <t>Standard 1,0|40h</t>
        </is>
      </c>
      <c r="K1132" t="n">
        <v>8</v>
      </c>
      <c r="L1132" t="inlineStr">
        <is>
          <t>384</t>
        </is>
      </c>
      <c r="M1132" t="inlineStr">
        <is>
          <t>108120 SBX Warszawa Janki</t>
        </is>
      </c>
      <c r="N1132" t="inlineStr">
        <is>
          <t>2026-09-11 19:06</t>
        </is>
      </c>
    </row>
    <row r="1133">
      <c r="A1133" t="n">
        <v>1132</v>
      </c>
      <c r="B1133" t="inlineStr">
        <is>
          <t>2026-08-04</t>
        </is>
      </c>
      <c r="C1133" t="n">
        <v>2026</v>
      </c>
      <c r="D1133" t="inlineStr">
        <is>
          <t>Sierpień</t>
        </is>
      </c>
      <c r="E1133" t="inlineStr">
        <is>
          <t>W2</t>
        </is>
      </c>
      <c r="F1133" t="inlineStr">
        <is>
          <t>2026_Sierpień_W2</t>
        </is>
      </c>
      <c r="G1133" t="inlineStr">
        <is>
          <t>Wt</t>
        </is>
      </c>
      <c r="H1133" t="inlineStr">
        <is>
          <t>SZELUGA, DAWID</t>
        </is>
      </c>
      <c r="I1133" t="inlineStr">
        <is>
          <t>General/Store Manager</t>
        </is>
      </c>
      <c r="J1133" t="inlineStr">
        <is>
          <t>Standard 1,0|40h</t>
        </is>
      </c>
      <c r="K1133" t="n">
        <v>6.45</v>
      </c>
      <c r="L1133" t="inlineStr">
        <is>
          <t>384</t>
        </is>
      </c>
      <c r="M1133" t="inlineStr">
        <is>
          <t>108120 SBX Warszawa Janki</t>
        </is>
      </c>
      <c r="N1133" t="inlineStr">
        <is>
          <t>2026-09-11 19:06</t>
        </is>
      </c>
    </row>
    <row r="1134">
      <c r="A1134" t="n">
        <v>1133</v>
      </c>
      <c r="B1134" t="inlineStr">
        <is>
          <t>2026-08-05</t>
        </is>
      </c>
      <c r="C1134" t="n">
        <v>2026</v>
      </c>
      <c r="D1134" t="inlineStr">
        <is>
          <t>Sierpień</t>
        </is>
      </c>
      <c r="E1134" t="inlineStr">
        <is>
          <t>W2</t>
        </is>
      </c>
      <c r="F1134" t="inlineStr">
        <is>
          <t>2026_Sierpień_W2</t>
        </is>
      </c>
      <c r="G1134" t="inlineStr">
        <is>
          <t>Śr</t>
        </is>
      </c>
      <c r="H1134" t="inlineStr">
        <is>
          <t>SZELUGA, DAWID</t>
        </is>
      </c>
      <c r="I1134" t="inlineStr">
        <is>
          <t>General/Store Manager</t>
        </is>
      </c>
      <c r="J1134" t="inlineStr">
        <is>
          <t>Standard 1,0|40h</t>
        </is>
      </c>
      <c r="K1134" t="n">
        <v>8</v>
      </c>
      <c r="L1134" t="inlineStr">
        <is>
          <t>384</t>
        </is>
      </c>
      <c r="M1134" t="inlineStr">
        <is>
          <t>108120 SBX Warszawa Janki</t>
        </is>
      </c>
      <c r="N1134" t="inlineStr">
        <is>
          <t>2026-09-11 19:06</t>
        </is>
      </c>
    </row>
    <row r="1135">
      <c r="A1135" t="n">
        <v>1134</v>
      </c>
      <c r="B1135" t="inlineStr">
        <is>
          <t>2026-08-06</t>
        </is>
      </c>
      <c r="C1135" t="n">
        <v>2026</v>
      </c>
      <c r="D1135" t="inlineStr">
        <is>
          <t>Sierpień</t>
        </is>
      </c>
      <c r="E1135" t="inlineStr">
        <is>
          <t>W2</t>
        </is>
      </c>
      <c r="F1135" t="inlineStr">
        <is>
          <t>2026_Sierpień_W2</t>
        </is>
      </c>
      <c r="G1135" t="inlineStr">
        <is>
          <t>Czw</t>
        </is>
      </c>
      <c r="H1135" t="inlineStr">
        <is>
          <t>SZELUGA, DAWID</t>
        </is>
      </c>
      <c r="I1135" t="inlineStr">
        <is>
          <t>General/Store Manager</t>
        </is>
      </c>
      <c r="J1135" t="inlineStr">
        <is>
          <t>Standard 1,0|40h</t>
        </is>
      </c>
      <c r="K1135" t="n">
        <v>8</v>
      </c>
      <c r="L1135" t="inlineStr">
        <is>
          <t>384</t>
        </is>
      </c>
      <c r="M1135" t="inlineStr">
        <is>
          <t>108120 SBX Warszawa Janki</t>
        </is>
      </c>
      <c r="N1135" t="inlineStr">
        <is>
          <t>2026-09-11 19:06</t>
        </is>
      </c>
    </row>
    <row r="1136">
      <c r="A1136" t="n">
        <v>1135</v>
      </c>
      <c r="B1136" t="inlineStr">
        <is>
          <t>2026-08-07</t>
        </is>
      </c>
      <c r="C1136" t="n">
        <v>2026</v>
      </c>
      <c r="D1136" t="inlineStr">
        <is>
          <t>Sierpień</t>
        </is>
      </c>
      <c r="E1136" t="inlineStr">
        <is>
          <t>W2</t>
        </is>
      </c>
      <c r="F1136" t="inlineStr">
        <is>
          <t>2026_Sierpień_W2</t>
        </is>
      </c>
      <c r="G1136" t="inlineStr">
        <is>
          <t>Pt</t>
        </is>
      </c>
      <c r="H1136" t="inlineStr">
        <is>
          <t>SZELUGA, DAWID</t>
        </is>
      </c>
      <c r="I1136" t="inlineStr">
        <is>
          <t>General/Store Manager</t>
        </is>
      </c>
      <c r="J1136" t="inlineStr">
        <is>
          <t>Standard 1,0|40h</t>
        </is>
      </c>
      <c r="K1136" t="n">
        <v>8</v>
      </c>
      <c r="L1136" t="inlineStr">
        <is>
          <t>384</t>
        </is>
      </c>
      <c r="M1136" t="inlineStr">
        <is>
          <t>108120 SBX Warszawa Janki</t>
        </is>
      </c>
      <c r="N1136" t="inlineStr">
        <is>
          <t>2026-09-11 19:06</t>
        </is>
      </c>
    </row>
    <row r="1137">
      <c r="A1137" t="n">
        <v>1136</v>
      </c>
      <c r="B1137" t="inlineStr">
        <is>
          <t>2026-08-10</t>
        </is>
      </c>
      <c r="C1137" t="n">
        <v>2026</v>
      </c>
      <c r="D1137" t="inlineStr">
        <is>
          <t>Sierpień</t>
        </is>
      </c>
      <c r="E1137" t="inlineStr">
        <is>
          <t>W2</t>
        </is>
      </c>
      <c r="F1137" t="inlineStr">
        <is>
          <t>2026_Sierpień_W2</t>
        </is>
      </c>
      <c r="G1137" t="inlineStr">
        <is>
          <t>Pn</t>
        </is>
      </c>
      <c r="H1137" t="inlineStr">
        <is>
          <t>SZELUGA, DAWID</t>
        </is>
      </c>
      <c r="I1137" t="inlineStr">
        <is>
          <t>General/Store Manager</t>
        </is>
      </c>
      <c r="J1137" t="inlineStr">
        <is>
          <t>Standard 1,0|40h</t>
        </is>
      </c>
      <c r="K1137" t="n">
        <v>8.369999999999999</v>
      </c>
      <c r="L1137" t="inlineStr">
        <is>
          <t>384</t>
        </is>
      </c>
      <c r="M1137" t="inlineStr">
        <is>
          <t>108120 SBX Warszawa Janki</t>
        </is>
      </c>
      <c r="N1137" t="inlineStr">
        <is>
          <t>2026-09-11 19:06</t>
        </is>
      </c>
    </row>
    <row r="1138">
      <c r="A1138" t="n">
        <v>1137</v>
      </c>
      <c r="B1138" t="inlineStr">
        <is>
          <t>2026-08-11</t>
        </is>
      </c>
      <c r="C1138" t="n">
        <v>2026</v>
      </c>
      <c r="D1138" t="inlineStr">
        <is>
          <t>Sierpień</t>
        </is>
      </c>
      <c r="E1138" t="inlineStr">
        <is>
          <t>W3</t>
        </is>
      </c>
      <c r="F1138" t="inlineStr">
        <is>
          <t>2026_Sierpień_W3</t>
        </is>
      </c>
      <c r="G1138" t="inlineStr">
        <is>
          <t>Wt</t>
        </is>
      </c>
      <c r="H1138" t="inlineStr">
        <is>
          <t>SZELUGA, DAWID</t>
        </is>
      </c>
      <c r="I1138" t="inlineStr">
        <is>
          <t>General/Store Manager</t>
        </is>
      </c>
      <c r="J1138" t="inlineStr">
        <is>
          <t>Standard 1,0|40h</t>
        </is>
      </c>
      <c r="K1138" t="n">
        <v>9</v>
      </c>
      <c r="L1138" t="inlineStr">
        <is>
          <t>384</t>
        </is>
      </c>
      <c r="M1138" t="inlineStr">
        <is>
          <t>108120 SBX Warszawa Janki</t>
        </is>
      </c>
      <c r="N1138" t="inlineStr">
        <is>
          <t>2026-09-11 19:06</t>
        </is>
      </c>
    </row>
    <row r="1139">
      <c r="A1139" t="n">
        <v>1138</v>
      </c>
      <c r="B1139" t="inlineStr">
        <is>
          <t>2026-08-12</t>
        </is>
      </c>
      <c r="C1139" t="n">
        <v>2026</v>
      </c>
      <c r="D1139" t="inlineStr">
        <is>
          <t>Sierpień</t>
        </is>
      </c>
      <c r="E1139" t="inlineStr">
        <is>
          <t>W3</t>
        </is>
      </c>
      <c r="F1139" t="inlineStr">
        <is>
          <t>2026_Sierpień_W3</t>
        </is>
      </c>
      <c r="G1139" t="inlineStr">
        <is>
          <t>Śr</t>
        </is>
      </c>
      <c r="H1139" t="inlineStr">
        <is>
          <t>SZELUGA, DAWID</t>
        </is>
      </c>
      <c r="I1139" t="inlineStr">
        <is>
          <t>General/Store Manager</t>
        </is>
      </c>
      <c r="J1139" t="inlineStr">
        <is>
          <t>Standard 1,0|40h</t>
        </is>
      </c>
      <c r="K1139" t="n">
        <v>8</v>
      </c>
      <c r="L1139" t="inlineStr">
        <is>
          <t>384</t>
        </is>
      </c>
      <c r="M1139" t="inlineStr">
        <is>
          <t>108120 SBX Warszawa Janki</t>
        </is>
      </c>
      <c r="N1139" t="inlineStr">
        <is>
          <t>2026-09-11 19:06</t>
        </is>
      </c>
    </row>
    <row r="1140">
      <c r="A1140" t="n">
        <v>1139</v>
      </c>
      <c r="B1140" t="inlineStr">
        <is>
          <t>2026-08-17</t>
        </is>
      </c>
      <c r="C1140" t="n">
        <v>2026</v>
      </c>
      <c r="D1140" t="inlineStr">
        <is>
          <t>Sierpień</t>
        </is>
      </c>
      <c r="E1140" t="inlineStr">
        <is>
          <t>W3</t>
        </is>
      </c>
      <c r="F1140" t="inlineStr">
        <is>
          <t>2026_Sierpień_W3</t>
        </is>
      </c>
      <c r="G1140" t="inlineStr">
        <is>
          <t>Pn</t>
        </is>
      </c>
      <c r="H1140" t="inlineStr">
        <is>
          <t>SZELUGA, DAWID</t>
        </is>
      </c>
      <c r="I1140" t="inlineStr">
        <is>
          <t>General/Store Manager</t>
        </is>
      </c>
      <c r="J1140" t="inlineStr">
        <is>
          <t>Standard 1,0|40h</t>
        </is>
      </c>
      <c r="K1140" t="n">
        <v>8</v>
      </c>
      <c r="L1140" t="inlineStr">
        <is>
          <t>384</t>
        </is>
      </c>
      <c r="M1140" t="inlineStr">
        <is>
          <t>108120 SBX Warszawa Janki</t>
        </is>
      </c>
      <c r="N1140" t="inlineStr">
        <is>
          <t>2026-09-11 19:06</t>
        </is>
      </c>
    </row>
    <row r="1141">
      <c r="A1141" t="n">
        <v>1140</v>
      </c>
      <c r="B1141" t="inlineStr">
        <is>
          <t>2026-08-18</t>
        </is>
      </c>
      <c r="C1141" t="n">
        <v>2026</v>
      </c>
      <c r="D1141" t="inlineStr">
        <is>
          <t>Sierpień</t>
        </is>
      </c>
      <c r="E1141" t="inlineStr">
        <is>
          <t>W4</t>
        </is>
      </c>
      <c r="F1141" t="inlineStr">
        <is>
          <t>2026_Sierpień_W4</t>
        </is>
      </c>
      <c r="G1141" t="inlineStr">
        <is>
          <t>Wt</t>
        </is>
      </c>
      <c r="H1141" t="inlineStr">
        <is>
          <t>SZELUGA, DAWID</t>
        </is>
      </c>
      <c r="I1141" t="inlineStr">
        <is>
          <t>General/Store Manager</t>
        </is>
      </c>
      <c r="J1141" t="inlineStr">
        <is>
          <t>Standard 1,0|40h</t>
        </is>
      </c>
      <c r="K1141" t="n">
        <v>8.210000000000001</v>
      </c>
      <c r="L1141" t="inlineStr">
        <is>
          <t>384</t>
        </is>
      </c>
      <c r="M1141" t="inlineStr">
        <is>
          <t>108120 SBX Warszawa Janki</t>
        </is>
      </c>
      <c r="N1141" t="inlineStr">
        <is>
          <t>2026-09-11 19:06</t>
        </is>
      </c>
    </row>
    <row r="1142">
      <c r="A1142" t="n">
        <v>1141</v>
      </c>
      <c r="B1142" t="inlineStr">
        <is>
          <t>2026-08-21</t>
        </is>
      </c>
      <c r="C1142" t="n">
        <v>2026</v>
      </c>
      <c r="D1142" t="inlineStr">
        <is>
          <t>Sierpień</t>
        </is>
      </c>
      <c r="E1142" t="inlineStr">
        <is>
          <t>W4</t>
        </is>
      </c>
      <c r="F1142" t="inlineStr">
        <is>
          <t>2026_Sierpień_W4</t>
        </is>
      </c>
      <c r="G1142" t="inlineStr">
        <is>
          <t>Pt</t>
        </is>
      </c>
      <c r="H1142" t="inlineStr">
        <is>
          <t>SZELUGA, DAWID</t>
        </is>
      </c>
      <c r="I1142" t="inlineStr">
        <is>
          <t>General/Store Manager</t>
        </is>
      </c>
      <c r="J1142" t="inlineStr">
        <is>
          <t>Standard 1,0|40h</t>
        </is>
      </c>
      <c r="K1142" t="n">
        <v>7.57</v>
      </c>
      <c r="L1142" t="inlineStr">
        <is>
          <t>384</t>
        </is>
      </c>
      <c r="M1142" t="inlineStr">
        <is>
          <t>108120 SBX Warszawa Janki</t>
        </is>
      </c>
      <c r="N1142" t="inlineStr">
        <is>
          <t>2026-09-11 19:06</t>
        </is>
      </c>
    </row>
    <row r="1143">
      <c r="A1143" t="n">
        <v>1142</v>
      </c>
      <c r="B1143" t="inlineStr">
        <is>
          <t>2026-08-23</t>
        </is>
      </c>
      <c r="C1143" t="n">
        <v>2026</v>
      </c>
      <c r="D1143" t="inlineStr">
        <is>
          <t>Sierpień</t>
        </is>
      </c>
      <c r="E1143" t="inlineStr">
        <is>
          <t>W4</t>
        </is>
      </c>
      <c r="F1143" t="inlineStr">
        <is>
          <t>2026_Sierpień_W4</t>
        </is>
      </c>
      <c r="G1143" t="inlineStr">
        <is>
          <t>Nd</t>
        </is>
      </c>
      <c r="H1143" t="inlineStr">
        <is>
          <t>SZELUGA, DAWID</t>
        </is>
      </c>
      <c r="I1143" t="inlineStr">
        <is>
          <t>General/Store Manager</t>
        </is>
      </c>
      <c r="J1143" t="inlineStr">
        <is>
          <t>Standard 1,0|40h</t>
        </is>
      </c>
      <c r="K1143" t="n">
        <v>2.53</v>
      </c>
      <c r="L1143" t="inlineStr">
        <is>
          <t>384</t>
        </is>
      </c>
      <c r="M1143" t="inlineStr">
        <is>
          <t>108120 SBX Warszawa Janki</t>
        </is>
      </c>
      <c r="N1143" t="inlineStr">
        <is>
          <t>2026-09-11 19:06</t>
        </is>
      </c>
    </row>
    <row r="1144">
      <c r="A1144" t="n">
        <v>1143</v>
      </c>
      <c r="B1144" t="inlineStr">
        <is>
          <t>2026-08-24</t>
        </is>
      </c>
      <c r="C1144" t="n">
        <v>2026</v>
      </c>
      <c r="D1144" t="inlineStr">
        <is>
          <t>Sierpień</t>
        </is>
      </c>
      <c r="E1144" t="inlineStr">
        <is>
          <t>W4</t>
        </is>
      </c>
      <c r="F1144" t="inlineStr">
        <is>
          <t>2026_Sierpień_W4</t>
        </is>
      </c>
      <c r="G1144" t="inlineStr">
        <is>
          <t>Pn</t>
        </is>
      </c>
      <c r="H1144" t="inlineStr">
        <is>
          <t>SZELUGA, DAWID</t>
        </is>
      </c>
      <c r="I1144" t="inlineStr">
        <is>
          <t>General/Store Manager</t>
        </is>
      </c>
      <c r="J1144" t="inlineStr">
        <is>
          <t>Standard 1,0|40h</t>
        </is>
      </c>
      <c r="K1144" t="n">
        <v>8</v>
      </c>
      <c r="L1144" t="inlineStr">
        <is>
          <t>384</t>
        </is>
      </c>
      <c r="M1144" t="inlineStr">
        <is>
          <t>108120 SBX Warszawa Janki</t>
        </is>
      </c>
      <c r="N1144" t="inlineStr">
        <is>
          <t>2026-09-11 19:06</t>
        </is>
      </c>
    </row>
    <row r="1145">
      <c r="A1145" t="n">
        <v>1144</v>
      </c>
      <c r="B1145" t="inlineStr">
        <is>
          <t>2026-08-25</t>
        </is>
      </c>
      <c r="C1145" t="n">
        <v>2026</v>
      </c>
      <c r="D1145" t="inlineStr">
        <is>
          <t>Sierpień</t>
        </is>
      </c>
      <c r="E1145" t="inlineStr">
        <is>
          <t>W5</t>
        </is>
      </c>
      <c r="F1145" t="inlineStr">
        <is>
          <t>2026_Sierpień_W5</t>
        </is>
      </c>
      <c r="G1145" t="inlineStr">
        <is>
          <t>Wt</t>
        </is>
      </c>
      <c r="H1145" t="inlineStr">
        <is>
          <t>SZELUGA, DAWID</t>
        </is>
      </c>
      <c r="I1145" t="inlineStr">
        <is>
          <t>General/Store Manager</t>
        </is>
      </c>
      <c r="J1145" t="inlineStr">
        <is>
          <t>Standard 1,0|40h</t>
        </is>
      </c>
      <c r="K1145" t="n">
        <v>8</v>
      </c>
      <c r="L1145" t="inlineStr">
        <is>
          <t>384</t>
        </is>
      </c>
      <c r="M1145" t="inlineStr">
        <is>
          <t>108120 SBX Warszawa Janki</t>
        </is>
      </c>
      <c r="N1145" t="inlineStr">
        <is>
          <t>2026-09-11 19:06</t>
        </is>
      </c>
    </row>
    <row r="1146">
      <c r="A1146" t="n">
        <v>1145</v>
      </c>
      <c r="B1146" t="inlineStr">
        <is>
          <t>2026-08-26</t>
        </is>
      </c>
      <c r="C1146" t="n">
        <v>2026</v>
      </c>
      <c r="D1146" t="inlineStr">
        <is>
          <t>Sierpień</t>
        </is>
      </c>
      <c r="E1146" t="inlineStr">
        <is>
          <t>W5</t>
        </is>
      </c>
      <c r="F1146" t="inlineStr">
        <is>
          <t>2026_Sierpień_W5</t>
        </is>
      </c>
      <c r="G1146" t="inlineStr">
        <is>
          <t>Śr</t>
        </is>
      </c>
      <c r="H1146" t="inlineStr">
        <is>
          <t>SZELUGA, DAWID</t>
        </is>
      </c>
      <c r="I1146" t="inlineStr">
        <is>
          <t>General/Store Manager</t>
        </is>
      </c>
      <c r="J1146" t="inlineStr">
        <is>
          <t>Standard 1,0|40h</t>
        </is>
      </c>
      <c r="K1146" t="n">
        <v>2.77</v>
      </c>
      <c r="L1146" t="inlineStr">
        <is>
          <t>384</t>
        </is>
      </c>
      <c r="M1146" t="inlineStr">
        <is>
          <t>108120 SBX Warszawa Janki</t>
        </is>
      </c>
      <c r="N1146" t="inlineStr">
        <is>
          <t>2026-09-11 19:06</t>
        </is>
      </c>
    </row>
    <row r="1147">
      <c r="A1147" t="n">
        <v>1146</v>
      </c>
      <c r="B1147" t="inlineStr">
        <is>
          <t>2026-09-08</t>
        </is>
      </c>
      <c r="C1147" t="n">
        <v>2026</v>
      </c>
      <c r="D1147" t="inlineStr">
        <is>
          <t>Wrzesień</t>
        </is>
      </c>
      <c r="E1147" t="inlineStr">
        <is>
          <t>W2</t>
        </is>
      </c>
      <c r="F1147" t="inlineStr">
        <is>
          <t>2026_Wrzesień_W2</t>
        </is>
      </c>
      <c r="G1147" t="inlineStr">
        <is>
          <t>Wt</t>
        </is>
      </c>
      <c r="H1147" t="inlineStr">
        <is>
          <t>SZELUGA, DAWID</t>
        </is>
      </c>
      <c r="I1147" t="inlineStr">
        <is>
          <t>General/Store Manager</t>
        </is>
      </c>
      <c r="J1147" t="inlineStr">
        <is>
          <t>Standard 1,0|40h</t>
        </is>
      </c>
      <c r="K1147" t="n">
        <v>8.470000000000001</v>
      </c>
      <c r="L1147" t="inlineStr">
        <is>
          <t>384</t>
        </is>
      </c>
      <c r="M1147" t="inlineStr">
        <is>
          <t>108120 SBX Warszawa Janki</t>
        </is>
      </c>
      <c r="N1147" t="inlineStr">
        <is>
          <t>2026-09-11 19:06</t>
        </is>
      </c>
    </row>
    <row r="1148">
      <c r="A1148" t="n">
        <v>1147</v>
      </c>
      <c r="B1148" t="inlineStr">
        <is>
          <t>2026-01-04</t>
        </is>
      </c>
      <c r="C1148" t="n">
        <v>2026</v>
      </c>
      <c r="D1148" t="inlineStr">
        <is>
          <t>Styczeń</t>
        </is>
      </c>
      <c r="E1148" t="inlineStr">
        <is>
          <t>W1</t>
        </is>
      </c>
      <c r="F1148" t="inlineStr">
        <is>
          <t>2026_Styczeń_W1</t>
        </is>
      </c>
      <c r="G1148" t="inlineStr">
        <is>
          <t>Nd</t>
        </is>
      </c>
      <c r="H1148" t="inlineStr">
        <is>
          <t>SZULC, JULIA</t>
        </is>
      </c>
      <c r="I1148" t="inlineStr">
        <is>
          <t>Crew Civil</t>
        </is>
      </c>
      <c r="J1148" t="inlineStr">
        <is>
          <t>Zlecenie</t>
        </is>
      </c>
      <c r="K1148" t="n">
        <v>7.24</v>
      </c>
      <c r="L1148" t="inlineStr">
        <is>
          <t>384</t>
        </is>
      </c>
      <c r="M1148" t="inlineStr">
        <is>
          <t>108120 SBX Warszawa Janki</t>
        </is>
      </c>
      <c r="N1148" t="inlineStr">
        <is>
          <t>2026-09-11 19:06</t>
        </is>
      </c>
    </row>
    <row r="1149">
      <c r="A1149" t="n">
        <v>1148</v>
      </c>
      <c r="B1149" t="inlineStr">
        <is>
          <t>2026-01-09</t>
        </is>
      </c>
      <c r="C1149" t="n">
        <v>2026</v>
      </c>
      <c r="D1149" t="inlineStr">
        <is>
          <t>Styczeń</t>
        </is>
      </c>
      <c r="E1149" t="inlineStr">
        <is>
          <t>W2</t>
        </is>
      </c>
      <c r="F1149" t="inlineStr">
        <is>
          <t>2026_Styczeń_W2</t>
        </is>
      </c>
      <c r="G1149" t="inlineStr">
        <is>
          <t>Pt</t>
        </is>
      </c>
      <c r="H1149" t="inlineStr">
        <is>
          <t>SZULC, JULIA</t>
        </is>
      </c>
      <c r="I1149" t="inlineStr">
        <is>
          <t>Crew Civil</t>
        </is>
      </c>
      <c r="J1149" t="inlineStr">
        <is>
          <t>Zlecenie</t>
        </is>
      </c>
      <c r="K1149" t="n">
        <v>7.99</v>
      </c>
      <c r="L1149" t="inlineStr">
        <is>
          <t>384</t>
        </is>
      </c>
      <c r="M1149" t="inlineStr">
        <is>
          <t>108120 SBX Warszawa Janki</t>
        </is>
      </c>
      <c r="N1149" t="inlineStr">
        <is>
          <t>2026-09-11 19:06</t>
        </is>
      </c>
    </row>
    <row r="1150">
      <c r="A1150" t="n">
        <v>1149</v>
      </c>
      <c r="B1150" t="inlineStr">
        <is>
          <t>2026-01-30</t>
        </is>
      </c>
      <c r="C1150" t="n">
        <v>2026</v>
      </c>
      <c r="D1150" t="inlineStr">
        <is>
          <t>Styczeń</t>
        </is>
      </c>
      <c r="E1150" t="inlineStr">
        <is>
          <t>W5</t>
        </is>
      </c>
      <c r="F1150" t="inlineStr">
        <is>
          <t>2026_Styczeń_W5</t>
        </is>
      </c>
      <c r="G1150" t="inlineStr">
        <is>
          <t>Pt</t>
        </is>
      </c>
      <c r="H1150" t="inlineStr">
        <is>
          <t>SZULC, JULIA</t>
        </is>
      </c>
      <c r="I1150" t="inlineStr">
        <is>
          <t>Crew Civil</t>
        </is>
      </c>
      <c r="J1150" t="inlineStr">
        <is>
          <t>Zlecenie</t>
        </is>
      </c>
      <c r="K1150" t="n">
        <v>8.02</v>
      </c>
      <c r="L1150" t="inlineStr">
        <is>
          <t>384</t>
        </is>
      </c>
      <c r="M1150" t="inlineStr">
        <is>
          <t>108120 SBX Warszawa Janki</t>
        </is>
      </c>
      <c r="N1150" t="inlineStr">
        <is>
          <t>2026-09-11 19:06</t>
        </is>
      </c>
    </row>
    <row r="1151">
      <c r="A1151" t="n">
        <v>1150</v>
      </c>
      <c r="B1151" t="inlineStr">
        <is>
          <t>2026-02-06</t>
        </is>
      </c>
      <c r="C1151" t="n">
        <v>2026</v>
      </c>
      <c r="D1151" t="inlineStr">
        <is>
          <t>Luty</t>
        </is>
      </c>
      <c r="E1151" t="inlineStr">
        <is>
          <t>W2</t>
        </is>
      </c>
      <c r="F1151" t="inlineStr">
        <is>
          <t>2026_Luty_W2</t>
        </is>
      </c>
      <c r="G1151" t="inlineStr">
        <is>
          <t>Pt</t>
        </is>
      </c>
      <c r="H1151" t="inlineStr">
        <is>
          <t>SZULC, JULIA</t>
        </is>
      </c>
      <c r="I1151" t="inlineStr">
        <is>
          <t>Crew Civil</t>
        </is>
      </c>
      <c r="J1151" t="inlineStr">
        <is>
          <t>Zlecenie</t>
        </is>
      </c>
      <c r="K1151" t="n">
        <v>4.38</v>
      </c>
      <c r="L1151" t="inlineStr">
        <is>
          <t>384</t>
        </is>
      </c>
      <c r="M1151" t="inlineStr">
        <is>
          <t>108120 SBX Warszawa Janki</t>
        </is>
      </c>
      <c r="N1151" t="inlineStr">
        <is>
          <t>2026-09-11 19:06</t>
        </is>
      </c>
    </row>
    <row r="1152">
      <c r="A1152" t="n">
        <v>1151</v>
      </c>
      <c r="B1152" t="inlineStr">
        <is>
          <t>2026-02-09</t>
        </is>
      </c>
      <c r="C1152" t="n">
        <v>2026</v>
      </c>
      <c r="D1152" t="inlineStr">
        <is>
          <t>Luty</t>
        </is>
      </c>
      <c r="E1152" t="inlineStr">
        <is>
          <t>W2</t>
        </is>
      </c>
      <c r="F1152" t="inlineStr">
        <is>
          <t>2026_Luty_W2</t>
        </is>
      </c>
      <c r="G1152" t="inlineStr">
        <is>
          <t>Pn</t>
        </is>
      </c>
      <c r="H1152" t="inlineStr">
        <is>
          <t>SZULC, JULIA</t>
        </is>
      </c>
      <c r="I1152" t="inlineStr">
        <is>
          <t>Crew Civil</t>
        </is>
      </c>
      <c r="J1152" t="inlineStr">
        <is>
          <t>Zlecenie</t>
        </is>
      </c>
      <c r="K1152" t="n">
        <v>5.99</v>
      </c>
      <c r="L1152" t="inlineStr">
        <is>
          <t>384</t>
        </is>
      </c>
      <c r="M1152" t="inlineStr">
        <is>
          <t>108120 SBX Warszawa Janki</t>
        </is>
      </c>
      <c r="N1152" t="inlineStr">
        <is>
          <t>2026-09-11 19:06</t>
        </is>
      </c>
    </row>
    <row r="1153">
      <c r="A1153" t="n">
        <v>1152</v>
      </c>
      <c r="B1153" t="inlineStr">
        <is>
          <t>2026-02-13</t>
        </is>
      </c>
      <c r="C1153" t="n">
        <v>2026</v>
      </c>
      <c r="D1153" t="inlineStr">
        <is>
          <t>Luty</t>
        </is>
      </c>
      <c r="E1153" t="inlineStr">
        <is>
          <t>W3</t>
        </is>
      </c>
      <c r="F1153" t="inlineStr">
        <is>
          <t>2026_Luty_W3</t>
        </is>
      </c>
      <c r="G1153" t="inlineStr">
        <is>
          <t>Pt</t>
        </is>
      </c>
      <c r="H1153" t="inlineStr">
        <is>
          <t>SZULC, JULIA</t>
        </is>
      </c>
      <c r="I1153" t="inlineStr">
        <is>
          <t>Crew Civil</t>
        </is>
      </c>
      <c r="J1153" t="inlineStr">
        <is>
          <t>Zlecenie</t>
        </is>
      </c>
      <c r="K1153" t="n">
        <v>5.59</v>
      </c>
      <c r="L1153" t="inlineStr">
        <is>
          <t>384</t>
        </is>
      </c>
      <c r="M1153" t="inlineStr">
        <is>
          <t>108120 SBX Warszawa Janki</t>
        </is>
      </c>
      <c r="N1153" t="inlineStr">
        <is>
          <t>2026-09-11 19:06</t>
        </is>
      </c>
    </row>
    <row r="1154">
      <c r="A1154" t="n">
        <v>1153</v>
      </c>
      <c r="B1154" t="inlineStr">
        <is>
          <t>2026-02-18</t>
        </is>
      </c>
      <c r="C1154" t="n">
        <v>2026</v>
      </c>
      <c r="D1154" t="inlineStr">
        <is>
          <t>Luty</t>
        </is>
      </c>
      <c r="E1154" t="inlineStr">
        <is>
          <t>W4</t>
        </is>
      </c>
      <c r="F1154" t="inlineStr">
        <is>
          <t>2026_Luty_W4</t>
        </is>
      </c>
      <c r="G1154" t="inlineStr">
        <is>
          <t>Śr</t>
        </is>
      </c>
      <c r="H1154" t="inlineStr">
        <is>
          <t>SZULC, JULIA</t>
        </is>
      </c>
      <c r="I1154" t="inlineStr">
        <is>
          <t>Crew Civil</t>
        </is>
      </c>
      <c r="J1154" t="inlineStr">
        <is>
          <t>Zlecenie</t>
        </is>
      </c>
      <c r="K1154" t="n">
        <v>6.4</v>
      </c>
      <c r="L1154" t="inlineStr">
        <is>
          <t>384</t>
        </is>
      </c>
      <c r="M1154" t="inlineStr">
        <is>
          <t>108120 SBX Warszawa Janki</t>
        </is>
      </c>
      <c r="N1154" t="inlineStr">
        <is>
          <t>2026-09-11 19:06</t>
        </is>
      </c>
    </row>
    <row r="1155">
      <c r="A1155" t="n">
        <v>1154</v>
      </c>
      <c r="B1155" t="inlineStr">
        <is>
          <t>2026-02-21</t>
        </is>
      </c>
      <c r="C1155" t="n">
        <v>2026</v>
      </c>
      <c r="D1155" t="inlineStr">
        <is>
          <t>Luty</t>
        </is>
      </c>
      <c r="E1155" t="inlineStr">
        <is>
          <t>W4</t>
        </is>
      </c>
      <c r="F1155" t="inlineStr">
        <is>
          <t>2026_Luty_W4</t>
        </is>
      </c>
      <c r="G1155" t="inlineStr">
        <is>
          <t>Sob</t>
        </is>
      </c>
      <c r="H1155" t="inlineStr">
        <is>
          <t>SZULC, JULIA</t>
        </is>
      </c>
      <c r="I1155" t="inlineStr">
        <is>
          <t>Crew Civil</t>
        </is>
      </c>
      <c r="J1155" t="inlineStr">
        <is>
          <t>Zlecenie</t>
        </is>
      </c>
      <c r="K1155" t="n">
        <v>8.01</v>
      </c>
      <c r="L1155" t="inlineStr">
        <is>
          <t>384</t>
        </is>
      </c>
      <c r="M1155" t="inlineStr">
        <is>
          <t>108120 SBX Warszawa Janki</t>
        </is>
      </c>
      <c r="N1155" t="inlineStr">
        <is>
          <t>2026-09-11 19:06</t>
        </is>
      </c>
    </row>
    <row r="1156">
      <c r="A1156" t="n">
        <v>1155</v>
      </c>
      <c r="B1156" t="inlineStr">
        <is>
          <t>2026-02-22</t>
        </is>
      </c>
      <c r="C1156" t="n">
        <v>2026</v>
      </c>
      <c r="D1156" t="inlineStr">
        <is>
          <t>Luty</t>
        </is>
      </c>
      <c r="E1156" t="inlineStr">
        <is>
          <t>W4</t>
        </is>
      </c>
      <c r="F1156" t="inlineStr">
        <is>
          <t>2026_Luty_W4</t>
        </is>
      </c>
      <c r="G1156" t="inlineStr">
        <is>
          <t>Nd</t>
        </is>
      </c>
      <c r="H1156" t="inlineStr">
        <is>
          <t>SZULC, JULIA</t>
        </is>
      </c>
      <c r="I1156" t="inlineStr">
        <is>
          <t>Crew Civil</t>
        </is>
      </c>
      <c r="J1156" t="inlineStr">
        <is>
          <t>Zlecenie</t>
        </is>
      </c>
      <c r="K1156" t="n">
        <v>5.45</v>
      </c>
      <c r="L1156" t="inlineStr">
        <is>
          <t>384</t>
        </is>
      </c>
      <c r="M1156" t="inlineStr">
        <is>
          <t>108120 SBX Warszawa Janki</t>
        </is>
      </c>
      <c r="N1156" t="inlineStr">
        <is>
          <t>2026-09-11 19:06</t>
        </is>
      </c>
    </row>
    <row r="1157">
      <c r="A1157" t="n">
        <v>1156</v>
      </c>
      <c r="B1157" t="inlineStr">
        <is>
          <t>2026-02-24</t>
        </is>
      </c>
      <c r="C1157" t="n">
        <v>2026</v>
      </c>
      <c r="D1157" t="inlineStr">
        <is>
          <t>Luty</t>
        </is>
      </c>
      <c r="E1157" t="inlineStr">
        <is>
          <t>W5</t>
        </is>
      </c>
      <c r="F1157" t="inlineStr">
        <is>
          <t>2026_Luty_W5</t>
        </is>
      </c>
      <c r="G1157" t="inlineStr">
        <is>
          <t>Wt</t>
        </is>
      </c>
      <c r="H1157" t="inlineStr">
        <is>
          <t>SZULC, JULIA</t>
        </is>
      </c>
      <c r="I1157" t="inlineStr">
        <is>
          <t>Crew Civil</t>
        </is>
      </c>
      <c r="J1157" t="inlineStr">
        <is>
          <t>Zlecenie</t>
        </is>
      </c>
      <c r="K1157" t="n">
        <v>7.97</v>
      </c>
      <c r="L1157" t="inlineStr">
        <is>
          <t>384</t>
        </is>
      </c>
      <c r="M1157" t="inlineStr">
        <is>
          <t>108120 SBX Warszawa Janki</t>
        </is>
      </c>
      <c r="N1157" t="inlineStr">
        <is>
          <t>2026-09-11 19:06</t>
        </is>
      </c>
    </row>
    <row r="1158">
      <c r="A1158" t="n">
        <v>1157</v>
      </c>
      <c r="B1158" t="inlineStr">
        <is>
          <t>2026-03-01</t>
        </is>
      </c>
      <c r="C1158" t="n">
        <v>2026</v>
      </c>
      <c r="D1158" t="inlineStr">
        <is>
          <t>Marzec</t>
        </is>
      </c>
      <c r="E1158" t="inlineStr">
        <is>
          <t>W1</t>
        </is>
      </c>
      <c r="F1158" t="inlineStr">
        <is>
          <t>2026_Marzec_W1</t>
        </is>
      </c>
      <c r="G1158" t="inlineStr">
        <is>
          <t>Nd</t>
        </is>
      </c>
      <c r="H1158" t="inlineStr">
        <is>
          <t>SZULC, JULIA</t>
        </is>
      </c>
      <c r="I1158" t="inlineStr">
        <is>
          <t>Crew Civil</t>
        </is>
      </c>
      <c r="J1158" t="inlineStr">
        <is>
          <t>Zlecenie</t>
        </is>
      </c>
      <c r="K1158" t="n">
        <v>1.5</v>
      </c>
      <c r="L1158" t="inlineStr">
        <is>
          <t>384</t>
        </is>
      </c>
      <c r="M1158" t="inlineStr">
        <is>
          <t>108120 SBX Warszawa Janki</t>
        </is>
      </c>
      <c r="N1158" t="inlineStr">
        <is>
          <t>2026-09-11 19:06</t>
        </is>
      </c>
    </row>
    <row r="1159">
      <c r="A1159" t="n">
        <v>1158</v>
      </c>
      <c r="B1159" t="inlineStr">
        <is>
          <t>2026-03-09</t>
        </is>
      </c>
      <c r="C1159" t="n">
        <v>2026</v>
      </c>
      <c r="D1159" t="inlineStr">
        <is>
          <t>Marzec</t>
        </is>
      </c>
      <c r="E1159" t="inlineStr">
        <is>
          <t>W2</t>
        </is>
      </c>
      <c r="F1159" t="inlineStr">
        <is>
          <t>2026_Marzec_W2</t>
        </is>
      </c>
      <c r="G1159" t="inlineStr">
        <is>
          <t>Pn</t>
        </is>
      </c>
      <c r="H1159" t="inlineStr">
        <is>
          <t>SZULC, JULIA</t>
        </is>
      </c>
      <c r="I1159" t="inlineStr">
        <is>
          <t>Crew Civil</t>
        </is>
      </c>
      <c r="J1159" t="inlineStr">
        <is>
          <t>Zlecenie</t>
        </is>
      </c>
      <c r="K1159" t="n">
        <v>1.5</v>
      </c>
      <c r="L1159" t="inlineStr">
        <is>
          <t>384</t>
        </is>
      </c>
      <c r="M1159" t="inlineStr">
        <is>
          <t>108120 SBX Warszawa Janki</t>
        </is>
      </c>
      <c r="N1159" t="inlineStr">
        <is>
          <t>2026-09-11 19:06</t>
        </is>
      </c>
    </row>
    <row r="1160">
      <c r="A1160" t="n">
        <v>1159</v>
      </c>
      <c r="B1160" t="inlineStr">
        <is>
          <t>2026-03-13</t>
        </is>
      </c>
      <c r="C1160" t="n">
        <v>2026</v>
      </c>
      <c r="D1160" t="inlineStr">
        <is>
          <t>Marzec</t>
        </is>
      </c>
      <c r="E1160" t="inlineStr">
        <is>
          <t>W3</t>
        </is>
      </c>
      <c r="F1160" t="inlineStr">
        <is>
          <t>2026_Marzec_W3</t>
        </is>
      </c>
      <c r="G1160" t="inlineStr">
        <is>
          <t>Pt</t>
        </is>
      </c>
      <c r="H1160" t="inlineStr">
        <is>
          <t>SZULC, JULIA</t>
        </is>
      </c>
      <c r="I1160" t="inlineStr">
        <is>
          <t>Crew Civil</t>
        </is>
      </c>
      <c r="J1160" t="inlineStr">
        <is>
          <t>Zlecenie</t>
        </is>
      </c>
      <c r="K1160" t="n">
        <v>8</v>
      </c>
      <c r="L1160" t="inlineStr">
        <is>
          <t>384</t>
        </is>
      </c>
      <c r="M1160" t="inlineStr">
        <is>
          <t>108120 SBX Warszawa Janki</t>
        </is>
      </c>
      <c r="N1160" t="inlineStr">
        <is>
          <t>2026-09-11 19:06</t>
        </is>
      </c>
    </row>
    <row r="1161">
      <c r="A1161" t="n">
        <v>1160</v>
      </c>
      <c r="B1161" t="inlineStr">
        <is>
          <t>2026-03-20</t>
        </is>
      </c>
      <c r="C1161" t="n">
        <v>2026</v>
      </c>
      <c r="D1161" t="inlineStr">
        <is>
          <t>Marzec</t>
        </is>
      </c>
      <c r="E1161" t="inlineStr">
        <is>
          <t>W4</t>
        </is>
      </c>
      <c r="F1161" t="inlineStr">
        <is>
          <t>2026_Marzec_W4</t>
        </is>
      </c>
      <c r="G1161" t="inlineStr">
        <is>
          <t>Pt</t>
        </is>
      </c>
      <c r="H1161" t="inlineStr">
        <is>
          <t>SZULC, JULIA</t>
        </is>
      </c>
      <c r="I1161" t="inlineStr">
        <is>
          <t>Crew Civil</t>
        </is>
      </c>
      <c r="J1161" t="inlineStr">
        <is>
          <t>Zlecenie</t>
        </is>
      </c>
      <c r="K1161" t="n">
        <v>4.4</v>
      </c>
      <c r="L1161" t="inlineStr">
        <is>
          <t>384</t>
        </is>
      </c>
      <c r="M1161" t="inlineStr">
        <is>
          <t>108120 SBX Warszawa Janki</t>
        </is>
      </c>
      <c r="N1161" t="inlineStr">
        <is>
          <t>2026-09-11 19:06</t>
        </is>
      </c>
    </row>
    <row r="1162">
      <c r="A1162" t="n">
        <v>1161</v>
      </c>
      <c r="B1162" t="inlineStr">
        <is>
          <t>2026-03-21</t>
        </is>
      </c>
      <c r="C1162" t="n">
        <v>2026</v>
      </c>
      <c r="D1162" t="inlineStr">
        <is>
          <t>Marzec</t>
        </is>
      </c>
      <c r="E1162" t="inlineStr">
        <is>
          <t>W4</t>
        </is>
      </c>
      <c r="F1162" t="inlineStr">
        <is>
          <t>2026_Marzec_W4</t>
        </is>
      </c>
      <c r="G1162" t="inlineStr">
        <is>
          <t>Sob</t>
        </is>
      </c>
      <c r="H1162" t="inlineStr">
        <is>
          <t>SZULC, JULIA</t>
        </is>
      </c>
      <c r="I1162" t="inlineStr">
        <is>
          <t>Crew Civil</t>
        </is>
      </c>
      <c r="J1162" t="inlineStr">
        <is>
          <t>Zlecenie</t>
        </is>
      </c>
      <c r="K1162" t="n">
        <v>8.02</v>
      </c>
      <c r="L1162" t="inlineStr">
        <is>
          <t>384</t>
        </is>
      </c>
      <c r="M1162" t="inlineStr">
        <is>
          <t>108120 SBX Warszawa Janki</t>
        </is>
      </c>
      <c r="N1162" t="inlineStr">
        <is>
          <t>2026-09-11 19:06</t>
        </is>
      </c>
    </row>
    <row r="1163">
      <c r="A1163" t="n">
        <v>1162</v>
      </c>
      <c r="B1163" t="inlineStr">
        <is>
          <t>2026-03-22</t>
        </is>
      </c>
      <c r="C1163" t="n">
        <v>2026</v>
      </c>
      <c r="D1163" t="inlineStr">
        <is>
          <t>Marzec</t>
        </is>
      </c>
      <c r="E1163" t="inlineStr">
        <is>
          <t>W4</t>
        </is>
      </c>
      <c r="F1163" t="inlineStr">
        <is>
          <t>2026_Marzec_W4</t>
        </is>
      </c>
      <c r="G1163" t="inlineStr">
        <is>
          <t>Nd</t>
        </is>
      </c>
      <c r="H1163" t="inlineStr">
        <is>
          <t>SZULC, JULIA</t>
        </is>
      </c>
      <c r="I1163" t="inlineStr">
        <is>
          <t>Crew Civil</t>
        </is>
      </c>
      <c r="J1163" t="inlineStr">
        <is>
          <t>Zlecenie</t>
        </is>
      </c>
      <c r="K1163" t="n">
        <v>5.77</v>
      </c>
      <c r="L1163" t="inlineStr">
        <is>
          <t>384</t>
        </is>
      </c>
      <c r="M1163" t="inlineStr">
        <is>
          <t>108120 SBX Warszawa Janki</t>
        </is>
      </c>
      <c r="N1163" t="inlineStr">
        <is>
          <t>2026-09-11 19:06</t>
        </is>
      </c>
    </row>
    <row r="1164">
      <c r="A1164" t="n">
        <v>1163</v>
      </c>
      <c r="B1164" t="inlineStr">
        <is>
          <t>2026-03-27</t>
        </is>
      </c>
      <c r="C1164" t="n">
        <v>2026</v>
      </c>
      <c r="D1164" t="inlineStr">
        <is>
          <t>Marzec</t>
        </is>
      </c>
      <c r="E1164" t="inlineStr">
        <is>
          <t>W5</t>
        </is>
      </c>
      <c r="F1164" t="inlineStr">
        <is>
          <t>2026_Marzec_W5</t>
        </is>
      </c>
      <c r="G1164" t="inlineStr">
        <is>
          <t>Pt</t>
        </is>
      </c>
      <c r="H1164" t="inlineStr">
        <is>
          <t>SZULC, JULIA</t>
        </is>
      </c>
      <c r="I1164" t="inlineStr">
        <is>
          <t>Crew Civil</t>
        </is>
      </c>
      <c r="J1164" t="inlineStr">
        <is>
          <t>Zlecenie</t>
        </is>
      </c>
      <c r="K1164" t="n">
        <v>5.5</v>
      </c>
      <c r="L1164" t="inlineStr">
        <is>
          <t>384</t>
        </is>
      </c>
      <c r="M1164" t="inlineStr">
        <is>
          <t>108120 SBX Warszawa Janki</t>
        </is>
      </c>
      <c r="N1164" t="inlineStr">
        <is>
          <t>2026-09-11 19:06</t>
        </is>
      </c>
    </row>
    <row r="1165">
      <c r="A1165" t="n">
        <v>1164</v>
      </c>
      <c r="B1165" t="inlineStr">
        <is>
          <t>2026-04-10</t>
        </is>
      </c>
      <c r="C1165" t="n">
        <v>2026</v>
      </c>
      <c r="D1165" t="inlineStr">
        <is>
          <t>Kwiecień</t>
        </is>
      </c>
      <c r="E1165" t="inlineStr">
        <is>
          <t>W2</t>
        </is>
      </c>
      <c r="F1165" t="inlineStr">
        <is>
          <t>2026_Kwiecień_W2</t>
        </is>
      </c>
      <c r="G1165" t="inlineStr">
        <is>
          <t>Pt</t>
        </is>
      </c>
      <c r="H1165" t="inlineStr">
        <is>
          <t>SZULC, JULIA</t>
        </is>
      </c>
      <c r="I1165" t="inlineStr">
        <is>
          <t>Crew Civil</t>
        </is>
      </c>
      <c r="J1165" t="inlineStr">
        <is>
          <t>Zlecenie</t>
        </is>
      </c>
      <c r="K1165" t="n">
        <v>8.23</v>
      </c>
      <c r="L1165" t="inlineStr">
        <is>
          <t>384</t>
        </is>
      </c>
      <c r="M1165" t="inlineStr">
        <is>
          <t>108120 SBX Warszawa Janki</t>
        </is>
      </c>
      <c r="N1165" t="inlineStr">
        <is>
          <t>2026-09-11 19:06</t>
        </is>
      </c>
    </row>
    <row r="1166">
      <c r="A1166" t="n">
        <v>1165</v>
      </c>
      <c r="B1166" t="inlineStr">
        <is>
          <t>2026-04-18</t>
        </is>
      </c>
      <c r="C1166" t="n">
        <v>2026</v>
      </c>
      <c r="D1166" t="inlineStr">
        <is>
          <t>Kwiecień</t>
        </is>
      </c>
      <c r="E1166" t="inlineStr">
        <is>
          <t>W3</t>
        </is>
      </c>
      <c r="F1166" t="inlineStr">
        <is>
          <t>2026_Kwiecień_W3</t>
        </is>
      </c>
      <c r="G1166" t="inlineStr">
        <is>
          <t>Sob</t>
        </is>
      </c>
      <c r="H1166" t="inlineStr">
        <is>
          <t>SZULC, JULIA</t>
        </is>
      </c>
      <c r="I1166" t="inlineStr">
        <is>
          <t>Crew Civil</t>
        </is>
      </c>
      <c r="J1166" t="inlineStr">
        <is>
          <t>Zlecenie</t>
        </is>
      </c>
      <c r="K1166" t="n">
        <v>7.8</v>
      </c>
      <c r="L1166" t="inlineStr">
        <is>
          <t>384</t>
        </is>
      </c>
      <c r="M1166" t="inlineStr">
        <is>
          <t>108120 SBX Warszawa Janki</t>
        </is>
      </c>
      <c r="N1166" t="inlineStr">
        <is>
          <t>2026-09-11 19:06</t>
        </is>
      </c>
    </row>
    <row r="1167">
      <c r="A1167" t="n">
        <v>1166</v>
      </c>
      <c r="B1167" t="inlineStr">
        <is>
          <t>2026-04-25</t>
        </is>
      </c>
      <c r="C1167" t="n">
        <v>2026</v>
      </c>
      <c r="D1167" t="inlineStr">
        <is>
          <t>Kwiecień</t>
        </is>
      </c>
      <c r="E1167" t="inlineStr">
        <is>
          <t>W4</t>
        </is>
      </c>
      <c r="F1167" t="inlineStr">
        <is>
          <t>2026_Kwiecień_W4</t>
        </is>
      </c>
      <c r="G1167" t="inlineStr">
        <is>
          <t>Sob</t>
        </is>
      </c>
      <c r="H1167" t="inlineStr">
        <is>
          <t>SZULC, JULIA</t>
        </is>
      </c>
      <c r="I1167" t="inlineStr">
        <is>
          <t>Crew Civil</t>
        </is>
      </c>
      <c r="J1167" t="inlineStr">
        <is>
          <t>Zlecenie</t>
        </is>
      </c>
      <c r="K1167" t="n">
        <v>8.029999999999999</v>
      </c>
      <c r="L1167" t="inlineStr">
        <is>
          <t>384</t>
        </is>
      </c>
      <c r="M1167" t="inlineStr">
        <is>
          <t>108120 SBX Warszawa Janki</t>
        </is>
      </c>
      <c r="N1167" t="inlineStr">
        <is>
          <t>2026-09-11 19:06</t>
        </is>
      </c>
    </row>
    <row r="1168">
      <c r="A1168" t="n">
        <v>1167</v>
      </c>
      <c r="B1168" t="inlineStr">
        <is>
          <t>2026-04-26</t>
        </is>
      </c>
      <c r="C1168" t="n">
        <v>2026</v>
      </c>
      <c r="D1168" t="inlineStr">
        <is>
          <t>Kwiecień</t>
        </is>
      </c>
      <c r="E1168" t="inlineStr">
        <is>
          <t>W4</t>
        </is>
      </c>
      <c r="F1168" t="inlineStr">
        <is>
          <t>2026_Kwiecień_W4</t>
        </is>
      </c>
      <c r="G1168" t="inlineStr">
        <is>
          <t>Nd</t>
        </is>
      </c>
      <c r="H1168" t="inlineStr">
        <is>
          <t>SZULC, JULIA</t>
        </is>
      </c>
      <c r="I1168" t="inlineStr">
        <is>
          <t>Crew Civil</t>
        </is>
      </c>
      <c r="J1168" t="inlineStr">
        <is>
          <t>Zlecenie</t>
        </is>
      </c>
      <c r="K1168" t="n">
        <v>8.029999999999999</v>
      </c>
      <c r="L1168" t="inlineStr">
        <is>
          <t>384</t>
        </is>
      </c>
      <c r="M1168" t="inlineStr">
        <is>
          <t>108120 SBX Warszawa Janki</t>
        </is>
      </c>
      <c r="N1168" t="inlineStr">
        <is>
          <t>2026-09-11 19:06</t>
        </is>
      </c>
    </row>
    <row r="1169">
      <c r="A1169" t="n">
        <v>1168</v>
      </c>
      <c r="B1169" t="inlineStr">
        <is>
          <t>2026-04-28</t>
        </is>
      </c>
      <c r="C1169" t="n">
        <v>2026</v>
      </c>
      <c r="D1169" t="inlineStr">
        <is>
          <t>Kwiecień</t>
        </is>
      </c>
      <c r="E1169" t="inlineStr">
        <is>
          <t>W5</t>
        </is>
      </c>
      <c r="F1169" t="inlineStr">
        <is>
          <t>2026_Kwiecień_W5</t>
        </is>
      </c>
      <c r="G1169" t="inlineStr">
        <is>
          <t>Wt</t>
        </is>
      </c>
      <c r="H1169" t="inlineStr">
        <is>
          <t>SZULC, JULIA</t>
        </is>
      </c>
      <c r="I1169" t="inlineStr">
        <is>
          <t>Crew Civil</t>
        </is>
      </c>
      <c r="J1169" t="inlineStr">
        <is>
          <t>Zlecenie</t>
        </is>
      </c>
      <c r="K1169" t="n">
        <v>2.47</v>
      </c>
      <c r="L1169" t="inlineStr">
        <is>
          <t>384</t>
        </is>
      </c>
      <c r="M1169" t="inlineStr">
        <is>
          <t>108120 SBX Warszawa Janki</t>
        </is>
      </c>
      <c r="N1169" t="inlineStr">
        <is>
          <t>2026-09-11 19:06</t>
        </is>
      </c>
    </row>
    <row r="1170">
      <c r="A1170" t="n">
        <v>1169</v>
      </c>
      <c r="B1170" t="inlineStr">
        <is>
          <t>2026-04-30</t>
        </is>
      </c>
      <c r="C1170" t="n">
        <v>2026</v>
      </c>
      <c r="D1170" t="inlineStr">
        <is>
          <t>Kwiecień</t>
        </is>
      </c>
      <c r="E1170" t="inlineStr">
        <is>
          <t>W5</t>
        </is>
      </c>
      <c r="F1170" t="inlineStr">
        <is>
          <t>2026_Kwiecień_W5</t>
        </is>
      </c>
      <c r="G1170" t="inlineStr">
        <is>
          <t>Czw</t>
        </is>
      </c>
      <c r="H1170" t="inlineStr">
        <is>
          <t>SZULC, JULIA</t>
        </is>
      </c>
      <c r="I1170" t="inlineStr">
        <is>
          <t>Crew Civil</t>
        </is>
      </c>
      <c r="J1170" t="inlineStr">
        <is>
          <t>Zlecenie</t>
        </is>
      </c>
      <c r="K1170" t="n">
        <v>8.02</v>
      </c>
      <c r="L1170" t="inlineStr">
        <is>
          <t>384</t>
        </is>
      </c>
      <c r="M1170" t="inlineStr">
        <is>
          <t>108120 SBX Warszawa Janki</t>
        </is>
      </c>
      <c r="N1170" t="inlineStr">
        <is>
          <t>2026-09-11 19:06</t>
        </is>
      </c>
    </row>
    <row r="1171">
      <c r="A1171" t="n">
        <v>1170</v>
      </c>
      <c r="B1171" t="inlineStr">
        <is>
          <t>2026-05-15</t>
        </is>
      </c>
      <c r="C1171" t="n">
        <v>2026</v>
      </c>
      <c r="D1171" t="inlineStr">
        <is>
          <t>Maj</t>
        </is>
      </c>
      <c r="E1171" t="inlineStr">
        <is>
          <t>W3</t>
        </is>
      </c>
      <c r="F1171" t="inlineStr">
        <is>
          <t>2026_Maj_W3</t>
        </is>
      </c>
      <c r="G1171" t="inlineStr">
        <is>
          <t>Pt</t>
        </is>
      </c>
      <c r="H1171" t="inlineStr">
        <is>
          <t>SZULC, JULIA</t>
        </is>
      </c>
      <c r="I1171" t="inlineStr">
        <is>
          <t>Crew Civil</t>
        </is>
      </c>
      <c r="J1171" t="inlineStr">
        <is>
          <t>Zlecenie</t>
        </is>
      </c>
      <c r="K1171" t="n">
        <v>8.130000000000001</v>
      </c>
      <c r="L1171" t="inlineStr">
        <is>
          <t>384</t>
        </is>
      </c>
      <c r="M1171" t="inlineStr">
        <is>
          <t>108120 SBX Warszawa Janki</t>
        </is>
      </c>
      <c r="N1171" t="inlineStr">
        <is>
          <t>2026-09-11 19:06</t>
        </is>
      </c>
    </row>
    <row r="1172">
      <c r="A1172" t="n">
        <v>1171</v>
      </c>
      <c r="B1172" t="inlineStr">
        <is>
          <t>2026-05-16</t>
        </is>
      </c>
      <c r="C1172" t="n">
        <v>2026</v>
      </c>
      <c r="D1172" t="inlineStr">
        <is>
          <t>Maj</t>
        </is>
      </c>
      <c r="E1172" t="inlineStr">
        <is>
          <t>W3</t>
        </is>
      </c>
      <c r="F1172" t="inlineStr">
        <is>
          <t>2026_Maj_W3</t>
        </is>
      </c>
      <c r="G1172" t="inlineStr">
        <is>
          <t>Sob</t>
        </is>
      </c>
      <c r="H1172" t="inlineStr">
        <is>
          <t>SZULC, JULIA</t>
        </is>
      </c>
      <c r="I1172" t="inlineStr">
        <is>
          <t>Crew Civil</t>
        </is>
      </c>
      <c r="J1172" t="inlineStr">
        <is>
          <t>Zlecenie</t>
        </is>
      </c>
      <c r="K1172" t="n">
        <v>8.029999999999999</v>
      </c>
      <c r="L1172" t="inlineStr">
        <is>
          <t>384</t>
        </is>
      </c>
      <c r="M1172" t="inlineStr">
        <is>
          <t>108120 SBX Warszawa Janki</t>
        </is>
      </c>
      <c r="N1172" t="inlineStr">
        <is>
          <t>2026-09-11 19:06</t>
        </is>
      </c>
    </row>
    <row r="1173">
      <c r="A1173" t="n">
        <v>1172</v>
      </c>
      <c r="B1173" t="inlineStr">
        <is>
          <t>2026-05-23</t>
        </is>
      </c>
      <c r="C1173" t="n">
        <v>2026</v>
      </c>
      <c r="D1173" t="inlineStr">
        <is>
          <t>Maj</t>
        </is>
      </c>
      <c r="E1173" t="inlineStr">
        <is>
          <t>W4</t>
        </is>
      </c>
      <c r="F1173" t="inlineStr">
        <is>
          <t>2026_Maj_W4</t>
        </is>
      </c>
      <c r="G1173" t="inlineStr">
        <is>
          <t>Sob</t>
        </is>
      </c>
      <c r="H1173" t="inlineStr">
        <is>
          <t>SZULC, JULIA</t>
        </is>
      </c>
      <c r="I1173" t="inlineStr">
        <is>
          <t>Crew Civil</t>
        </is>
      </c>
      <c r="J1173" t="inlineStr">
        <is>
          <t>Zlecenie</t>
        </is>
      </c>
      <c r="K1173" t="n">
        <v>7.89</v>
      </c>
      <c r="L1173" t="inlineStr">
        <is>
          <t>384</t>
        </is>
      </c>
      <c r="M1173" t="inlineStr">
        <is>
          <t>108120 SBX Warszawa Janki</t>
        </is>
      </c>
      <c r="N1173" t="inlineStr">
        <is>
          <t>2026-09-11 19:06</t>
        </is>
      </c>
    </row>
    <row r="1174">
      <c r="A1174" t="n">
        <v>1173</v>
      </c>
      <c r="B1174" t="inlineStr">
        <is>
          <t>2026-05-31</t>
        </is>
      </c>
      <c r="C1174" t="n">
        <v>2026</v>
      </c>
      <c r="D1174" t="inlineStr">
        <is>
          <t>Maj</t>
        </is>
      </c>
      <c r="E1174" t="inlineStr">
        <is>
          <t>W5</t>
        </is>
      </c>
      <c r="F1174" t="inlineStr">
        <is>
          <t>2026_Maj_W5</t>
        </is>
      </c>
      <c r="G1174" t="inlineStr">
        <is>
          <t>Nd</t>
        </is>
      </c>
      <c r="H1174" t="inlineStr">
        <is>
          <t>SZULC, JULIA</t>
        </is>
      </c>
      <c r="I1174" t="inlineStr">
        <is>
          <t>Crew Civil</t>
        </is>
      </c>
      <c r="J1174" t="inlineStr">
        <is>
          <t>Zlecenie</t>
        </is>
      </c>
      <c r="K1174" t="n">
        <v>7.85</v>
      </c>
      <c r="L1174" t="inlineStr">
        <is>
          <t>384</t>
        </is>
      </c>
      <c r="M1174" t="inlineStr">
        <is>
          <t>108120 SBX Warszawa Janki</t>
        </is>
      </c>
      <c r="N1174" t="inlineStr">
        <is>
          <t>2026-09-11 19:06</t>
        </is>
      </c>
    </row>
    <row r="1175">
      <c r="A1175" t="n">
        <v>1174</v>
      </c>
      <c r="B1175" t="inlineStr">
        <is>
          <t>2026-06-04</t>
        </is>
      </c>
      <c r="C1175" t="n">
        <v>2026</v>
      </c>
      <c r="D1175" t="inlineStr">
        <is>
          <t>Czerwiec</t>
        </is>
      </c>
      <c r="E1175" t="inlineStr">
        <is>
          <t>W2</t>
        </is>
      </c>
      <c r="F1175" t="inlineStr">
        <is>
          <t>2026_Czerwiec_W2</t>
        </is>
      </c>
      <c r="G1175" t="inlineStr">
        <is>
          <t>Czw</t>
        </is>
      </c>
      <c r="H1175" t="inlineStr">
        <is>
          <t>SZULC, JULIA</t>
        </is>
      </c>
      <c r="I1175" t="inlineStr">
        <is>
          <t>Crew Civil</t>
        </is>
      </c>
      <c r="J1175" t="inlineStr">
        <is>
          <t>Zlecenie</t>
        </is>
      </c>
      <c r="K1175" t="n">
        <v>2.18</v>
      </c>
      <c r="L1175" t="inlineStr">
        <is>
          <t>384</t>
        </is>
      </c>
      <c r="M1175" t="inlineStr">
        <is>
          <t>108120 SBX Warszawa Janki</t>
        </is>
      </c>
      <c r="N1175" t="inlineStr">
        <is>
          <t>2026-09-11 19:06</t>
        </is>
      </c>
    </row>
    <row r="1176">
      <c r="A1176" t="n">
        <v>1175</v>
      </c>
      <c r="B1176" t="inlineStr">
        <is>
          <t>2026-06-12</t>
        </is>
      </c>
      <c r="C1176" t="n">
        <v>2026</v>
      </c>
      <c r="D1176" t="inlineStr">
        <is>
          <t>Czerwiec</t>
        </is>
      </c>
      <c r="E1176" t="inlineStr">
        <is>
          <t>W3</t>
        </is>
      </c>
      <c r="F1176" t="inlineStr">
        <is>
          <t>2026_Czerwiec_W3</t>
        </is>
      </c>
      <c r="G1176" t="inlineStr">
        <is>
          <t>Pt</t>
        </is>
      </c>
      <c r="H1176" t="inlineStr">
        <is>
          <t>SZULC, JULIA</t>
        </is>
      </c>
      <c r="I1176" t="inlineStr">
        <is>
          <t>Crew Civil</t>
        </is>
      </c>
      <c r="J1176" t="inlineStr">
        <is>
          <t>Zlecenie</t>
        </is>
      </c>
      <c r="K1176" t="n">
        <v>8.06</v>
      </c>
      <c r="L1176" t="inlineStr">
        <is>
          <t>384</t>
        </is>
      </c>
      <c r="M1176" t="inlineStr">
        <is>
          <t>108120 SBX Warszawa Janki</t>
        </is>
      </c>
      <c r="N1176" t="inlineStr">
        <is>
          <t>2026-09-11 19:06</t>
        </is>
      </c>
    </row>
    <row r="1177">
      <c r="A1177" t="n">
        <v>1176</v>
      </c>
      <c r="B1177" t="inlineStr">
        <is>
          <t>2026-06-19</t>
        </is>
      </c>
      <c r="C1177" t="n">
        <v>2026</v>
      </c>
      <c r="D1177" t="inlineStr">
        <is>
          <t>Czerwiec</t>
        </is>
      </c>
      <c r="E1177" t="inlineStr">
        <is>
          <t>W4</t>
        </is>
      </c>
      <c r="F1177" t="inlineStr">
        <is>
          <t>2026_Czerwiec_W4</t>
        </is>
      </c>
      <c r="G1177" t="inlineStr">
        <is>
          <t>Pt</t>
        </is>
      </c>
      <c r="H1177" t="inlineStr">
        <is>
          <t>SZULC, JULIA</t>
        </is>
      </c>
      <c r="I1177" t="inlineStr">
        <is>
          <t>Crew Civil</t>
        </is>
      </c>
      <c r="J1177" t="inlineStr">
        <is>
          <t>Zlecenie</t>
        </is>
      </c>
      <c r="K1177" t="n">
        <v>7.94</v>
      </c>
      <c r="L1177" t="inlineStr">
        <is>
          <t>384</t>
        </is>
      </c>
      <c r="M1177" t="inlineStr">
        <is>
          <t>108120 SBX Warszawa Janki</t>
        </is>
      </c>
      <c r="N1177" t="inlineStr">
        <is>
          <t>2026-09-11 19:06</t>
        </is>
      </c>
    </row>
    <row r="1178">
      <c r="A1178" t="n">
        <v>1177</v>
      </c>
      <c r="B1178" t="inlineStr">
        <is>
          <t>2026-06-28</t>
        </is>
      </c>
      <c r="C1178" t="n">
        <v>2026</v>
      </c>
      <c r="D1178" t="inlineStr">
        <is>
          <t>Czerwiec</t>
        </is>
      </c>
      <c r="E1178" t="inlineStr">
        <is>
          <t>W5</t>
        </is>
      </c>
      <c r="F1178" t="inlineStr">
        <is>
          <t>2026_Czerwiec_W5</t>
        </is>
      </c>
      <c r="G1178" t="inlineStr">
        <is>
          <t>Nd</t>
        </is>
      </c>
      <c r="H1178" t="inlineStr">
        <is>
          <t>SZULC, JULIA</t>
        </is>
      </c>
      <c r="I1178" t="inlineStr">
        <is>
          <t>Crew Civil</t>
        </is>
      </c>
      <c r="J1178" t="inlineStr">
        <is>
          <t>Zlecenie</t>
        </is>
      </c>
      <c r="K1178" t="n">
        <v>6.96</v>
      </c>
      <c r="L1178" t="inlineStr">
        <is>
          <t>384</t>
        </is>
      </c>
      <c r="M1178" t="inlineStr">
        <is>
          <t>108120 SBX Warszawa Janki</t>
        </is>
      </c>
      <c r="N1178" t="inlineStr">
        <is>
          <t>2026-09-11 19:06</t>
        </is>
      </c>
    </row>
    <row r="1179">
      <c r="A1179" t="n">
        <v>1178</v>
      </c>
      <c r="B1179" t="inlineStr">
        <is>
          <t>2026-07-07</t>
        </is>
      </c>
      <c r="C1179" t="n">
        <v>2026</v>
      </c>
      <c r="D1179" t="inlineStr">
        <is>
          <t>Lipiec</t>
        </is>
      </c>
      <c r="E1179" t="inlineStr">
        <is>
          <t>W2</t>
        </is>
      </c>
      <c r="F1179" t="inlineStr">
        <is>
          <t>2026_Lipiec_W2</t>
        </is>
      </c>
      <c r="G1179" t="inlineStr">
        <is>
          <t>Wt</t>
        </is>
      </c>
      <c r="H1179" t="inlineStr">
        <is>
          <t>SZULC, JULIA</t>
        </is>
      </c>
      <c r="I1179" t="inlineStr">
        <is>
          <t>Crew Civil</t>
        </is>
      </c>
      <c r="J1179" t="inlineStr">
        <is>
          <t>Zlecenie</t>
        </is>
      </c>
      <c r="K1179" t="n">
        <v>7.34</v>
      </c>
      <c r="L1179" t="inlineStr">
        <is>
          <t>384</t>
        </is>
      </c>
      <c r="M1179" t="inlineStr">
        <is>
          <t>108120 SBX Warszawa Janki</t>
        </is>
      </c>
      <c r="N1179" t="inlineStr">
        <is>
          <t>2026-09-11 19:06</t>
        </is>
      </c>
    </row>
    <row r="1180">
      <c r="A1180" t="n">
        <v>1179</v>
      </c>
      <c r="B1180" t="inlineStr">
        <is>
          <t>2026-07-11</t>
        </is>
      </c>
      <c r="C1180" t="n">
        <v>2026</v>
      </c>
      <c r="D1180" t="inlineStr">
        <is>
          <t>Lipiec</t>
        </is>
      </c>
      <c r="E1180" t="inlineStr">
        <is>
          <t>W2</t>
        </is>
      </c>
      <c r="F1180" t="inlineStr">
        <is>
          <t>2026_Lipiec_W2</t>
        </is>
      </c>
      <c r="G1180" t="inlineStr">
        <is>
          <t>Sob</t>
        </is>
      </c>
      <c r="H1180" t="inlineStr">
        <is>
          <t>SZULC, JULIA</t>
        </is>
      </c>
      <c r="I1180" t="inlineStr">
        <is>
          <t>Crew Civil</t>
        </is>
      </c>
      <c r="J1180" t="inlineStr">
        <is>
          <t>Zlecenie</t>
        </is>
      </c>
      <c r="K1180" t="n">
        <v>8.19</v>
      </c>
      <c r="L1180" t="inlineStr">
        <is>
          <t>384</t>
        </is>
      </c>
      <c r="M1180" t="inlineStr">
        <is>
          <t>108120 SBX Warszawa Janki</t>
        </is>
      </c>
      <c r="N1180" t="inlineStr">
        <is>
          <t>2026-09-11 19:06</t>
        </is>
      </c>
    </row>
    <row r="1181">
      <c r="A1181" t="n">
        <v>1180</v>
      </c>
      <c r="B1181" t="inlineStr">
        <is>
          <t>2026-07-13</t>
        </is>
      </c>
      <c r="C1181" t="n">
        <v>2026</v>
      </c>
      <c r="D1181" t="inlineStr">
        <is>
          <t>Lipiec</t>
        </is>
      </c>
      <c r="E1181" t="inlineStr">
        <is>
          <t>W2</t>
        </is>
      </c>
      <c r="F1181" t="inlineStr">
        <is>
          <t>2026_Lipiec_W2</t>
        </is>
      </c>
      <c r="G1181" t="inlineStr">
        <is>
          <t>Pn</t>
        </is>
      </c>
      <c r="H1181" t="inlineStr">
        <is>
          <t>SZULC, JULIA</t>
        </is>
      </c>
      <c r="I1181" t="inlineStr">
        <is>
          <t>Crew Civil</t>
        </is>
      </c>
      <c r="J1181" t="inlineStr">
        <is>
          <t>Zlecenie</t>
        </is>
      </c>
      <c r="K1181" t="n">
        <v>8.44</v>
      </c>
      <c r="L1181" t="inlineStr">
        <is>
          <t>384</t>
        </is>
      </c>
      <c r="M1181" t="inlineStr">
        <is>
          <t>108120 SBX Warszawa Janki</t>
        </is>
      </c>
      <c r="N1181" t="inlineStr">
        <is>
          <t>2026-09-11 19:06</t>
        </is>
      </c>
    </row>
    <row r="1182">
      <c r="A1182" t="n">
        <v>1181</v>
      </c>
      <c r="B1182" t="inlineStr">
        <is>
          <t>2026-07-14</t>
        </is>
      </c>
      <c r="C1182" t="n">
        <v>2026</v>
      </c>
      <c r="D1182" t="inlineStr">
        <is>
          <t>Lipiec</t>
        </is>
      </c>
      <c r="E1182" t="inlineStr">
        <is>
          <t>W3</t>
        </is>
      </c>
      <c r="F1182" t="inlineStr">
        <is>
          <t>2026_Lipiec_W3</t>
        </is>
      </c>
      <c r="G1182" t="inlineStr">
        <is>
          <t>Wt</t>
        </is>
      </c>
      <c r="H1182" t="inlineStr">
        <is>
          <t>SZULC, JULIA</t>
        </is>
      </c>
      <c r="I1182" t="inlineStr">
        <is>
          <t>Crew Civil</t>
        </is>
      </c>
      <c r="J1182" t="inlineStr">
        <is>
          <t>Zlecenie</t>
        </is>
      </c>
      <c r="K1182" t="n">
        <v>6.04</v>
      </c>
      <c r="L1182" t="inlineStr">
        <is>
          <t>384</t>
        </is>
      </c>
      <c r="M1182" t="inlineStr">
        <is>
          <t>108120 SBX Warszawa Janki</t>
        </is>
      </c>
      <c r="N1182" t="inlineStr">
        <is>
          <t>2026-09-11 19:06</t>
        </is>
      </c>
    </row>
    <row r="1183">
      <c r="A1183" t="n">
        <v>1182</v>
      </c>
      <c r="B1183" t="inlineStr">
        <is>
          <t>2026-07-16</t>
        </is>
      </c>
      <c r="C1183" t="n">
        <v>2026</v>
      </c>
      <c r="D1183" t="inlineStr">
        <is>
          <t>Lipiec</t>
        </is>
      </c>
      <c r="E1183" t="inlineStr">
        <is>
          <t>W3</t>
        </is>
      </c>
      <c r="F1183" t="inlineStr">
        <is>
          <t>2026_Lipiec_W3</t>
        </is>
      </c>
      <c r="G1183" t="inlineStr">
        <is>
          <t>Czw</t>
        </is>
      </c>
      <c r="H1183" t="inlineStr">
        <is>
          <t>SZULC, JULIA</t>
        </is>
      </c>
      <c r="I1183" t="inlineStr">
        <is>
          <t>Crew Civil</t>
        </is>
      </c>
      <c r="J1183" t="inlineStr">
        <is>
          <t>Zlecenie</t>
        </is>
      </c>
      <c r="K1183" t="n">
        <v>8.949999999999999</v>
      </c>
      <c r="L1183" t="inlineStr">
        <is>
          <t>384</t>
        </is>
      </c>
      <c r="M1183" t="inlineStr">
        <is>
          <t>108120 SBX Warszawa Janki</t>
        </is>
      </c>
      <c r="N1183" t="inlineStr">
        <is>
          <t>2026-09-11 19:06</t>
        </is>
      </c>
    </row>
    <row r="1184">
      <c r="A1184" t="n">
        <v>1183</v>
      </c>
      <c r="B1184" t="inlineStr">
        <is>
          <t>2026-07-17</t>
        </is>
      </c>
      <c r="C1184" t="n">
        <v>2026</v>
      </c>
      <c r="D1184" t="inlineStr">
        <is>
          <t>Lipiec</t>
        </is>
      </c>
      <c r="E1184" t="inlineStr">
        <is>
          <t>W3</t>
        </is>
      </c>
      <c r="F1184" t="inlineStr">
        <is>
          <t>2026_Lipiec_W3</t>
        </is>
      </c>
      <c r="G1184" t="inlineStr">
        <is>
          <t>Pt</t>
        </is>
      </c>
      <c r="H1184" t="inlineStr">
        <is>
          <t>SZULC, JULIA</t>
        </is>
      </c>
      <c r="I1184" t="inlineStr">
        <is>
          <t>Crew Civil</t>
        </is>
      </c>
      <c r="J1184" t="inlineStr">
        <is>
          <t>Zlecenie</t>
        </is>
      </c>
      <c r="K1184" t="n">
        <v>8.119999999999999</v>
      </c>
      <c r="L1184" t="inlineStr">
        <is>
          <t>384</t>
        </is>
      </c>
      <c r="M1184" t="inlineStr">
        <is>
          <t>108120 SBX Warszawa Janki</t>
        </is>
      </c>
      <c r="N1184" t="inlineStr">
        <is>
          <t>2026-09-11 19:06</t>
        </is>
      </c>
    </row>
    <row r="1185">
      <c r="A1185" t="n">
        <v>1184</v>
      </c>
      <c r="B1185" t="inlineStr">
        <is>
          <t>2026-07-18</t>
        </is>
      </c>
      <c r="C1185" t="n">
        <v>2026</v>
      </c>
      <c r="D1185" t="inlineStr">
        <is>
          <t>Lipiec</t>
        </is>
      </c>
      <c r="E1185" t="inlineStr">
        <is>
          <t>W3</t>
        </is>
      </c>
      <c r="F1185" t="inlineStr">
        <is>
          <t>2026_Lipiec_W3</t>
        </is>
      </c>
      <c r="G1185" t="inlineStr">
        <is>
          <t>Sob</t>
        </is>
      </c>
      <c r="H1185" t="inlineStr">
        <is>
          <t>SZULC, JULIA</t>
        </is>
      </c>
      <c r="I1185" t="inlineStr">
        <is>
          <t>Crew Civil</t>
        </is>
      </c>
      <c r="J1185" t="inlineStr">
        <is>
          <t>Zlecenie</t>
        </is>
      </c>
      <c r="K1185" t="n">
        <v>7.14</v>
      </c>
      <c r="L1185" t="inlineStr">
        <is>
          <t>384</t>
        </is>
      </c>
      <c r="M1185" t="inlineStr">
        <is>
          <t>108120 SBX Warszawa Janki</t>
        </is>
      </c>
      <c r="N1185" t="inlineStr">
        <is>
          <t>2026-09-11 19:06</t>
        </is>
      </c>
    </row>
    <row r="1186">
      <c r="A1186" t="n">
        <v>1185</v>
      </c>
      <c r="B1186" t="inlineStr">
        <is>
          <t>2026-07-20</t>
        </is>
      </c>
      <c r="C1186" t="n">
        <v>2026</v>
      </c>
      <c r="D1186" t="inlineStr">
        <is>
          <t>Lipiec</t>
        </is>
      </c>
      <c r="E1186" t="inlineStr">
        <is>
          <t>W3</t>
        </is>
      </c>
      <c r="F1186" t="inlineStr">
        <is>
          <t>2026_Lipiec_W3</t>
        </is>
      </c>
      <c r="G1186" t="inlineStr">
        <is>
          <t>Pn</t>
        </is>
      </c>
      <c r="H1186" t="inlineStr">
        <is>
          <t>SZULC, JULIA</t>
        </is>
      </c>
      <c r="I1186" t="inlineStr">
        <is>
          <t>Crew Civil</t>
        </is>
      </c>
      <c r="J1186" t="inlineStr">
        <is>
          <t>Zlecenie</t>
        </is>
      </c>
      <c r="K1186" t="n">
        <v>8.77</v>
      </c>
      <c r="L1186" t="inlineStr">
        <is>
          <t>384</t>
        </is>
      </c>
      <c r="M1186" t="inlineStr">
        <is>
          <t>108120 SBX Warszawa Janki</t>
        </is>
      </c>
      <c r="N1186" t="inlineStr">
        <is>
          <t>2026-09-11 19:06</t>
        </is>
      </c>
    </row>
    <row r="1187">
      <c r="A1187" t="n">
        <v>1186</v>
      </c>
      <c r="B1187" t="inlineStr">
        <is>
          <t>2026-07-22</t>
        </is>
      </c>
      <c r="C1187" t="n">
        <v>2026</v>
      </c>
      <c r="D1187" t="inlineStr">
        <is>
          <t>Lipiec</t>
        </is>
      </c>
      <c r="E1187" t="inlineStr">
        <is>
          <t>W4</t>
        </is>
      </c>
      <c r="F1187" t="inlineStr">
        <is>
          <t>2026_Lipiec_W4</t>
        </is>
      </c>
      <c r="G1187" t="inlineStr">
        <is>
          <t>Śr</t>
        </is>
      </c>
      <c r="H1187" t="inlineStr">
        <is>
          <t>SZULC, JULIA</t>
        </is>
      </c>
      <c r="I1187" t="inlineStr">
        <is>
          <t>Crew Civil</t>
        </is>
      </c>
      <c r="J1187" t="inlineStr">
        <is>
          <t>Zlecenie</t>
        </is>
      </c>
      <c r="K1187" t="n">
        <v>7.33</v>
      </c>
      <c r="L1187" t="inlineStr">
        <is>
          <t>384</t>
        </is>
      </c>
      <c r="M1187" t="inlineStr">
        <is>
          <t>108120 SBX Warszawa Janki</t>
        </is>
      </c>
      <c r="N1187" t="inlineStr">
        <is>
          <t>2026-09-11 19:06</t>
        </is>
      </c>
    </row>
    <row r="1188">
      <c r="A1188" t="n">
        <v>1187</v>
      </c>
      <c r="B1188" t="inlineStr">
        <is>
          <t>2026-07-24</t>
        </is>
      </c>
      <c r="C1188" t="n">
        <v>2026</v>
      </c>
      <c r="D1188" t="inlineStr">
        <is>
          <t>Lipiec</t>
        </is>
      </c>
      <c r="E1188" t="inlineStr">
        <is>
          <t>W4</t>
        </is>
      </c>
      <c r="F1188" t="inlineStr">
        <is>
          <t>2026_Lipiec_W4</t>
        </is>
      </c>
      <c r="G1188" t="inlineStr">
        <is>
          <t>Pt</t>
        </is>
      </c>
      <c r="H1188" t="inlineStr">
        <is>
          <t>SZULC, JULIA</t>
        </is>
      </c>
      <c r="I1188" t="inlineStr">
        <is>
          <t>Crew Civil</t>
        </is>
      </c>
      <c r="J1188" t="inlineStr">
        <is>
          <t>Zlecenie</t>
        </is>
      </c>
      <c r="K1188" t="n">
        <v>8.31</v>
      </c>
      <c r="L1188" t="inlineStr">
        <is>
          <t>384</t>
        </is>
      </c>
      <c r="M1188" t="inlineStr">
        <is>
          <t>108120 SBX Warszawa Janki</t>
        </is>
      </c>
      <c r="N1188" t="inlineStr">
        <is>
          <t>2026-09-11 19:06</t>
        </is>
      </c>
    </row>
    <row r="1189">
      <c r="A1189" t="n">
        <v>1188</v>
      </c>
      <c r="B1189" t="inlineStr">
        <is>
          <t>2026-07-26</t>
        </is>
      </c>
      <c r="C1189" t="n">
        <v>2026</v>
      </c>
      <c r="D1189" t="inlineStr">
        <is>
          <t>Lipiec</t>
        </is>
      </c>
      <c r="E1189" t="inlineStr">
        <is>
          <t>W4</t>
        </is>
      </c>
      <c r="F1189" t="inlineStr">
        <is>
          <t>2026_Lipiec_W4</t>
        </is>
      </c>
      <c r="G1189" t="inlineStr">
        <is>
          <t>Nd</t>
        </is>
      </c>
      <c r="H1189" t="inlineStr">
        <is>
          <t>SZULC, JULIA</t>
        </is>
      </c>
      <c r="I1189" t="inlineStr">
        <is>
          <t>Crew Civil</t>
        </is>
      </c>
      <c r="J1189" t="inlineStr">
        <is>
          <t>Zlecenie</t>
        </is>
      </c>
      <c r="K1189" t="n">
        <v>6.06</v>
      </c>
      <c r="L1189" t="inlineStr">
        <is>
          <t>384</t>
        </is>
      </c>
      <c r="M1189" t="inlineStr">
        <is>
          <t>108120 SBX Warszawa Janki</t>
        </is>
      </c>
      <c r="N1189" t="inlineStr">
        <is>
          <t>2026-09-11 19:06</t>
        </is>
      </c>
    </row>
    <row r="1190">
      <c r="A1190" t="n">
        <v>1189</v>
      </c>
      <c r="B1190" t="inlineStr">
        <is>
          <t>2026-08-05</t>
        </is>
      </c>
      <c r="C1190" t="n">
        <v>2026</v>
      </c>
      <c r="D1190" t="inlineStr">
        <is>
          <t>Sierpień</t>
        </is>
      </c>
      <c r="E1190" t="inlineStr">
        <is>
          <t>W2</t>
        </is>
      </c>
      <c r="F1190" t="inlineStr">
        <is>
          <t>2026_Sierpień_W2</t>
        </is>
      </c>
      <c r="G1190" t="inlineStr">
        <is>
          <t>Śr</t>
        </is>
      </c>
      <c r="H1190" t="inlineStr">
        <is>
          <t>SZULC, JULIA</t>
        </is>
      </c>
      <c r="I1190" t="inlineStr">
        <is>
          <t>Crew Civil</t>
        </is>
      </c>
      <c r="J1190" t="inlineStr">
        <is>
          <t>Zlecenie</t>
        </is>
      </c>
      <c r="K1190" t="n">
        <v>4.87</v>
      </c>
      <c r="L1190" t="inlineStr">
        <is>
          <t>384</t>
        </is>
      </c>
      <c r="M1190" t="inlineStr">
        <is>
          <t>108120 SBX Warszawa Janki</t>
        </is>
      </c>
      <c r="N1190" t="inlineStr">
        <is>
          <t>2026-09-11 19:06</t>
        </is>
      </c>
    </row>
    <row r="1191">
      <c r="A1191" t="n">
        <v>1190</v>
      </c>
      <c r="B1191" t="inlineStr">
        <is>
          <t>2026-08-09</t>
        </is>
      </c>
      <c r="C1191" t="n">
        <v>2026</v>
      </c>
      <c r="D1191" t="inlineStr">
        <is>
          <t>Sierpień</t>
        </is>
      </c>
      <c r="E1191" t="inlineStr">
        <is>
          <t>W2</t>
        </is>
      </c>
      <c r="F1191" t="inlineStr">
        <is>
          <t>2026_Sierpień_W2</t>
        </is>
      </c>
      <c r="G1191" t="inlineStr">
        <is>
          <t>Nd</t>
        </is>
      </c>
      <c r="H1191" t="inlineStr">
        <is>
          <t>SZULC, JULIA</t>
        </is>
      </c>
      <c r="I1191" t="inlineStr">
        <is>
          <t>Crew Civil</t>
        </is>
      </c>
      <c r="J1191" t="inlineStr">
        <is>
          <t>Zlecenie</t>
        </is>
      </c>
      <c r="K1191" t="n">
        <v>6.06</v>
      </c>
      <c r="L1191" t="inlineStr">
        <is>
          <t>384</t>
        </is>
      </c>
      <c r="M1191" t="inlineStr">
        <is>
          <t>108120 SBX Warszawa Janki</t>
        </is>
      </c>
      <c r="N1191" t="inlineStr">
        <is>
          <t>2026-09-11 19:06</t>
        </is>
      </c>
    </row>
    <row r="1192">
      <c r="A1192" t="n">
        <v>1191</v>
      </c>
      <c r="B1192" t="inlineStr">
        <is>
          <t>2026-08-11</t>
        </is>
      </c>
      <c r="C1192" t="n">
        <v>2026</v>
      </c>
      <c r="D1192" t="inlineStr">
        <is>
          <t>Sierpień</t>
        </is>
      </c>
      <c r="E1192" t="inlineStr">
        <is>
          <t>W3</t>
        </is>
      </c>
      <c r="F1192" t="inlineStr">
        <is>
          <t>2026_Sierpień_W3</t>
        </is>
      </c>
      <c r="G1192" t="inlineStr">
        <is>
          <t>Wt</t>
        </is>
      </c>
      <c r="H1192" t="inlineStr">
        <is>
          <t>SZULC, JULIA</t>
        </is>
      </c>
      <c r="I1192" t="inlineStr">
        <is>
          <t>Crew Civil</t>
        </is>
      </c>
      <c r="J1192" t="inlineStr">
        <is>
          <t>Zlecenie</t>
        </is>
      </c>
      <c r="K1192" t="n">
        <v>7.97</v>
      </c>
      <c r="L1192" t="inlineStr">
        <is>
          <t>384</t>
        </is>
      </c>
      <c r="M1192" t="inlineStr">
        <is>
          <t>108120 SBX Warszawa Janki</t>
        </is>
      </c>
      <c r="N1192" t="inlineStr">
        <is>
          <t>2026-09-11 19:06</t>
        </is>
      </c>
    </row>
    <row r="1193">
      <c r="A1193" t="n">
        <v>1192</v>
      </c>
      <c r="B1193" t="inlineStr">
        <is>
          <t>2026-08-13</t>
        </is>
      </c>
      <c r="C1193" t="n">
        <v>2026</v>
      </c>
      <c r="D1193" t="inlineStr">
        <is>
          <t>Sierpień</t>
        </is>
      </c>
      <c r="E1193" t="inlineStr">
        <is>
          <t>W3</t>
        </is>
      </c>
      <c r="F1193" t="inlineStr">
        <is>
          <t>2026_Sierpień_W3</t>
        </is>
      </c>
      <c r="G1193" t="inlineStr">
        <is>
          <t>Czw</t>
        </is>
      </c>
      <c r="H1193" t="inlineStr">
        <is>
          <t>SZULC, JULIA</t>
        </is>
      </c>
      <c r="I1193" t="inlineStr">
        <is>
          <t>Crew Civil</t>
        </is>
      </c>
      <c r="J1193" t="inlineStr">
        <is>
          <t>Zlecenie</t>
        </is>
      </c>
      <c r="K1193" t="n">
        <v>7.95</v>
      </c>
      <c r="L1193" t="inlineStr">
        <is>
          <t>384</t>
        </is>
      </c>
      <c r="M1193" t="inlineStr">
        <is>
          <t>108120 SBX Warszawa Janki</t>
        </is>
      </c>
      <c r="N1193" t="inlineStr">
        <is>
          <t>2026-09-11 19:06</t>
        </is>
      </c>
    </row>
    <row r="1194">
      <c r="A1194" t="n">
        <v>1193</v>
      </c>
      <c r="B1194" t="inlineStr">
        <is>
          <t>2026-08-14</t>
        </is>
      </c>
      <c r="C1194" t="n">
        <v>2026</v>
      </c>
      <c r="D1194" t="inlineStr">
        <is>
          <t>Sierpień</t>
        </is>
      </c>
      <c r="E1194" t="inlineStr">
        <is>
          <t>W3</t>
        </is>
      </c>
      <c r="F1194" t="inlineStr">
        <is>
          <t>2026_Sierpień_W3</t>
        </is>
      </c>
      <c r="G1194" t="inlineStr">
        <is>
          <t>Pt</t>
        </is>
      </c>
      <c r="H1194" t="inlineStr">
        <is>
          <t>SZULC, JULIA</t>
        </is>
      </c>
      <c r="I1194" t="inlineStr">
        <is>
          <t>Crew Civil</t>
        </is>
      </c>
      <c r="J1194" t="inlineStr">
        <is>
          <t>Zlecenie</t>
        </is>
      </c>
      <c r="K1194" t="n">
        <v>7.74</v>
      </c>
      <c r="L1194" t="inlineStr">
        <is>
          <t>384</t>
        </is>
      </c>
      <c r="M1194" t="inlineStr">
        <is>
          <t>108120 SBX Warszawa Janki</t>
        </is>
      </c>
      <c r="N1194" t="inlineStr">
        <is>
          <t>2026-09-11 19:06</t>
        </is>
      </c>
    </row>
    <row r="1195">
      <c r="A1195" t="n">
        <v>1194</v>
      </c>
      <c r="B1195" t="inlineStr">
        <is>
          <t>2026-08-15</t>
        </is>
      </c>
      <c r="C1195" t="n">
        <v>2026</v>
      </c>
      <c r="D1195" t="inlineStr">
        <is>
          <t>Sierpień</t>
        </is>
      </c>
      <c r="E1195" t="inlineStr">
        <is>
          <t>W3</t>
        </is>
      </c>
      <c r="F1195" t="inlineStr">
        <is>
          <t>2026_Sierpień_W3</t>
        </is>
      </c>
      <c r="G1195" t="inlineStr">
        <is>
          <t>Sob</t>
        </is>
      </c>
      <c r="H1195" t="inlineStr">
        <is>
          <t>SZULC, JULIA</t>
        </is>
      </c>
      <c r="I1195" t="inlineStr">
        <is>
          <t>Crew Civil</t>
        </is>
      </c>
      <c r="J1195" t="inlineStr">
        <is>
          <t>Zlecenie</t>
        </is>
      </c>
      <c r="K1195" t="n">
        <v>6.12</v>
      </c>
      <c r="L1195" t="inlineStr">
        <is>
          <t>384</t>
        </is>
      </c>
      <c r="M1195" t="inlineStr">
        <is>
          <t>108120 SBX Warszawa Janki</t>
        </is>
      </c>
      <c r="N1195" t="inlineStr">
        <is>
          <t>2026-09-11 19:06</t>
        </is>
      </c>
    </row>
    <row r="1196">
      <c r="A1196" t="n">
        <v>1195</v>
      </c>
      <c r="B1196" t="inlineStr">
        <is>
          <t>2026-08-16</t>
        </is>
      </c>
      <c r="C1196" t="n">
        <v>2026</v>
      </c>
      <c r="D1196" t="inlineStr">
        <is>
          <t>Sierpień</t>
        </is>
      </c>
      <c r="E1196" t="inlineStr">
        <is>
          <t>W3</t>
        </is>
      </c>
      <c r="F1196" t="inlineStr">
        <is>
          <t>2026_Sierpień_W3</t>
        </is>
      </c>
      <c r="G1196" t="inlineStr">
        <is>
          <t>Nd</t>
        </is>
      </c>
      <c r="H1196" t="inlineStr">
        <is>
          <t>SZULC, JULIA</t>
        </is>
      </c>
      <c r="I1196" t="inlineStr">
        <is>
          <t>Crew Civil</t>
        </is>
      </c>
      <c r="J1196" t="inlineStr">
        <is>
          <t>Zlecenie</t>
        </is>
      </c>
      <c r="K1196" t="n">
        <v>6.13</v>
      </c>
      <c r="L1196" t="inlineStr">
        <is>
          <t>384</t>
        </is>
      </c>
      <c r="M1196" t="inlineStr">
        <is>
          <t>108120 SBX Warszawa Janki</t>
        </is>
      </c>
      <c r="N1196" t="inlineStr">
        <is>
          <t>2026-09-11 19:06</t>
        </is>
      </c>
    </row>
    <row r="1197">
      <c r="A1197" t="n">
        <v>1196</v>
      </c>
      <c r="B1197" t="inlineStr">
        <is>
          <t>2026-08-20</t>
        </is>
      </c>
      <c r="C1197" t="n">
        <v>2026</v>
      </c>
      <c r="D1197" t="inlineStr">
        <is>
          <t>Sierpień</t>
        </is>
      </c>
      <c r="E1197" t="inlineStr">
        <is>
          <t>W4</t>
        </is>
      </c>
      <c r="F1197" t="inlineStr">
        <is>
          <t>2026_Sierpień_W4</t>
        </is>
      </c>
      <c r="G1197" t="inlineStr">
        <is>
          <t>Czw</t>
        </is>
      </c>
      <c r="H1197" t="inlineStr">
        <is>
          <t>SZULC, JULIA</t>
        </is>
      </c>
      <c r="I1197" t="inlineStr">
        <is>
          <t>Crew Civil</t>
        </is>
      </c>
      <c r="J1197" t="inlineStr">
        <is>
          <t>Zlecenie</t>
        </is>
      </c>
      <c r="K1197" t="n">
        <v>6.65</v>
      </c>
      <c r="L1197" t="inlineStr">
        <is>
          <t>384</t>
        </is>
      </c>
      <c r="M1197" t="inlineStr">
        <is>
          <t>108120 SBX Warszawa Janki</t>
        </is>
      </c>
      <c r="N1197" t="inlineStr">
        <is>
          <t>2026-09-11 19:06</t>
        </is>
      </c>
    </row>
    <row r="1198">
      <c r="A1198" t="n">
        <v>1197</v>
      </c>
      <c r="B1198" t="inlineStr">
        <is>
          <t>2026-08-21</t>
        </is>
      </c>
      <c r="C1198" t="n">
        <v>2026</v>
      </c>
      <c r="D1198" t="inlineStr">
        <is>
          <t>Sierpień</t>
        </is>
      </c>
      <c r="E1198" t="inlineStr">
        <is>
          <t>W4</t>
        </is>
      </c>
      <c r="F1198" t="inlineStr">
        <is>
          <t>2026_Sierpień_W4</t>
        </is>
      </c>
      <c r="G1198" t="inlineStr">
        <is>
          <t>Pt</t>
        </is>
      </c>
      <c r="H1198" t="inlineStr">
        <is>
          <t>SZULC, JULIA</t>
        </is>
      </c>
      <c r="I1198" t="inlineStr">
        <is>
          <t>Crew Civil</t>
        </is>
      </c>
      <c r="J1198" t="inlineStr">
        <is>
          <t>Zlecenie</t>
        </is>
      </c>
      <c r="K1198" t="n">
        <v>6.24</v>
      </c>
      <c r="L1198" t="inlineStr">
        <is>
          <t>384</t>
        </is>
      </c>
      <c r="M1198" t="inlineStr">
        <is>
          <t>108120 SBX Warszawa Janki</t>
        </is>
      </c>
      <c r="N1198" t="inlineStr">
        <is>
          <t>2026-09-11 19:06</t>
        </is>
      </c>
    </row>
    <row r="1199">
      <c r="A1199" t="n">
        <v>1198</v>
      </c>
      <c r="B1199" t="inlineStr">
        <is>
          <t>2026-08-23</t>
        </is>
      </c>
      <c r="C1199" t="n">
        <v>2026</v>
      </c>
      <c r="D1199" t="inlineStr">
        <is>
          <t>Sierpień</t>
        </is>
      </c>
      <c r="E1199" t="inlineStr">
        <is>
          <t>W4</t>
        </is>
      </c>
      <c r="F1199" t="inlineStr">
        <is>
          <t>2026_Sierpień_W4</t>
        </is>
      </c>
      <c r="G1199" t="inlineStr">
        <is>
          <t>Nd</t>
        </is>
      </c>
      <c r="H1199" t="inlineStr">
        <is>
          <t>SZULC, JULIA</t>
        </is>
      </c>
      <c r="I1199" t="inlineStr">
        <is>
          <t>Crew Civil</t>
        </is>
      </c>
      <c r="J1199" t="inlineStr">
        <is>
          <t>Zlecenie</t>
        </is>
      </c>
      <c r="K1199" t="n">
        <v>1.48</v>
      </c>
      <c r="L1199" t="inlineStr">
        <is>
          <t>384</t>
        </is>
      </c>
      <c r="M1199" t="inlineStr">
        <is>
          <t>108120 SBX Warszawa Janki</t>
        </is>
      </c>
      <c r="N1199" t="inlineStr">
        <is>
          <t>2026-09-11 19:06</t>
        </is>
      </c>
    </row>
    <row r="1200">
      <c r="A1200" t="n">
        <v>1199</v>
      </c>
      <c r="B1200" t="inlineStr">
        <is>
          <t>2026-08-24</t>
        </is>
      </c>
      <c r="C1200" t="n">
        <v>2026</v>
      </c>
      <c r="D1200" t="inlineStr">
        <is>
          <t>Sierpień</t>
        </is>
      </c>
      <c r="E1200" t="inlineStr">
        <is>
          <t>W4</t>
        </is>
      </c>
      <c r="F1200" t="inlineStr">
        <is>
          <t>2026_Sierpień_W4</t>
        </is>
      </c>
      <c r="G1200" t="inlineStr">
        <is>
          <t>Pn</t>
        </is>
      </c>
      <c r="H1200" t="inlineStr">
        <is>
          <t>SZULC, JULIA</t>
        </is>
      </c>
      <c r="I1200" t="inlineStr">
        <is>
          <t>Crew Civil</t>
        </is>
      </c>
      <c r="J1200" t="inlineStr">
        <is>
          <t>Zlecenie</t>
        </is>
      </c>
      <c r="K1200" t="n">
        <v>5.27</v>
      </c>
      <c r="L1200" t="inlineStr">
        <is>
          <t>384</t>
        </is>
      </c>
      <c r="M1200" t="inlineStr">
        <is>
          <t>108120 SBX Warszawa Janki</t>
        </is>
      </c>
      <c r="N1200" t="inlineStr">
        <is>
          <t>2026-09-11 19:06</t>
        </is>
      </c>
    </row>
    <row r="1201">
      <c r="A1201" t="n">
        <v>1200</v>
      </c>
      <c r="B1201" t="inlineStr">
        <is>
          <t>2026-08-25</t>
        </is>
      </c>
      <c r="C1201" t="n">
        <v>2026</v>
      </c>
      <c r="D1201" t="inlineStr">
        <is>
          <t>Sierpień</t>
        </is>
      </c>
      <c r="E1201" t="inlineStr">
        <is>
          <t>W5</t>
        </is>
      </c>
      <c r="F1201" t="inlineStr">
        <is>
          <t>2026_Sierpień_W5</t>
        </is>
      </c>
      <c r="G1201" t="inlineStr">
        <is>
          <t>Wt</t>
        </is>
      </c>
      <c r="H1201" t="inlineStr">
        <is>
          <t>SZULC, JULIA</t>
        </is>
      </c>
      <c r="I1201" t="inlineStr">
        <is>
          <t>Crew Civil</t>
        </is>
      </c>
      <c r="J1201" t="inlineStr">
        <is>
          <t>Zlecenie</t>
        </is>
      </c>
      <c r="K1201" t="n">
        <v>5.13</v>
      </c>
      <c r="L1201" t="inlineStr">
        <is>
          <t>384</t>
        </is>
      </c>
      <c r="M1201" t="inlineStr">
        <is>
          <t>108120 SBX Warszawa Janki</t>
        </is>
      </c>
      <c r="N1201" t="inlineStr">
        <is>
          <t>2026-09-11 19:06</t>
        </is>
      </c>
    </row>
    <row r="1202">
      <c r="A1202" t="n">
        <v>1201</v>
      </c>
      <c r="B1202" t="inlineStr">
        <is>
          <t>2026-08-27</t>
        </is>
      </c>
      <c r="C1202" t="n">
        <v>2026</v>
      </c>
      <c r="D1202" t="inlineStr">
        <is>
          <t>Sierpień</t>
        </is>
      </c>
      <c r="E1202" t="inlineStr">
        <is>
          <t>W5</t>
        </is>
      </c>
      <c r="F1202" t="inlineStr">
        <is>
          <t>2026_Sierpień_W5</t>
        </is>
      </c>
      <c r="G1202" t="inlineStr">
        <is>
          <t>Czw</t>
        </is>
      </c>
      <c r="H1202" t="inlineStr">
        <is>
          <t>SZULC, JULIA</t>
        </is>
      </c>
      <c r="I1202" t="inlineStr">
        <is>
          <t>Crew Civil</t>
        </is>
      </c>
      <c r="J1202" t="inlineStr">
        <is>
          <t>Zlecenie</t>
        </is>
      </c>
      <c r="K1202" t="n">
        <v>5.43</v>
      </c>
      <c r="L1202" t="inlineStr">
        <is>
          <t>384</t>
        </is>
      </c>
      <c r="M1202" t="inlineStr">
        <is>
          <t>108120 SBX Warszawa Janki</t>
        </is>
      </c>
      <c r="N1202" t="inlineStr">
        <is>
          <t>2026-09-11 19:06</t>
        </is>
      </c>
    </row>
    <row r="1203">
      <c r="A1203" t="n">
        <v>1202</v>
      </c>
      <c r="B1203" t="inlineStr">
        <is>
          <t>2026-08-31</t>
        </is>
      </c>
      <c r="C1203" t="n">
        <v>2026</v>
      </c>
      <c r="D1203" t="inlineStr">
        <is>
          <t>Sierpień</t>
        </is>
      </c>
      <c r="E1203" t="inlineStr">
        <is>
          <t>W5</t>
        </is>
      </c>
      <c r="F1203" t="inlineStr">
        <is>
          <t>2026_Sierpień_W5</t>
        </is>
      </c>
      <c r="G1203" t="inlineStr">
        <is>
          <t>Pn</t>
        </is>
      </c>
      <c r="H1203" t="inlineStr">
        <is>
          <t>SZULC, JULIA</t>
        </is>
      </c>
      <c r="I1203" t="inlineStr">
        <is>
          <t>Crew Civil</t>
        </is>
      </c>
      <c r="J1203" t="inlineStr">
        <is>
          <t>Zlecenie</t>
        </is>
      </c>
      <c r="K1203" t="n">
        <v>7.03</v>
      </c>
      <c r="L1203" t="inlineStr">
        <is>
          <t>384</t>
        </is>
      </c>
      <c r="M1203" t="inlineStr">
        <is>
          <t>108120 SBX Warszawa Janki</t>
        </is>
      </c>
      <c r="N1203" t="inlineStr">
        <is>
          <t>2026-09-11 19:06</t>
        </is>
      </c>
    </row>
    <row r="1204">
      <c r="A1204" t="n">
        <v>1203</v>
      </c>
      <c r="B1204" t="inlineStr">
        <is>
          <t>2026-09-02</t>
        </is>
      </c>
      <c r="C1204" t="n">
        <v>2026</v>
      </c>
      <c r="D1204" t="inlineStr">
        <is>
          <t>Wrzesień</t>
        </is>
      </c>
      <c r="E1204" t="inlineStr">
        <is>
          <t>W1</t>
        </is>
      </c>
      <c r="F1204" t="inlineStr">
        <is>
          <t>2026_Wrzesień_W1</t>
        </is>
      </c>
      <c r="G1204" t="inlineStr">
        <is>
          <t>Śr</t>
        </is>
      </c>
      <c r="H1204" t="inlineStr">
        <is>
          <t>SZULC, JULIA</t>
        </is>
      </c>
      <c r="I1204" t="inlineStr">
        <is>
          <t>Crew Civil</t>
        </is>
      </c>
      <c r="J1204" t="inlineStr">
        <is>
          <t>Zlecenie</t>
        </is>
      </c>
      <c r="K1204" t="n">
        <v>7.9</v>
      </c>
      <c r="L1204" t="inlineStr">
        <is>
          <t>384</t>
        </is>
      </c>
      <c r="M1204" t="inlineStr">
        <is>
          <t>108120 SBX Warszawa Janki</t>
        </is>
      </c>
      <c r="N1204" t="inlineStr">
        <is>
          <t>2026-09-11 19:06</t>
        </is>
      </c>
    </row>
    <row r="1205">
      <c r="A1205" t="n">
        <v>1204</v>
      </c>
      <c r="B1205" t="inlineStr">
        <is>
          <t>2026-09-03</t>
        </is>
      </c>
      <c r="C1205" t="n">
        <v>2026</v>
      </c>
      <c r="D1205" t="inlineStr">
        <is>
          <t>Wrzesień</t>
        </is>
      </c>
      <c r="E1205" t="inlineStr">
        <is>
          <t>W1</t>
        </is>
      </c>
      <c r="F1205" t="inlineStr">
        <is>
          <t>2026_Wrzesień_W1</t>
        </is>
      </c>
      <c r="G1205" t="inlineStr">
        <is>
          <t>Czw</t>
        </is>
      </c>
      <c r="H1205" t="inlineStr">
        <is>
          <t>SZULC, JULIA</t>
        </is>
      </c>
      <c r="I1205" t="inlineStr">
        <is>
          <t>Crew Civil</t>
        </is>
      </c>
      <c r="J1205" t="inlineStr">
        <is>
          <t>Zlecenie</t>
        </is>
      </c>
      <c r="K1205" t="n">
        <v>8.02</v>
      </c>
      <c r="L1205" t="inlineStr">
        <is>
          <t>384</t>
        </is>
      </c>
      <c r="M1205" t="inlineStr">
        <is>
          <t>108120 SBX Warszawa Janki</t>
        </is>
      </c>
      <c r="N1205" t="inlineStr">
        <is>
          <t>2026-09-11 19:06</t>
        </is>
      </c>
    </row>
    <row r="1206">
      <c r="A1206" t="n">
        <v>1205</v>
      </c>
      <c r="B1206" t="inlineStr">
        <is>
          <t>2026-09-06</t>
        </is>
      </c>
      <c r="C1206" t="n">
        <v>2026</v>
      </c>
      <c r="D1206" t="inlineStr">
        <is>
          <t>Wrzesień</t>
        </is>
      </c>
      <c r="E1206" t="inlineStr">
        <is>
          <t>W1</t>
        </is>
      </c>
      <c r="F1206" t="inlineStr">
        <is>
          <t>2026_Wrzesień_W1</t>
        </is>
      </c>
      <c r="G1206" t="inlineStr">
        <is>
          <t>Nd</t>
        </is>
      </c>
      <c r="H1206" t="inlineStr">
        <is>
          <t>SZULC, JULIA</t>
        </is>
      </c>
      <c r="I1206" t="inlineStr">
        <is>
          <t>Crew Civil</t>
        </is>
      </c>
      <c r="J1206" t="inlineStr">
        <is>
          <t>Zlecenie</t>
        </is>
      </c>
      <c r="K1206" t="n">
        <v>5.18</v>
      </c>
      <c r="L1206" t="inlineStr">
        <is>
          <t>384</t>
        </is>
      </c>
      <c r="M1206" t="inlineStr">
        <is>
          <t>108120 SBX Warszawa Janki</t>
        </is>
      </c>
      <c r="N1206" t="inlineStr">
        <is>
          <t>2026-09-11 19:06</t>
        </is>
      </c>
    </row>
    <row r="1207">
      <c r="A1207" t="n">
        <v>1206</v>
      </c>
      <c r="B1207" t="inlineStr">
        <is>
          <t>2026-09-07</t>
        </is>
      </c>
      <c r="C1207" t="n">
        <v>2026</v>
      </c>
      <c r="D1207" t="inlineStr">
        <is>
          <t>Wrzesień</t>
        </is>
      </c>
      <c r="E1207" t="inlineStr">
        <is>
          <t>W1</t>
        </is>
      </c>
      <c r="F1207" t="inlineStr">
        <is>
          <t>2026_Wrzesień_W1</t>
        </is>
      </c>
      <c r="G1207" t="inlineStr">
        <is>
          <t>Pn</t>
        </is>
      </c>
      <c r="H1207" t="inlineStr">
        <is>
          <t>SZULC, JULIA</t>
        </is>
      </c>
      <c r="I1207" t="inlineStr">
        <is>
          <t>Crew Civil</t>
        </is>
      </c>
      <c r="J1207" t="inlineStr">
        <is>
          <t>Zlecenie</t>
        </is>
      </c>
      <c r="K1207" t="n">
        <v>7.19</v>
      </c>
      <c r="L1207" t="inlineStr">
        <is>
          <t>384</t>
        </is>
      </c>
      <c r="M1207" t="inlineStr">
        <is>
          <t>108120 SBX Warszawa Janki</t>
        </is>
      </c>
      <c r="N1207" t="inlineStr">
        <is>
          <t>2026-09-11 19:06</t>
        </is>
      </c>
    </row>
    <row r="1208">
      <c r="A1208" t="n">
        <v>1207</v>
      </c>
      <c r="B1208" t="inlineStr">
        <is>
          <t>2026-09-08</t>
        </is>
      </c>
      <c r="C1208" t="n">
        <v>2026</v>
      </c>
      <c r="D1208" t="inlineStr">
        <is>
          <t>Wrzesień</t>
        </is>
      </c>
      <c r="E1208" t="inlineStr">
        <is>
          <t>W2</t>
        </is>
      </c>
      <c r="F1208" t="inlineStr">
        <is>
          <t>2026_Wrzesień_W2</t>
        </is>
      </c>
      <c r="G1208" t="inlineStr">
        <is>
          <t>Wt</t>
        </is>
      </c>
      <c r="H1208" t="inlineStr">
        <is>
          <t>SZULC, JULIA</t>
        </is>
      </c>
      <c r="I1208" t="inlineStr">
        <is>
          <t>Crew Civil</t>
        </is>
      </c>
      <c r="J1208" t="inlineStr">
        <is>
          <t>Zlecenie</t>
        </is>
      </c>
      <c r="K1208" t="n">
        <v>8.050000000000001</v>
      </c>
      <c r="L1208" t="inlineStr">
        <is>
          <t>384</t>
        </is>
      </c>
      <c r="M1208" t="inlineStr">
        <is>
          <t>108120 SBX Warszawa Janki</t>
        </is>
      </c>
      <c r="N1208" t="inlineStr">
        <is>
          <t>2026-09-11 19:06</t>
        </is>
      </c>
    </row>
    <row r="1209">
      <c r="A1209" t="n">
        <v>1208</v>
      </c>
      <c r="B1209" t="inlineStr">
        <is>
          <t>2026-01-03</t>
        </is>
      </c>
      <c r="C1209" t="n">
        <v>2026</v>
      </c>
      <c r="D1209" t="inlineStr">
        <is>
          <t>Styczeń</t>
        </is>
      </c>
      <c r="E1209" t="inlineStr">
        <is>
          <t>W1</t>
        </is>
      </c>
      <c r="F1209" t="inlineStr">
        <is>
          <t>2026_Styczeń_W1</t>
        </is>
      </c>
      <c r="G1209" t="inlineStr">
        <is>
          <t>Sob</t>
        </is>
      </c>
      <c r="H1209" t="inlineStr">
        <is>
          <t>SZULCZYK, MARIA</t>
        </is>
      </c>
      <c r="I1209" t="inlineStr">
        <is>
          <t>Crew Civil</t>
        </is>
      </c>
      <c r="J1209" t="inlineStr">
        <is>
          <t>Zlecenie</t>
        </is>
      </c>
      <c r="K1209" t="n">
        <v>8.19</v>
      </c>
      <c r="L1209" t="inlineStr">
        <is>
          <t>384</t>
        </is>
      </c>
      <c r="M1209" t="inlineStr">
        <is>
          <t>108120 SBX Warszawa Janki</t>
        </is>
      </c>
      <c r="N1209" t="inlineStr">
        <is>
          <t>2026-09-11 19:06</t>
        </is>
      </c>
    </row>
    <row r="1210">
      <c r="A1210" t="n">
        <v>1209</v>
      </c>
      <c r="B1210" t="inlineStr">
        <is>
          <t>2026-01-05</t>
        </is>
      </c>
      <c r="C1210" t="n">
        <v>2026</v>
      </c>
      <c r="D1210" t="inlineStr">
        <is>
          <t>Styczeń</t>
        </is>
      </c>
      <c r="E1210" t="inlineStr">
        <is>
          <t>W1</t>
        </is>
      </c>
      <c r="F1210" t="inlineStr">
        <is>
          <t>2026_Styczeń_W1</t>
        </is>
      </c>
      <c r="G1210" t="inlineStr">
        <is>
          <t>Pn</t>
        </is>
      </c>
      <c r="H1210" t="inlineStr">
        <is>
          <t>SZULCZYK, MARIA</t>
        </is>
      </c>
      <c r="I1210" t="inlineStr">
        <is>
          <t>Crew Civil</t>
        </is>
      </c>
      <c r="J1210" t="inlineStr">
        <is>
          <t>Zlecenie</t>
        </is>
      </c>
      <c r="K1210" t="n">
        <v>8.15</v>
      </c>
      <c r="L1210" t="inlineStr">
        <is>
          <t>384</t>
        </is>
      </c>
      <c r="M1210" t="inlineStr">
        <is>
          <t>108120 SBX Warszawa Janki</t>
        </is>
      </c>
      <c r="N1210" t="inlineStr">
        <is>
          <t>2026-09-11 19:06</t>
        </is>
      </c>
    </row>
    <row r="1211">
      <c r="A1211" t="n">
        <v>1210</v>
      </c>
      <c r="B1211" t="inlineStr">
        <is>
          <t>2026-01-09</t>
        </is>
      </c>
      <c r="C1211" t="n">
        <v>2026</v>
      </c>
      <c r="D1211" t="inlineStr">
        <is>
          <t>Styczeń</t>
        </is>
      </c>
      <c r="E1211" t="inlineStr">
        <is>
          <t>W2</t>
        </is>
      </c>
      <c r="F1211" t="inlineStr">
        <is>
          <t>2026_Styczeń_W2</t>
        </is>
      </c>
      <c r="G1211" t="inlineStr">
        <is>
          <t>Pt</t>
        </is>
      </c>
      <c r="H1211" t="inlineStr">
        <is>
          <t>SZULCZYK, MARIA</t>
        </is>
      </c>
      <c r="I1211" t="inlineStr">
        <is>
          <t>Crew Civil</t>
        </is>
      </c>
      <c r="J1211" t="inlineStr">
        <is>
          <t>Zlecenie</t>
        </is>
      </c>
      <c r="K1211" t="n">
        <v>6.43</v>
      </c>
      <c r="L1211" t="inlineStr">
        <is>
          <t>384</t>
        </is>
      </c>
      <c r="M1211" t="inlineStr">
        <is>
          <t>108120 SBX Warszawa Janki</t>
        </is>
      </c>
      <c r="N1211" t="inlineStr">
        <is>
          <t>2026-09-11 19:06</t>
        </is>
      </c>
    </row>
    <row r="1212">
      <c r="A1212" t="n">
        <v>1211</v>
      </c>
      <c r="B1212" t="inlineStr">
        <is>
          <t>2026-01-16</t>
        </is>
      </c>
      <c r="C1212" t="n">
        <v>2026</v>
      </c>
      <c r="D1212" t="inlineStr">
        <is>
          <t>Styczeń</t>
        </is>
      </c>
      <c r="E1212" t="inlineStr">
        <is>
          <t>W3</t>
        </is>
      </c>
      <c r="F1212" t="inlineStr">
        <is>
          <t>2026_Styczeń_W3</t>
        </is>
      </c>
      <c r="G1212" t="inlineStr">
        <is>
          <t>Pt</t>
        </is>
      </c>
      <c r="H1212" t="inlineStr">
        <is>
          <t>SZULCZYK, MARIA</t>
        </is>
      </c>
      <c r="I1212" t="inlineStr">
        <is>
          <t>Crew Civil</t>
        </is>
      </c>
      <c r="J1212" t="inlineStr">
        <is>
          <t>Zlecenie</t>
        </is>
      </c>
      <c r="K1212" t="n">
        <v>4.74</v>
      </c>
      <c r="L1212" t="inlineStr">
        <is>
          <t>384</t>
        </is>
      </c>
      <c r="M1212" t="inlineStr">
        <is>
          <t>108120 SBX Warszawa Janki</t>
        </is>
      </c>
      <c r="N1212" t="inlineStr">
        <is>
          <t>2026-09-11 19:06</t>
        </is>
      </c>
    </row>
    <row r="1213">
      <c r="A1213" t="n">
        <v>1212</v>
      </c>
      <c r="B1213" t="inlineStr">
        <is>
          <t>2026-01-24</t>
        </is>
      </c>
      <c r="C1213" t="n">
        <v>2026</v>
      </c>
      <c r="D1213" t="inlineStr">
        <is>
          <t>Styczeń</t>
        </is>
      </c>
      <c r="E1213" t="inlineStr">
        <is>
          <t>W4</t>
        </is>
      </c>
      <c r="F1213" t="inlineStr">
        <is>
          <t>2026_Styczeń_W4</t>
        </is>
      </c>
      <c r="G1213" t="inlineStr">
        <is>
          <t>Sob</t>
        </is>
      </c>
      <c r="H1213" t="inlineStr">
        <is>
          <t>SZULCZYK, MARIA</t>
        </is>
      </c>
      <c r="I1213" t="inlineStr">
        <is>
          <t>Crew Civil</t>
        </is>
      </c>
      <c r="J1213" t="inlineStr">
        <is>
          <t>Zlecenie</t>
        </is>
      </c>
      <c r="K1213" t="n">
        <v>6.79</v>
      </c>
      <c r="L1213" t="inlineStr">
        <is>
          <t>384</t>
        </is>
      </c>
      <c r="M1213" t="inlineStr">
        <is>
          <t>108120 SBX Warszawa Janki</t>
        </is>
      </c>
      <c r="N1213" t="inlineStr">
        <is>
          <t>2026-09-11 19:06</t>
        </is>
      </c>
    </row>
    <row r="1214">
      <c r="A1214" t="n">
        <v>1213</v>
      </c>
      <c r="B1214" t="inlineStr">
        <is>
          <t>2026-01-31</t>
        </is>
      </c>
      <c r="C1214" t="n">
        <v>2026</v>
      </c>
      <c r="D1214" t="inlineStr">
        <is>
          <t>Styczeń</t>
        </is>
      </c>
      <c r="E1214" t="inlineStr">
        <is>
          <t>W5</t>
        </is>
      </c>
      <c r="F1214" t="inlineStr">
        <is>
          <t>2026_Styczeń_W5</t>
        </is>
      </c>
      <c r="G1214" t="inlineStr">
        <is>
          <t>Sob</t>
        </is>
      </c>
      <c r="H1214" t="inlineStr">
        <is>
          <t>SZULCZYK, MARIA</t>
        </is>
      </c>
      <c r="I1214" t="inlineStr">
        <is>
          <t>Crew Civil</t>
        </is>
      </c>
      <c r="J1214" t="inlineStr">
        <is>
          <t>Zlecenie</t>
        </is>
      </c>
      <c r="K1214" t="n">
        <v>7.94</v>
      </c>
      <c r="L1214" t="inlineStr">
        <is>
          <t>384</t>
        </is>
      </c>
      <c r="M1214" t="inlineStr">
        <is>
          <t>108120 SBX Warszawa Janki</t>
        </is>
      </c>
      <c r="N1214" t="inlineStr">
        <is>
          <t>2026-09-11 19:06</t>
        </is>
      </c>
    </row>
    <row r="1215">
      <c r="A1215" t="n">
        <v>1214</v>
      </c>
      <c r="B1215" t="inlineStr">
        <is>
          <t>2026-02-01</t>
        </is>
      </c>
      <c r="C1215" t="n">
        <v>2026</v>
      </c>
      <c r="D1215" t="inlineStr">
        <is>
          <t>Luty</t>
        </is>
      </c>
      <c r="E1215" t="inlineStr">
        <is>
          <t>W1</t>
        </is>
      </c>
      <c r="F1215" t="inlineStr">
        <is>
          <t>2026_Luty_W1</t>
        </is>
      </c>
      <c r="G1215" t="inlineStr">
        <is>
          <t>Nd</t>
        </is>
      </c>
      <c r="H1215" t="inlineStr">
        <is>
          <t>SZULCZYK, MARIA</t>
        </is>
      </c>
      <c r="I1215" t="inlineStr">
        <is>
          <t>Crew Civil</t>
        </is>
      </c>
      <c r="J1215" t="inlineStr">
        <is>
          <t>Zlecenie</t>
        </is>
      </c>
      <c r="K1215" t="n">
        <v>6.13</v>
      </c>
      <c r="L1215" t="inlineStr">
        <is>
          <t>384</t>
        </is>
      </c>
      <c r="M1215" t="inlineStr">
        <is>
          <t>108120 SBX Warszawa Janki</t>
        </is>
      </c>
      <c r="N1215" t="inlineStr">
        <is>
          <t>2026-09-11 19:06</t>
        </is>
      </c>
    </row>
    <row r="1216">
      <c r="A1216" t="n">
        <v>1215</v>
      </c>
      <c r="B1216" t="inlineStr">
        <is>
          <t>2026-02-08</t>
        </is>
      </c>
      <c r="C1216" t="n">
        <v>2026</v>
      </c>
      <c r="D1216" t="inlineStr">
        <is>
          <t>Luty</t>
        </is>
      </c>
      <c r="E1216" t="inlineStr">
        <is>
          <t>W2</t>
        </is>
      </c>
      <c r="F1216" t="inlineStr">
        <is>
          <t>2026_Luty_W2</t>
        </is>
      </c>
      <c r="G1216" t="inlineStr">
        <is>
          <t>Nd</t>
        </is>
      </c>
      <c r="H1216" t="inlineStr">
        <is>
          <t>SZULCZYK, MARIA</t>
        </is>
      </c>
      <c r="I1216" t="inlineStr">
        <is>
          <t>Crew Civil</t>
        </is>
      </c>
      <c r="J1216" t="inlineStr">
        <is>
          <t>Zlecenie</t>
        </is>
      </c>
      <c r="K1216" t="n">
        <v>5.79</v>
      </c>
      <c r="L1216" t="inlineStr">
        <is>
          <t>384</t>
        </is>
      </c>
      <c r="M1216" t="inlineStr">
        <is>
          <t>108120 SBX Warszawa Janki</t>
        </is>
      </c>
      <c r="N1216" t="inlineStr">
        <is>
          <t>2026-09-11 19:06</t>
        </is>
      </c>
    </row>
    <row r="1217">
      <c r="A1217" t="n">
        <v>1216</v>
      </c>
      <c r="B1217" t="inlineStr">
        <is>
          <t>2026-02-17</t>
        </is>
      </c>
      <c r="C1217" t="n">
        <v>2026</v>
      </c>
      <c r="D1217" t="inlineStr">
        <is>
          <t>Luty</t>
        </is>
      </c>
      <c r="E1217" t="inlineStr">
        <is>
          <t>W4</t>
        </is>
      </c>
      <c r="F1217" t="inlineStr">
        <is>
          <t>2026_Luty_W4</t>
        </is>
      </c>
      <c r="G1217" t="inlineStr">
        <is>
          <t>Wt</t>
        </is>
      </c>
      <c r="H1217" t="inlineStr">
        <is>
          <t>SZULCZYK, MARIA</t>
        </is>
      </c>
      <c r="I1217" t="inlineStr">
        <is>
          <t>Crew Civil</t>
        </is>
      </c>
      <c r="J1217" t="inlineStr">
        <is>
          <t>Zlecenie</t>
        </is>
      </c>
      <c r="K1217" t="n">
        <v>6.16</v>
      </c>
      <c r="L1217" t="inlineStr">
        <is>
          <t>384</t>
        </is>
      </c>
      <c r="M1217" t="inlineStr">
        <is>
          <t>108120 SBX Warszawa Janki</t>
        </is>
      </c>
      <c r="N1217" t="inlineStr">
        <is>
          <t>2026-09-11 19:06</t>
        </is>
      </c>
    </row>
    <row r="1218">
      <c r="A1218" t="n">
        <v>1217</v>
      </c>
      <c r="B1218" t="inlineStr">
        <is>
          <t>2026-02-19</t>
        </is>
      </c>
      <c r="C1218" t="n">
        <v>2026</v>
      </c>
      <c r="D1218" t="inlineStr">
        <is>
          <t>Luty</t>
        </is>
      </c>
      <c r="E1218" t="inlineStr">
        <is>
          <t>W4</t>
        </is>
      </c>
      <c r="F1218" t="inlineStr">
        <is>
          <t>2026_Luty_W4</t>
        </is>
      </c>
      <c r="G1218" t="inlineStr">
        <is>
          <t>Czw</t>
        </is>
      </c>
      <c r="H1218" t="inlineStr">
        <is>
          <t>SZULCZYK, MARIA</t>
        </is>
      </c>
      <c r="I1218" t="inlineStr">
        <is>
          <t>Crew Civil</t>
        </is>
      </c>
      <c r="J1218" t="inlineStr">
        <is>
          <t>Zlecenie</t>
        </is>
      </c>
      <c r="K1218" t="n">
        <v>6.41</v>
      </c>
      <c r="L1218" t="inlineStr">
        <is>
          <t>384</t>
        </is>
      </c>
      <c r="M1218" t="inlineStr">
        <is>
          <t>108120 SBX Warszawa Janki</t>
        </is>
      </c>
      <c r="N1218" t="inlineStr">
        <is>
          <t>2026-09-11 19:06</t>
        </is>
      </c>
    </row>
    <row r="1219">
      <c r="A1219" t="n">
        <v>1218</v>
      </c>
      <c r="B1219" t="inlineStr">
        <is>
          <t>2026-02-28</t>
        </is>
      </c>
      <c r="C1219" t="n">
        <v>2026</v>
      </c>
      <c r="D1219" t="inlineStr">
        <is>
          <t>Luty</t>
        </is>
      </c>
      <c r="E1219" t="inlineStr">
        <is>
          <t>W5</t>
        </is>
      </c>
      <c r="F1219" t="inlineStr">
        <is>
          <t>2026_Luty_W5</t>
        </is>
      </c>
      <c r="G1219" t="inlineStr">
        <is>
          <t>Sob</t>
        </is>
      </c>
      <c r="H1219" t="inlineStr">
        <is>
          <t>SZULCZYK, MARIA</t>
        </is>
      </c>
      <c r="I1219" t="inlineStr">
        <is>
          <t>Crew Civil</t>
        </is>
      </c>
      <c r="J1219" t="inlineStr">
        <is>
          <t>Zlecenie</t>
        </is>
      </c>
      <c r="K1219" t="n">
        <v>8.4</v>
      </c>
      <c r="L1219" t="inlineStr">
        <is>
          <t>384</t>
        </is>
      </c>
      <c r="M1219" t="inlineStr">
        <is>
          <t>108120 SBX Warszawa Janki</t>
        </is>
      </c>
      <c r="N1219" t="inlineStr">
        <is>
          <t>2026-09-11 19:06</t>
        </is>
      </c>
    </row>
    <row r="1220">
      <c r="A1220" t="n">
        <v>1219</v>
      </c>
      <c r="B1220" t="inlineStr">
        <is>
          <t>2026-03-01</t>
        </is>
      </c>
      <c r="C1220" t="n">
        <v>2026</v>
      </c>
      <c r="D1220" t="inlineStr">
        <is>
          <t>Marzec</t>
        </is>
      </c>
      <c r="E1220" t="inlineStr">
        <is>
          <t>W1</t>
        </is>
      </c>
      <c r="F1220" t="inlineStr">
        <is>
          <t>2026_Marzec_W1</t>
        </is>
      </c>
      <c r="G1220" t="inlineStr">
        <is>
          <t>Nd</t>
        </is>
      </c>
      <c r="H1220" t="inlineStr">
        <is>
          <t>SZULCZYK, MARIA</t>
        </is>
      </c>
      <c r="I1220" t="inlineStr">
        <is>
          <t>Crew Civil</t>
        </is>
      </c>
      <c r="J1220" t="inlineStr">
        <is>
          <t>Zlecenie</t>
        </is>
      </c>
      <c r="K1220" t="n">
        <v>1.5</v>
      </c>
      <c r="L1220" t="inlineStr">
        <is>
          <t>384</t>
        </is>
      </c>
      <c r="M1220" t="inlineStr">
        <is>
          <t>108120 SBX Warszawa Janki</t>
        </is>
      </c>
      <c r="N1220" t="inlineStr">
        <is>
          <t>2026-09-11 19:06</t>
        </is>
      </c>
    </row>
    <row r="1221">
      <c r="A1221" t="n">
        <v>1220</v>
      </c>
      <c r="B1221" t="inlineStr">
        <is>
          <t>2026-03-09</t>
        </is>
      </c>
      <c r="C1221" t="n">
        <v>2026</v>
      </c>
      <c r="D1221" t="inlineStr">
        <is>
          <t>Marzec</t>
        </is>
      </c>
      <c r="E1221" t="inlineStr">
        <is>
          <t>W2</t>
        </is>
      </c>
      <c r="F1221" t="inlineStr">
        <is>
          <t>2026_Marzec_W2</t>
        </is>
      </c>
      <c r="G1221" t="inlineStr">
        <is>
          <t>Pn</t>
        </is>
      </c>
      <c r="H1221" t="inlineStr">
        <is>
          <t>SZULCZYK, MARIA</t>
        </is>
      </c>
      <c r="I1221" t="inlineStr">
        <is>
          <t>Crew Civil</t>
        </is>
      </c>
      <c r="J1221" t="inlineStr">
        <is>
          <t>Zlecenie</t>
        </is>
      </c>
      <c r="K1221" t="n">
        <v>1.5</v>
      </c>
      <c r="L1221" t="inlineStr">
        <is>
          <t>384</t>
        </is>
      </c>
      <c r="M1221" t="inlineStr">
        <is>
          <t>108120 SBX Warszawa Janki</t>
        </is>
      </c>
      <c r="N1221" t="inlineStr">
        <is>
          <t>2026-09-11 19:06</t>
        </is>
      </c>
    </row>
    <row r="1222">
      <c r="A1222" t="n">
        <v>1221</v>
      </c>
      <c r="B1222" t="inlineStr">
        <is>
          <t>2026-03-14</t>
        </is>
      </c>
      <c r="C1222" t="n">
        <v>2026</v>
      </c>
      <c r="D1222" t="inlineStr">
        <is>
          <t>Marzec</t>
        </is>
      </c>
      <c r="E1222" t="inlineStr">
        <is>
          <t>W3</t>
        </is>
      </c>
      <c r="F1222" t="inlineStr">
        <is>
          <t>2026_Marzec_W3</t>
        </is>
      </c>
      <c r="G1222" t="inlineStr">
        <is>
          <t>Sob</t>
        </is>
      </c>
      <c r="H1222" t="inlineStr">
        <is>
          <t>SZULCZYK, MARIA</t>
        </is>
      </c>
      <c r="I1222" t="inlineStr">
        <is>
          <t>Crew Civil</t>
        </is>
      </c>
      <c r="J1222" t="inlineStr">
        <is>
          <t>Zlecenie</t>
        </is>
      </c>
      <c r="K1222" t="n">
        <v>7.21</v>
      </c>
      <c r="L1222" t="inlineStr">
        <is>
          <t>384</t>
        </is>
      </c>
      <c r="M1222" t="inlineStr">
        <is>
          <t>108120 SBX Warszawa Janki</t>
        </is>
      </c>
      <c r="N1222" t="inlineStr">
        <is>
          <t>2026-09-11 19:06</t>
        </is>
      </c>
    </row>
    <row r="1223">
      <c r="A1223" t="n">
        <v>1222</v>
      </c>
      <c r="B1223" t="inlineStr">
        <is>
          <t>2026-03-17</t>
        </is>
      </c>
      <c r="C1223" t="n">
        <v>2026</v>
      </c>
      <c r="D1223" t="inlineStr">
        <is>
          <t>Marzec</t>
        </is>
      </c>
      <c r="E1223" t="inlineStr">
        <is>
          <t>W4</t>
        </is>
      </c>
      <c r="F1223" t="inlineStr">
        <is>
          <t>2026_Marzec_W4</t>
        </is>
      </c>
      <c r="G1223" t="inlineStr">
        <is>
          <t>Wt</t>
        </is>
      </c>
      <c r="H1223" t="inlineStr">
        <is>
          <t>SZULCZYK, MARIA</t>
        </is>
      </c>
      <c r="I1223" t="inlineStr">
        <is>
          <t>Crew Civil</t>
        </is>
      </c>
      <c r="J1223" t="inlineStr">
        <is>
          <t>Zlecenie</t>
        </is>
      </c>
      <c r="K1223" t="n">
        <v>7.6</v>
      </c>
      <c r="L1223" t="inlineStr">
        <is>
          <t>384</t>
        </is>
      </c>
      <c r="M1223" t="inlineStr">
        <is>
          <t>108120 SBX Warszawa Janki</t>
        </is>
      </c>
      <c r="N1223" t="inlineStr">
        <is>
          <t>2026-09-11 19:06</t>
        </is>
      </c>
    </row>
    <row r="1224">
      <c r="A1224" t="n">
        <v>1223</v>
      </c>
      <c r="B1224" t="inlineStr">
        <is>
          <t>2026-03-19</t>
        </is>
      </c>
      <c r="C1224" t="n">
        <v>2026</v>
      </c>
      <c r="D1224" t="inlineStr">
        <is>
          <t>Marzec</t>
        </is>
      </c>
      <c r="E1224" t="inlineStr">
        <is>
          <t>W4</t>
        </is>
      </c>
      <c r="F1224" t="inlineStr">
        <is>
          <t>2026_Marzec_W4</t>
        </is>
      </c>
      <c r="G1224" t="inlineStr">
        <is>
          <t>Czw</t>
        </is>
      </c>
      <c r="H1224" t="inlineStr">
        <is>
          <t>SZULCZYK, MARIA</t>
        </is>
      </c>
      <c r="I1224" t="inlineStr">
        <is>
          <t>Crew Civil</t>
        </is>
      </c>
      <c r="J1224" t="inlineStr">
        <is>
          <t>Zlecenie</t>
        </is>
      </c>
      <c r="K1224" t="n">
        <v>8.039999999999999</v>
      </c>
      <c r="L1224" t="inlineStr">
        <is>
          <t>384</t>
        </is>
      </c>
      <c r="M1224" t="inlineStr">
        <is>
          <t>108120 SBX Warszawa Janki</t>
        </is>
      </c>
      <c r="N1224" t="inlineStr">
        <is>
          <t>2026-09-11 19:06</t>
        </is>
      </c>
    </row>
    <row r="1225">
      <c r="A1225" t="n">
        <v>1224</v>
      </c>
      <c r="B1225" t="inlineStr">
        <is>
          <t>2026-03-21</t>
        </is>
      </c>
      <c r="C1225" t="n">
        <v>2026</v>
      </c>
      <c r="D1225" t="inlineStr">
        <is>
          <t>Marzec</t>
        </is>
      </c>
      <c r="E1225" t="inlineStr">
        <is>
          <t>W4</t>
        </is>
      </c>
      <c r="F1225" t="inlineStr">
        <is>
          <t>2026_Marzec_W4</t>
        </is>
      </c>
      <c r="G1225" t="inlineStr">
        <is>
          <t>Sob</t>
        </is>
      </c>
      <c r="H1225" t="inlineStr">
        <is>
          <t>SZULCZYK, MARIA</t>
        </is>
      </c>
      <c r="I1225" t="inlineStr">
        <is>
          <t>Crew Civil</t>
        </is>
      </c>
      <c r="J1225" t="inlineStr">
        <is>
          <t>Zlecenie</t>
        </is>
      </c>
      <c r="K1225" t="n">
        <v>8.029999999999999</v>
      </c>
      <c r="L1225" t="inlineStr">
        <is>
          <t>384</t>
        </is>
      </c>
      <c r="M1225" t="inlineStr">
        <is>
          <t>108120 SBX Warszawa Janki</t>
        </is>
      </c>
      <c r="N1225" t="inlineStr">
        <is>
          <t>2026-09-11 19:06</t>
        </is>
      </c>
    </row>
    <row r="1226">
      <c r="A1226" t="n">
        <v>1225</v>
      </c>
      <c r="B1226" t="inlineStr">
        <is>
          <t>2026-03-24</t>
        </is>
      </c>
      <c r="C1226" t="n">
        <v>2026</v>
      </c>
      <c r="D1226" t="inlineStr">
        <is>
          <t>Marzec</t>
        </is>
      </c>
      <c r="E1226" t="inlineStr">
        <is>
          <t>W5</t>
        </is>
      </c>
      <c r="F1226" t="inlineStr">
        <is>
          <t>2026_Marzec_W5</t>
        </is>
      </c>
      <c r="G1226" t="inlineStr">
        <is>
          <t>Wt</t>
        </is>
      </c>
      <c r="H1226" t="inlineStr">
        <is>
          <t>SZULCZYK, MARIA</t>
        </is>
      </c>
      <c r="I1226" t="inlineStr">
        <is>
          <t>Crew Civil</t>
        </is>
      </c>
      <c r="J1226" t="inlineStr">
        <is>
          <t>Zlecenie</t>
        </is>
      </c>
      <c r="K1226" t="n">
        <v>8.4</v>
      </c>
      <c r="L1226" t="inlineStr">
        <is>
          <t>384</t>
        </is>
      </c>
      <c r="M1226" t="inlineStr">
        <is>
          <t>108120 SBX Warszawa Janki</t>
        </is>
      </c>
      <c r="N1226" t="inlineStr">
        <is>
          <t>2026-09-11 19:06</t>
        </is>
      </c>
    </row>
    <row r="1227">
      <c r="A1227" t="n">
        <v>1226</v>
      </c>
      <c r="B1227" t="inlineStr">
        <is>
          <t>2026-03-26</t>
        </is>
      </c>
      <c r="C1227" t="n">
        <v>2026</v>
      </c>
      <c r="D1227" t="inlineStr">
        <is>
          <t>Marzec</t>
        </is>
      </c>
      <c r="E1227" t="inlineStr">
        <is>
          <t>W5</t>
        </is>
      </c>
      <c r="F1227" t="inlineStr">
        <is>
          <t>2026_Marzec_W5</t>
        </is>
      </c>
      <c r="G1227" t="inlineStr">
        <is>
          <t>Czw</t>
        </is>
      </c>
      <c r="H1227" t="inlineStr">
        <is>
          <t>SZULCZYK, MARIA</t>
        </is>
      </c>
      <c r="I1227" t="inlineStr">
        <is>
          <t>Crew Civil</t>
        </is>
      </c>
      <c r="J1227" t="inlineStr">
        <is>
          <t>Zlecenie</t>
        </is>
      </c>
      <c r="K1227" t="n">
        <v>6.5</v>
      </c>
      <c r="L1227" t="inlineStr">
        <is>
          <t>384</t>
        </is>
      </c>
      <c r="M1227" t="inlineStr">
        <is>
          <t>108120 SBX Warszawa Janki</t>
        </is>
      </c>
      <c r="N1227" t="inlineStr">
        <is>
          <t>2026-09-11 19:06</t>
        </is>
      </c>
    </row>
    <row r="1228">
      <c r="A1228" t="n">
        <v>1227</v>
      </c>
      <c r="B1228" t="inlineStr">
        <is>
          <t>2026-04-02</t>
        </is>
      </c>
      <c r="C1228" t="n">
        <v>2026</v>
      </c>
      <c r="D1228" t="inlineStr">
        <is>
          <t>Kwiecień</t>
        </is>
      </c>
      <c r="E1228" t="inlineStr">
        <is>
          <t>W1</t>
        </is>
      </c>
      <c r="F1228" t="inlineStr">
        <is>
          <t>2026_Kwiecień_W1</t>
        </is>
      </c>
      <c r="G1228" t="inlineStr">
        <is>
          <t>Czw</t>
        </is>
      </c>
      <c r="H1228" t="inlineStr">
        <is>
          <t>SZULCZYK, MARIA</t>
        </is>
      </c>
      <c r="I1228" t="inlineStr">
        <is>
          <t>Crew Civil</t>
        </is>
      </c>
      <c r="J1228" t="inlineStr">
        <is>
          <t>Zlecenie</t>
        </is>
      </c>
      <c r="K1228" t="n">
        <v>8</v>
      </c>
      <c r="L1228" t="inlineStr">
        <is>
          <t>384</t>
        </is>
      </c>
      <c r="M1228" t="inlineStr">
        <is>
          <t>108120 SBX Warszawa Janki</t>
        </is>
      </c>
      <c r="N1228" t="inlineStr">
        <is>
          <t>2026-09-11 19:06</t>
        </is>
      </c>
    </row>
    <row r="1229">
      <c r="A1229" t="n">
        <v>1228</v>
      </c>
      <c r="B1229" t="inlineStr">
        <is>
          <t>2026-04-03</t>
        </is>
      </c>
      <c r="C1229" t="n">
        <v>2026</v>
      </c>
      <c r="D1229" t="inlineStr">
        <is>
          <t>Kwiecień</t>
        </is>
      </c>
      <c r="E1229" t="inlineStr">
        <is>
          <t>W1</t>
        </is>
      </c>
      <c r="F1229" t="inlineStr">
        <is>
          <t>2026_Kwiecień_W1</t>
        </is>
      </c>
      <c r="G1229" t="inlineStr">
        <is>
          <t>Pt</t>
        </is>
      </c>
      <c r="H1229" t="inlineStr">
        <is>
          <t>SZULCZYK, MARIA</t>
        </is>
      </c>
      <c r="I1229" t="inlineStr">
        <is>
          <t>Crew Civil</t>
        </is>
      </c>
      <c r="J1229" t="inlineStr">
        <is>
          <t>Zlecenie</t>
        </is>
      </c>
      <c r="K1229" t="n">
        <v>7.35</v>
      </c>
      <c r="L1229" t="inlineStr">
        <is>
          <t>384</t>
        </is>
      </c>
      <c r="M1229" t="inlineStr">
        <is>
          <t>108120 SBX Warszawa Janki</t>
        </is>
      </c>
      <c r="N1229" t="inlineStr">
        <is>
          <t>2026-09-11 19:06</t>
        </is>
      </c>
    </row>
    <row r="1230">
      <c r="A1230" t="n">
        <v>1229</v>
      </c>
      <c r="B1230" t="inlineStr">
        <is>
          <t>2026-04-07</t>
        </is>
      </c>
      <c r="C1230" t="n">
        <v>2026</v>
      </c>
      <c r="D1230" t="inlineStr">
        <is>
          <t>Kwiecień</t>
        </is>
      </c>
      <c r="E1230" t="inlineStr">
        <is>
          <t>W2</t>
        </is>
      </c>
      <c r="F1230" t="inlineStr">
        <is>
          <t>2026_Kwiecień_W2</t>
        </is>
      </c>
      <c r="G1230" t="inlineStr">
        <is>
          <t>Wt</t>
        </is>
      </c>
      <c r="H1230" t="inlineStr">
        <is>
          <t>SZULCZYK, MARIA</t>
        </is>
      </c>
      <c r="I1230" t="inlineStr">
        <is>
          <t>Crew Civil</t>
        </is>
      </c>
      <c r="J1230" t="inlineStr">
        <is>
          <t>Zlecenie</t>
        </is>
      </c>
      <c r="K1230" t="n">
        <v>6.81</v>
      </c>
      <c r="L1230" t="inlineStr">
        <is>
          <t>384</t>
        </is>
      </c>
      <c r="M1230" t="inlineStr">
        <is>
          <t>108120 SBX Warszawa Janki</t>
        </is>
      </c>
      <c r="N1230" t="inlineStr">
        <is>
          <t>2026-09-11 19:06</t>
        </is>
      </c>
    </row>
    <row r="1231">
      <c r="A1231" t="n">
        <v>1230</v>
      </c>
      <c r="B1231" t="inlineStr">
        <is>
          <t>2026-04-18</t>
        </is>
      </c>
      <c r="C1231" t="n">
        <v>2026</v>
      </c>
      <c r="D1231" t="inlineStr">
        <is>
          <t>Kwiecień</t>
        </is>
      </c>
      <c r="E1231" t="inlineStr">
        <is>
          <t>W3</t>
        </is>
      </c>
      <c r="F1231" t="inlineStr">
        <is>
          <t>2026_Kwiecień_W3</t>
        </is>
      </c>
      <c r="G1231" t="inlineStr">
        <is>
          <t>Sob</t>
        </is>
      </c>
      <c r="H1231" t="inlineStr">
        <is>
          <t>SZULCZYK, MARIA</t>
        </is>
      </c>
      <c r="I1231" t="inlineStr">
        <is>
          <t>Crew Civil</t>
        </is>
      </c>
      <c r="J1231" t="inlineStr">
        <is>
          <t>Zlecenie</t>
        </is>
      </c>
      <c r="K1231" t="n">
        <v>8.08</v>
      </c>
      <c r="L1231" t="inlineStr">
        <is>
          <t>384</t>
        </is>
      </c>
      <c r="M1231" t="inlineStr">
        <is>
          <t>108120 SBX Warszawa Janki</t>
        </is>
      </c>
      <c r="N1231" t="inlineStr">
        <is>
          <t>2026-09-11 19:06</t>
        </is>
      </c>
    </row>
    <row r="1232">
      <c r="A1232" t="n">
        <v>1231</v>
      </c>
      <c r="B1232" t="inlineStr">
        <is>
          <t>2026-04-23</t>
        </is>
      </c>
      <c r="C1232" t="n">
        <v>2026</v>
      </c>
      <c r="D1232" t="inlineStr">
        <is>
          <t>Kwiecień</t>
        </is>
      </c>
      <c r="E1232" t="inlineStr">
        <is>
          <t>W4</t>
        </is>
      </c>
      <c r="F1232" t="inlineStr">
        <is>
          <t>2026_Kwiecień_W4</t>
        </is>
      </c>
      <c r="G1232" t="inlineStr">
        <is>
          <t>Czw</t>
        </is>
      </c>
      <c r="H1232" t="inlineStr">
        <is>
          <t>SZULCZYK, MARIA</t>
        </is>
      </c>
      <c r="I1232" t="inlineStr">
        <is>
          <t>Crew Civil</t>
        </is>
      </c>
      <c r="J1232" t="inlineStr">
        <is>
          <t>Zlecenie</t>
        </is>
      </c>
      <c r="K1232" t="n">
        <v>7.36</v>
      </c>
      <c r="L1232" t="inlineStr">
        <is>
          <t>384</t>
        </is>
      </c>
      <c r="M1232" t="inlineStr">
        <is>
          <t>108120 SBX Warszawa Janki</t>
        </is>
      </c>
      <c r="N1232" t="inlineStr">
        <is>
          <t>2026-09-11 19:06</t>
        </is>
      </c>
    </row>
    <row r="1233">
      <c r="A1233" t="n">
        <v>1232</v>
      </c>
      <c r="B1233" t="inlineStr">
        <is>
          <t>2026-04-26</t>
        </is>
      </c>
      <c r="C1233" t="n">
        <v>2026</v>
      </c>
      <c r="D1233" t="inlineStr">
        <is>
          <t>Kwiecień</t>
        </is>
      </c>
      <c r="E1233" t="inlineStr">
        <is>
          <t>W4</t>
        </is>
      </c>
      <c r="F1233" t="inlineStr">
        <is>
          <t>2026_Kwiecień_W4</t>
        </is>
      </c>
      <c r="G1233" t="inlineStr">
        <is>
          <t>Nd</t>
        </is>
      </c>
      <c r="H1233" t="inlineStr">
        <is>
          <t>SZULCZYK, MARIA</t>
        </is>
      </c>
      <c r="I1233" t="inlineStr">
        <is>
          <t>Crew Civil</t>
        </is>
      </c>
      <c r="J1233" t="inlineStr">
        <is>
          <t>Zlecenie</t>
        </is>
      </c>
      <c r="K1233" t="n">
        <v>8.1</v>
      </c>
      <c r="L1233" t="inlineStr">
        <is>
          <t>384</t>
        </is>
      </c>
      <c r="M1233" t="inlineStr">
        <is>
          <t>108120 SBX Warszawa Janki</t>
        </is>
      </c>
      <c r="N1233" t="inlineStr">
        <is>
          <t>2026-09-11 19:06</t>
        </is>
      </c>
    </row>
    <row r="1234">
      <c r="A1234" t="n">
        <v>1233</v>
      </c>
      <c r="B1234" t="inlineStr">
        <is>
          <t>2026-04-28</t>
        </is>
      </c>
      <c r="C1234" t="n">
        <v>2026</v>
      </c>
      <c r="D1234" t="inlineStr">
        <is>
          <t>Kwiecień</t>
        </is>
      </c>
      <c r="E1234" t="inlineStr">
        <is>
          <t>W5</t>
        </is>
      </c>
      <c r="F1234" t="inlineStr">
        <is>
          <t>2026_Kwiecień_W5</t>
        </is>
      </c>
      <c r="G1234" t="inlineStr">
        <is>
          <t>Wt</t>
        </is>
      </c>
      <c r="H1234" t="inlineStr">
        <is>
          <t>SZULCZYK, MARIA</t>
        </is>
      </c>
      <c r="I1234" t="inlineStr">
        <is>
          <t>Crew Civil</t>
        </is>
      </c>
      <c r="J1234" t="inlineStr">
        <is>
          <t>Zlecenie</t>
        </is>
      </c>
      <c r="K1234" t="n">
        <v>2.5</v>
      </c>
      <c r="L1234" t="inlineStr">
        <is>
          <t>384</t>
        </is>
      </c>
      <c r="M1234" t="inlineStr">
        <is>
          <t>108120 SBX Warszawa Janki</t>
        </is>
      </c>
      <c r="N1234" t="inlineStr">
        <is>
          <t>2026-09-11 19:06</t>
        </is>
      </c>
    </row>
    <row r="1235">
      <c r="A1235" t="n">
        <v>1234</v>
      </c>
      <c r="B1235" t="inlineStr">
        <is>
          <t>2026-04-30</t>
        </is>
      </c>
      <c r="C1235" t="n">
        <v>2026</v>
      </c>
      <c r="D1235" t="inlineStr">
        <is>
          <t>Kwiecień</t>
        </is>
      </c>
      <c r="E1235" t="inlineStr">
        <is>
          <t>W5</t>
        </is>
      </c>
      <c r="F1235" t="inlineStr">
        <is>
          <t>2026_Kwiecień_W5</t>
        </is>
      </c>
      <c r="G1235" t="inlineStr">
        <is>
          <t>Czw</t>
        </is>
      </c>
      <c r="H1235" t="inlineStr">
        <is>
          <t>SZULCZYK, MARIA</t>
        </is>
      </c>
      <c r="I1235" t="inlineStr">
        <is>
          <t>Crew Civil</t>
        </is>
      </c>
      <c r="J1235" t="inlineStr">
        <is>
          <t>Zlecenie</t>
        </is>
      </c>
      <c r="K1235" t="n">
        <v>4.54</v>
      </c>
      <c r="L1235" t="inlineStr">
        <is>
          <t>384</t>
        </is>
      </c>
      <c r="M1235" t="inlineStr">
        <is>
          <t>108120 SBX Warszawa Janki</t>
        </is>
      </c>
      <c r="N1235" t="inlineStr">
        <is>
          <t>2026-09-11 19:06</t>
        </is>
      </c>
    </row>
    <row r="1236">
      <c r="A1236" t="n">
        <v>1235</v>
      </c>
      <c r="B1236" t="inlineStr">
        <is>
          <t>2026-05-02</t>
        </is>
      </c>
      <c r="C1236" t="n">
        <v>2026</v>
      </c>
      <c r="D1236" t="inlineStr">
        <is>
          <t>Maj</t>
        </is>
      </c>
      <c r="E1236" t="inlineStr">
        <is>
          <t>W1</t>
        </is>
      </c>
      <c r="F1236" t="inlineStr">
        <is>
          <t>2026_Maj_W1</t>
        </is>
      </c>
      <c r="G1236" t="inlineStr">
        <is>
          <t>Sob</t>
        </is>
      </c>
      <c r="H1236" t="inlineStr">
        <is>
          <t>SZULCZYK, MARIA</t>
        </is>
      </c>
      <c r="I1236" t="inlineStr">
        <is>
          <t>Crew Civil</t>
        </is>
      </c>
      <c r="J1236" t="inlineStr">
        <is>
          <t>Zlecenie</t>
        </is>
      </c>
      <c r="K1236" t="n">
        <v>8.09</v>
      </c>
      <c r="L1236" t="inlineStr">
        <is>
          <t>384</t>
        </is>
      </c>
      <c r="M1236" t="inlineStr">
        <is>
          <t>108120 SBX Warszawa Janki</t>
        </is>
      </c>
      <c r="N1236" t="inlineStr">
        <is>
          <t>2026-09-11 19:06</t>
        </is>
      </c>
    </row>
    <row r="1237">
      <c r="A1237" t="n">
        <v>1236</v>
      </c>
      <c r="B1237" t="inlineStr">
        <is>
          <t>2026-05-07</t>
        </is>
      </c>
      <c r="C1237" t="n">
        <v>2026</v>
      </c>
      <c r="D1237" t="inlineStr">
        <is>
          <t>Maj</t>
        </is>
      </c>
      <c r="E1237" t="inlineStr">
        <is>
          <t>W2</t>
        </is>
      </c>
      <c r="F1237" t="inlineStr">
        <is>
          <t>2026_Maj_W2</t>
        </is>
      </c>
      <c r="G1237" t="inlineStr">
        <is>
          <t>Czw</t>
        </is>
      </c>
      <c r="H1237" t="inlineStr">
        <is>
          <t>SZULCZYK, MARIA</t>
        </is>
      </c>
      <c r="I1237" t="inlineStr">
        <is>
          <t>Crew Civil</t>
        </is>
      </c>
      <c r="J1237" t="inlineStr">
        <is>
          <t>Zlecenie</t>
        </is>
      </c>
      <c r="K1237" t="n">
        <v>8.06</v>
      </c>
      <c r="L1237" t="inlineStr">
        <is>
          <t>384</t>
        </is>
      </c>
      <c r="M1237" t="inlineStr">
        <is>
          <t>108120 SBX Warszawa Janki</t>
        </is>
      </c>
      <c r="N1237" t="inlineStr">
        <is>
          <t>2026-09-11 19:06</t>
        </is>
      </c>
    </row>
    <row r="1238">
      <c r="A1238" t="n">
        <v>1237</v>
      </c>
      <c r="B1238" t="inlineStr">
        <is>
          <t>2026-05-12</t>
        </is>
      </c>
      <c r="C1238" t="n">
        <v>2026</v>
      </c>
      <c r="D1238" t="inlineStr">
        <is>
          <t>Maj</t>
        </is>
      </c>
      <c r="E1238" t="inlineStr">
        <is>
          <t>W3</t>
        </is>
      </c>
      <c r="F1238" t="inlineStr">
        <is>
          <t>2026_Maj_W3</t>
        </is>
      </c>
      <c r="G1238" t="inlineStr">
        <is>
          <t>Wt</t>
        </is>
      </c>
      <c r="H1238" t="inlineStr">
        <is>
          <t>SZULCZYK, MARIA</t>
        </is>
      </c>
      <c r="I1238" t="inlineStr">
        <is>
          <t>Crew Civil</t>
        </is>
      </c>
      <c r="J1238" t="inlineStr">
        <is>
          <t>Zlecenie</t>
        </is>
      </c>
      <c r="K1238" t="n">
        <v>7.47</v>
      </c>
      <c r="L1238" t="inlineStr">
        <is>
          <t>384</t>
        </is>
      </c>
      <c r="M1238" t="inlineStr">
        <is>
          <t>108120 SBX Warszawa Janki</t>
        </is>
      </c>
      <c r="N1238" t="inlineStr">
        <is>
          <t>2026-09-11 19:06</t>
        </is>
      </c>
    </row>
    <row r="1239">
      <c r="A1239" t="n">
        <v>1238</v>
      </c>
      <c r="B1239" t="inlineStr">
        <is>
          <t>2026-05-16</t>
        </is>
      </c>
      <c r="C1239" t="n">
        <v>2026</v>
      </c>
      <c r="D1239" t="inlineStr">
        <is>
          <t>Maj</t>
        </is>
      </c>
      <c r="E1239" t="inlineStr">
        <is>
          <t>W3</t>
        </is>
      </c>
      <c r="F1239" t="inlineStr">
        <is>
          <t>2026_Maj_W3</t>
        </is>
      </c>
      <c r="G1239" t="inlineStr">
        <is>
          <t>Sob</t>
        </is>
      </c>
      <c r="H1239" t="inlineStr">
        <is>
          <t>SZULCZYK, MARIA</t>
        </is>
      </c>
      <c r="I1239" t="inlineStr">
        <is>
          <t>Crew Civil</t>
        </is>
      </c>
      <c r="J1239" t="inlineStr">
        <is>
          <t>Zlecenie</t>
        </is>
      </c>
      <c r="K1239" t="n">
        <v>7.15</v>
      </c>
      <c r="L1239" t="inlineStr">
        <is>
          <t>384</t>
        </is>
      </c>
      <c r="M1239" t="inlineStr">
        <is>
          <t>108120 SBX Warszawa Janki</t>
        </is>
      </c>
      <c r="N1239" t="inlineStr">
        <is>
          <t>2026-09-11 19:06</t>
        </is>
      </c>
    </row>
    <row r="1240">
      <c r="A1240" t="n">
        <v>1239</v>
      </c>
      <c r="B1240" t="inlineStr">
        <is>
          <t>2026-05-19</t>
        </is>
      </c>
      <c r="C1240" t="n">
        <v>2026</v>
      </c>
      <c r="D1240" t="inlineStr">
        <is>
          <t>Maj</t>
        </is>
      </c>
      <c r="E1240" t="inlineStr">
        <is>
          <t>W4</t>
        </is>
      </c>
      <c r="F1240" t="inlineStr">
        <is>
          <t>2026_Maj_W4</t>
        </is>
      </c>
      <c r="G1240" t="inlineStr">
        <is>
          <t>Wt</t>
        </is>
      </c>
      <c r="H1240" t="inlineStr">
        <is>
          <t>SZULCZYK, MARIA</t>
        </is>
      </c>
      <c r="I1240" t="inlineStr">
        <is>
          <t>Crew Civil</t>
        </is>
      </c>
      <c r="J1240" t="inlineStr">
        <is>
          <t>Zlecenie</t>
        </is>
      </c>
      <c r="K1240" t="n">
        <v>6.16</v>
      </c>
      <c r="L1240" t="inlineStr">
        <is>
          <t>384</t>
        </is>
      </c>
      <c r="M1240" t="inlineStr">
        <is>
          <t>108120 SBX Warszawa Janki</t>
        </is>
      </c>
      <c r="N1240" t="inlineStr">
        <is>
          <t>2026-09-11 19:06</t>
        </is>
      </c>
    </row>
    <row r="1241">
      <c r="A1241" t="n">
        <v>1240</v>
      </c>
      <c r="B1241" t="inlineStr">
        <is>
          <t>2026-05-30</t>
        </is>
      </c>
      <c r="C1241" t="n">
        <v>2026</v>
      </c>
      <c r="D1241" t="inlineStr">
        <is>
          <t>Maj</t>
        </is>
      </c>
      <c r="E1241" t="inlineStr">
        <is>
          <t>W5</t>
        </is>
      </c>
      <c r="F1241" t="inlineStr">
        <is>
          <t>2026_Maj_W5</t>
        </is>
      </c>
      <c r="G1241" t="inlineStr">
        <is>
          <t>Sob</t>
        </is>
      </c>
      <c r="H1241" t="inlineStr">
        <is>
          <t>SZULCZYK, MARIA</t>
        </is>
      </c>
      <c r="I1241" t="inlineStr">
        <is>
          <t>Crew Civil</t>
        </is>
      </c>
      <c r="J1241" t="inlineStr">
        <is>
          <t>Zlecenie</t>
        </is>
      </c>
      <c r="K1241" t="n">
        <v>7.98</v>
      </c>
      <c r="L1241" t="inlineStr">
        <is>
          <t>384</t>
        </is>
      </c>
      <c r="M1241" t="inlineStr">
        <is>
          <t>108120 SBX Warszawa Janki</t>
        </is>
      </c>
      <c r="N1241" t="inlineStr">
        <is>
          <t>2026-09-11 19:06</t>
        </is>
      </c>
    </row>
    <row r="1242">
      <c r="A1242" t="n">
        <v>1241</v>
      </c>
      <c r="B1242" t="inlineStr">
        <is>
          <t>2026-06-04</t>
        </is>
      </c>
      <c r="C1242" t="n">
        <v>2026</v>
      </c>
      <c r="D1242" t="inlineStr">
        <is>
          <t>Czerwiec</t>
        </is>
      </c>
      <c r="E1242" t="inlineStr">
        <is>
          <t>W2</t>
        </is>
      </c>
      <c r="F1242" t="inlineStr">
        <is>
          <t>2026_Czerwiec_W2</t>
        </is>
      </c>
      <c r="G1242" t="inlineStr">
        <is>
          <t>Czw</t>
        </is>
      </c>
      <c r="H1242" t="inlineStr">
        <is>
          <t>SZULCZYK, MARIA</t>
        </is>
      </c>
      <c r="I1242" t="inlineStr">
        <is>
          <t>Crew Civil</t>
        </is>
      </c>
      <c r="J1242" t="inlineStr">
        <is>
          <t>Zlecenie</t>
        </is>
      </c>
      <c r="K1242" t="n">
        <v>6.08</v>
      </c>
      <c r="L1242" t="inlineStr">
        <is>
          <t>384</t>
        </is>
      </c>
      <c r="M1242" t="inlineStr">
        <is>
          <t>108120 SBX Warszawa Janki</t>
        </is>
      </c>
      <c r="N1242" t="inlineStr">
        <is>
          <t>2026-09-11 19:06</t>
        </is>
      </c>
    </row>
    <row r="1243">
      <c r="A1243" t="n">
        <v>1242</v>
      </c>
      <c r="B1243" t="inlineStr">
        <is>
          <t>2026-06-11</t>
        </is>
      </c>
      <c r="C1243" t="n">
        <v>2026</v>
      </c>
      <c r="D1243" t="inlineStr">
        <is>
          <t>Czerwiec</t>
        </is>
      </c>
      <c r="E1243" t="inlineStr">
        <is>
          <t>W3</t>
        </is>
      </c>
      <c r="F1243" t="inlineStr">
        <is>
          <t>2026_Czerwiec_W3</t>
        </is>
      </c>
      <c r="G1243" t="inlineStr">
        <is>
          <t>Czw</t>
        </is>
      </c>
      <c r="H1243" t="inlineStr">
        <is>
          <t>SZULCZYK, MARIA</t>
        </is>
      </c>
      <c r="I1243" t="inlineStr">
        <is>
          <t>Crew Civil</t>
        </is>
      </c>
      <c r="J1243" t="inlineStr">
        <is>
          <t>Zlecenie</t>
        </is>
      </c>
      <c r="K1243" t="n">
        <v>5.4</v>
      </c>
      <c r="L1243" t="inlineStr">
        <is>
          <t>384</t>
        </is>
      </c>
      <c r="M1243" t="inlineStr">
        <is>
          <t>108120 SBX Warszawa Janki</t>
        </is>
      </c>
      <c r="N1243" t="inlineStr">
        <is>
          <t>2026-09-11 19:06</t>
        </is>
      </c>
    </row>
    <row r="1244">
      <c r="A1244" t="n">
        <v>1243</v>
      </c>
      <c r="B1244" t="inlineStr">
        <is>
          <t>2026-06-13</t>
        </is>
      </c>
      <c r="C1244" t="n">
        <v>2026</v>
      </c>
      <c r="D1244" t="inlineStr">
        <is>
          <t>Czerwiec</t>
        </is>
      </c>
      <c r="E1244" t="inlineStr">
        <is>
          <t>W3</t>
        </is>
      </c>
      <c r="F1244" t="inlineStr">
        <is>
          <t>2026_Czerwiec_W3</t>
        </is>
      </c>
      <c r="G1244" t="inlineStr">
        <is>
          <t>Sob</t>
        </is>
      </c>
      <c r="H1244" t="inlineStr">
        <is>
          <t>SZULCZYK, MARIA</t>
        </is>
      </c>
      <c r="I1244" t="inlineStr">
        <is>
          <t>Crew Civil</t>
        </is>
      </c>
      <c r="J1244" t="inlineStr">
        <is>
          <t>Zlecenie</t>
        </is>
      </c>
      <c r="K1244" t="n">
        <v>8.15</v>
      </c>
      <c r="L1244" t="inlineStr">
        <is>
          <t>384</t>
        </is>
      </c>
      <c r="M1244" t="inlineStr">
        <is>
          <t>108120 SBX Warszawa Janki</t>
        </is>
      </c>
      <c r="N1244" t="inlineStr">
        <is>
          <t>2026-09-11 19:06</t>
        </is>
      </c>
    </row>
    <row r="1245">
      <c r="A1245" t="n">
        <v>1244</v>
      </c>
      <c r="B1245" t="inlineStr">
        <is>
          <t>2026-06-15</t>
        </is>
      </c>
      <c r="C1245" t="n">
        <v>2026</v>
      </c>
      <c r="D1245" t="inlineStr">
        <is>
          <t>Czerwiec</t>
        </is>
      </c>
      <c r="E1245" t="inlineStr">
        <is>
          <t>W3</t>
        </is>
      </c>
      <c r="F1245" t="inlineStr">
        <is>
          <t>2026_Czerwiec_W3</t>
        </is>
      </c>
      <c r="G1245" t="inlineStr">
        <is>
          <t>Pn</t>
        </is>
      </c>
      <c r="H1245" t="inlineStr">
        <is>
          <t>SZULCZYK, MARIA</t>
        </is>
      </c>
      <c r="I1245" t="inlineStr">
        <is>
          <t>Crew Civil</t>
        </is>
      </c>
      <c r="J1245" t="inlineStr">
        <is>
          <t>Zlecenie</t>
        </is>
      </c>
      <c r="K1245" t="n">
        <v>7.22</v>
      </c>
      <c r="L1245" t="inlineStr">
        <is>
          <t>384</t>
        </is>
      </c>
      <c r="M1245" t="inlineStr">
        <is>
          <t>108120 SBX Warszawa Janki</t>
        </is>
      </c>
      <c r="N1245" t="inlineStr">
        <is>
          <t>2026-09-11 19:06</t>
        </is>
      </c>
    </row>
    <row r="1246">
      <c r="A1246" t="n">
        <v>1245</v>
      </c>
      <c r="B1246" t="inlineStr">
        <is>
          <t>2026-06-17</t>
        </is>
      </c>
      <c r="C1246" t="n">
        <v>2026</v>
      </c>
      <c r="D1246" t="inlineStr">
        <is>
          <t>Czerwiec</t>
        </is>
      </c>
      <c r="E1246" t="inlineStr">
        <is>
          <t>W4</t>
        </is>
      </c>
      <c r="F1246" t="inlineStr">
        <is>
          <t>2026_Czerwiec_W4</t>
        </is>
      </c>
      <c r="G1246" t="inlineStr">
        <is>
          <t>Śr</t>
        </is>
      </c>
      <c r="H1246" t="inlineStr">
        <is>
          <t>SZULCZYK, MARIA</t>
        </is>
      </c>
      <c r="I1246" t="inlineStr">
        <is>
          <t>Crew Civil</t>
        </is>
      </c>
      <c r="J1246" t="inlineStr">
        <is>
          <t>Zlecenie</t>
        </is>
      </c>
      <c r="K1246" t="n">
        <v>3.52</v>
      </c>
      <c r="L1246" t="inlineStr">
        <is>
          <t>384</t>
        </is>
      </c>
      <c r="M1246" t="inlineStr">
        <is>
          <t>108120 SBX Warszawa Janki</t>
        </is>
      </c>
      <c r="N1246" t="inlineStr">
        <is>
          <t>2026-09-11 19:06</t>
        </is>
      </c>
    </row>
    <row r="1247">
      <c r="A1247" t="n">
        <v>1246</v>
      </c>
      <c r="B1247" t="inlineStr">
        <is>
          <t>2026-06-20</t>
        </is>
      </c>
      <c r="C1247" t="n">
        <v>2026</v>
      </c>
      <c r="D1247" t="inlineStr">
        <is>
          <t>Czerwiec</t>
        </is>
      </c>
      <c r="E1247" t="inlineStr">
        <is>
          <t>W4</t>
        </is>
      </c>
      <c r="F1247" t="inlineStr">
        <is>
          <t>2026_Czerwiec_W4</t>
        </is>
      </c>
      <c r="G1247" t="inlineStr">
        <is>
          <t>Sob</t>
        </is>
      </c>
      <c r="H1247" t="inlineStr">
        <is>
          <t>SZULCZYK, MARIA</t>
        </is>
      </c>
      <c r="I1247" t="inlineStr">
        <is>
          <t>Crew Civil</t>
        </is>
      </c>
      <c r="J1247" t="inlineStr">
        <is>
          <t>Zlecenie</t>
        </is>
      </c>
      <c r="K1247" t="n">
        <v>8.09</v>
      </c>
      <c r="L1247" t="inlineStr">
        <is>
          <t>384</t>
        </is>
      </c>
      <c r="M1247" t="inlineStr">
        <is>
          <t>108120 SBX Warszawa Janki</t>
        </is>
      </c>
      <c r="N1247" t="inlineStr">
        <is>
          <t>2026-09-11 19:06</t>
        </is>
      </c>
    </row>
    <row r="1248">
      <c r="A1248" t="n">
        <v>1247</v>
      </c>
      <c r="B1248" t="inlineStr">
        <is>
          <t>2026-06-29</t>
        </is>
      </c>
      <c r="C1248" t="n">
        <v>2026</v>
      </c>
      <c r="D1248" t="inlineStr">
        <is>
          <t>Czerwiec</t>
        </is>
      </c>
      <c r="E1248" t="inlineStr">
        <is>
          <t>W5</t>
        </is>
      </c>
      <c r="F1248" t="inlineStr">
        <is>
          <t>2026_Czerwiec_W5</t>
        </is>
      </c>
      <c r="G1248" t="inlineStr">
        <is>
          <t>Pn</t>
        </is>
      </c>
      <c r="H1248" t="inlineStr">
        <is>
          <t>SZULCZYK, MARIA</t>
        </is>
      </c>
      <c r="I1248" t="inlineStr">
        <is>
          <t>Crew Civil</t>
        </is>
      </c>
      <c r="J1248" t="inlineStr">
        <is>
          <t>Zlecenie</t>
        </is>
      </c>
      <c r="K1248" t="n">
        <v>6.73</v>
      </c>
      <c r="L1248" t="inlineStr">
        <is>
          <t>384</t>
        </is>
      </c>
      <c r="M1248" t="inlineStr">
        <is>
          <t>108120 SBX Warszawa Janki</t>
        </is>
      </c>
      <c r="N1248" t="inlineStr">
        <is>
          <t>2026-09-11 19:06</t>
        </is>
      </c>
    </row>
    <row r="1249">
      <c r="A1249" t="n">
        <v>1248</v>
      </c>
      <c r="B1249" t="inlineStr">
        <is>
          <t>2026-06-30</t>
        </is>
      </c>
      <c r="C1249" t="n">
        <v>2026</v>
      </c>
      <c r="D1249" t="inlineStr">
        <is>
          <t>Czerwiec</t>
        </is>
      </c>
      <c r="E1249" t="inlineStr">
        <is>
          <t>W6</t>
        </is>
      </c>
      <c r="F1249" t="inlineStr">
        <is>
          <t>2026_Czerwiec_W6</t>
        </is>
      </c>
      <c r="G1249" t="inlineStr">
        <is>
          <t>Wt</t>
        </is>
      </c>
      <c r="H1249" t="inlineStr">
        <is>
          <t>SZULCZYK, MARIA</t>
        </is>
      </c>
      <c r="I1249" t="inlineStr">
        <is>
          <t>Crew Civil</t>
        </is>
      </c>
      <c r="J1249" t="inlineStr">
        <is>
          <t>Zlecenie</t>
        </is>
      </c>
      <c r="K1249" t="n">
        <v>8.75</v>
      </c>
      <c r="L1249" t="inlineStr">
        <is>
          <t>384</t>
        </is>
      </c>
      <c r="M1249" t="inlineStr">
        <is>
          <t>108120 SBX Warszawa Janki</t>
        </is>
      </c>
      <c r="N1249" t="inlineStr">
        <is>
          <t>2026-09-11 19:06</t>
        </is>
      </c>
    </row>
    <row r="1250">
      <c r="A1250" t="n">
        <v>1249</v>
      </c>
      <c r="B1250" t="inlineStr">
        <is>
          <t>2026-07-01</t>
        </is>
      </c>
      <c r="C1250" t="n">
        <v>2026</v>
      </c>
      <c r="D1250" t="inlineStr">
        <is>
          <t>Lipiec</t>
        </is>
      </c>
      <c r="E1250" t="inlineStr">
        <is>
          <t>W1</t>
        </is>
      </c>
      <c r="F1250" t="inlineStr">
        <is>
          <t>2026_Lipiec_W1</t>
        </is>
      </c>
      <c r="G1250" t="inlineStr">
        <is>
          <t>Śr</t>
        </is>
      </c>
      <c r="H1250" t="inlineStr">
        <is>
          <t>SZULCZYK, MARIA</t>
        </is>
      </c>
      <c r="I1250" t="inlineStr">
        <is>
          <t>Crew Civil</t>
        </is>
      </c>
      <c r="J1250" t="inlineStr">
        <is>
          <t>Zlecenie</t>
        </is>
      </c>
      <c r="K1250" t="n">
        <v>6.79</v>
      </c>
      <c r="L1250" t="inlineStr">
        <is>
          <t>384</t>
        </is>
      </c>
      <c r="M1250" t="inlineStr">
        <is>
          <t>108120 SBX Warszawa Janki</t>
        </is>
      </c>
      <c r="N1250" t="inlineStr">
        <is>
          <t>2026-09-11 19:06</t>
        </is>
      </c>
    </row>
    <row r="1251">
      <c r="A1251" t="n">
        <v>1250</v>
      </c>
      <c r="B1251" t="inlineStr">
        <is>
          <t>2026-07-04</t>
        </is>
      </c>
      <c r="C1251" t="n">
        <v>2026</v>
      </c>
      <c r="D1251" t="inlineStr">
        <is>
          <t>Lipiec</t>
        </is>
      </c>
      <c r="E1251" t="inlineStr">
        <is>
          <t>W1</t>
        </is>
      </c>
      <c r="F1251" t="inlineStr">
        <is>
          <t>2026_Lipiec_W1</t>
        </is>
      </c>
      <c r="G1251" t="inlineStr">
        <is>
          <t>Sob</t>
        </is>
      </c>
      <c r="H1251" t="inlineStr">
        <is>
          <t>SZULCZYK, MARIA</t>
        </is>
      </c>
      <c r="I1251" t="inlineStr">
        <is>
          <t>Crew Civil</t>
        </is>
      </c>
      <c r="J1251" t="inlineStr">
        <is>
          <t>Zlecenie</t>
        </is>
      </c>
      <c r="K1251" t="n">
        <v>7.76</v>
      </c>
      <c r="L1251" t="inlineStr">
        <is>
          <t>384</t>
        </is>
      </c>
      <c r="M1251" t="inlineStr">
        <is>
          <t>108120 SBX Warszawa Janki</t>
        </is>
      </c>
      <c r="N1251" t="inlineStr">
        <is>
          <t>2026-09-11 19:06</t>
        </is>
      </c>
    </row>
    <row r="1252">
      <c r="A1252" t="n">
        <v>1251</v>
      </c>
      <c r="B1252" t="inlineStr">
        <is>
          <t>2026-07-10</t>
        </is>
      </c>
      <c r="C1252" t="n">
        <v>2026</v>
      </c>
      <c r="D1252" t="inlineStr">
        <is>
          <t>Lipiec</t>
        </is>
      </c>
      <c r="E1252" t="inlineStr">
        <is>
          <t>W2</t>
        </is>
      </c>
      <c r="F1252" t="inlineStr">
        <is>
          <t>2026_Lipiec_W2</t>
        </is>
      </c>
      <c r="G1252" t="inlineStr">
        <is>
          <t>Pt</t>
        </is>
      </c>
      <c r="H1252" t="inlineStr">
        <is>
          <t>SZULCZYK, MARIA</t>
        </is>
      </c>
      <c r="I1252" t="inlineStr">
        <is>
          <t>Crew Civil</t>
        </is>
      </c>
      <c r="J1252" t="inlineStr">
        <is>
          <t>Zlecenie</t>
        </is>
      </c>
      <c r="K1252" t="n">
        <v>8.09</v>
      </c>
      <c r="L1252" t="inlineStr">
        <is>
          <t>384</t>
        </is>
      </c>
      <c r="M1252" t="inlineStr">
        <is>
          <t>108120 SBX Warszawa Janki</t>
        </is>
      </c>
      <c r="N1252" t="inlineStr">
        <is>
          <t>2026-09-11 19:06</t>
        </is>
      </c>
    </row>
    <row r="1253">
      <c r="A1253" t="n">
        <v>1252</v>
      </c>
      <c r="B1253" t="inlineStr">
        <is>
          <t>2026-07-11</t>
        </is>
      </c>
      <c r="C1253" t="n">
        <v>2026</v>
      </c>
      <c r="D1253" t="inlineStr">
        <is>
          <t>Lipiec</t>
        </is>
      </c>
      <c r="E1253" t="inlineStr">
        <is>
          <t>W2</t>
        </is>
      </c>
      <c r="F1253" t="inlineStr">
        <is>
          <t>2026_Lipiec_W2</t>
        </is>
      </c>
      <c r="G1253" t="inlineStr">
        <is>
          <t>Sob</t>
        </is>
      </c>
      <c r="H1253" t="inlineStr">
        <is>
          <t>SZULCZYK, MARIA</t>
        </is>
      </c>
      <c r="I1253" t="inlineStr">
        <is>
          <t>Crew Civil</t>
        </is>
      </c>
      <c r="J1253" t="inlineStr">
        <is>
          <t>Zlecenie</t>
        </is>
      </c>
      <c r="K1253" t="n">
        <v>7.77</v>
      </c>
      <c r="L1253" t="inlineStr">
        <is>
          <t>384</t>
        </is>
      </c>
      <c r="M1253" t="inlineStr">
        <is>
          <t>108120 SBX Warszawa Janki</t>
        </is>
      </c>
      <c r="N1253" t="inlineStr">
        <is>
          <t>2026-09-11 19:06</t>
        </is>
      </c>
    </row>
    <row r="1254">
      <c r="A1254" t="n">
        <v>1253</v>
      </c>
      <c r="B1254" t="inlineStr">
        <is>
          <t>2026-07-17</t>
        </is>
      </c>
      <c r="C1254" t="n">
        <v>2026</v>
      </c>
      <c r="D1254" t="inlineStr">
        <is>
          <t>Lipiec</t>
        </is>
      </c>
      <c r="E1254" t="inlineStr">
        <is>
          <t>W3</t>
        </is>
      </c>
      <c r="F1254" t="inlineStr">
        <is>
          <t>2026_Lipiec_W3</t>
        </is>
      </c>
      <c r="G1254" t="inlineStr">
        <is>
          <t>Pt</t>
        </is>
      </c>
      <c r="H1254" t="inlineStr">
        <is>
          <t>SZULCZYK, MARIA</t>
        </is>
      </c>
      <c r="I1254" t="inlineStr">
        <is>
          <t>Crew Civil</t>
        </is>
      </c>
      <c r="J1254" t="inlineStr">
        <is>
          <t>Zlecenie</t>
        </is>
      </c>
      <c r="K1254" t="n">
        <v>7.59</v>
      </c>
      <c r="L1254" t="inlineStr">
        <is>
          <t>384</t>
        </is>
      </c>
      <c r="M1254" t="inlineStr">
        <is>
          <t>108120 SBX Warszawa Janki</t>
        </is>
      </c>
      <c r="N1254" t="inlineStr">
        <is>
          <t>2026-09-11 19:06</t>
        </is>
      </c>
    </row>
    <row r="1255">
      <c r="A1255" t="n">
        <v>1254</v>
      </c>
      <c r="B1255" t="inlineStr">
        <is>
          <t>2026-07-18</t>
        </is>
      </c>
      <c r="C1255" t="n">
        <v>2026</v>
      </c>
      <c r="D1255" t="inlineStr">
        <is>
          <t>Lipiec</t>
        </is>
      </c>
      <c r="E1255" t="inlineStr">
        <is>
          <t>W3</t>
        </is>
      </c>
      <c r="F1255" t="inlineStr">
        <is>
          <t>2026_Lipiec_W3</t>
        </is>
      </c>
      <c r="G1255" t="inlineStr">
        <is>
          <t>Sob</t>
        </is>
      </c>
      <c r="H1255" t="inlineStr">
        <is>
          <t>SZULCZYK, MARIA</t>
        </is>
      </c>
      <c r="I1255" t="inlineStr">
        <is>
          <t>Crew Civil</t>
        </is>
      </c>
      <c r="J1255" t="inlineStr">
        <is>
          <t>Zlecenie</t>
        </is>
      </c>
      <c r="K1255" t="n">
        <v>8.08</v>
      </c>
      <c r="L1255" t="inlineStr">
        <is>
          <t>384</t>
        </is>
      </c>
      <c r="M1255" t="inlineStr">
        <is>
          <t>108120 SBX Warszawa Janki</t>
        </is>
      </c>
      <c r="N1255" t="inlineStr">
        <is>
          <t>2026-09-11 19:06</t>
        </is>
      </c>
    </row>
    <row r="1256">
      <c r="A1256" t="n">
        <v>1255</v>
      </c>
      <c r="B1256" t="inlineStr">
        <is>
          <t>2026-07-23</t>
        </is>
      </c>
      <c r="C1256" t="n">
        <v>2026</v>
      </c>
      <c r="D1256" t="inlineStr">
        <is>
          <t>Lipiec</t>
        </is>
      </c>
      <c r="E1256" t="inlineStr">
        <is>
          <t>W4</t>
        </is>
      </c>
      <c r="F1256" t="inlineStr">
        <is>
          <t>2026_Lipiec_W4</t>
        </is>
      </c>
      <c r="G1256" t="inlineStr">
        <is>
          <t>Czw</t>
        </is>
      </c>
      <c r="H1256" t="inlineStr">
        <is>
          <t>SZULCZYK, MARIA</t>
        </is>
      </c>
      <c r="I1256" t="inlineStr">
        <is>
          <t>Crew Civil</t>
        </is>
      </c>
      <c r="J1256" t="inlineStr">
        <is>
          <t>Zlecenie</t>
        </is>
      </c>
      <c r="K1256" t="n">
        <v>8.18</v>
      </c>
      <c r="L1256" t="inlineStr">
        <is>
          <t>384</t>
        </is>
      </c>
      <c r="M1256" t="inlineStr">
        <is>
          <t>108120 SBX Warszawa Janki</t>
        </is>
      </c>
      <c r="N1256" t="inlineStr">
        <is>
          <t>2026-09-11 19:06</t>
        </is>
      </c>
    </row>
    <row r="1257">
      <c r="A1257" t="n">
        <v>1256</v>
      </c>
      <c r="B1257" t="inlineStr">
        <is>
          <t>2026-08-19</t>
        </is>
      </c>
      <c r="C1257" t="n">
        <v>2026</v>
      </c>
      <c r="D1257" t="inlineStr">
        <is>
          <t>Sierpień</t>
        </is>
      </c>
      <c r="E1257" t="inlineStr">
        <is>
          <t>W4</t>
        </is>
      </c>
      <c r="F1257" t="inlineStr">
        <is>
          <t>2026_Sierpień_W4</t>
        </is>
      </c>
      <c r="G1257" t="inlineStr">
        <is>
          <t>Śr</t>
        </is>
      </c>
      <c r="H1257" t="inlineStr">
        <is>
          <t>SZULCZYK, MARIA</t>
        </is>
      </c>
      <c r="I1257" t="inlineStr">
        <is>
          <t>Crew Civil</t>
        </is>
      </c>
      <c r="J1257" t="inlineStr">
        <is>
          <t>Zlecenie</t>
        </is>
      </c>
      <c r="K1257" t="n">
        <v>7.55</v>
      </c>
      <c r="L1257" t="inlineStr">
        <is>
          <t>384</t>
        </is>
      </c>
      <c r="M1257" t="inlineStr">
        <is>
          <t>108120 SBX Warszawa Janki</t>
        </is>
      </c>
      <c r="N1257" t="inlineStr">
        <is>
          <t>2026-09-11 19:06</t>
        </is>
      </c>
    </row>
    <row r="1258">
      <c r="A1258" t="n">
        <v>1257</v>
      </c>
      <c r="B1258" t="inlineStr">
        <is>
          <t>2026-08-21</t>
        </is>
      </c>
      <c r="C1258" t="n">
        <v>2026</v>
      </c>
      <c r="D1258" t="inlineStr">
        <is>
          <t>Sierpień</t>
        </is>
      </c>
      <c r="E1258" t="inlineStr">
        <is>
          <t>W4</t>
        </is>
      </c>
      <c r="F1258" t="inlineStr">
        <is>
          <t>2026_Sierpień_W4</t>
        </is>
      </c>
      <c r="G1258" t="inlineStr">
        <is>
          <t>Pt</t>
        </is>
      </c>
      <c r="H1258" t="inlineStr">
        <is>
          <t>SZULCZYK, MARIA</t>
        </is>
      </c>
      <c r="I1258" t="inlineStr">
        <is>
          <t>Crew Civil</t>
        </is>
      </c>
      <c r="J1258" t="inlineStr">
        <is>
          <t>Zlecenie</t>
        </is>
      </c>
      <c r="K1258" t="n">
        <v>7.23</v>
      </c>
      <c r="L1258" t="inlineStr">
        <is>
          <t>384</t>
        </is>
      </c>
      <c r="M1258" t="inlineStr">
        <is>
          <t>108120 SBX Warszawa Janki</t>
        </is>
      </c>
      <c r="N1258" t="inlineStr">
        <is>
          <t>2026-09-11 19:06</t>
        </is>
      </c>
    </row>
    <row r="1259">
      <c r="A1259" t="n">
        <v>1258</v>
      </c>
      <c r="B1259" t="inlineStr">
        <is>
          <t>2026-08-22</t>
        </is>
      </c>
      <c r="C1259" t="n">
        <v>2026</v>
      </c>
      <c r="D1259" t="inlineStr">
        <is>
          <t>Sierpień</t>
        </is>
      </c>
      <c r="E1259" t="inlineStr">
        <is>
          <t>W4</t>
        </is>
      </c>
      <c r="F1259" t="inlineStr">
        <is>
          <t>2026_Sierpień_W4</t>
        </is>
      </c>
      <c r="G1259" t="inlineStr">
        <is>
          <t>Sob</t>
        </is>
      </c>
      <c r="H1259" t="inlineStr">
        <is>
          <t>SZULCZYK, MARIA</t>
        </is>
      </c>
      <c r="I1259" t="inlineStr">
        <is>
          <t>Crew Civil</t>
        </is>
      </c>
      <c r="J1259" t="inlineStr">
        <is>
          <t>Zlecenie</t>
        </is>
      </c>
      <c r="K1259" t="n">
        <v>6.14</v>
      </c>
      <c r="L1259" t="inlineStr">
        <is>
          <t>384</t>
        </is>
      </c>
      <c r="M1259" t="inlineStr">
        <is>
          <t>108120 SBX Warszawa Janki</t>
        </is>
      </c>
      <c r="N1259" t="inlineStr">
        <is>
          <t>2026-09-11 19:06</t>
        </is>
      </c>
    </row>
    <row r="1260">
      <c r="A1260" t="n">
        <v>1259</v>
      </c>
      <c r="B1260" t="inlineStr">
        <is>
          <t>2026-08-23</t>
        </is>
      </c>
      <c r="C1260" t="n">
        <v>2026</v>
      </c>
      <c r="D1260" t="inlineStr">
        <is>
          <t>Sierpień</t>
        </is>
      </c>
      <c r="E1260" t="inlineStr">
        <is>
          <t>W4</t>
        </is>
      </c>
      <c r="F1260" t="inlineStr">
        <is>
          <t>2026_Sierpień_W4</t>
        </is>
      </c>
      <c r="G1260" t="inlineStr">
        <is>
          <t>Nd</t>
        </is>
      </c>
      <c r="H1260" t="inlineStr">
        <is>
          <t>SZULCZYK, MARIA</t>
        </is>
      </c>
      <c r="I1260" t="inlineStr">
        <is>
          <t>Crew Civil</t>
        </is>
      </c>
      <c r="J1260" t="inlineStr">
        <is>
          <t>Zlecenie</t>
        </is>
      </c>
      <c r="K1260" t="n">
        <v>1.42</v>
      </c>
      <c r="L1260" t="inlineStr">
        <is>
          <t>384</t>
        </is>
      </c>
      <c r="M1260" t="inlineStr">
        <is>
          <t>108120 SBX Warszawa Janki</t>
        </is>
      </c>
      <c r="N1260" t="inlineStr">
        <is>
          <t>2026-09-11 19:06</t>
        </is>
      </c>
    </row>
    <row r="1261">
      <c r="A1261" t="n">
        <v>1260</v>
      </c>
      <c r="B1261" t="inlineStr">
        <is>
          <t>2026-08-24</t>
        </is>
      </c>
      <c r="C1261" t="n">
        <v>2026</v>
      </c>
      <c r="D1261" t="inlineStr">
        <is>
          <t>Sierpień</t>
        </is>
      </c>
      <c r="E1261" t="inlineStr">
        <is>
          <t>W4</t>
        </is>
      </c>
      <c r="F1261" t="inlineStr">
        <is>
          <t>2026_Sierpień_W4</t>
        </is>
      </c>
      <c r="G1261" t="inlineStr">
        <is>
          <t>Pn</t>
        </is>
      </c>
      <c r="H1261" t="inlineStr">
        <is>
          <t>SZULCZYK, MARIA</t>
        </is>
      </c>
      <c r="I1261" t="inlineStr">
        <is>
          <t>Crew Civil</t>
        </is>
      </c>
      <c r="J1261" t="inlineStr">
        <is>
          <t>Zlecenie</t>
        </is>
      </c>
      <c r="K1261" t="n">
        <v>7.4</v>
      </c>
      <c r="L1261" t="inlineStr">
        <is>
          <t>384</t>
        </is>
      </c>
      <c r="M1261" t="inlineStr">
        <is>
          <t>108120 SBX Warszawa Janki</t>
        </is>
      </c>
      <c r="N1261" t="inlineStr">
        <is>
          <t>2026-09-11 19:06</t>
        </is>
      </c>
    </row>
    <row r="1262">
      <c r="A1262" t="n">
        <v>1261</v>
      </c>
      <c r="B1262" t="inlineStr">
        <is>
          <t>2026-08-26</t>
        </is>
      </c>
      <c r="C1262" t="n">
        <v>2026</v>
      </c>
      <c r="D1262" t="inlineStr">
        <is>
          <t>Sierpień</t>
        </is>
      </c>
      <c r="E1262" t="inlineStr">
        <is>
          <t>W5</t>
        </is>
      </c>
      <c r="F1262" t="inlineStr">
        <is>
          <t>2026_Sierpień_W5</t>
        </is>
      </c>
      <c r="G1262" t="inlineStr">
        <is>
          <t>Śr</t>
        </is>
      </c>
      <c r="H1262" t="inlineStr">
        <is>
          <t>SZULCZYK, MARIA</t>
        </is>
      </c>
      <c r="I1262" t="inlineStr">
        <is>
          <t>Crew Civil</t>
        </is>
      </c>
      <c r="J1262" t="inlineStr">
        <is>
          <t>Zlecenie</t>
        </is>
      </c>
      <c r="K1262" t="n">
        <v>6.04</v>
      </c>
      <c r="L1262" t="inlineStr">
        <is>
          <t>384</t>
        </is>
      </c>
      <c r="M1262" t="inlineStr">
        <is>
          <t>108120 SBX Warszawa Janki</t>
        </is>
      </c>
      <c r="N1262" t="inlineStr">
        <is>
          <t>2026-09-11 19:06</t>
        </is>
      </c>
    </row>
    <row r="1263">
      <c r="A1263" t="n">
        <v>1262</v>
      </c>
      <c r="B1263" t="inlineStr">
        <is>
          <t>2026-08-29</t>
        </is>
      </c>
      <c r="C1263" t="n">
        <v>2026</v>
      </c>
      <c r="D1263" t="inlineStr">
        <is>
          <t>Sierpień</t>
        </is>
      </c>
      <c r="E1263" t="inlineStr">
        <is>
          <t>W5</t>
        </is>
      </c>
      <c r="F1263" t="inlineStr">
        <is>
          <t>2026_Sierpień_W5</t>
        </is>
      </c>
      <c r="G1263" t="inlineStr">
        <is>
          <t>Sob</t>
        </is>
      </c>
      <c r="H1263" t="inlineStr">
        <is>
          <t>SZULCZYK, MARIA</t>
        </is>
      </c>
      <c r="I1263" t="inlineStr">
        <is>
          <t>Crew Civil</t>
        </is>
      </c>
      <c r="J1263" t="inlineStr">
        <is>
          <t>Zlecenie</t>
        </is>
      </c>
      <c r="K1263" t="n">
        <v>7.55</v>
      </c>
      <c r="L1263" t="inlineStr">
        <is>
          <t>384</t>
        </is>
      </c>
      <c r="M1263" t="inlineStr">
        <is>
          <t>108120 SBX Warszawa Janki</t>
        </is>
      </c>
      <c r="N1263" t="inlineStr">
        <is>
          <t>2026-09-11 19:06</t>
        </is>
      </c>
    </row>
    <row r="1264">
      <c r="A1264" t="n">
        <v>1263</v>
      </c>
      <c r="B1264" t="inlineStr">
        <is>
          <t>2026-09-01</t>
        </is>
      </c>
      <c r="C1264" t="n">
        <v>2026</v>
      </c>
      <c r="D1264" t="inlineStr">
        <is>
          <t>Wrzesień</t>
        </is>
      </c>
      <c r="E1264" t="inlineStr">
        <is>
          <t>W1</t>
        </is>
      </c>
      <c r="F1264" t="inlineStr">
        <is>
          <t>2026_Wrzesień_W1</t>
        </is>
      </c>
      <c r="G1264" t="inlineStr">
        <is>
          <t>Wt</t>
        </is>
      </c>
      <c r="H1264" t="inlineStr">
        <is>
          <t>SZULCZYK, MARIA</t>
        </is>
      </c>
      <c r="I1264" t="inlineStr">
        <is>
          <t>Crew Civil</t>
        </is>
      </c>
      <c r="J1264" t="inlineStr">
        <is>
          <t>Zlecenie</t>
        </is>
      </c>
      <c r="K1264" t="n">
        <v>8.19</v>
      </c>
      <c r="L1264" t="inlineStr">
        <is>
          <t>384</t>
        </is>
      </c>
      <c r="M1264" t="inlineStr">
        <is>
          <t>108120 SBX Warszawa Janki</t>
        </is>
      </c>
      <c r="N1264" t="inlineStr">
        <is>
          <t>2026-09-11 19:06</t>
        </is>
      </c>
    </row>
    <row r="1265">
      <c r="A1265" t="n">
        <v>1264</v>
      </c>
      <c r="B1265" t="inlineStr">
        <is>
          <t>2026-09-03</t>
        </is>
      </c>
      <c r="C1265" t="n">
        <v>2026</v>
      </c>
      <c r="D1265" t="inlineStr">
        <is>
          <t>Wrzesień</t>
        </is>
      </c>
      <c r="E1265" t="inlineStr">
        <is>
          <t>W1</t>
        </is>
      </c>
      <c r="F1265" t="inlineStr">
        <is>
          <t>2026_Wrzesień_W1</t>
        </is>
      </c>
      <c r="G1265" t="inlineStr">
        <is>
          <t>Czw</t>
        </is>
      </c>
      <c r="H1265" t="inlineStr">
        <is>
          <t>SZULCZYK, MARIA</t>
        </is>
      </c>
      <c r="I1265" t="inlineStr">
        <is>
          <t>Crew Civil</t>
        </is>
      </c>
      <c r="J1265" t="inlineStr">
        <is>
          <t>Zlecenie</t>
        </is>
      </c>
      <c r="K1265" t="n">
        <v>5.97</v>
      </c>
      <c r="L1265" t="inlineStr">
        <is>
          <t>384</t>
        </is>
      </c>
      <c r="M1265" t="inlineStr">
        <is>
          <t>108120 SBX Warszawa Janki</t>
        </is>
      </c>
      <c r="N1265" t="inlineStr">
        <is>
          <t>2026-09-11 19:06</t>
        </is>
      </c>
    </row>
    <row r="1266">
      <c r="A1266" t="n">
        <v>1265</v>
      </c>
      <c r="B1266" t="inlineStr">
        <is>
          <t>2026-09-05</t>
        </is>
      </c>
      <c r="C1266" t="n">
        <v>2026</v>
      </c>
      <c r="D1266" t="inlineStr">
        <is>
          <t>Wrzesień</t>
        </is>
      </c>
      <c r="E1266" t="inlineStr">
        <is>
          <t>W1</t>
        </is>
      </c>
      <c r="F1266" t="inlineStr">
        <is>
          <t>2026_Wrzesień_W1</t>
        </is>
      </c>
      <c r="G1266" t="inlineStr">
        <is>
          <t>Sob</t>
        </is>
      </c>
      <c r="H1266" t="inlineStr">
        <is>
          <t>SZULCZYK, MARIA</t>
        </is>
      </c>
      <c r="I1266" t="inlineStr">
        <is>
          <t>Crew Civil</t>
        </is>
      </c>
      <c r="J1266" t="inlineStr">
        <is>
          <t>Zlecenie</t>
        </is>
      </c>
      <c r="K1266" t="n">
        <v>7.95</v>
      </c>
      <c r="L1266" t="inlineStr">
        <is>
          <t>384</t>
        </is>
      </c>
      <c r="M1266" t="inlineStr">
        <is>
          <t>108120 SBX Warszawa Janki</t>
        </is>
      </c>
      <c r="N1266" t="inlineStr">
        <is>
          <t>2026-09-11 19:06</t>
        </is>
      </c>
    </row>
    <row r="1267">
      <c r="A1267" t="n">
        <v>1266</v>
      </c>
      <c r="B1267" t="inlineStr">
        <is>
          <t>2026-01-03</t>
        </is>
      </c>
      <c r="C1267" t="n">
        <v>2026</v>
      </c>
      <c r="D1267" t="inlineStr">
        <is>
          <t>Styczeń</t>
        </is>
      </c>
      <c r="E1267" t="inlineStr">
        <is>
          <t>W1</t>
        </is>
      </c>
      <c r="F1267" t="inlineStr">
        <is>
          <t>2026_Styczeń_W1</t>
        </is>
      </c>
      <c r="G1267" t="inlineStr">
        <is>
          <t>Sob</t>
        </is>
      </c>
      <c r="H1267" t="inlineStr">
        <is>
          <t>WALCZAK, WIKTORIA</t>
        </is>
      </c>
      <c r="I1267" t="inlineStr">
        <is>
          <t>Crew Civil</t>
        </is>
      </c>
      <c r="J1267" t="inlineStr">
        <is>
          <t>Zlecenie</t>
        </is>
      </c>
      <c r="K1267" t="n">
        <v>8.06</v>
      </c>
      <c r="L1267" t="inlineStr">
        <is>
          <t>384</t>
        </is>
      </c>
      <c r="M1267" t="inlineStr">
        <is>
          <t>108120 SBX Warszawa Janki</t>
        </is>
      </c>
      <c r="N1267" t="inlineStr">
        <is>
          <t>2026-09-11 19:06</t>
        </is>
      </c>
    </row>
    <row r="1268">
      <c r="A1268" t="n">
        <v>1267</v>
      </c>
      <c r="B1268" t="inlineStr">
        <is>
          <t>2026-01-08</t>
        </is>
      </c>
      <c r="C1268" t="n">
        <v>2026</v>
      </c>
      <c r="D1268" t="inlineStr">
        <is>
          <t>Styczeń</t>
        </is>
      </c>
      <c r="E1268" t="inlineStr">
        <is>
          <t>W2</t>
        </is>
      </c>
      <c r="F1268" t="inlineStr">
        <is>
          <t>2026_Styczeń_W2</t>
        </is>
      </c>
      <c r="G1268" t="inlineStr">
        <is>
          <t>Czw</t>
        </is>
      </c>
      <c r="H1268" t="inlineStr">
        <is>
          <t>WALCZAK, WIKTORIA</t>
        </is>
      </c>
      <c r="I1268" t="inlineStr">
        <is>
          <t>Crew Civil</t>
        </is>
      </c>
      <c r="J1268" t="inlineStr">
        <is>
          <t>Zlecenie</t>
        </is>
      </c>
      <c r="K1268" t="n">
        <v>7</v>
      </c>
      <c r="L1268" t="inlineStr">
        <is>
          <t>384</t>
        </is>
      </c>
      <c r="M1268" t="inlineStr">
        <is>
          <t>108120 SBX Warszawa Janki</t>
        </is>
      </c>
      <c r="N1268" t="inlineStr">
        <is>
          <t>2026-09-11 19:06</t>
        </is>
      </c>
    </row>
    <row r="1269">
      <c r="A1269" t="n">
        <v>1268</v>
      </c>
      <c r="B1269" t="inlineStr">
        <is>
          <t>2026-01-12</t>
        </is>
      </c>
      <c r="C1269" t="n">
        <v>2026</v>
      </c>
      <c r="D1269" t="inlineStr">
        <is>
          <t>Styczeń</t>
        </is>
      </c>
      <c r="E1269" t="inlineStr">
        <is>
          <t>W2</t>
        </is>
      </c>
      <c r="F1269" t="inlineStr">
        <is>
          <t>2026_Styczeń_W2</t>
        </is>
      </c>
      <c r="G1269" t="inlineStr">
        <is>
          <t>Pn</t>
        </is>
      </c>
      <c r="H1269" t="inlineStr">
        <is>
          <t>WALCZAK, WIKTORIA</t>
        </is>
      </c>
      <c r="I1269" t="inlineStr">
        <is>
          <t>Crew Civil</t>
        </is>
      </c>
      <c r="J1269" t="inlineStr">
        <is>
          <t>Zlecenie</t>
        </is>
      </c>
      <c r="K1269" t="n">
        <v>8</v>
      </c>
      <c r="L1269" t="inlineStr">
        <is>
          <t>384</t>
        </is>
      </c>
      <c r="M1269" t="inlineStr">
        <is>
          <t>108120 SBX Warszawa Janki</t>
        </is>
      </c>
      <c r="N1269" t="inlineStr">
        <is>
          <t>2026-09-11 19:06</t>
        </is>
      </c>
    </row>
    <row r="1270">
      <c r="A1270" t="n">
        <v>1269</v>
      </c>
      <c r="B1270" t="inlineStr">
        <is>
          <t>2026-01-23</t>
        </is>
      </c>
      <c r="C1270" t="n">
        <v>2026</v>
      </c>
      <c r="D1270" t="inlineStr">
        <is>
          <t>Styczeń</t>
        </is>
      </c>
      <c r="E1270" t="inlineStr">
        <is>
          <t>W4</t>
        </is>
      </c>
      <c r="F1270" t="inlineStr">
        <is>
          <t>2026_Styczeń_W4</t>
        </is>
      </c>
      <c r="G1270" t="inlineStr">
        <is>
          <t>Pt</t>
        </is>
      </c>
      <c r="H1270" t="inlineStr">
        <is>
          <t>WALCZAK, WIKTORIA</t>
        </is>
      </c>
      <c r="I1270" t="inlineStr">
        <is>
          <t>Crew Civil</t>
        </is>
      </c>
      <c r="J1270" t="inlineStr">
        <is>
          <t>Zlecenie</t>
        </is>
      </c>
      <c r="K1270" t="n">
        <v>7.8</v>
      </c>
      <c r="L1270" t="inlineStr">
        <is>
          <t>384</t>
        </is>
      </c>
      <c r="M1270" t="inlineStr">
        <is>
          <t>108120 SBX Warszawa Janki</t>
        </is>
      </c>
      <c r="N1270" t="inlineStr">
        <is>
          <t>2026-09-11 19:06</t>
        </is>
      </c>
    </row>
    <row r="1271">
      <c r="A1271" t="n">
        <v>1270</v>
      </c>
      <c r="B1271" t="inlineStr">
        <is>
          <t>2026-01-25</t>
        </is>
      </c>
      <c r="C1271" t="n">
        <v>2026</v>
      </c>
      <c r="D1271" t="inlineStr">
        <is>
          <t>Styczeń</t>
        </is>
      </c>
      <c r="E1271" t="inlineStr">
        <is>
          <t>W4</t>
        </is>
      </c>
      <c r="F1271" t="inlineStr">
        <is>
          <t>2026_Styczeń_W4</t>
        </is>
      </c>
      <c r="G1271" t="inlineStr">
        <is>
          <t>Nd</t>
        </is>
      </c>
      <c r="H1271" t="inlineStr">
        <is>
          <t>WALCZAK, WIKTORIA</t>
        </is>
      </c>
      <c r="I1271" t="inlineStr">
        <is>
          <t>Crew Civil</t>
        </is>
      </c>
      <c r="J1271" t="inlineStr">
        <is>
          <t>Zlecenie</t>
        </is>
      </c>
      <c r="K1271" t="n">
        <v>7.02</v>
      </c>
      <c r="L1271" t="inlineStr">
        <is>
          <t>384</t>
        </is>
      </c>
      <c r="M1271" t="inlineStr">
        <is>
          <t>108120 SBX Warszawa Janki</t>
        </is>
      </c>
      <c r="N1271" t="inlineStr">
        <is>
          <t>2026-09-11 19:06</t>
        </is>
      </c>
    </row>
    <row r="1272">
      <c r="A1272" t="n">
        <v>1271</v>
      </c>
      <c r="B1272" t="inlineStr">
        <is>
          <t>2026-01-26</t>
        </is>
      </c>
      <c r="C1272" t="n">
        <v>2026</v>
      </c>
      <c r="D1272" t="inlineStr">
        <is>
          <t>Styczeń</t>
        </is>
      </c>
      <c r="E1272" t="inlineStr">
        <is>
          <t>W4</t>
        </is>
      </c>
      <c r="F1272" t="inlineStr">
        <is>
          <t>2026_Styczeń_W4</t>
        </is>
      </c>
      <c r="G1272" t="inlineStr">
        <is>
          <t>Pn</t>
        </is>
      </c>
      <c r="H1272" t="inlineStr">
        <is>
          <t>WALCZAK, WIKTORIA</t>
        </is>
      </c>
      <c r="I1272" t="inlineStr">
        <is>
          <t>Crew Civil</t>
        </is>
      </c>
      <c r="J1272" t="inlineStr">
        <is>
          <t>Zlecenie</t>
        </is>
      </c>
      <c r="K1272" t="n">
        <v>6.52</v>
      </c>
      <c r="L1272" t="inlineStr">
        <is>
          <t>384</t>
        </is>
      </c>
      <c r="M1272" t="inlineStr">
        <is>
          <t>108120 SBX Warszawa Janki</t>
        </is>
      </c>
      <c r="N1272" t="inlineStr">
        <is>
          <t>2026-09-11 19:06</t>
        </is>
      </c>
    </row>
    <row r="1273">
      <c r="A1273" t="n">
        <v>1272</v>
      </c>
      <c r="B1273" t="inlineStr">
        <is>
          <t>2026-01-29</t>
        </is>
      </c>
      <c r="C1273" t="n">
        <v>2026</v>
      </c>
      <c r="D1273" t="inlineStr">
        <is>
          <t>Styczeń</t>
        </is>
      </c>
      <c r="E1273" t="inlineStr">
        <is>
          <t>W5</t>
        </is>
      </c>
      <c r="F1273" t="inlineStr">
        <is>
          <t>2026_Styczeń_W5</t>
        </is>
      </c>
      <c r="G1273" t="inlineStr">
        <is>
          <t>Czw</t>
        </is>
      </c>
      <c r="H1273" t="inlineStr">
        <is>
          <t>WALCZAK, WIKTORIA</t>
        </is>
      </c>
      <c r="I1273" t="inlineStr">
        <is>
          <t>Crew Civil</t>
        </is>
      </c>
      <c r="J1273" t="inlineStr">
        <is>
          <t>Zlecenie</t>
        </is>
      </c>
      <c r="K1273" t="n">
        <v>5.39</v>
      </c>
      <c r="L1273" t="inlineStr">
        <is>
          <t>384</t>
        </is>
      </c>
      <c r="M1273" t="inlineStr">
        <is>
          <t>108120 SBX Warszawa Janki</t>
        </is>
      </c>
      <c r="N1273" t="inlineStr">
        <is>
          <t>2026-09-11 19:06</t>
        </is>
      </c>
    </row>
    <row r="1274">
      <c r="A1274" t="n">
        <v>1273</v>
      </c>
      <c r="B1274" t="inlineStr">
        <is>
          <t>2026-02-05</t>
        </is>
      </c>
      <c r="C1274" t="n">
        <v>2026</v>
      </c>
      <c r="D1274" t="inlineStr">
        <is>
          <t>Luty</t>
        </is>
      </c>
      <c r="E1274" t="inlineStr">
        <is>
          <t>W2</t>
        </is>
      </c>
      <c r="F1274" t="inlineStr">
        <is>
          <t>2026_Luty_W2</t>
        </is>
      </c>
      <c r="G1274" t="inlineStr">
        <is>
          <t>Czw</t>
        </is>
      </c>
      <c r="H1274" t="inlineStr">
        <is>
          <t>WALCZAK, WIKTORIA</t>
        </is>
      </c>
      <c r="I1274" t="inlineStr">
        <is>
          <t>Crew Civil</t>
        </is>
      </c>
      <c r="J1274" t="inlineStr">
        <is>
          <t>Zlecenie</t>
        </is>
      </c>
      <c r="K1274" t="n">
        <v>7.05</v>
      </c>
      <c r="L1274" t="inlineStr">
        <is>
          <t>384</t>
        </is>
      </c>
      <c r="M1274" t="inlineStr">
        <is>
          <t>108120 SBX Warszawa Janki</t>
        </is>
      </c>
      <c r="N1274" t="inlineStr">
        <is>
          <t>2026-09-11 19:06</t>
        </is>
      </c>
    </row>
    <row r="1275">
      <c r="A1275" t="n">
        <v>1274</v>
      </c>
      <c r="B1275" t="inlineStr">
        <is>
          <t>2026-02-06</t>
        </is>
      </c>
      <c r="C1275" t="n">
        <v>2026</v>
      </c>
      <c r="D1275" t="inlineStr">
        <is>
          <t>Luty</t>
        </is>
      </c>
      <c r="E1275" t="inlineStr">
        <is>
          <t>W2</t>
        </is>
      </c>
      <c r="F1275" t="inlineStr">
        <is>
          <t>2026_Luty_W2</t>
        </is>
      </c>
      <c r="G1275" t="inlineStr">
        <is>
          <t>Pt</t>
        </is>
      </c>
      <c r="H1275" t="inlineStr">
        <is>
          <t>WALCZAK, WIKTORIA</t>
        </is>
      </c>
      <c r="I1275" t="inlineStr">
        <is>
          <t>Crew Civil</t>
        </is>
      </c>
      <c r="J1275" t="inlineStr">
        <is>
          <t>Zlecenie</t>
        </is>
      </c>
      <c r="K1275" t="n">
        <v>8.07</v>
      </c>
      <c r="L1275" t="inlineStr">
        <is>
          <t>384</t>
        </is>
      </c>
      <c r="M1275" t="inlineStr">
        <is>
          <t>108120 SBX Warszawa Janki</t>
        </is>
      </c>
      <c r="N1275" t="inlineStr">
        <is>
          <t>2026-09-11 19:06</t>
        </is>
      </c>
    </row>
    <row r="1276">
      <c r="A1276" t="n">
        <v>1275</v>
      </c>
      <c r="B1276" t="inlineStr">
        <is>
          <t>2026-02-11</t>
        </is>
      </c>
      <c r="C1276" t="n">
        <v>2026</v>
      </c>
      <c r="D1276" t="inlineStr">
        <is>
          <t>Luty</t>
        </is>
      </c>
      <c r="E1276" t="inlineStr">
        <is>
          <t>W3</t>
        </is>
      </c>
      <c r="F1276" t="inlineStr">
        <is>
          <t>2026_Luty_W3</t>
        </is>
      </c>
      <c r="G1276" t="inlineStr">
        <is>
          <t>Śr</t>
        </is>
      </c>
      <c r="H1276" t="inlineStr">
        <is>
          <t>WALCZAK, WIKTORIA</t>
        </is>
      </c>
      <c r="I1276" t="inlineStr">
        <is>
          <t>Crew Civil</t>
        </is>
      </c>
      <c r="J1276" t="inlineStr">
        <is>
          <t>Zlecenie</t>
        </is>
      </c>
      <c r="K1276" t="n">
        <v>8.01</v>
      </c>
      <c r="L1276" t="inlineStr">
        <is>
          <t>384</t>
        </is>
      </c>
      <c r="M1276" t="inlineStr">
        <is>
          <t>108120 SBX Warszawa Janki</t>
        </is>
      </c>
      <c r="N1276" t="inlineStr">
        <is>
          <t>2026-09-11 19:06</t>
        </is>
      </c>
    </row>
    <row r="1277">
      <c r="A1277" t="n">
        <v>1276</v>
      </c>
      <c r="B1277" t="inlineStr">
        <is>
          <t>2026-02-19</t>
        </is>
      </c>
      <c r="C1277" t="n">
        <v>2026</v>
      </c>
      <c r="D1277" t="inlineStr">
        <is>
          <t>Luty</t>
        </is>
      </c>
      <c r="E1277" t="inlineStr">
        <is>
          <t>W4</t>
        </is>
      </c>
      <c r="F1277" t="inlineStr">
        <is>
          <t>2026_Luty_W4</t>
        </is>
      </c>
      <c r="G1277" t="inlineStr">
        <is>
          <t>Czw</t>
        </is>
      </c>
      <c r="H1277" t="inlineStr">
        <is>
          <t>WALCZAK, WIKTORIA</t>
        </is>
      </c>
      <c r="I1277" t="inlineStr">
        <is>
          <t>Crew Civil</t>
        </is>
      </c>
      <c r="J1277" t="inlineStr">
        <is>
          <t>Zlecenie</t>
        </is>
      </c>
      <c r="K1277" t="n">
        <v>6.86</v>
      </c>
      <c r="L1277" t="inlineStr">
        <is>
          <t>384</t>
        </is>
      </c>
      <c r="M1277" t="inlineStr">
        <is>
          <t>108120 SBX Warszawa Janki</t>
        </is>
      </c>
      <c r="N1277" t="inlineStr">
        <is>
          <t>2026-09-11 19:06</t>
        </is>
      </c>
    </row>
    <row r="1278">
      <c r="A1278" t="n">
        <v>1277</v>
      </c>
      <c r="B1278" t="inlineStr">
        <is>
          <t>2026-02-20</t>
        </is>
      </c>
      <c r="C1278" t="n">
        <v>2026</v>
      </c>
      <c r="D1278" t="inlineStr">
        <is>
          <t>Luty</t>
        </is>
      </c>
      <c r="E1278" t="inlineStr">
        <is>
          <t>W4</t>
        </is>
      </c>
      <c r="F1278" t="inlineStr">
        <is>
          <t>2026_Luty_W4</t>
        </is>
      </c>
      <c r="G1278" t="inlineStr">
        <is>
          <t>Pt</t>
        </is>
      </c>
      <c r="H1278" t="inlineStr">
        <is>
          <t>WALCZAK, WIKTORIA</t>
        </is>
      </c>
      <c r="I1278" t="inlineStr">
        <is>
          <t>Crew Civil</t>
        </is>
      </c>
      <c r="J1278" t="inlineStr">
        <is>
          <t>Zlecenie</t>
        </is>
      </c>
      <c r="K1278" t="n">
        <v>6.53</v>
      </c>
      <c r="L1278" t="inlineStr">
        <is>
          <t>384</t>
        </is>
      </c>
      <c r="M1278" t="inlineStr">
        <is>
          <t>108120 SBX Warszawa Janki</t>
        </is>
      </c>
      <c r="N1278" t="inlineStr">
        <is>
          <t>2026-09-11 19:06</t>
        </is>
      </c>
    </row>
    <row r="1279">
      <c r="A1279" t="n">
        <v>1278</v>
      </c>
      <c r="B1279" t="inlineStr">
        <is>
          <t>2026-02-23</t>
        </is>
      </c>
      <c r="C1279" t="n">
        <v>2026</v>
      </c>
      <c r="D1279" t="inlineStr">
        <is>
          <t>Luty</t>
        </is>
      </c>
      <c r="E1279" t="inlineStr">
        <is>
          <t>W4</t>
        </is>
      </c>
      <c r="F1279" t="inlineStr">
        <is>
          <t>2026_Luty_W4</t>
        </is>
      </c>
      <c r="G1279" t="inlineStr">
        <is>
          <t>Pn</t>
        </is>
      </c>
      <c r="H1279" t="inlineStr">
        <is>
          <t>WALCZAK, WIKTORIA</t>
        </is>
      </c>
      <c r="I1279" t="inlineStr">
        <is>
          <t>Crew Civil</t>
        </is>
      </c>
      <c r="J1279" t="inlineStr">
        <is>
          <t>Zlecenie</t>
        </is>
      </c>
      <c r="K1279" t="n">
        <v>7.79</v>
      </c>
      <c r="L1279" t="inlineStr">
        <is>
          <t>384</t>
        </is>
      </c>
      <c r="M1279" t="inlineStr">
        <is>
          <t>108120 SBX Warszawa Janki</t>
        </is>
      </c>
      <c r="N1279" t="inlineStr">
        <is>
          <t>2026-09-11 19:06</t>
        </is>
      </c>
    </row>
    <row r="1280">
      <c r="A1280" t="n">
        <v>1279</v>
      </c>
      <c r="B1280" t="inlineStr">
        <is>
          <t>2026-02-27</t>
        </is>
      </c>
      <c r="C1280" t="n">
        <v>2026</v>
      </c>
      <c r="D1280" t="inlineStr">
        <is>
          <t>Luty</t>
        </is>
      </c>
      <c r="E1280" t="inlineStr">
        <is>
          <t>W5</t>
        </is>
      </c>
      <c r="F1280" t="inlineStr">
        <is>
          <t>2026_Luty_W5</t>
        </is>
      </c>
      <c r="G1280" t="inlineStr">
        <is>
          <t>Pt</t>
        </is>
      </c>
      <c r="H1280" t="inlineStr">
        <is>
          <t>WALCZAK, WIKTORIA</t>
        </is>
      </c>
      <c r="I1280" t="inlineStr">
        <is>
          <t>Crew Civil</t>
        </is>
      </c>
      <c r="J1280" t="inlineStr">
        <is>
          <t>Zlecenie</t>
        </is>
      </c>
      <c r="K1280" t="n">
        <v>7.91</v>
      </c>
      <c r="L1280" t="inlineStr">
        <is>
          <t>384</t>
        </is>
      </c>
      <c r="M1280" t="inlineStr">
        <is>
          <t>108120 SBX Warszawa Janki</t>
        </is>
      </c>
      <c r="N1280" t="inlineStr">
        <is>
          <t>2026-09-11 19:06</t>
        </is>
      </c>
    </row>
    <row r="1281">
      <c r="A1281" t="n">
        <v>1280</v>
      </c>
      <c r="B1281" t="inlineStr">
        <is>
          <t>2026-02-28</t>
        </is>
      </c>
      <c r="C1281" t="n">
        <v>2026</v>
      </c>
      <c r="D1281" t="inlineStr">
        <is>
          <t>Luty</t>
        </is>
      </c>
      <c r="E1281" t="inlineStr">
        <is>
          <t>W5</t>
        </is>
      </c>
      <c r="F1281" t="inlineStr">
        <is>
          <t>2026_Luty_W5</t>
        </is>
      </c>
      <c r="G1281" t="inlineStr">
        <is>
          <t>Sob</t>
        </is>
      </c>
      <c r="H1281" t="inlineStr">
        <is>
          <t>WALCZAK, WIKTORIA</t>
        </is>
      </c>
      <c r="I1281" t="inlineStr">
        <is>
          <t>Crew Civil</t>
        </is>
      </c>
      <c r="J1281" t="inlineStr">
        <is>
          <t>Zlecenie</t>
        </is>
      </c>
      <c r="K1281" t="n">
        <v>7.91</v>
      </c>
      <c r="L1281" t="inlineStr">
        <is>
          <t>384</t>
        </is>
      </c>
      <c r="M1281" t="inlineStr">
        <is>
          <t>108120 SBX Warszawa Janki</t>
        </is>
      </c>
      <c r="N1281" t="inlineStr">
        <is>
          <t>2026-09-11 19:06</t>
        </is>
      </c>
    </row>
    <row r="1282">
      <c r="A1282" t="n">
        <v>1281</v>
      </c>
      <c r="B1282" t="inlineStr">
        <is>
          <t>2026-03-09</t>
        </is>
      </c>
      <c r="C1282" t="n">
        <v>2026</v>
      </c>
      <c r="D1282" t="inlineStr">
        <is>
          <t>Marzec</t>
        </is>
      </c>
      <c r="E1282" t="inlineStr">
        <is>
          <t>W2</t>
        </is>
      </c>
      <c r="F1282" t="inlineStr">
        <is>
          <t>2026_Marzec_W2</t>
        </is>
      </c>
      <c r="G1282" t="inlineStr">
        <is>
          <t>Pn</t>
        </is>
      </c>
      <c r="H1282" t="inlineStr">
        <is>
          <t>WALCZAK, WIKTORIA</t>
        </is>
      </c>
      <c r="I1282" t="inlineStr">
        <is>
          <t>Crew Civil</t>
        </is>
      </c>
      <c r="J1282" t="inlineStr">
        <is>
          <t>Zlecenie</t>
        </is>
      </c>
      <c r="K1282" t="n">
        <v>1.5</v>
      </c>
      <c r="L1282" t="inlineStr">
        <is>
          <t>384</t>
        </is>
      </c>
      <c r="M1282" t="inlineStr">
        <is>
          <t>108120 SBX Warszawa Janki</t>
        </is>
      </c>
      <c r="N1282" t="inlineStr">
        <is>
          <t>2026-09-11 19:06</t>
        </is>
      </c>
    </row>
    <row r="1283">
      <c r="A1283" t="n">
        <v>1282</v>
      </c>
      <c r="B1283" t="inlineStr">
        <is>
          <t>2026-03-13</t>
        </is>
      </c>
      <c r="C1283" t="n">
        <v>2026</v>
      </c>
      <c r="D1283" t="inlineStr">
        <is>
          <t>Marzec</t>
        </is>
      </c>
      <c r="E1283" t="inlineStr">
        <is>
          <t>W3</t>
        </is>
      </c>
      <c r="F1283" t="inlineStr">
        <is>
          <t>2026_Marzec_W3</t>
        </is>
      </c>
      <c r="G1283" t="inlineStr">
        <is>
          <t>Pt</t>
        </is>
      </c>
      <c r="H1283" t="inlineStr">
        <is>
          <t>WALCZAK, WIKTORIA</t>
        </is>
      </c>
      <c r="I1283" t="inlineStr">
        <is>
          <t>Crew Civil</t>
        </is>
      </c>
      <c r="J1283" t="inlineStr">
        <is>
          <t>Zlecenie</t>
        </is>
      </c>
      <c r="K1283" t="n">
        <v>8</v>
      </c>
      <c r="L1283" t="inlineStr">
        <is>
          <t>384</t>
        </is>
      </c>
      <c r="M1283" t="inlineStr">
        <is>
          <t>108120 SBX Warszawa Janki</t>
        </is>
      </c>
      <c r="N1283" t="inlineStr">
        <is>
          <t>2026-09-11 19:06</t>
        </is>
      </c>
    </row>
    <row r="1284">
      <c r="A1284" t="n">
        <v>1283</v>
      </c>
      <c r="B1284" t="inlineStr">
        <is>
          <t>2026-03-18</t>
        </is>
      </c>
      <c r="C1284" t="n">
        <v>2026</v>
      </c>
      <c r="D1284" t="inlineStr">
        <is>
          <t>Marzec</t>
        </is>
      </c>
      <c r="E1284" t="inlineStr">
        <is>
          <t>W4</t>
        </is>
      </c>
      <c r="F1284" t="inlineStr">
        <is>
          <t>2026_Marzec_W4</t>
        </is>
      </c>
      <c r="G1284" t="inlineStr">
        <is>
          <t>Śr</t>
        </is>
      </c>
      <c r="H1284" t="inlineStr">
        <is>
          <t>WALCZAK, WIKTORIA</t>
        </is>
      </c>
      <c r="I1284" t="inlineStr">
        <is>
          <t>Crew Civil</t>
        </is>
      </c>
      <c r="J1284" t="inlineStr">
        <is>
          <t>Zlecenie</t>
        </is>
      </c>
      <c r="K1284" t="n">
        <v>7.25</v>
      </c>
      <c r="L1284" t="inlineStr">
        <is>
          <t>384</t>
        </is>
      </c>
      <c r="M1284" t="inlineStr">
        <is>
          <t>108120 SBX Warszawa Janki</t>
        </is>
      </c>
      <c r="N1284" t="inlineStr">
        <is>
          <t>2026-09-11 19:06</t>
        </is>
      </c>
    </row>
    <row r="1285">
      <c r="A1285" t="n">
        <v>1284</v>
      </c>
      <c r="B1285" t="inlineStr">
        <is>
          <t>2026-03-20</t>
        </is>
      </c>
      <c r="C1285" t="n">
        <v>2026</v>
      </c>
      <c r="D1285" t="inlineStr">
        <is>
          <t>Marzec</t>
        </is>
      </c>
      <c r="E1285" t="inlineStr">
        <is>
          <t>W4</t>
        </is>
      </c>
      <c r="F1285" t="inlineStr">
        <is>
          <t>2026_Marzec_W4</t>
        </is>
      </c>
      <c r="G1285" t="inlineStr">
        <is>
          <t>Pt</t>
        </is>
      </c>
      <c r="H1285" t="inlineStr">
        <is>
          <t>WALCZAK, WIKTORIA</t>
        </is>
      </c>
      <c r="I1285" t="inlineStr">
        <is>
          <t>Crew Civil</t>
        </is>
      </c>
      <c r="J1285" t="inlineStr">
        <is>
          <t>Zlecenie</t>
        </is>
      </c>
      <c r="K1285" t="n">
        <v>7.5</v>
      </c>
      <c r="L1285" t="inlineStr">
        <is>
          <t>384</t>
        </is>
      </c>
      <c r="M1285" t="inlineStr">
        <is>
          <t>108120 SBX Warszawa Janki</t>
        </is>
      </c>
      <c r="N1285" t="inlineStr">
        <is>
          <t>2026-09-11 19:06</t>
        </is>
      </c>
    </row>
    <row r="1286">
      <c r="A1286" t="n">
        <v>1285</v>
      </c>
      <c r="B1286" t="inlineStr">
        <is>
          <t>2026-03-25</t>
        </is>
      </c>
      <c r="C1286" t="n">
        <v>2026</v>
      </c>
      <c r="D1286" t="inlineStr">
        <is>
          <t>Marzec</t>
        </is>
      </c>
      <c r="E1286" t="inlineStr">
        <is>
          <t>W5</t>
        </is>
      </c>
      <c r="F1286" t="inlineStr">
        <is>
          <t>2026_Marzec_W5</t>
        </is>
      </c>
      <c r="G1286" t="inlineStr">
        <is>
          <t>Śr</t>
        </is>
      </c>
      <c r="H1286" t="inlineStr">
        <is>
          <t>WALCZAK, WIKTORIA</t>
        </is>
      </c>
      <c r="I1286" t="inlineStr">
        <is>
          <t>Crew Civil</t>
        </is>
      </c>
      <c r="J1286" t="inlineStr">
        <is>
          <t>Zlecenie</t>
        </is>
      </c>
      <c r="K1286" t="n">
        <v>6.96</v>
      </c>
      <c r="L1286" t="inlineStr">
        <is>
          <t>384</t>
        </is>
      </c>
      <c r="M1286" t="inlineStr">
        <is>
          <t>108120 SBX Warszawa Janki</t>
        </is>
      </c>
      <c r="N1286" t="inlineStr">
        <is>
          <t>2026-09-11 19:06</t>
        </is>
      </c>
    </row>
    <row r="1287">
      <c r="A1287" t="n">
        <v>1286</v>
      </c>
      <c r="B1287" t="inlineStr">
        <is>
          <t>2026-03-27</t>
        </is>
      </c>
      <c r="C1287" t="n">
        <v>2026</v>
      </c>
      <c r="D1287" t="inlineStr">
        <is>
          <t>Marzec</t>
        </is>
      </c>
      <c r="E1287" t="inlineStr">
        <is>
          <t>W5</t>
        </is>
      </c>
      <c r="F1287" t="inlineStr">
        <is>
          <t>2026_Marzec_W5</t>
        </is>
      </c>
      <c r="G1287" t="inlineStr">
        <is>
          <t>Pt</t>
        </is>
      </c>
      <c r="H1287" t="inlineStr">
        <is>
          <t>WALCZAK, WIKTORIA</t>
        </is>
      </c>
      <c r="I1287" t="inlineStr">
        <is>
          <t>Crew Civil</t>
        </is>
      </c>
      <c r="J1287" t="inlineStr">
        <is>
          <t>Zlecenie</t>
        </is>
      </c>
      <c r="K1287" t="n">
        <v>7.05</v>
      </c>
      <c r="L1287" t="inlineStr">
        <is>
          <t>384</t>
        </is>
      </c>
      <c r="M1287" t="inlineStr">
        <is>
          <t>108120 SBX Warszawa Janki</t>
        </is>
      </c>
      <c r="N1287" t="inlineStr">
        <is>
          <t>2026-09-11 19:06</t>
        </is>
      </c>
    </row>
    <row r="1288">
      <c r="A1288" t="n">
        <v>1287</v>
      </c>
      <c r="B1288" t="inlineStr">
        <is>
          <t>2026-03-28</t>
        </is>
      </c>
      <c r="C1288" t="n">
        <v>2026</v>
      </c>
      <c r="D1288" t="inlineStr">
        <is>
          <t>Marzec</t>
        </is>
      </c>
      <c r="E1288" t="inlineStr">
        <is>
          <t>W5</t>
        </is>
      </c>
      <c r="F1288" t="inlineStr">
        <is>
          <t>2026_Marzec_W5</t>
        </is>
      </c>
      <c r="G1288" t="inlineStr">
        <is>
          <t>Sob</t>
        </is>
      </c>
      <c r="H1288" t="inlineStr">
        <is>
          <t>WALCZAK, WIKTORIA</t>
        </is>
      </c>
      <c r="I1288" t="inlineStr">
        <is>
          <t>Crew Civil</t>
        </is>
      </c>
      <c r="J1288" t="inlineStr">
        <is>
          <t>Zlecenie</t>
        </is>
      </c>
      <c r="K1288" t="n">
        <v>7.18</v>
      </c>
      <c r="L1288" t="inlineStr">
        <is>
          <t>384</t>
        </is>
      </c>
      <c r="M1288" t="inlineStr">
        <is>
          <t>108120 SBX Warszawa Janki</t>
        </is>
      </c>
      <c r="N1288" t="inlineStr">
        <is>
          <t>2026-09-11 19:06</t>
        </is>
      </c>
    </row>
    <row r="1289">
      <c r="A1289" t="n">
        <v>1288</v>
      </c>
      <c r="B1289" t="inlineStr">
        <is>
          <t>2026-04-08</t>
        </is>
      </c>
      <c r="C1289" t="n">
        <v>2026</v>
      </c>
      <c r="D1289" t="inlineStr">
        <is>
          <t>Kwiecień</t>
        </is>
      </c>
      <c r="E1289" t="inlineStr">
        <is>
          <t>W2</t>
        </is>
      </c>
      <c r="F1289" t="inlineStr">
        <is>
          <t>2026_Kwiecień_W2</t>
        </is>
      </c>
      <c r="G1289" t="inlineStr">
        <is>
          <t>Śr</t>
        </is>
      </c>
      <c r="H1289" t="inlineStr">
        <is>
          <t>WALCZAK, WIKTORIA</t>
        </is>
      </c>
      <c r="I1289" t="inlineStr">
        <is>
          <t>Crew Civil</t>
        </is>
      </c>
      <c r="J1289" t="inlineStr">
        <is>
          <t>Zlecenie</t>
        </is>
      </c>
      <c r="K1289" t="n">
        <v>6</v>
      </c>
      <c r="L1289" t="inlineStr">
        <is>
          <t>384</t>
        </is>
      </c>
      <c r="M1289" t="inlineStr">
        <is>
          <t>108120 SBX Warszawa Janki</t>
        </is>
      </c>
      <c r="N1289" t="inlineStr">
        <is>
          <t>2026-09-11 19:06</t>
        </is>
      </c>
    </row>
    <row r="1290">
      <c r="A1290" t="n">
        <v>1289</v>
      </c>
      <c r="B1290" t="inlineStr">
        <is>
          <t>2026-04-10</t>
        </is>
      </c>
      <c r="C1290" t="n">
        <v>2026</v>
      </c>
      <c r="D1290" t="inlineStr">
        <is>
          <t>Kwiecień</t>
        </is>
      </c>
      <c r="E1290" t="inlineStr">
        <is>
          <t>W2</t>
        </is>
      </c>
      <c r="F1290" t="inlineStr">
        <is>
          <t>2026_Kwiecień_W2</t>
        </is>
      </c>
      <c r="G1290" t="inlineStr">
        <is>
          <t>Pt</t>
        </is>
      </c>
      <c r="H1290" t="inlineStr">
        <is>
          <t>WALCZAK, WIKTORIA</t>
        </is>
      </c>
      <c r="I1290" t="inlineStr">
        <is>
          <t>Crew Civil</t>
        </is>
      </c>
      <c r="J1290" t="inlineStr">
        <is>
          <t>Zlecenie</t>
        </is>
      </c>
      <c r="K1290" t="n">
        <v>7.97</v>
      </c>
      <c r="L1290" t="inlineStr">
        <is>
          <t>384</t>
        </is>
      </c>
      <c r="M1290" t="inlineStr">
        <is>
          <t>108120 SBX Warszawa Janki</t>
        </is>
      </c>
      <c r="N1290" t="inlineStr">
        <is>
          <t>2026-09-11 19:06</t>
        </is>
      </c>
    </row>
    <row r="1291">
      <c r="A1291" t="n">
        <v>1290</v>
      </c>
      <c r="B1291" t="inlineStr">
        <is>
          <t>2026-04-15</t>
        </is>
      </c>
      <c r="C1291" t="n">
        <v>2026</v>
      </c>
      <c r="D1291" t="inlineStr">
        <is>
          <t>Kwiecień</t>
        </is>
      </c>
      <c r="E1291" t="inlineStr">
        <is>
          <t>W3</t>
        </is>
      </c>
      <c r="F1291" t="inlineStr">
        <is>
          <t>2026_Kwiecień_W3</t>
        </is>
      </c>
      <c r="G1291" t="inlineStr">
        <is>
          <t>Śr</t>
        </is>
      </c>
      <c r="H1291" t="inlineStr">
        <is>
          <t>WALCZAK, WIKTORIA</t>
        </is>
      </c>
      <c r="I1291" t="inlineStr">
        <is>
          <t>Crew Civil</t>
        </is>
      </c>
      <c r="J1291" t="inlineStr">
        <is>
          <t>Zlecenie</t>
        </is>
      </c>
      <c r="K1291" t="n">
        <v>7.99</v>
      </c>
      <c r="L1291" t="inlineStr">
        <is>
          <t>384</t>
        </is>
      </c>
      <c r="M1291" t="inlineStr">
        <is>
          <t>108120 SBX Warszawa Janki</t>
        </is>
      </c>
      <c r="N1291" t="inlineStr">
        <is>
          <t>2026-09-11 19:06</t>
        </is>
      </c>
    </row>
    <row r="1292">
      <c r="A1292" t="n">
        <v>1291</v>
      </c>
      <c r="B1292" t="inlineStr">
        <is>
          <t>2026-04-16</t>
        </is>
      </c>
      <c r="C1292" t="n">
        <v>2026</v>
      </c>
      <c r="D1292" t="inlineStr">
        <is>
          <t>Kwiecień</t>
        </is>
      </c>
      <c r="E1292" t="inlineStr">
        <is>
          <t>W3</t>
        </is>
      </c>
      <c r="F1292" t="inlineStr">
        <is>
          <t>2026_Kwiecień_W3</t>
        </is>
      </c>
      <c r="G1292" t="inlineStr">
        <is>
          <t>Czw</t>
        </is>
      </c>
      <c r="H1292" t="inlineStr">
        <is>
          <t>WALCZAK, WIKTORIA</t>
        </is>
      </c>
      <c r="I1292" t="inlineStr">
        <is>
          <t>Crew Civil</t>
        </is>
      </c>
      <c r="J1292" t="inlineStr">
        <is>
          <t>Zlecenie</t>
        </is>
      </c>
      <c r="K1292" t="n">
        <v>5.96</v>
      </c>
      <c r="L1292" t="inlineStr">
        <is>
          <t>384</t>
        </is>
      </c>
      <c r="M1292" t="inlineStr">
        <is>
          <t>108120 SBX Warszawa Janki</t>
        </is>
      </c>
      <c r="N1292" t="inlineStr">
        <is>
          <t>2026-09-11 19:06</t>
        </is>
      </c>
    </row>
    <row r="1293">
      <c r="A1293" t="n">
        <v>1292</v>
      </c>
      <c r="B1293" t="inlineStr">
        <is>
          <t>2026-04-17</t>
        </is>
      </c>
      <c r="C1293" t="n">
        <v>2026</v>
      </c>
      <c r="D1293" t="inlineStr">
        <is>
          <t>Kwiecień</t>
        </is>
      </c>
      <c r="E1293" t="inlineStr">
        <is>
          <t>W3</t>
        </is>
      </c>
      <c r="F1293" t="inlineStr">
        <is>
          <t>2026_Kwiecień_W3</t>
        </is>
      </c>
      <c r="G1293" t="inlineStr">
        <is>
          <t>Pt</t>
        </is>
      </c>
      <c r="H1293" t="inlineStr">
        <is>
          <t>WALCZAK, WIKTORIA</t>
        </is>
      </c>
      <c r="I1293" t="inlineStr">
        <is>
          <t>Crew Civil</t>
        </is>
      </c>
      <c r="J1293" t="inlineStr">
        <is>
          <t>Zlecenie</t>
        </is>
      </c>
      <c r="K1293" t="n">
        <v>7.2</v>
      </c>
      <c r="L1293" t="inlineStr">
        <is>
          <t>384</t>
        </is>
      </c>
      <c r="M1293" t="inlineStr">
        <is>
          <t>108120 SBX Warszawa Janki</t>
        </is>
      </c>
      <c r="N1293" t="inlineStr">
        <is>
          <t>2026-09-11 19:06</t>
        </is>
      </c>
    </row>
    <row r="1294">
      <c r="A1294" t="n">
        <v>1293</v>
      </c>
      <c r="B1294" t="inlineStr">
        <is>
          <t>2026-04-22</t>
        </is>
      </c>
      <c r="C1294" t="n">
        <v>2026</v>
      </c>
      <c r="D1294" t="inlineStr">
        <is>
          <t>Kwiecień</t>
        </is>
      </c>
      <c r="E1294" t="inlineStr">
        <is>
          <t>W4</t>
        </is>
      </c>
      <c r="F1294" t="inlineStr">
        <is>
          <t>2026_Kwiecień_W4</t>
        </is>
      </c>
      <c r="G1294" t="inlineStr">
        <is>
          <t>Śr</t>
        </is>
      </c>
      <c r="H1294" t="inlineStr">
        <is>
          <t>WALCZAK, WIKTORIA</t>
        </is>
      </c>
      <c r="I1294" t="inlineStr">
        <is>
          <t>Crew Civil</t>
        </is>
      </c>
      <c r="J1294" t="inlineStr">
        <is>
          <t>Zlecenie</t>
        </is>
      </c>
      <c r="K1294" t="n">
        <v>7.86</v>
      </c>
      <c r="L1294" t="inlineStr">
        <is>
          <t>384</t>
        </is>
      </c>
      <c r="M1294" t="inlineStr">
        <is>
          <t>108120 SBX Warszawa Janki</t>
        </is>
      </c>
      <c r="N1294" t="inlineStr">
        <is>
          <t>2026-09-11 19:06</t>
        </is>
      </c>
    </row>
    <row r="1295">
      <c r="A1295" t="n">
        <v>1294</v>
      </c>
      <c r="B1295" t="inlineStr">
        <is>
          <t>2026-04-24</t>
        </is>
      </c>
      <c r="C1295" t="n">
        <v>2026</v>
      </c>
      <c r="D1295" t="inlineStr">
        <is>
          <t>Kwiecień</t>
        </is>
      </c>
      <c r="E1295" t="inlineStr">
        <is>
          <t>W4</t>
        </is>
      </c>
      <c r="F1295" t="inlineStr">
        <is>
          <t>2026_Kwiecień_W4</t>
        </is>
      </c>
      <c r="G1295" t="inlineStr">
        <is>
          <t>Pt</t>
        </is>
      </c>
      <c r="H1295" t="inlineStr">
        <is>
          <t>WALCZAK, WIKTORIA</t>
        </is>
      </c>
      <c r="I1295" t="inlineStr">
        <is>
          <t>Crew Civil</t>
        </is>
      </c>
      <c r="J1295" t="inlineStr">
        <is>
          <t>Zlecenie</t>
        </is>
      </c>
      <c r="K1295" t="n">
        <v>6.59</v>
      </c>
      <c r="L1295" t="inlineStr">
        <is>
          <t>384</t>
        </is>
      </c>
      <c r="M1295" t="inlineStr">
        <is>
          <t>108120 SBX Warszawa Janki</t>
        </is>
      </c>
      <c r="N1295" t="inlineStr">
        <is>
          <t>2026-09-11 19:06</t>
        </is>
      </c>
    </row>
    <row r="1296">
      <c r="A1296" t="n">
        <v>1295</v>
      </c>
      <c r="B1296" t="inlineStr">
        <is>
          <t>2026-04-28</t>
        </is>
      </c>
      <c r="C1296" t="n">
        <v>2026</v>
      </c>
      <c r="D1296" t="inlineStr">
        <is>
          <t>Kwiecień</t>
        </is>
      </c>
      <c r="E1296" t="inlineStr">
        <is>
          <t>W5</t>
        </is>
      </c>
      <c r="F1296" t="inlineStr">
        <is>
          <t>2026_Kwiecień_W5</t>
        </is>
      </c>
      <c r="G1296" t="inlineStr">
        <is>
          <t>Wt</t>
        </is>
      </c>
      <c r="H1296" t="inlineStr">
        <is>
          <t>WALCZAK, WIKTORIA</t>
        </is>
      </c>
      <c r="I1296" t="inlineStr">
        <is>
          <t>Crew Civil</t>
        </is>
      </c>
      <c r="J1296" t="inlineStr">
        <is>
          <t>Zlecenie</t>
        </is>
      </c>
      <c r="K1296" t="n">
        <v>2.5</v>
      </c>
      <c r="L1296" t="inlineStr">
        <is>
          <t>384</t>
        </is>
      </c>
      <c r="M1296" t="inlineStr">
        <is>
          <t>108120 SBX Warszawa Janki</t>
        </is>
      </c>
      <c r="N1296" t="inlineStr">
        <is>
          <t>2026-09-11 19:06</t>
        </is>
      </c>
    </row>
    <row r="1297">
      <c r="A1297" t="n">
        <v>1296</v>
      </c>
      <c r="B1297" t="inlineStr">
        <is>
          <t>2026-01-02</t>
        </is>
      </c>
      <c r="C1297" t="n">
        <v>2026</v>
      </c>
      <c r="D1297" t="inlineStr">
        <is>
          <t>Styczeń</t>
        </is>
      </c>
      <c r="E1297" t="inlineStr">
        <is>
          <t>W1</t>
        </is>
      </c>
      <c r="F1297" t="inlineStr">
        <is>
          <t>2026_Styczeń_W1</t>
        </is>
      </c>
      <c r="G1297" t="inlineStr">
        <is>
          <t>Pt</t>
        </is>
      </c>
      <c r="H1297" t="inlineStr">
        <is>
          <t>WIŚNIEWSKA, MAGDALENA</t>
        </is>
      </c>
      <c r="I1297" t="inlineStr">
        <is>
          <t>Crew</t>
        </is>
      </c>
      <c r="J1297" t="inlineStr">
        <is>
          <t>Standard 0,5|20h</t>
        </is>
      </c>
      <c r="K1297" t="n">
        <v>8.42</v>
      </c>
      <c r="L1297" t="inlineStr">
        <is>
          <t>384</t>
        </is>
      </c>
      <c r="M1297" t="inlineStr">
        <is>
          <t>108120 SBX Warszawa Janki</t>
        </is>
      </c>
      <c r="N1297" t="inlineStr">
        <is>
          <t>2026-09-11 19:06</t>
        </is>
      </c>
    </row>
    <row r="1298">
      <c r="A1298" t="n">
        <v>1297</v>
      </c>
      <c r="B1298" t="inlineStr">
        <is>
          <t>2026-01-03</t>
        </is>
      </c>
      <c r="C1298" t="n">
        <v>2026</v>
      </c>
      <c r="D1298" t="inlineStr">
        <is>
          <t>Styczeń</t>
        </is>
      </c>
      <c r="E1298" t="inlineStr">
        <is>
          <t>W1</t>
        </is>
      </c>
      <c r="F1298" t="inlineStr">
        <is>
          <t>2026_Styczeń_W1</t>
        </is>
      </c>
      <c r="G1298" t="inlineStr">
        <is>
          <t>Sob</t>
        </is>
      </c>
      <c r="H1298" t="inlineStr">
        <is>
          <t>WIŚNIEWSKA, MAGDALENA</t>
        </is>
      </c>
      <c r="I1298" t="inlineStr">
        <is>
          <t>Crew</t>
        </is>
      </c>
      <c r="J1298" t="inlineStr">
        <is>
          <t>Standard 0,5|20h</t>
        </is>
      </c>
      <c r="K1298" t="n">
        <v>8.08</v>
      </c>
      <c r="L1298" t="inlineStr">
        <is>
          <t>384</t>
        </is>
      </c>
      <c r="M1298" t="inlineStr">
        <is>
          <t>108120 SBX Warszawa Janki</t>
        </is>
      </c>
      <c r="N1298" t="inlineStr">
        <is>
          <t>2026-09-11 19:06</t>
        </is>
      </c>
    </row>
    <row r="1299">
      <c r="A1299" t="n">
        <v>1298</v>
      </c>
      <c r="B1299" t="inlineStr">
        <is>
          <t>2026-01-05</t>
        </is>
      </c>
      <c r="C1299" t="n">
        <v>2026</v>
      </c>
      <c r="D1299" t="inlineStr">
        <is>
          <t>Styczeń</t>
        </is>
      </c>
      <c r="E1299" t="inlineStr">
        <is>
          <t>W1</t>
        </is>
      </c>
      <c r="F1299" t="inlineStr">
        <is>
          <t>2026_Styczeń_W1</t>
        </is>
      </c>
      <c r="G1299" t="inlineStr">
        <is>
          <t>Pn</t>
        </is>
      </c>
      <c r="H1299" t="inlineStr">
        <is>
          <t>WIŚNIEWSKA, MAGDALENA</t>
        </is>
      </c>
      <c r="I1299" t="inlineStr">
        <is>
          <t>Crew</t>
        </is>
      </c>
      <c r="J1299" t="inlineStr">
        <is>
          <t>Standard 0,5|20h</t>
        </is>
      </c>
      <c r="K1299" t="n">
        <v>7.49</v>
      </c>
      <c r="L1299" t="inlineStr">
        <is>
          <t>384</t>
        </is>
      </c>
      <c r="M1299" t="inlineStr">
        <is>
          <t>108120 SBX Warszawa Janki</t>
        </is>
      </c>
      <c r="N1299" t="inlineStr">
        <is>
          <t>2026-09-11 19:06</t>
        </is>
      </c>
    </row>
    <row r="1300">
      <c r="A1300" t="n">
        <v>1299</v>
      </c>
      <c r="B1300" t="inlineStr">
        <is>
          <t>2026-01-07</t>
        </is>
      </c>
      <c r="C1300" t="n">
        <v>2026</v>
      </c>
      <c r="D1300" t="inlineStr">
        <is>
          <t>Styczeń</t>
        </is>
      </c>
      <c r="E1300" t="inlineStr">
        <is>
          <t>W2</t>
        </is>
      </c>
      <c r="F1300" t="inlineStr">
        <is>
          <t>2026_Styczeń_W2</t>
        </is>
      </c>
      <c r="G1300" t="inlineStr">
        <is>
          <t>Śr</t>
        </is>
      </c>
      <c r="H1300" t="inlineStr">
        <is>
          <t>WIŚNIEWSKA, MAGDALENA</t>
        </is>
      </c>
      <c r="I1300" t="inlineStr">
        <is>
          <t>Crew</t>
        </is>
      </c>
      <c r="J1300" t="inlineStr">
        <is>
          <t>Standard 0,5|20h</t>
        </is>
      </c>
      <c r="K1300" t="n">
        <v>6.18</v>
      </c>
      <c r="L1300" t="inlineStr">
        <is>
          <t>384</t>
        </is>
      </c>
      <c r="M1300" t="inlineStr">
        <is>
          <t>108120 SBX Warszawa Janki</t>
        </is>
      </c>
      <c r="N1300" t="inlineStr">
        <is>
          <t>2026-09-11 19:06</t>
        </is>
      </c>
    </row>
    <row r="1301">
      <c r="A1301" t="n">
        <v>1300</v>
      </c>
      <c r="B1301" t="inlineStr">
        <is>
          <t>2026-01-08</t>
        </is>
      </c>
      <c r="C1301" t="n">
        <v>2026</v>
      </c>
      <c r="D1301" t="inlineStr">
        <is>
          <t>Styczeń</t>
        </is>
      </c>
      <c r="E1301" t="inlineStr">
        <is>
          <t>W2</t>
        </is>
      </c>
      <c r="F1301" t="inlineStr">
        <is>
          <t>2026_Styczeń_W2</t>
        </is>
      </c>
      <c r="G1301" t="inlineStr">
        <is>
          <t>Czw</t>
        </is>
      </c>
      <c r="H1301" t="inlineStr">
        <is>
          <t>WIŚNIEWSKA, MAGDALENA</t>
        </is>
      </c>
      <c r="I1301" t="inlineStr">
        <is>
          <t>Crew</t>
        </is>
      </c>
      <c r="J1301" t="inlineStr">
        <is>
          <t>Standard 0,5|20h</t>
        </is>
      </c>
      <c r="K1301" t="n">
        <v>6.62</v>
      </c>
      <c r="L1301" t="inlineStr">
        <is>
          <t>384</t>
        </is>
      </c>
      <c r="M1301" t="inlineStr">
        <is>
          <t>108120 SBX Warszawa Janki</t>
        </is>
      </c>
      <c r="N1301" t="inlineStr">
        <is>
          <t>2026-09-11 19:06</t>
        </is>
      </c>
    </row>
    <row r="1302">
      <c r="A1302" t="n">
        <v>1301</v>
      </c>
      <c r="B1302" t="inlineStr">
        <is>
          <t>2026-01-10</t>
        </is>
      </c>
      <c r="C1302" t="n">
        <v>2026</v>
      </c>
      <c r="D1302" t="inlineStr">
        <is>
          <t>Styczeń</t>
        </is>
      </c>
      <c r="E1302" t="inlineStr">
        <is>
          <t>W2</t>
        </is>
      </c>
      <c r="F1302" t="inlineStr">
        <is>
          <t>2026_Styczeń_W2</t>
        </is>
      </c>
      <c r="G1302" t="inlineStr">
        <is>
          <t>Sob</t>
        </is>
      </c>
      <c r="H1302" t="inlineStr">
        <is>
          <t>WIŚNIEWSKA, MAGDALENA</t>
        </is>
      </c>
      <c r="I1302" t="inlineStr">
        <is>
          <t>Crew</t>
        </is>
      </c>
      <c r="J1302" t="inlineStr">
        <is>
          <t>Standard 0,5|20h</t>
        </is>
      </c>
      <c r="K1302" t="n">
        <v>8.52</v>
      </c>
      <c r="L1302" t="inlineStr">
        <is>
          <t>384</t>
        </is>
      </c>
      <c r="M1302" t="inlineStr">
        <is>
          <t>108120 SBX Warszawa Janki</t>
        </is>
      </c>
      <c r="N1302" t="inlineStr">
        <is>
          <t>2026-09-11 19:06</t>
        </is>
      </c>
    </row>
    <row r="1303">
      <c r="A1303" t="n">
        <v>1302</v>
      </c>
      <c r="B1303" t="inlineStr">
        <is>
          <t>2026-01-18</t>
        </is>
      </c>
      <c r="C1303" t="n">
        <v>2026</v>
      </c>
      <c r="D1303" t="inlineStr">
        <is>
          <t>Styczeń</t>
        </is>
      </c>
      <c r="E1303" t="inlineStr">
        <is>
          <t>W3</t>
        </is>
      </c>
      <c r="F1303" t="inlineStr">
        <is>
          <t>2026_Styczeń_W3</t>
        </is>
      </c>
      <c r="G1303" t="inlineStr">
        <is>
          <t>Nd</t>
        </is>
      </c>
      <c r="H1303" t="inlineStr">
        <is>
          <t>WIŚNIEWSKA, MAGDALENA</t>
        </is>
      </c>
      <c r="I1303" t="inlineStr">
        <is>
          <t>Crew</t>
        </is>
      </c>
      <c r="J1303" t="inlineStr">
        <is>
          <t>Standard 0,5|20h</t>
        </is>
      </c>
      <c r="K1303" t="n">
        <v>7.19</v>
      </c>
      <c r="L1303" t="inlineStr">
        <is>
          <t>384</t>
        </is>
      </c>
      <c r="M1303" t="inlineStr">
        <is>
          <t>108120 SBX Warszawa Janki</t>
        </is>
      </c>
      <c r="N1303" t="inlineStr">
        <is>
          <t>2026-09-11 19:06</t>
        </is>
      </c>
    </row>
    <row r="1304">
      <c r="A1304" t="n">
        <v>1303</v>
      </c>
      <c r="B1304" t="inlineStr">
        <is>
          <t>2026-01-19</t>
        </is>
      </c>
      <c r="C1304" t="n">
        <v>2026</v>
      </c>
      <c r="D1304" t="inlineStr">
        <is>
          <t>Styczeń</t>
        </is>
      </c>
      <c r="E1304" t="inlineStr">
        <is>
          <t>W3</t>
        </is>
      </c>
      <c r="F1304" t="inlineStr">
        <is>
          <t>2026_Styczeń_W3</t>
        </is>
      </c>
      <c r="G1304" t="inlineStr">
        <is>
          <t>Pn</t>
        </is>
      </c>
      <c r="H1304" t="inlineStr">
        <is>
          <t>WIŚNIEWSKA, MAGDALENA</t>
        </is>
      </c>
      <c r="I1304" t="inlineStr">
        <is>
          <t>Crew</t>
        </is>
      </c>
      <c r="J1304" t="inlineStr">
        <is>
          <t>Standard 0,5|20h</t>
        </is>
      </c>
      <c r="K1304" t="n">
        <v>7.55</v>
      </c>
      <c r="L1304" t="inlineStr">
        <is>
          <t>384</t>
        </is>
      </c>
      <c r="M1304" t="inlineStr">
        <is>
          <t>108120 SBX Warszawa Janki</t>
        </is>
      </c>
      <c r="N1304" t="inlineStr">
        <is>
          <t>2026-09-11 19:06</t>
        </is>
      </c>
    </row>
    <row r="1305">
      <c r="A1305" t="n">
        <v>1304</v>
      </c>
      <c r="B1305" t="inlineStr">
        <is>
          <t>2026-01-20</t>
        </is>
      </c>
      <c r="C1305" t="n">
        <v>2026</v>
      </c>
      <c r="D1305" t="inlineStr">
        <is>
          <t>Styczeń</t>
        </is>
      </c>
      <c r="E1305" t="inlineStr">
        <is>
          <t>W4</t>
        </is>
      </c>
      <c r="F1305" t="inlineStr">
        <is>
          <t>2026_Styczeń_W4</t>
        </is>
      </c>
      <c r="G1305" t="inlineStr">
        <is>
          <t>Wt</t>
        </is>
      </c>
      <c r="H1305" t="inlineStr">
        <is>
          <t>WIŚNIEWSKA, MAGDALENA</t>
        </is>
      </c>
      <c r="I1305" t="inlineStr">
        <is>
          <t>Crew</t>
        </is>
      </c>
      <c r="J1305" t="inlineStr">
        <is>
          <t>Standard 0,5|20h</t>
        </is>
      </c>
      <c r="K1305" t="n">
        <v>7.28</v>
      </c>
      <c r="L1305" t="inlineStr">
        <is>
          <t>384</t>
        </is>
      </c>
      <c r="M1305" t="inlineStr">
        <is>
          <t>108120 SBX Warszawa Janki</t>
        </is>
      </c>
      <c r="N1305" t="inlineStr">
        <is>
          <t>2026-09-11 19:06</t>
        </is>
      </c>
    </row>
    <row r="1306">
      <c r="A1306" t="n">
        <v>1305</v>
      </c>
      <c r="B1306" t="inlineStr">
        <is>
          <t>2026-01-24</t>
        </is>
      </c>
      <c r="C1306" t="n">
        <v>2026</v>
      </c>
      <c r="D1306" t="inlineStr">
        <is>
          <t>Styczeń</t>
        </is>
      </c>
      <c r="E1306" t="inlineStr">
        <is>
          <t>W4</t>
        </is>
      </c>
      <c r="F1306" t="inlineStr">
        <is>
          <t>2026_Styczeń_W4</t>
        </is>
      </c>
      <c r="G1306" t="inlineStr">
        <is>
          <t>Sob</t>
        </is>
      </c>
      <c r="H1306" t="inlineStr">
        <is>
          <t>WIŚNIEWSKA, MAGDALENA</t>
        </is>
      </c>
      <c r="I1306" t="inlineStr">
        <is>
          <t>Crew</t>
        </is>
      </c>
      <c r="J1306" t="inlineStr">
        <is>
          <t>Standard 0,5|20h</t>
        </is>
      </c>
      <c r="K1306" t="n">
        <v>8.41</v>
      </c>
      <c r="L1306" t="inlineStr">
        <is>
          <t>384</t>
        </is>
      </c>
      <c r="M1306" t="inlineStr">
        <is>
          <t>108120 SBX Warszawa Janki</t>
        </is>
      </c>
      <c r="N1306" t="inlineStr">
        <is>
          <t>2026-09-11 19:06</t>
        </is>
      </c>
    </row>
    <row r="1307">
      <c r="A1307" t="n">
        <v>1306</v>
      </c>
      <c r="B1307" t="inlineStr">
        <is>
          <t>2026-01-25</t>
        </is>
      </c>
      <c r="C1307" t="n">
        <v>2026</v>
      </c>
      <c r="D1307" t="inlineStr">
        <is>
          <t>Styczeń</t>
        </is>
      </c>
      <c r="E1307" t="inlineStr">
        <is>
          <t>W4</t>
        </is>
      </c>
      <c r="F1307" t="inlineStr">
        <is>
          <t>2026_Styczeń_W4</t>
        </is>
      </c>
      <c r="G1307" t="inlineStr">
        <is>
          <t>Nd</t>
        </is>
      </c>
      <c r="H1307" t="inlineStr">
        <is>
          <t>WIŚNIEWSKA, MAGDALENA</t>
        </is>
      </c>
      <c r="I1307" t="inlineStr">
        <is>
          <t>Crew</t>
        </is>
      </c>
      <c r="J1307" t="inlineStr">
        <is>
          <t>Standard 0,5|20h</t>
        </is>
      </c>
      <c r="K1307" t="n">
        <v>6.42</v>
      </c>
      <c r="L1307" t="inlineStr">
        <is>
          <t>384</t>
        </is>
      </c>
      <c r="M1307" t="inlineStr">
        <is>
          <t>108120 SBX Warszawa Janki</t>
        </is>
      </c>
      <c r="N1307" t="inlineStr">
        <is>
          <t>2026-09-11 19:06</t>
        </is>
      </c>
    </row>
    <row r="1308">
      <c r="A1308" t="n">
        <v>1307</v>
      </c>
      <c r="B1308" t="inlineStr">
        <is>
          <t>2026-01-26</t>
        </is>
      </c>
      <c r="C1308" t="n">
        <v>2026</v>
      </c>
      <c r="D1308" t="inlineStr">
        <is>
          <t>Styczeń</t>
        </is>
      </c>
      <c r="E1308" t="inlineStr">
        <is>
          <t>W4</t>
        </is>
      </c>
      <c r="F1308" t="inlineStr">
        <is>
          <t>2026_Styczeń_W4</t>
        </is>
      </c>
      <c r="G1308" t="inlineStr">
        <is>
          <t>Pn</t>
        </is>
      </c>
      <c r="H1308" t="inlineStr">
        <is>
          <t>WIŚNIEWSKA, MAGDALENA</t>
        </is>
      </c>
      <c r="I1308" t="inlineStr">
        <is>
          <t>Crew</t>
        </is>
      </c>
      <c r="J1308" t="inlineStr">
        <is>
          <t>Standard 0,5|20h</t>
        </is>
      </c>
      <c r="K1308" t="n">
        <v>6.55</v>
      </c>
      <c r="L1308" t="inlineStr">
        <is>
          <t>384</t>
        </is>
      </c>
      <c r="M1308" t="inlineStr">
        <is>
          <t>108120 SBX Warszawa Janki</t>
        </is>
      </c>
      <c r="N1308" t="inlineStr">
        <is>
          <t>2026-09-11 19:06</t>
        </is>
      </c>
    </row>
    <row r="1309">
      <c r="A1309" t="n">
        <v>1308</v>
      </c>
      <c r="B1309" t="inlineStr">
        <is>
          <t>2026-01-27</t>
        </is>
      </c>
      <c r="C1309" t="n">
        <v>2026</v>
      </c>
      <c r="D1309" t="inlineStr">
        <is>
          <t>Styczeń</t>
        </is>
      </c>
      <c r="E1309" t="inlineStr">
        <is>
          <t>W5</t>
        </is>
      </c>
      <c r="F1309" t="inlineStr">
        <is>
          <t>2026_Styczeń_W5</t>
        </is>
      </c>
      <c r="G1309" t="inlineStr">
        <is>
          <t>Wt</t>
        </is>
      </c>
      <c r="H1309" t="inlineStr">
        <is>
          <t>WIŚNIEWSKA, MAGDALENA</t>
        </is>
      </c>
      <c r="I1309" t="inlineStr">
        <is>
          <t>Crew</t>
        </is>
      </c>
      <c r="J1309" t="inlineStr">
        <is>
          <t>Standard 0,5|20h</t>
        </is>
      </c>
      <c r="K1309" t="n">
        <v>4.24</v>
      </c>
      <c r="L1309" t="inlineStr">
        <is>
          <t>384</t>
        </is>
      </c>
      <c r="M1309" t="inlineStr">
        <is>
          <t>108120 SBX Warszawa Janki</t>
        </is>
      </c>
      <c r="N1309" t="inlineStr">
        <is>
          <t>2026-09-11 19:06</t>
        </is>
      </c>
    </row>
    <row r="1310">
      <c r="A1310" t="n">
        <v>1309</v>
      </c>
      <c r="B1310" t="inlineStr">
        <is>
          <t>2026-01-28</t>
        </is>
      </c>
      <c r="C1310" t="n">
        <v>2026</v>
      </c>
      <c r="D1310" t="inlineStr">
        <is>
          <t>Styczeń</t>
        </is>
      </c>
      <c r="E1310" t="inlineStr">
        <is>
          <t>W5</t>
        </is>
      </c>
      <c r="F1310" t="inlineStr">
        <is>
          <t>2026_Styczeń_W5</t>
        </is>
      </c>
      <c r="G1310" t="inlineStr">
        <is>
          <t>Śr</t>
        </is>
      </c>
      <c r="H1310" t="inlineStr">
        <is>
          <t>WIŚNIEWSKA, MAGDALENA</t>
        </is>
      </c>
      <c r="I1310" t="inlineStr">
        <is>
          <t>Crew</t>
        </is>
      </c>
      <c r="J1310" t="inlineStr">
        <is>
          <t>Standard 0,5|20h</t>
        </is>
      </c>
      <c r="K1310" t="n">
        <v>5.43</v>
      </c>
      <c r="L1310" t="inlineStr">
        <is>
          <t>384</t>
        </is>
      </c>
      <c r="M1310" t="inlineStr">
        <is>
          <t>108120 SBX Warszawa Janki</t>
        </is>
      </c>
      <c r="N1310" t="inlineStr">
        <is>
          <t>2026-09-11 19:06</t>
        </is>
      </c>
    </row>
    <row r="1311">
      <c r="A1311" t="n">
        <v>1310</v>
      </c>
      <c r="B1311" t="inlineStr">
        <is>
          <t>2026-01-30</t>
        </is>
      </c>
      <c r="C1311" t="n">
        <v>2026</v>
      </c>
      <c r="D1311" t="inlineStr">
        <is>
          <t>Styczeń</t>
        </is>
      </c>
      <c r="E1311" t="inlineStr">
        <is>
          <t>W5</t>
        </is>
      </c>
      <c r="F1311" t="inlineStr">
        <is>
          <t>2026_Styczeń_W5</t>
        </is>
      </c>
      <c r="G1311" t="inlineStr">
        <is>
          <t>Pt</t>
        </is>
      </c>
      <c r="H1311" t="inlineStr">
        <is>
          <t>WIŚNIEWSKA, MAGDALENA</t>
        </is>
      </c>
      <c r="I1311" t="inlineStr">
        <is>
          <t>Crew</t>
        </is>
      </c>
      <c r="J1311" t="inlineStr">
        <is>
          <t>Standard 0,5|20h</t>
        </is>
      </c>
      <c r="K1311" t="n">
        <v>6.01</v>
      </c>
      <c r="L1311" t="inlineStr">
        <is>
          <t>384</t>
        </is>
      </c>
      <c r="M1311" t="inlineStr">
        <is>
          <t>108120 SBX Warszawa Janki</t>
        </is>
      </c>
      <c r="N1311" t="inlineStr">
        <is>
          <t>2026-09-11 19:06</t>
        </is>
      </c>
    </row>
    <row r="1312">
      <c r="A1312" t="n">
        <v>1311</v>
      </c>
      <c r="B1312" t="inlineStr">
        <is>
          <t>2026-02-01</t>
        </is>
      </c>
      <c r="C1312" t="n">
        <v>2026</v>
      </c>
      <c r="D1312" t="inlineStr">
        <is>
          <t>Luty</t>
        </is>
      </c>
      <c r="E1312" t="inlineStr">
        <is>
          <t>W1</t>
        </is>
      </c>
      <c r="F1312" t="inlineStr">
        <is>
          <t>2026_Luty_W1</t>
        </is>
      </c>
      <c r="G1312" t="inlineStr">
        <is>
          <t>Nd</t>
        </is>
      </c>
      <c r="H1312" t="inlineStr">
        <is>
          <t>WIŚNIEWSKA, MAGDALENA</t>
        </is>
      </c>
      <c r="I1312" t="inlineStr">
        <is>
          <t>Crew</t>
        </is>
      </c>
      <c r="J1312" t="inlineStr">
        <is>
          <t>Standard 0,5|20h</t>
        </is>
      </c>
      <c r="K1312" t="n">
        <v>6.24</v>
      </c>
      <c r="L1312" t="inlineStr">
        <is>
          <t>384</t>
        </is>
      </c>
      <c r="M1312" t="inlineStr">
        <is>
          <t>108120 SBX Warszawa Janki</t>
        </is>
      </c>
      <c r="N1312" t="inlineStr">
        <is>
          <t>2026-09-11 19:06</t>
        </is>
      </c>
    </row>
    <row r="1313">
      <c r="A1313" t="n">
        <v>1312</v>
      </c>
      <c r="B1313" t="inlineStr">
        <is>
          <t>2026-02-03</t>
        </is>
      </c>
      <c r="C1313" t="n">
        <v>2026</v>
      </c>
      <c r="D1313" t="inlineStr">
        <is>
          <t>Luty</t>
        </is>
      </c>
      <c r="E1313" t="inlineStr">
        <is>
          <t>W2</t>
        </is>
      </c>
      <c r="F1313" t="inlineStr">
        <is>
          <t>2026_Luty_W2</t>
        </is>
      </c>
      <c r="G1313" t="inlineStr">
        <is>
          <t>Wt</t>
        </is>
      </c>
      <c r="H1313" t="inlineStr">
        <is>
          <t>WIŚNIEWSKA, MAGDALENA</t>
        </is>
      </c>
      <c r="I1313" t="inlineStr">
        <is>
          <t>Crew</t>
        </is>
      </c>
      <c r="J1313" t="inlineStr">
        <is>
          <t>Standard 0,5|20h</t>
        </is>
      </c>
      <c r="K1313" t="n">
        <v>8.029999999999999</v>
      </c>
      <c r="L1313" t="inlineStr">
        <is>
          <t>384</t>
        </is>
      </c>
      <c r="M1313" t="inlineStr">
        <is>
          <t>108120 SBX Warszawa Janki</t>
        </is>
      </c>
      <c r="N1313" t="inlineStr">
        <is>
          <t>2026-09-11 19:06</t>
        </is>
      </c>
    </row>
    <row r="1314">
      <c r="A1314" t="n">
        <v>1313</v>
      </c>
      <c r="B1314" t="inlineStr">
        <is>
          <t>2026-02-05</t>
        </is>
      </c>
      <c r="C1314" t="n">
        <v>2026</v>
      </c>
      <c r="D1314" t="inlineStr">
        <is>
          <t>Luty</t>
        </is>
      </c>
      <c r="E1314" t="inlineStr">
        <is>
          <t>W2</t>
        </is>
      </c>
      <c r="F1314" t="inlineStr">
        <is>
          <t>2026_Luty_W2</t>
        </is>
      </c>
      <c r="G1314" t="inlineStr">
        <is>
          <t>Czw</t>
        </is>
      </c>
      <c r="H1314" t="inlineStr">
        <is>
          <t>WIŚNIEWSKA, MAGDALENA</t>
        </is>
      </c>
      <c r="I1314" t="inlineStr">
        <is>
          <t>Crew</t>
        </is>
      </c>
      <c r="J1314" t="inlineStr">
        <is>
          <t>Standard 0,5|20h</t>
        </is>
      </c>
      <c r="K1314" t="n">
        <v>7.2</v>
      </c>
      <c r="L1314" t="inlineStr">
        <is>
          <t>384</t>
        </is>
      </c>
      <c r="M1314" t="inlineStr">
        <is>
          <t>108120 SBX Warszawa Janki</t>
        </is>
      </c>
      <c r="N1314" t="inlineStr">
        <is>
          <t>2026-09-11 19:06</t>
        </is>
      </c>
    </row>
    <row r="1315">
      <c r="A1315" t="n">
        <v>1314</v>
      </c>
      <c r="B1315" t="inlineStr">
        <is>
          <t>2026-02-10</t>
        </is>
      </c>
      <c r="C1315" t="n">
        <v>2026</v>
      </c>
      <c r="D1315" t="inlineStr">
        <is>
          <t>Luty</t>
        </is>
      </c>
      <c r="E1315" t="inlineStr">
        <is>
          <t>W3</t>
        </is>
      </c>
      <c r="F1315" t="inlineStr">
        <is>
          <t>2026_Luty_W3</t>
        </is>
      </c>
      <c r="G1315" t="inlineStr">
        <is>
          <t>Wt</t>
        </is>
      </c>
      <c r="H1315" t="inlineStr">
        <is>
          <t>WIŚNIEWSKA, MAGDALENA</t>
        </is>
      </c>
      <c r="I1315" t="inlineStr">
        <is>
          <t>Crew</t>
        </is>
      </c>
      <c r="J1315" t="inlineStr">
        <is>
          <t>Standard 0,5|20h</t>
        </is>
      </c>
      <c r="K1315" t="n">
        <v>7.96</v>
      </c>
      <c r="L1315" t="inlineStr">
        <is>
          <t>384</t>
        </is>
      </c>
      <c r="M1315" t="inlineStr">
        <is>
          <t>108120 SBX Warszawa Janki</t>
        </is>
      </c>
      <c r="N1315" t="inlineStr">
        <is>
          <t>2026-09-11 19:06</t>
        </is>
      </c>
    </row>
    <row r="1316">
      <c r="A1316" t="n">
        <v>1315</v>
      </c>
      <c r="B1316" t="inlineStr">
        <is>
          <t>2026-02-11</t>
        </is>
      </c>
      <c r="C1316" t="n">
        <v>2026</v>
      </c>
      <c r="D1316" t="inlineStr">
        <is>
          <t>Luty</t>
        </is>
      </c>
      <c r="E1316" t="inlineStr">
        <is>
          <t>W3</t>
        </is>
      </c>
      <c r="F1316" t="inlineStr">
        <is>
          <t>2026_Luty_W3</t>
        </is>
      </c>
      <c r="G1316" t="inlineStr">
        <is>
          <t>Śr</t>
        </is>
      </c>
      <c r="H1316" t="inlineStr">
        <is>
          <t>WIŚNIEWSKA, MAGDALENA</t>
        </is>
      </c>
      <c r="I1316" t="inlineStr">
        <is>
          <t>Crew</t>
        </is>
      </c>
      <c r="J1316" t="inlineStr">
        <is>
          <t>Standard 0,5|20h</t>
        </is>
      </c>
      <c r="K1316" t="n">
        <v>6.13</v>
      </c>
      <c r="L1316" t="inlineStr">
        <is>
          <t>384</t>
        </is>
      </c>
      <c r="M1316" t="inlineStr">
        <is>
          <t>108120 SBX Warszawa Janki</t>
        </is>
      </c>
      <c r="N1316" t="inlineStr">
        <is>
          <t>2026-09-11 19:06</t>
        </is>
      </c>
    </row>
    <row r="1317">
      <c r="A1317" t="n">
        <v>1316</v>
      </c>
      <c r="B1317" t="inlineStr">
        <is>
          <t>2026-02-13</t>
        </is>
      </c>
      <c r="C1317" t="n">
        <v>2026</v>
      </c>
      <c r="D1317" t="inlineStr">
        <is>
          <t>Luty</t>
        </is>
      </c>
      <c r="E1317" t="inlineStr">
        <is>
          <t>W3</t>
        </is>
      </c>
      <c r="F1317" t="inlineStr">
        <is>
          <t>2026_Luty_W3</t>
        </is>
      </c>
      <c r="G1317" t="inlineStr">
        <is>
          <t>Pt</t>
        </is>
      </c>
      <c r="H1317" t="inlineStr">
        <is>
          <t>WIŚNIEWSKA, MAGDALENA</t>
        </is>
      </c>
      <c r="I1317" t="inlineStr">
        <is>
          <t>Crew</t>
        </is>
      </c>
      <c r="J1317" t="inlineStr">
        <is>
          <t>Standard 0,5|20h</t>
        </is>
      </c>
      <c r="K1317" t="n">
        <v>8.07</v>
      </c>
      <c r="L1317" t="inlineStr">
        <is>
          <t>384</t>
        </is>
      </c>
      <c r="M1317" t="inlineStr">
        <is>
          <t>108120 SBX Warszawa Janki</t>
        </is>
      </c>
      <c r="N1317" t="inlineStr">
        <is>
          <t>2026-09-11 19:06</t>
        </is>
      </c>
    </row>
    <row r="1318">
      <c r="A1318" t="n">
        <v>1317</v>
      </c>
      <c r="B1318" t="inlineStr">
        <is>
          <t>2026-02-14</t>
        </is>
      </c>
      <c r="C1318" t="n">
        <v>2026</v>
      </c>
      <c r="D1318" t="inlineStr">
        <is>
          <t>Luty</t>
        </is>
      </c>
      <c r="E1318" t="inlineStr">
        <is>
          <t>W3</t>
        </is>
      </c>
      <c r="F1318" t="inlineStr">
        <is>
          <t>2026_Luty_W3</t>
        </is>
      </c>
      <c r="G1318" t="inlineStr">
        <is>
          <t>Sob</t>
        </is>
      </c>
      <c r="H1318" t="inlineStr">
        <is>
          <t>WIŚNIEWSKA, MAGDALENA</t>
        </is>
      </c>
      <c r="I1318" t="inlineStr">
        <is>
          <t>Crew</t>
        </is>
      </c>
      <c r="J1318" t="inlineStr">
        <is>
          <t>Standard 0,5|20h</t>
        </is>
      </c>
      <c r="K1318" t="n">
        <v>7.58</v>
      </c>
      <c r="L1318" t="inlineStr">
        <is>
          <t>384</t>
        </is>
      </c>
      <c r="M1318" t="inlineStr">
        <is>
          <t>108120 SBX Warszawa Janki</t>
        </is>
      </c>
      <c r="N1318" t="inlineStr">
        <is>
          <t>2026-09-11 19:06</t>
        </is>
      </c>
    </row>
    <row r="1319">
      <c r="A1319" t="n">
        <v>1318</v>
      </c>
      <c r="B1319" t="inlineStr">
        <is>
          <t>2026-02-15</t>
        </is>
      </c>
      <c r="C1319" t="n">
        <v>2026</v>
      </c>
      <c r="D1319" t="inlineStr">
        <is>
          <t>Luty</t>
        </is>
      </c>
      <c r="E1319" t="inlineStr">
        <is>
          <t>W3</t>
        </is>
      </c>
      <c r="F1319" t="inlineStr">
        <is>
          <t>2026_Luty_W3</t>
        </is>
      </c>
      <c r="G1319" t="inlineStr">
        <is>
          <t>Nd</t>
        </is>
      </c>
      <c r="H1319" t="inlineStr">
        <is>
          <t>WIŚNIEWSKA, MAGDALENA</t>
        </is>
      </c>
      <c r="I1319" t="inlineStr">
        <is>
          <t>Crew</t>
        </is>
      </c>
      <c r="J1319" t="inlineStr">
        <is>
          <t>Standard 0,5|20h</t>
        </is>
      </c>
      <c r="K1319" t="n">
        <v>6.35</v>
      </c>
      <c r="L1319" t="inlineStr">
        <is>
          <t>384</t>
        </is>
      </c>
      <c r="M1319" t="inlineStr">
        <is>
          <t>108120 SBX Warszawa Janki</t>
        </is>
      </c>
      <c r="N1319" t="inlineStr">
        <is>
          <t>2026-09-11 19:06</t>
        </is>
      </c>
    </row>
    <row r="1320">
      <c r="A1320" t="n">
        <v>1319</v>
      </c>
      <c r="B1320" t="inlineStr">
        <is>
          <t>2026-02-17</t>
        </is>
      </c>
      <c r="C1320" t="n">
        <v>2026</v>
      </c>
      <c r="D1320" t="inlineStr">
        <is>
          <t>Luty</t>
        </is>
      </c>
      <c r="E1320" t="inlineStr">
        <is>
          <t>W4</t>
        </is>
      </c>
      <c r="F1320" t="inlineStr">
        <is>
          <t>2026_Luty_W4</t>
        </is>
      </c>
      <c r="G1320" t="inlineStr">
        <is>
          <t>Wt</t>
        </is>
      </c>
      <c r="H1320" t="inlineStr">
        <is>
          <t>WIŚNIEWSKA, MAGDALENA</t>
        </is>
      </c>
      <c r="I1320" t="inlineStr">
        <is>
          <t>Crew</t>
        </is>
      </c>
      <c r="J1320" t="inlineStr">
        <is>
          <t>Standard 0,5|20h</t>
        </is>
      </c>
      <c r="K1320" t="n">
        <v>5.13</v>
      </c>
      <c r="L1320" t="inlineStr">
        <is>
          <t>384</t>
        </is>
      </c>
      <c r="M1320" t="inlineStr">
        <is>
          <t>108120 SBX Warszawa Janki</t>
        </is>
      </c>
      <c r="N1320" t="inlineStr">
        <is>
          <t>2026-09-11 19:06</t>
        </is>
      </c>
    </row>
    <row r="1321">
      <c r="A1321" t="n">
        <v>1320</v>
      </c>
      <c r="B1321" t="inlineStr">
        <is>
          <t>2026-02-18</t>
        </is>
      </c>
      <c r="C1321" t="n">
        <v>2026</v>
      </c>
      <c r="D1321" t="inlineStr">
        <is>
          <t>Luty</t>
        </is>
      </c>
      <c r="E1321" t="inlineStr">
        <is>
          <t>W4</t>
        </is>
      </c>
      <c r="F1321" t="inlineStr">
        <is>
          <t>2026_Luty_W4</t>
        </is>
      </c>
      <c r="G1321" t="inlineStr">
        <is>
          <t>Śr</t>
        </is>
      </c>
      <c r="H1321" t="inlineStr">
        <is>
          <t>WIŚNIEWSKA, MAGDALENA</t>
        </is>
      </c>
      <c r="I1321" t="inlineStr">
        <is>
          <t>Crew</t>
        </is>
      </c>
      <c r="J1321" t="inlineStr">
        <is>
          <t>Standard 0,5|20h</t>
        </is>
      </c>
      <c r="K1321" t="n">
        <v>7.78</v>
      </c>
      <c r="L1321" t="inlineStr">
        <is>
          <t>384</t>
        </is>
      </c>
      <c r="M1321" t="inlineStr">
        <is>
          <t>108120 SBX Warszawa Janki</t>
        </is>
      </c>
      <c r="N1321" t="inlineStr">
        <is>
          <t>2026-09-11 19:06</t>
        </is>
      </c>
    </row>
    <row r="1322">
      <c r="A1322" t="n">
        <v>1321</v>
      </c>
      <c r="B1322" t="inlineStr">
        <is>
          <t>2026-02-20</t>
        </is>
      </c>
      <c r="C1322" t="n">
        <v>2026</v>
      </c>
      <c r="D1322" t="inlineStr">
        <is>
          <t>Luty</t>
        </is>
      </c>
      <c r="E1322" t="inlineStr">
        <is>
          <t>W4</t>
        </is>
      </c>
      <c r="F1322" t="inlineStr">
        <is>
          <t>2026_Luty_W4</t>
        </is>
      </c>
      <c r="G1322" t="inlineStr">
        <is>
          <t>Pt</t>
        </is>
      </c>
      <c r="H1322" t="inlineStr">
        <is>
          <t>WIŚNIEWSKA, MAGDALENA</t>
        </is>
      </c>
      <c r="I1322" t="inlineStr">
        <is>
          <t>Crew</t>
        </is>
      </c>
      <c r="J1322" t="inlineStr">
        <is>
          <t>Standard 0,5|20h</t>
        </is>
      </c>
      <c r="K1322" t="n">
        <v>5.88</v>
      </c>
      <c r="L1322" t="inlineStr">
        <is>
          <t>384</t>
        </is>
      </c>
      <c r="M1322" t="inlineStr">
        <is>
          <t>108120 SBX Warszawa Janki</t>
        </is>
      </c>
      <c r="N1322" t="inlineStr">
        <is>
          <t>2026-09-11 19:06</t>
        </is>
      </c>
    </row>
    <row r="1323">
      <c r="A1323" t="n">
        <v>1322</v>
      </c>
      <c r="B1323" t="inlineStr">
        <is>
          <t>2026-02-21</t>
        </is>
      </c>
      <c r="C1323" t="n">
        <v>2026</v>
      </c>
      <c r="D1323" t="inlineStr">
        <is>
          <t>Luty</t>
        </is>
      </c>
      <c r="E1323" t="inlineStr">
        <is>
          <t>W4</t>
        </is>
      </c>
      <c r="F1323" t="inlineStr">
        <is>
          <t>2026_Luty_W4</t>
        </is>
      </c>
      <c r="G1323" t="inlineStr">
        <is>
          <t>Sob</t>
        </is>
      </c>
      <c r="H1323" t="inlineStr">
        <is>
          <t>WIŚNIEWSKA, MAGDALENA</t>
        </is>
      </c>
      <c r="I1323" t="inlineStr">
        <is>
          <t>Crew</t>
        </is>
      </c>
      <c r="J1323" t="inlineStr">
        <is>
          <t>Standard 0,5|20h</t>
        </is>
      </c>
      <c r="K1323" t="n">
        <v>8.029999999999999</v>
      </c>
      <c r="L1323" t="inlineStr">
        <is>
          <t>384</t>
        </is>
      </c>
      <c r="M1323" t="inlineStr">
        <is>
          <t>108120 SBX Warszawa Janki</t>
        </is>
      </c>
      <c r="N1323" t="inlineStr">
        <is>
          <t>2026-09-11 19:06</t>
        </is>
      </c>
    </row>
    <row r="1324">
      <c r="A1324" t="n">
        <v>1323</v>
      </c>
      <c r="B1324" t="inlineStr">
        <is>
          <t>2026-02-24</t>
        </is>
      </c>
      <c r="C1324" t="n">
        <v>2026</v>
      </c>
      <c r="D1324" t="inlineStr">
        <is>
          <t>Luty</t>
        </is>
      </c>
      <c r="E1324" t="inlineStr">
        <is>
          <t>W5</t>
        </is>
      </c>
      <c r="F1324" t="inlineStr">
        <is>
          <t>2026_Luty_W5</t>
        </is>
      </c>
      <c r="G1324" t="inlineStr">
        <is>
          <t>Wt</t>
        </is>
      </c>
      <c r="H1324" t="inlineStr">
        <is>
          <t>WIŚNIEWSKA, MAGDALENA</t>
        </is>
      </c>
      <c r="I1324" t="inlineStr">
        <is>
          <t>Crew</t>
        </is>
      </c>
      <c r="J1324" t="inlineStr">
        <is>
          <t>Standard 0,5|20h</t>
        </is>
      </c>
      <c r="K1324" t="n">
        <v>7.94</v>
      </c>
      <c r="L1324" t="inlineStr">
        <is>
          <t>384</t>
        </is>
      </c>
      <c r="M1324" t="inlineStr">
        <is>
          <t>108120 SBX Warszawa Janki</t>
        </is>
      </c>
      <c r="N1324" t="inlineStr">
        <is>
          <t>2026-09-11 19:06</t>
        </is>
      </c>
    </row>
    <row r="1325">
      <c r="A1325" t="n">
        <v>1324</v>
      </c>
      <c r="B1325" t="inlineStr">
        <is>
          <t>2026-02-26</t>
        </is>
      </c>
      <c r="C1325" t="n">
        <v>2026</v>
      </c>
      <c r="D1325" t="inlineStr">
        <is>
          <t>Luty</t>
        </is>
      </c>
      <c r="E1325" t="inlineStr">
        <is>
          <t>W5</t>
        </is>
      </c>
      <c r="F1325" t="inlineStr">
        <is>
          <t>2026_Luty_W5</t>
        </is>
      </c>
      <c r="G1325" t="inlineStr">
        <is>
          <t>Czw</t>
        </is>
      </c>
      <c r="H1325" t="inlineStr">
        <is>
          <t>WIŚNIEWSKA, MAGDALENA</t>
        </is>
      </c>
      <c r="I1325" t="inlineStr">
        <is>
          <t>Crew</t>
        </is>
      </c>
      <c r="J1325" t="inlineStr">
        <is>
          <t>Standard 0,5|20h</t>
        </is>
      </c>
      <c r="K1325" t="n">
        <v>8.119999999999999</v>
      </c>
      <c r="L1325" t="inlineStr">
        <is>
          <t>384</t>
        </is>
      </c>
      <c r="M1325" t="inlineStr">
        <is>
          <t>108120 SBX Warszawa Janki</t>
        </is>
      </c>
      <c r="N1325" t="inlineStr">
        <is>
          <t>2026-09-11 19:06</t>
        </is>
      </c>
    </row>
    <row r="1326">
      <c r="A1326" t="n">
        <v>1325</v>
      </c>
      <c r="B1326" t="inlineStr">
        <is>
          <t>2026-03-01</t>
        </is>
      </c>
      <c r="C1326" t="n">
        <v>2026</v>
      </c>
      <c r="D1326" t="inlineStr">
        <is>
          <t>Marzec</t>
        </is>
      </c>
      <c r="E1326" t="inlineStr">
        <is>
          <t>W1</t>
        </is>
      </c>
      <c r="F1326" t="inlineStr">
        <is>
          <t>2026_Marzec_W1</t>
        </is>
      </c>
      <c r="G1326" t="inlineStr">
        <is>
          <t>Nd</t>
        </is>
      </c>
      <c r="H1326" t="inlineStr">
        <is>
          <t>WIŚNIEWSKA, MAGDALENA</t>
        </is>
      </c>
      <c r="I1326" t="inlineStr">
        <is>
          <t>Crew</t>
        </is>
      </c>
      <c r="J1326" t="inlineStr">
        <is>
          <t>Standard 0,5|20h</t>
        </is>
      </c>
      <c r="K1326" t="n">
        <v>1.5</v>
      </c>
      <c r="L1326" t="inlineStr">
        <is>
          <t>384</t>
        </is>
      </c>
      <c r="M1326" t="inlineStr">
        <is>
          <t>108120 SBX Warszawa Janki</t>
        </is>
      </c>
      <c r="N1326" t="inlineStr">
        <is>
          <t>2026-09-11 19:06</t>
        </is>
      </c>
    </row>
    <row r="1327">
      <c r="A1327" t="n">
        <v>1326</v>
      </c>
      <c r="B1327" t="inlineStr">
        <is>
          <t>2026-03-09</t>
        </is>
      </c>
      <c r="C1327" t="n">
        <v>2026</v>
      </c>
      <c r="D1327" t="inlineStr">
        <is>
          <t>Marzec</t>
        </is>
      </c>
      <c r="E1327" t="inlineStr">
        <is>
          <t>W2</t>
        </is>
      </c>
      <c r="F1327" t="inlineStr">
        <is>
          <t>2026_Marzec_W2</t>
        </is>
      </c>
      <c r="G1327" t="inlineStr">
        <is>
          <t>Pn</t>
        </is>
      </c>
      <c r="H1327" t="inlineStr">
        <is>
          <t>WIŚNIEWSKA, MAGDALENA</t>
        </is>
      </c>
      <c r="I1327" t="inlineStr">
        <is>
          <t>Crew</t>
        </is>
      </c>
      <c r="J1327" t="inlineStr">
        <is>
          <t>Standard 0,5|20h</t>
        </is>
      </c>
      <c r="K1327" t="n">
        <v>5</v>
      </c>
      <c r="L1327" t="inlineStr">
        <is>
          <t>384</t>
        </is>
      </c>
      <c r="M1327" t="inlineStr">
        <is>
          <t>108120 SBX Warszawa Janki</t>
        </is>
      </c>
      <c r="N1327" t="inlineStr">
        <is>
          <t>2026-09-11 19:06</t>
        </is>
      </c>
    </row>
    <row r="1328">
      <c r="A1328" t="n">
        <v>1327</v>
      </c>
      <c r="B1328" t="inlineStr">
        <is>
          <t>2026-03-10</t>
        </is>
      </c>
      <c r="C1328" t="n">
        <v>2026</v>
      </c>
      <c r="D1328" t="inlineStr">
        <is>
          <t>Marzec</t>
        </is>
      </c>
      <c r="E1328" t="inlineStr">
        <is>
          <t>W3</t>
        </is>
      </c>
      <c r="F1328" t="inlineStr">
        <is>
          <t>2026_Marzec_W3</t>
        </is>
      </c>
      <c r="G1328" t="inlineStr">
        <is>
          <t>Wt</t>
        </is>
      </c>
      <c r="H1328" t="inlineStr">
        <is>
          <t>WIŚNIEWSKA, MAGDALENA</t>
        </is>
      </c>
      <c r="I1328" t="inlineStr">
        <is>
          <t>Crew</t>
        </is>
      </c>
      <c r="J1328" t="inlineStr">
        <is>
          <t>Standard 0,5|20h</t>
        </is>
      </c>
      <c r="K1328" t="n">
        <v>8</v>
      </c>
      <c r="L1328" t="inlineStr">
        <is>
          <t>384</t>
        </is>
      </c>
      <c r="M1328" t="inlineStr">
        <is>
          <t>108120 SBX Warszawa Janki</t>
        </is>
      </c>
      <c r="N1328" t="inlineStr">
        <is>
          <t>2026-09-11 19:06</t>
        </is>
      </c>
    </row>
    <row r="1329">
      <c r="A1329" t="n">
        <v>1328</v>
      </c>
      <c r="B1329" t="inlineStr">
        <is>
          <t>2026-03-14</t>
        </is>
      </c>
      <c r="C1329" t="n">
        <v>2026</v>
      </c>
      <c r="D1329" t="inlineStr">
        <is>
          <t>Marzec</t>
        </is>
      </c>
      <c r="E1329" t="inlineStr">
        <is>
          <t>W3</t>
        </is>
      </c>
      <c r="F1329" t="inlineStr">
        <is>
          <t>2026_Marzec_W3</t>
        </is>
      </c>
      <c r="G1329" t="inlineStr">
        <is>
          <t>Sob</t>
        </is>
      </c>
      <c r="H1329" t="inlineStr">
        <is>
          <t>WIŚNIEWSKA, MAGDALENA</t>
        </is>
      </c>
      <c r="I1329" t="inlineStr">
        <is>
          <t>Crew</t>
        </is>
      </c>
      <c r="J1329" t="inlineStr">
        <is>
          <t>Standard 0,5|20h</t>
        </is>
      </c>
      <c r="K1329" t="n">
        <v>8</v>
      </c>
      <c r="L1329" t="inlineStr">
        <is>
          <t>384</t>
        </is>
      </c>
      <c r="M1329" t="inlineStr">
        <is>
          <t>108120 SBX Warszawa Janki</t>
        </is>
      </c>
      <c r="N1329" t="inlineStr">
        <is>
          <t>2026-09-11 19:06</t>
        </is>
      </c>
    </row>
    <row r="1330">
      <c r="A1330" t="n">
        <v>1329</v>
      </c>
      <c r="B1330" t="inlineStr">
        <is>
          <t>2026-03-16</t>
        </is>
      </c>
      <c r="C1330" t="n">
        <v>2026</v>
      </c>
      <c r="D1330" t="inlineStr">
        <is>
          <t>Marzec</t>
        </is>
      </c>
      <c r="E1330" t="inlineStr">
        <is>
          <t>W3</t>
        </is>
      </c>
      <c r="F1330" t="inlineStr">
        <is>
          <t>2026_Marzec_W3</t>
        </is>
      </c>
      <c r="G1330" t="inlineStr">
        <is>
          <t>Pn</t>
        </is>
      </c>
      <c r="H1330" t="inlineStr">
        <is>
          <t>WIŚNIEWSKA, MAGDALENA</t>
        </is>
      </c>
      <c r="I1330" t="inlineStr">
        <is>
          <t>Crew</t>
        </is>
      </c>
      <c r="J1330" t="inlineStr">
        <is>
          <t>Standard 0,5|20h</t>
        </is>
      </c>
      <c r="K1330" t="n">
        <v>8</v>
      </c>
      <c r="L1330" t="inlineStr">
        <is>
          <t>384</t>
        </is>
      </c>
      <c r="M1330" t="inlineStr">
        <is>
          <t>108120 SBX Warszawa Janki</t>
        </is>
      </c>
      <c r="N1330" t="inlineStr">
        <is>
          <t>2026-09-11 19:06</t>
        </is>
      </c>
    </row>
    <row r="1331">
      <c r="A1331" t="n">
        <v>1330</v>
      </c>
      <c r="B1331" t="inlineStr">
        <is>
          <t>2026-03-18</t>
        </is>
      </c>
      <c r="C1331" t="n">
        <v>2026</v>
      </c>
      <c r="D1331" t="inlineStr">
        <is>
          <t>Marzec</t>
        </is>
      </c>
      <c r="E1331" t="inlineStr">
        <is>
          <t>W4</t>
        </is>
      </c>
      <c r="F1331" t="inlineStr">
        <is>
          <t>2026_Marzec_W4</t>
        </is>
      </c>
      <c r="G1331" t="inlineStr">
        <is>
          <t>Śr</t>
        </is>
      </c>
      <c r="H1331" t="inlineStr">
        <is>
          <t>WIŚNIEWSKA, MAGDALENA</t>
        </is>
      </c>
      <c r="I1331" t="inlineStr">
        <is>
          <t>Crew</t>
        </is>
      </c>
      <c r="J1331" t="inlineStr">
        <is>
          <t>Standard 0,5|20h</t>
        </is>
      </c>
      <c r="K1331" t="n">
        <v>7</v>
      </c>
      <c r="L1331" t="inlineStr">
        <is>
          <t>384</t>
        </is>
      </c>
      <c r="M1331" t="inlineStr">
        <is>
          <t>108120 SBX Warszawa Janki</t>
        </is>
      </c>
      <c r="N1331" t="inlineStr">
        <is>
          <t>2026-09-11 19:06</t>
        </is>
      </c>
    </row>
    <row r="1332">
      <c r="A1332" t="n">
        <v>1331</v>
      </c>
      <c r="B1332" t="inlineStr">
        <is>
          <t>2026-03-20</t>
        </is>
      </c>
      <c r="C1332" t="n">
        <v>2026</v>
      </c>
      <c r="D1332" t="inlineStr">
        <is>
          <t>Marzec</t>
        </is>
      </c>
      <c r="E1332" t="inlineStr">
        <is>
          <t>W4</t>
        </is>
      </c>
      <c r="F1332" t="inlineStr">
        <is>
          <t>2026_Marzec_W4</t>
        </is>
      </c>
      <c r="G1332" t="inlineStr">
        <is>
          <t>Pt</t>
        </is>
      </c>
      <c r="H1332" t="inlineStr">
        <is>
          <t>WIŚNIEWSKA, MAGDALENA</t>
        </is>
      </c>
      <c r="I1332" t="inlineStr">
        <is>
          <t>Crew</t>
        </is>
      </c>
      <c r="J1332" t="inlineStr">
        <is>
          <t>Standard 0,5|20h</t>
        </is>
      </c>
      <c r="K1332" t="n">
        <v>6.75</v>
      </c>
      <c r="L1332" t="inlineStr">
        <is>
          <t>384</t>
        </is>
      </c>
      <c r="M1332" t="inlineStr">
        <is>
          <t>108120 SBX Warszawa Janki</t>
        </is>
      </c>
      <c r="N1332" t="inlineStr">
        <is>
          <t>2026-09-11 19:06</t>
        </is>
      </c>
    </row>
    <row r="1333">
      <c r="A1333" t="n">
        <v>1332</v>
      </c>
      <c r="B1333" t="inlineStr">
        <is>
          <t>2026-03-23</t>
        </is>
      </c>
      <c r="C1333" t="n">
        <v>2026</v>
      </c>
      <c r="D1333" t="inlineStr">
        <is>
          <t>Marzec</t>
        </is>
      </c>
      <c r="E1333" t="inlineStr">
        <is>
          <t>W4</t>
        </is>
      </c>
      <c r="F1333" t="inlineStr">
        <is>
          <t>2026_Marzec_W4</t>
        </is>
      </c>
      <c r="G1333" t="inlineStr">
        <is>
          <t>Pn</t>
        </is>
      </c>
      <c r="H1333" t="inlineStr">
        <is>
          <t>WIŚNIEWSKA, MAGDALENA</t>
        </is>
      </c>
      <c r="I1333" t="inlineStr">
        <is>
          <t>Crew</t>
        </is>
      </c>
      <c r="J1333" t="inlineStr">
        <is>
          <t>Standard 0,5|20h</t>
        </is>
      </c>
      <c r="K1333" t="n">
        <v>6</v>
      </c>
      <c r="L1333" t="inlineStr">
        <is>
          <t>384</t>
        </is>
      </c>
      <c r="M1333" t="inlineStr">
        <is>
          <t>108120 SBX Warszawa Janki</t>
        </is>
      </c>
      <c r="N1333" t="inlineStr">
        <is>
          <t>2026-09-11 19:06</t>
        </is>
      </c>
    </row>
    <row r="1334">
      <c r="A1334" t="n">
        <v>1333</v>
      </c>
      <c r="B1334" t="inlineStr">
        <is>
          <t>2026-03-25</t>
        </is>
      </c>
      <c r="C1334" t="n">
        <v>2026</v>
      </c>
      <c r="D1334" t="inlineStr">
        <is>
          <t>Marzec</t>
        </is>
      </c>
      <c r="E1334" t="inlineStr">
        <is>
          <t>W5</t>
        </is>
      </c>
      <c r="F1334" t="inlineStr">
        <is>
          <t>2026_Marzec_W5</t>
        </is>
      </c>
      <c r="G1334" t="inlineStr">
        <is>
          <t>Śr</t>
        </is>
      </c>
      <c r="H1334" t="inlineStr">
        <is>
          <t>WIŚNIEWSKA, MAGDALENA</t>
        </is>
      </c>
      <c r="I1334" t="inlineStr">
        <is>
          <t>Crew</t>
        </is>
      </c>
      <c r="J1334" t="inlineStr">
        <is>
          <t>Standard 0,5|20h</t>
        </is>
      </c>
      <c r="K1334" t="n">
        <v>8</v>
      </c>
      <c r="L1334" t="inlineStr">
        <is>
          <t>384</t>
        </is>
      </c>
      <c r="M1334" t="inlineStr">
        <is>
          <t>108120 SBX Warszawa Janki</t>
        </is>
      </c>
      <c r="N1334" t="inlineStr">
        <is>
          <t>2026-09-11 19:06</t>
        </is>
      </c>
    </row>
    <row r="1335">
      <c r="A1335" t="n">
        <v>1334</v>
      </c>
      <c r="B1335" t="inlineStr">
        <is>
          <t>2026-03-26</t>
        </is>
      </c>
      <c r="C1335" t="n">
        <v>2026</v>
      </c>
      <c r="D1335" t="inlineStr">
        <is>
          <t>Marzec</t>
        </is>
      </c>
      <c r="E1335" t="inlineStr">
        <is>
          <t>W5</t>
        </is>
      </c>
      <c r="F1335" t="inlineStr">
        <is>
          <t>2026_Marzec_W5</t>
        </is>
      </c>
      <c r="G1335" t="inlineStr">
        <is>
          <t>Czw</t>
        </is>
      </c>
      <c r="H1335" t="inlineStr">
        <is>
          <t>WIŚNIEWSKA, MAGDALENA</t>
        </is>
      </c>
      <c r="I1335" t="inlineStr">
        <is>
          <t>Crew</t>
        </is>
      </c>
      <c r="J1335" t="inlineStr">
        <is>
          <t>Standard 0,5|20h</t>
        </is>
      </c>
      <c r="K1335" t="n">
        <v>6</v>
      </c>
      <c r="L1335" t="inlineStr">
        <is>
          <t>384</t>
        </is>
      </c>
      <c r="M1335" t="inlineStr">
        <is>
          <t>108120 SBX Warszawa Janki</t>
        </is>
      </c>
      <c r="N1335" t="inlineStr">
        <is>
          <t>2026-09-11 19:06</t>
        </is>
      </c>
    </row>
    <row r="1336">
      <c r="A1336" t="n">
        <v>1335</v>
      </c>
      <c r="B1336" t="inlineStr">
        <is>
          <t>2026-03-28</t>
        </is>
      </c>
      <c r="C1336" t="n">
        <v>2026</v>
      </c>
      <c r="D1336" t="inlineStr">
        <is>
          <t>Marzec</t>
        </is>
      </c>
      <c r="E1336" t="inlineStr">
        <is>
          <t>W5</t>
        </is>
      </c>
      <c r="F1336" t="inlineStr">
        <is>
          <t>2026_Marzec_W5</t>
        </is>
      </c>
      <c r="G1336" t="inlineStr">
        <is>
          <t>Sob</t>
        </is>
      </c>
      <c r="H1336" t="inlineStr">
        <is>
          <t>WIŚNIEWSKA, MAGDALENA</t>
        </is>
      </c>
      <c r="I1336" t="inlineStr">
        <is>
          <t>Crew</t>
        </is>
      </c>
      <c r="J1336" t="inlineStr">
        <is>
          <t>Standard 0,5|20h</t>
        </is>
      </c>
      <c r="K1336" t="n">
        <v>8</v>
      </c>
      <c r="L1336" t="inlineStr">
        <is>
          <t>384</t>
        </is>
      </c>
      <c r="M1336" t="inlineStr">
        <is>
          <t>108120 SBX Warszawa Janki</t>
        </is>
      </c>
      <c r="N1336" t="inlineStr">
        <is>
          <t>2026-09-11 19:06</t>
        </is>
      </c>
    </row>
    <row r="1337">
      <c r="A1337" t="n">
        <v>1336</v>
      </c>
      <c r="B1337" t="inlineStr">
        <is>
          <t>2026-03-31</t>
        </is>
      </c>
      <c r="C1337" t="n">
        <v>2026</v>
      </c>
      <c r="D1337" t="inlineStr">
        <is>
          <t>Marzec</t>
        </is>
      </c>
      <c r="E1337" t="inlineStr">
        <is>
          <t>W6</t>
        </is>
      </c>
      <c r="F1337" t="inlineStr">
        <is>
          <t>2026_Marzec_W6</t>
        </is>
      </c>
      <c r="G1337" t="inlineStr">
        <is>
          <t>Wt</t>
        </is>
      </c>
      <c r="H1337" t="inlineStr">
        <is>
          <t>WIŚNIEWSKA, MAGDALENA</t>
        </is>
      </c>
      <c r="I1337" t="inlineStr">
        <is>
          <t>Crew</t>
        </is>
      </c>
      <c r="J1337" t="inlineStr">
        <is>
          <t>Standard 0,5|20h</t>
        </is>
      </c>
      <c r="K1337" t="n">
        <v>7</v>
      </c>
      <c r="L1337" t="inlineStr">
        <is>
          <t>384</t>
        </is>
      </c>
      <c r="M1337" t="inlineStr">
        <is>
          <t>108120 SBX Warszawa Janki</t>
        </is>
      </c>
      <c r="N1337" t="inlineStr">
        <is>
          <t>2026-09-11 19:06</t>
        </is>
      </c>
    </row>
    <row r="1338">
      <c r="A1338" t="n">
        <v>1337</v>
      </c>
      <c r="B1338" t="inlineStr">
        <is>
          <t>2026-04-01</t>
        </is>
      </c>
      <c r="C1338" t="n">
        <v>2026</v>
      </c>
      <c r="D1338" t="inlineStr">
        <is>
          <t>Kwiecień</t>
        </is>
      </c>
      <c r="E1338" t="inlineStr">
        <is>
          <t>W1</t>
        </is>
      </c>
      <c r="F1338" t="inlineStr">
        <is>
          <t>2026_Kwiecień_W1</t>
        </is>
      </c>
      <c r="G1338" t="inlineStr">
        <is>
          <t>Śr</t>
        </is>
      </c>
      <c r="H1338" t="inlineStr">
        <is>
          <t>WIŚNIEWSKA, MAGDALENA</t>
        </is>
      </c>
      <c r="I1338" t="inlineStr">
        <is>
          <t>Crew</t>
        </is>
      </c>
      <c r="J1338" t="inlineStr">
        <is>
          <t>Standard 0,5|20h</t>
        </is>
      </c>
      <c r="K1338" t="n">
        <v>7.5</v>
      </c>
      <c r="L1338" t="inlineStr">
        <is>
          <t>384</t>
        </is>
      </c>
      <c r="M1338" t="inlineStr">
        <is>
          <t>108120 SBX Warszawa Janki</t>
        </is>
      </c>
      <c r="N1338" t="inlineStr">
        <is>
          <t>2026-09-11 19:06</t>
        </is>
      </c>
    </row>
    <row r="1339">
      <c r="A1339" t="n">
        <v>1338</v>
      </c>
      <c r="B1339" t="inlineStr">
        <is>
          <t>2026-04-02</t>
        </is>
      </c>
      <c r="C1339" t="n">
        <v>2026</v>
      </c>
      <c r="D1339" t="inlineStr">
        <is>
          <t>Kwiecień</t>
        </is>
      </c>
      <c r="E1339" t="inlineStr">
        <is>
          <t>W1</t>
        </is>
      </c>
      <c r="F1339" t="inlineStr">
        <is>
          <t>2026_Kwiecień_W1</t>
        </is>
      </c>
      <c r="G1339" t="inlineStr">
        <is>
          <t>Czw</t>
        </is>
      </c>
      <c r="H1339" t="inlineStr">
        <is>
          <t>WIŚNIEWSKA, MAGDALENA</t>
        </is>
      </c>
      <c r="I1339" t="inlineStr">
        <is>
          <t>Crew</t>
        </is>
      </c>
      <c r="J1339" t="inlineStr">
        <is>
          <t>Standard 0,5|20h</t>
        </is>
      </c>
      <c r="K1339" t="n">
        <v>8.15</v>
      </c>
      <c r="L1339" t="inlineStr">
        <is>
          <t>384</t>
        </is>
      </c>
      <c r="M1339" t="inlineStr">
        <is>
          <t>108120 SBX Warszawa Janki</t>
        </is>
      </c>
      <c r="N1339" t="inlineStr">
        <is>
          <t>2026-09-11 19:06</t>
        </is>
      </c>
    </row>
    <row r="1340">
      <c r="A1340" t="n">
        <v>1339</v>
      </c>
      <c r="B1340" t="inlineStr">
        <is>
          <t>2026-04-03</t>
        </is>
      </c>
      <c r="C1340" t="n">
        <v>2026</v>
      </c>
      <c r="D1340" t="inlineStr">
        <is>
          <t>Kwiecień</t>
        </is>
      </c>
      <c r="E1340" t="inlineStr">
        <is>
          <t>W1</t>
        </is>
      </c>
      <c r="F1340" t="inlineStr">
        <is>
          <t>2026_Kwiecień_W1</t>
        </is>
      </c>
      <c r="G1340" t="inlineStr">
        <is>
          <t>Pt</t>
        </is>
      </c>
      <c r="H1340" t="inlineStr">
        <is>
          <t>WIŚNIEWSKA, MAGDALENA</t>
        </is>
      </c>
      <c r="I1340" t="inlineStr">
        <is>
          <t>Crew</t>
        </is>
      </c>
      <c r="J1340" t="inlineStr">
        <is>
          <t>Standard 0,5|20h</t>
        </is>
      </c>
      <c r="K1340" t="n">
        <v>6</v>
      </c>
      <c r="L1340" t="inlineStr">
        <is>
          <t>384</t>
        </is>
      </c>
      <c r="M1340" t="inlineStr">
        <is>
          <t>108120 SBX Warszawa Janki</t>
        </is>
      </c>
      <c r="N1340" t="inlineStr">
        <is>
          <t>2026-09-11 19:06</t>
        </is>
      </c>
    </row>
    <row r="1341">
      <c r="A1341" t="n">
        <v>1340</v>
      </c>
      <c r="B1341" t="inlineStr">
        <is>
          <t>2026-04-07</t>
        </is>
      </c>
      <c r="C1341" t="n">
        <v>2026</v>
      </c>
      <c r="D1341" t="inlineStr">
        <is>
          <t>Kwiecień</t>
        </is>
      </c>
      <c r="E1341" t="inlineStr">
        <is>
          <t>W2</t>
        </is>
      </c>
      <c r="F1341" t="inlineStr">
        <is>
          <t>2026_Kwiecień_W2</t>
        </is>
      </c>
      <c r="G1341" t="inlineStr">
        <is>
          <t>Wt</t>
        </is>
      </c>
      <c r="H1341" t="inlineStr">
        <is>
          <t>WIŚNIEWSKA, MAGDALENA</t>
        </is>
      </c>
      <c r="I1341" t="inlineStr">
        <is>
          <t>Crew</t>
        </is>
      </c>
      <c r="J1341" t="inlineStr">
        <is>
          <t>Standard 0,5|20h</t>
        </is>
      </c>
      <c r="K1341" t="n">
        <v>7.22</v>
      </c>
      <c r="L1341" t="inlineStr">
        <is>
          <t>384</t>
        </is>
      </c>
      <c r="M1341" t="inlineStr">
        <is>
          <t>108120 SBX Warszawa Janki</t>
        </is>
      </c>
      <c r="N1341" t="inlineStr">
        <is>
          <t>2026-09-11 19:06</t>
        </is>
      </c>
    </row>
    <row r="1342">
      <c r="A1342" t="n">
        <v>1341</v>
      </c>
      <c r="B1342" t="inlineStr">
        <is>
          <t>2026-04-08</t>
        </is>
      </c>
      <c r="C1342" t="n">
        <v>2026</v>
      </c>
      <c r="D1342" t="inlineStr">
        <is>
          <t>Kwiecień</t>
        </is>
      </c>
      <c r="E1342" t="inlineStr">
        <is>
          <t>W2</t>
        </is>
      </c>
      <c r="F1342" t="inlineStr">
        <is>
          <t>2026_Kwiecień_W2</t>
        </is>
      </c>
      <c r="G1342" t="inlineStr">
        <is>
          <t>Śr</t>
        </is>
      </c>
      <c r="H1342" t="inlineStr">
        <is>
          <t>WIŚNIEWSKA, MAGDALENA</t>
        </is>
      </c>
      <c r="I1342" t="inlineStr">
        <is>
          <t>Crew</t>
        </is>
      </c>
      <c r="J1342" t="inlineStr">
        <is>
          <t>Standard 0,5|20h</t>
        </is>
      </c>
      <c r="K1342" t="n">
        <v>6.54</v>
      </c>
      <c r="L1342" t="inlineStr">
        <is>
          <t>384</t>
        </is>
      </c>
      <c r="M1342" t="inlineStr">
        <is>
          <t>108120 SBX Warszawa Janki</t>
        </is>
      </c>
      <c r="N1342" t="inlineStr">
        <is>
          <t>2026-09-11 19:06</t>
        </is>
      </c>
    </row>
    <row r="1343">
      <c r="A1343" t="n">
        <v>1342</v>
      </c>
      <c r="B1343" t="inlineStr">
        <is>
          <t>2026-04-09</t>
        </is>
      </c>
      <c r="C1343" t="n">
        <v>2026</v>
      </c>
      <c r="D1343" t="inlineStr">
        <is>
          <t>Kwiecień</t>
        </is>
      </c>
      <c r="E1343" t="inlineStr">
        <is>
          <t>W2</t>
        </is>
      </c>
      <c r="F1343" t="inlineStr">
        <is>
          <t>2026_Kwiecień_W2</t>
        </is>
      </c>
      <c r="G1343" t="inlineStr">
        <is>
          <t>Czw</t>
        </is>
      </c>
      <c r="H1343" t="inlineStr">
        <is>
          <t>WIŚNIEWSKA, MAGDALENA</t>
        </is>
      </c>
      <c r="I1343" t="inlineStr">
        <is>
          <t>Crew</t>
        </is>
      </c>
      <c r="J1343" t="inlineStr">
        <is>
          <t>Standard 0,5|20h</t>
        </is>
      </c>
      <c r="K1343" t="n">
        <v>8.039999999999999</v>
      </c>
      <c r="L1343" t="inlineStr">
        <is>
          <t>384</t>
        </is>
      </c>
      <c r="M1343" t="inlineStr">
        <is>
          <t>108120 SBX Warszawa Janki</t>
        </is>
      </c>
      <c r="N1343" t="inlineStr">
        <is>
          <t>2026-09-11 19:06</t>
        </is>
      </c>
    </row>
    <row r="1344">
      <c r="A1344" t="n">
        <v>1343</v>
      </c>
      <c r="B1344" t="inlineStr">
        <is>
          <t>2026-04-10</t>
        </is>
      </c>
      <c r="C1344" t="n">
        <v>2026</v>
      </c>
      <c r="D1344" t="inlineStr">
        <is>
          <t>Kwiecień</t>
        </is>
      </c>
      <c r="E1344" t="inlineStr">
        <is>
          <t>W2</t>
        </is>
      </c>
      <c r="F1344" t="inlineStr">
        <is>
          <t>2026_Kwiecień_W2</t>
        </is>
      </c>
      <c r="G1344" t="inlineStr">
        <is>
          <t>Pt</t>
        </is>
      </c>
      <c r="H1344" t="inlineStr">
        <is>
          <t>WIŚNIEWSKA, MAGDALENA</t>
        </is>
      </c>
      <c r="I1344" t="inlineStr">
        <is>
          <t>Crew</t>
        </is>
      </c>
      <c r="J1344" t="inlineStr">
        <is>
          <t>Standard 0,5|20h</t>
        </is>
      </c>
      <c r="K1344" t="n">
        <v>6.16</v>
      </c>
      <c r="L1344" t="inlineStr">
        <is>
          <t>384</t>
        </is>
      </c>
      <c r="M1344" t="inlineStr">
        <is>
          <t>108120 SBX Warszawa Janki</t>
        </is>
      </c>
      <c r="N1344" t="inlineStr">
        <is>
          <t>2026-09-11 19:06</t>
        </is>
      </c>
    </row>
    <row r="1345">
      <c r="A1345" t="n">
        <v>1344</v>
      </c>
      <c r="B1345" t="inlineStr">
        <is>
          <t>2026-04-11</t>
        </is>
      </c>
      <c r="C1345" t="n">
        <v>2026</v>
      </c>
      <c r="D1345" t="inlineStr">
        <is>
          <t>Kwiecień</t>
        </is>
      </c>
      <c r="E1345" t="inlineStr">
        <is>
          <t>W2</t>
        </is>
      </c>
      <c r="F1345" t="inlineStr">
        <is>
          <t>2026_Kwiecień_W2</t>
        </is>
      </c>
      <c r="G1345" t="inlineStr">
        <is>
          <t>Sob</t>
        </is>
      </c>
      <c r="H1345" t="inlineStr">
        <is>
          <t>WIŚNIEWSKA, MAGDALENA</t>
        </is>
      </c>
      <c r="I1345" t="inlineStr">
        <is>
          <t>Crew</t>
        </is>
      </c>
      <c r="J1345" t="inlineStr">
        <is>
          <t>Standard 0,5|20h</t>
        </is>
      </c>
      <c r="K1345" t="n">
        <v>8.09</v>
      </c>
      <c r="L1345" t="inlineStr">
        <is>
          <t>384</t>
        </is>
      </c>
      <c r="M1345" t="inlineStr">
        <is>
          <t>108120 SBX Warszawa Janki</t>
        </is>
      </c>
      <c r="N1345" t="inlineStr">
        <is>
          <t>2026-09-11 19:06</t>
        </is>
      </c>
    </row>
    <row r="1346">
      <c r="A1346" t="n">
        <v>1345</v>
      </c>
      <c r="B1346" t="inlineStr">
        <is>
          <t>2026-04-13</t>
        </is>
      </c>
      <c r="C1346" t="n">
        <v>2026</v>
      </c>
      <c r="D1346" t="inlineStr">
        <is>
          <t>Kwiecień</t>
        </is>
      </c>
      <c r="E1346" t="inlineStr">
        <is>
          <t>W2</t>
        </is>
      </c>
      <c r="F1346" t="inlineStr">
        <is>
          <t>2026_Kwiecień_W2</t>
        </is>
      </c>
      <c r="G1346" t="inlineStr">
        <is>
          <t>Pn</t>
        </is>
      </c>
      <c r="H1346" t="inlineStr">
        <is>
          <t>WIŚNIEWSKA, MAGDALENA</t>
        </is>
      </c>
      <c r="I1346" t="inlineStr">
        <is>
          <t>Crew</t>
        </is>
      </c>
      <c r="J1346" t="inlineStr">
        <is>
          <t>Standard 0,5|20h</t>
        </is>
      </c>
      <c r="K1346" t="n">
        <v>7.64</v>
      </c>
      <c r="L1346" t="inlineStr">
        <is>
          <t>384</t>
        </is>
      </c>
      <c r="M1346" t="inlineStr">
        <is>
          <t>108120 SBX Warszawa Janki</t>
        </is>
      </c>
      <c r="N1346" t="inlineStr">
        <is>
          <t>2026-09-11 19:06</t>
        </is>
      </c>
    </row>
    <row r="1347">
      <c r="A1347" t="n">
        <v>1346</v>
      </c>
      <c r="B1347" t="inlineStr">
        <is>
          <t>2026-04-14</t>
        </is>
      </c>
      <c r="C1347" t="n">
        <v>2026</v>
      </c>
      <c r="D1347" t="inlineStr">
        <is>
          <t>Kwiecień</t>
        </is>
      </c>
      <c r="E1347" t="inlineStr">
        <is>
          <t>W3</t>
        </is>
      </c>
      <c r="F1347" t="inlineStr">
        <is>
          <t>2026_Kwiecień_W3</t>
        </is>
      </c>
      <c r="G1347" t="inlineStr">
        <is>
          <t>Wt</t>
        </is>
      </c>
      <c r="H1347" t="inlineStr">
        <is>
          <t>WIŚNIEWSKA, MAGDALENA</t>
        </is>
      </c>
      <c r="I1347" t="inlineStr">
        <is>
          <t>Crew</t>
        </is>
      </c>
      <c r="J1347" t="inlineStr">
        <is>
          <t>Standard 0,5|20h</t>
        </is>
      </c>
      <c r="K1347" t="n">
        <v>7.02</v>
      </c>
      <c r="L1347" t="inlineStr">
        <is>
          <t>384</t>
        </is>
      </c>
      <c r="M1347" t="inlineStr">
        <is>
          <t>108120 SBX Warszawa Janki</t>
        </is>
      </c>
      <c r="N1347" t="inlineStr">
        <is>
          <t>2026-09-11 19:06</t>
        </is>
      </c>
    </row>
    <row r="1348">
      <c r="A1348" t="n">
        <v>1347</v>
      </c>
      <c r="B1348" t="inlineStr">
        <is>
          <t>2026-04-15</t>
        </is>
      </c>
      <c r="C1348" t="n">
        <v>2026</v>
      </c>
      <c r="D1348" t="inlineStr">
        <is>
          <t>Kwiecień</t>
        </is>
      </c>
      <c r="E1348" t="inlineStr">
        <is>
          <t>W3</t>
        </is>
      </c>
      <c r="F1348" t="inlineStr">
        <is>
          <t>2026_Kwiecień_W3</t>
        </is>
      </c>
      <c r="G1348" t="inlineStr">
        <is>
          <t>Śr</t>
        </is>
      </c>
      <c r="H1348" t="inlineStr">
        <is>
          <t>WIŚNIEWSKA, MAGDALENA</t>
        </is>
      </c>
      <c r="I1348" t="inlineStr">
        <is>
          <t>Crew</t>
        </is>
      </c>
      <c r="J1348" t="inlineStr">
        <is>
          <t>Standard 0,5|20h</t>
        </is>
      </c>
      <c r="K1348" t="n">
        <v>7.96</v>
      </c>
      <c r="L1348" t="inlineStr">
        <is>
          <t>384</t>
        </is>
      </c>
      <c r="M1348" t="inlineStr">
        <is>
          <t>108120 SBX Warszawa Janki</t>
        </is>
      </c>
      <c r="N1348" t="inlineStr">
        <is>
          <t>2026-09-11 19:06</t>
        </is>
      </c>
    </row>
    <row r="1349">
      <c r="A1349" t="n">
        <v>1348</v>
      </c>
      <c r="B1349" t="inlineStr">
        <is>
          <t>2026-04-16</t>
        </is>
      </c>
      <c r="C1349" t="n">
        <v>2026</v>
      </c>
      <c r="D1349" t="inlineStr">
        <is>
          <t>Kwiecień</t>
        </is>
      </c>
      <c r="E1349" t="inlineStr">
        <is>
          <t>W3</t>
        </is>
      </c>
      <c r="F1349" t="inlineStr">
        <is>
          <t>2026_Kwiecień_W3</t>
        </is>
      </c>
      <c r="G1349" t="inlineStr">
        <is>
          <t>Czw</t>
        </is>
      </c>
      <c r="H1349" t="inlineStr">
        <is>
          <t>WIŚNIEWSKA, MAGDALENA</t>
        </is>
      </c>
      <c r="I1349" t="inlineStr">
        <is>
          <t>Crew</t>
        </is>
      </c>
      <c r="J1349" t="inlineStr">
        <is>
          <t>Standard 0,5|20h</t>
        </is>
      </c>
      <c r="K1349" t="n">
        <v>5.28</v>
      </c>
      <c r="L1349" t="inlineStr">
        <is>
          <t>384</t>
        </is>
      </c>
      <c r="M1349" t="inlineStr">
        <is>
          <t>108120 SBX Warszawa Janki</t>
        </is>
      </c>
      <c r="N1349" t="inlineStr">
        <is>
          <t>2026-09-11 19:06</t>
        </is>
      </c>
    </row>
    <row r="1350">
      <c r="A1350" t="n">
        <v>1349</v>
      </c>
      <c r="B1350" t="inlineStr">
        <is>
          <t>2026-04-22</t>
        </is>
      </c>
      <c r="C1350" t="n">
        <v>2026</v>
      </c>
      <c r="D1350" t="inlineStr">
        <is>
          <t>Kwiecień</t>
        </is>
      </c>
      <c r="E1350" t="inlineStr">
        <is>
          <t>W4</t>
        </is>
      </c>
      <c r="F1350" t="inlineStr">
        <is>
          <t>2026_Kwiecień_W4</t>
        </is>
      </c>
      <c r="G1350" t="inlineStr">
        <is>
          <t>Śr</t>
        </is>
      </c>
      <c r="H1350" t="inlineStr">
        <is>
          <t>WIŚNIEWSKA, MAGDALENA</t>
        </is>
      </c>
      <c r="I1350" t="inlineStr">
        <is>
          <t>Crew</t>
        </is>
      </c>
      <c r="J1350" t="inlineStr">
        <is>
          <t>Standard 0,5|20h</t>
        </is>
      </c>
      <c r="K1350" t="n">
        <v>7.08</v>
      </c>
      <c r="L1350" t="inlineStr">
        <is>
          <t>384</t>
        </is>
      </c>
      <c r="M1350" t="inlineStr">
        <is>
          <t>108120 SBX Warszawa Janki</t>
        </is>
      </c>
      <c r="N1350" t="inlineStr">
        <is>
          <t>2026-09-11 19:06</t>
        </is>
      </c>
    </row>
    <row r="1351">
      <c r="A1351" t="n">
        <v>1350</v>
      </c>
      <c r="B1351" t="inlineStr">
        <is>
          <t>2026-04-23</t>
        </is>
      </c>
      <c r="C1351" t="n">
        <v>2026</v>
      </c>
      <c r="D1351" t="inlineStr">
        <is>
          <t>Kwiecień</t>
        </is>
      </c>
      <c r="E1351" t="inlineStr">
        <is>
          <t>W4</t>
        </is>
      </c>
      <c r="F1351" t="inlineStr">
        <is>
          <t>2026_Kwiecień_W4</t>
        </is>
      </c>
      <c r="G1351" t="inlineStr">
        <is>
          <t>Czw</t>
        </is>
      </c>
      <c r="H1351" t="inlineStr">
        <is>
          <t>WIŚNIEWSKA, MAGDALENA</t>
        </is>
      </c>
      <c r="I1351" t="inlineStr">
        <is>
          <t>Crew</t>
        </is>
      </c>
      <c r="J1351" t="inlineStr">
        <is>
          <t>Standard 0,5|20h</t>
        </is>
      </c>
      <c r="K1351" t="n">
        <v>6.05</v>
      </c>
      <c r="L1351" t="inlineStr">
        <is>
          <t>384</t>
        </is>
      </c>
      <c r="M1351" t="inlineStr">
        <is>
          <t>108120 SBX Warszawa Janki</t>
        </is>
      </c>
      <c r="N1351" t="inlineStr">
        <is>
          <t>2026-09-11 19:06</t>
        </is>
      </c>
    </row>
    <row r="1352">
      <c r="A1352" t="n">
        <v>1351</v>
      </c>
      <c r="B1352" t="inlineStr">
        <is>
          <t>2026-04-24</t>
        </is>
      </c>
      <c r="C1352" t="n">
        <v>2026</v>
      </c>
      <c r="D1352" t="inlineStr">
        <is>
          <t>Kwiecień</t>
        </is>
      </c>
      <c r="E1352" t="inlineStr">
        <is>
          <t>W4</t>
        </is>
      </c>
      <c r="F1352" t="inlineStr">
        <is>
          <t>2026_Kwiecień_W4</t>
        </is>
      </c>
      <c r="G1352" t="inlineStr">
        <is>
          <t>Pt</t>
        </is>
      </c>
      <c r="H1352" t="inlineStr">
        <is>
          <t>WIŚNIEWSKA, MAGDALENA</t>
        </is>
      </c>
      <c r="I1352" t="inlineStr">
        <is>
          <t>Crew</t>
        </is>
      </c>
      <c r="J1352" t="inlineStr">
        <is>
          <t>Standard 0,5|20h</t>
        </is>
      </c>
      <c r="K1352" t="n">
        <v>7.68</v>
      </c>
      <c r="L1352" t="inlineStr">
        <is>
          <t>384</t>
        </is>
      </c>
      <c r="M1352" t="inlineStr">
        <is>
          <t>108120 SBX Warszawa Janki</t>
        </is>
      </c>
      <c r="N1352" t="inlineStr">
        <is>
          <t>2026-09-11 19:06</t>
        </is>
      </c>
    </row>
    <row r="1353">
      <c r="A1353" t="n">
        <v>1352</v>
      </c>
      <c r="B1353" t="inlineStr">
        <is>
          <t>2026-04-25</t>
        </is>
      </c>
      <c r="C1353" t="n">
        <v>2026</v>
      </c>
      <c r="D1353" t="inlineStr">
        <is>
          <t>Kwiecień</t>
        </is>
      </c>
      <c r="E1353" t="inlineStr">
        <is>
          <t>W4</t>
        </is>
      </c>
      <c r="F1353" t="inlineStr">
        <is>
          <t>2026_Kwiecień_W4</t>
        </is>
      </c>
      <c r="G1353" t="inlineStr">
        <is>
          <t>Sob</t>
        </is>
      </c>
      <c r="H1353" t="inlineStr">
        <is>
          <t>WIŚNIEWSKA, MAGDALENA</t>
        </is>
      </c>
      <c r="I1353" t="inlineStr">
        <is>
          <t>Crew</t>
        </is>
      </c>
      <c r="J1353" t="inlineStr">
        <is>
          <t>Standard 0,5|20h</t>
        </is>
      </c>
      <c r="K1353" t="n">
        <v>5.42</v>
      </c>
      <c r="L1353" t="inlineStr">
        <is>
          <t>384</t>
        </is>
      </c>
      <c r="M1353" t="inlineStr">
        <is>
          <t>108120 SBX Warszawa Janki</t>
        </is>
      </c>
      <c r="N1353" t="inlineStr">
        <is>
          <t>2026-09-11 19:06</t>
        </is>
      </c>
    </row>
    <row r="1354">
      <c r="A1354" t="n">
        <v>1353</v>
      </c>
      <c r="B1354" t="inlineStr">
        <is>
          <t>2026-04-27</t>
        </is>
      </c>
      <c r="C1354" t="n">
        <v>2026</v>
      </c>
      <c r="D1354" t="inlineStr">
        <is>
          <t>Kwiecień</t>
        </is>
      </c>
      <c r="E1354" t="inlineStr">
        <is>
          <t>W4</t>
        </is>
      </c>
      <c r="F1354" t="inlineStr">
        <is>
          <t>2026_Kwiecień_W4</t>
        </is>
      </c>
      <c r="G1354" t="inlineStr">
        <is>
          <t>Pn</t>
        </is>
      </c>
      <c r="H1354" t="inlineStr">
        <is>
          <t>WIŚNIEWSKA, MAGDALENA</t>
        </is>
      </c>
      <c r="I1354" t="inlineStr">
        <is>
          <t>Crew</t>
        </is>
      </c>
      <c r="J1354" t="inlineStr">
        <is>
          <t>Standard 0,5|20h</t>
        </is>
      </c>
      <c r="K1354" t="n">
        <v>8.109999999999999</v>
      </c>
      <c r="L1354" t="inlineStr">
        <is>
          <t>384</t>
        </is>
      </c>
      <c r="M1354" t="inlineStr">
        <is>
          <t>108120 SBX Warszawa Janki</t>
        </is>
      </c>
      <c r="N1354" t="inlineStr">
        <is>
          <t>2026-09-11 19:06</t>
        </is>
      </c>
    </row>
    <row r="1355">
      <c r="A1355" t="n">
        <v>1354</v>
      </c>
      <c r="B1355" t="inlineStr">
        <is>
          <t>2026-04-28</t>
        </is>
      </c>
      <c r="C1355" t="n">
        <v>2026</v>
      </c>
      <c r="D1355" t="inlineStr">
        <is>
          <t>Kwiecień</t>
        </is>
      </c>
      <c r="E1355" t="inlineStr">
        <is>
          <t>W5</t>
        </is>
      </c>
      <c r="F1355" t="inlineStr">
        <is>
          <t>2026_Kwiecień_W5</t>
        </is>
      </c>
      <c r="G1355" t="inlineStr">
        <is>
          <t>Wt</t>
        </is>
      </c>
      <c r="H1355" t="inlineStr">
        <is>
          <t>WIŚNIEWSKA, MAGDALENA</t>
        </is>
      </c>
      <c r="I1355" t="inlineStr">
        <is>
          <t>Crew</t>
        </is>
      </c>
      <c r="J1355" t="inlineStr">
        <is>
          <t>Standard 0,5|20h</t>
        </is>
      </c>
      <c r="K1355" t="n">
        <v>2.81</v>
      </c>
      <c r="L1355" t="inlineStr">
        <is>
          <t>384</t>
        </is>
      </c>
      <c r="M1355" t="inlineStr">
        <is>
          <t>108120 SBX Warszawa Janki</t>
        </is>
      </c>
      <c r="N1355" t="inlineStr">
        <is>
          <t>2026-09-11 19:06</t>
        </is>
      </c>
    </row>
    <row r="1356">
      <c r="A1356" t="n">
        <v>1355</v>
      </c>
      <c r="B1356" t="inlineStr">
        <is>
          <t>2026-04-30</t>
        </is>
      </c>
      <c r="C1356" t="n">
        <v>2026</v>
      </c>
      <c r="D1356" t="inlineStr">
        <is>
          <t>Kwiecień</t>
        </is>
      </c>
      <c r="E1356" t="inlineStr">
        <is>
          <t>W5</t>
        </is>
      </c>
      <c r="F1356" t="inlineStr">
        <is>
          <t>2026_Kwiecień_W5</t>
        </is>
      </c>
      <c r="G1356" t="inlineStr">
        <is>
          <t>Czw</t>
        </is>
      </c>
      <c r="H1356" t="inlineStr">
        <is>
          <t>WIŚNIEWSKA, MAGDALENA</t>
        </is>
      </c>
      <c r="I1356" t="inlineStr">
        <is>
          <t>Crew</t>
        </is>
      </c>
      <c r="J1356" t="inlineStr">
        <is>
          <t>Standard 0,5|20h</t>
        </is>
      </c>
      <c r="K1356" t="n">
        <v>7.8</v>
      </c>
      <c r="L1356" t="inlineStr">
        <is>
          <t>384</t>
        </is>
      </c>
      <c r="M1356" t="inlineStr">
        <is>
          <t>108120 SBX Warszawa Janki</t>
        </is>
      </c>
      <c r="N1356" t="inlineStr">
        <is>
          <t>2026-09-11 19:06</t>
        </is>
      </c>
    </row>
    <row r="1357">
      <c r="A1357" t="n">
        <v>1356</v>
      </c>
      <c r="B1357" t="inlineStr">
        <is>
          <t>2026-05-04</t>
        </is>
      </c>
      <c r="C1357" t="n">
        <v>2026</v>
      </c>
      <c r="D1357" t="inlineStr">
        <is>
          <t>Maj</t>
        </is>
      </c>
      <c r="E1357" t="inlineStr">
        <is>
          <t>W1</t>
        </is>
      </c>
      <c r="F1357" t="inlineStr">
        <is>
          <t>2026_Maj_W1</t>
        </is>
      </c>
      <c r="G1357" t="inlineStr">
        <is>
          <t>Pn</t>
        </is>
      </c>
      <c r="H1357" t="inlineStr">
        <is>
          <t>WIŚNIEWSKA, MAGDALENA</t>
        </is>
      </c>
      <c r="I1357" t="inlineStr">
        <is>
          <t>Instructor</t>
        </is>
      </c>
      <c r="J1357" t="inlineStr">
        <is>
          <t>Standard 0,5|20h</t>
        </is>
      </c>
      <c r="K1357" t="n">
        <v>8.199999999999999</v>
      </c>
      <c r="L1357" t="inlineStr">
        <is>
          <t>384</t>
        </is>
      </c>
      <c r="M1357" t="inlineStr">
        <is>
          <t>108120 SBX Warszawa Janki</t>
        </is>
      </c>
      <c r="N1357" t="inlineStr">
        <is>
          <t>2026-09-11 19:06</t>
        </is>
      </c>
    </row>
    <row r="1358">
      <c r="A1358" t="n">
        <v>1357</v>
      </c>
      <c r="B1358" t="inlineStr">
        <is>
          <t>2026-05-06</t>
        </is>
      </c>
      <c r="C1358" t="n">
        <v>2026</v>
      </c>
      <c r="D1358" t="inlineStr">
        <is>
          <t>Maj</t>
        </is>
      </c>
      <c r="E1358" t="inlineStr">
        <is>
          <t>W2</t>
        </is>
      </c>
      <c r="F1358" t="inlineStr">
        <is>
          <t>2026_Maj_W2</t>
        </is>
      </c>
      <c r="G1358" t="inlineStr">
        <is>
          <t>Śr</t>
        </is>
      </c>
      <c r="H1358" t="inlineStr">
        <is>
          <t>WIŚNIEWSKA, MAGDALENA</t>
        </is>
      </c>
      <c r="I1358" t="inlineStr">
        <is>
          <t>Instructor</t>
        </is>
      </c>
      <c r="J1358" t="inlineStr">
        <is>
          <t>Standard 0,5|20h</t>
        </is>
      </c>
      <c r="K1358" t="n">
        <v>8.220000000000001</v>
      </c>
      <c r="L1358" t="inlineStr">
        <is>
          <t>384</t>
        </is>
      </c>
      <c r="M1358" t="inlineStr">
        <is>
          <t>108120 SBX Warszawa Janki</t>
        </is>
      </c>
      <c r="N1358" t="inlineStr">
        <is>
          <t>2026-09-11 19:06</t>
        </is>
      </c>
    </row>
    <row r="1359">
      <c r="A1359" t="n">
        <v>1358</v>
      </c>
      <c r="B1359" t="inlineStr">
        <is>
          <t>2026-05-08</t>
        </is>
      </c>
      <c r="C1359" t="n">
        <v>2026</v>
      </c>
      <c r="D1359" t="inlineStr">
        <is>
          <t>Maj</t>
        </is>
      </c>
      <c r="E1359" t="inlineStr">
        <is>
          <t>W2</t>
        </is>
      </c>
      <c r="F1359" t="inlineStr">
        <is>
          <t>2026_Maj_W2</t>
        </is>
      </c>
      <c r="G1359" t="inlineStr">
        <is>
          <t>Pt</t>
        </is>
      </c>
      <c r="H1359" t="inlineStr">
        <is>
          <t>WIŚNIEWSKA, MAGDALENA</t>
        </is>
      </c>
      <c r="I1359" t="inlineStr">
        <is>
          <t>Instructor</t>
        </is>
      </c>
      <c r="J1359" t="inlineStr">
        <is>
          <t>Standard 0,5|20h</t>
        </is>
      </c>
      <c r="K1359" t="n">
        <v>8</v>
      </c>
      <c r="L1359" t="inlineStr">
        <is>
          <t>384</t>
        </is>
      </c>
      <c r="M1359" t="inlineStr">
        <is>
          <t>108120 SBX Warszawa Janki</t>
        </is>
      </c>
      <c r="N1359" t="inlineStr">
        <is>
          <t>2026-09-11 19:06</t>
        </is>
      </c>
    </row>
    <row r="1360">
      <c r="A1360" t="n">
        <v>1359</v>
      </c>
      <c r="B1360" t="inlineStr">
        <is>
          <t>2026-05-09</t>
        </is>
      </c>
      <c r="C1360" t="n">
        <v>2026</v>
      </c>
      <c r="D1360" t="inlineStr">
        <is>
          <t>Maj</t>
        </is>
      </c>
      <c r="E1360" t="inlineStr">
        <is>
          <t>W2</t>
        </is>
      </c>
      <c r="F1360" t="inlineStr">
        <is>
          <t>2026_Maj_W2</t>
        </is>
      </c>
      <c r="G1360" t="inlineStr">
        <is>
          <t>Sob</t>
        </is>
      </c>
      <c r="H1360" t="inlineStr">
        <is>
          <t>WIŚNIEWSKA, MAGDALENA</t>
        </is>
      </c>
      <c r="I1360" t="inlineStr">
        <is>
          <t>Instructor</t>
        </is>
      </c>
      <c r="J1360" t="inlineStr">
        <is>
          <t>Standard 0,5|20h</t>
        </is>
      </c>
      <c r="K1360" t="n">
        <v>8.4</v>
      </c>
      <c r="L1360" t="inlineStr">
        <is>
          <t>384</t>
        </is>
      </c>
      <c r="M1360" t="inlineStr">
        <is>
          <t>108120 SBX Warszawa Janki</t>
        </is>
      </c>
      <c r="N1360" t="inlineStr">
        <is>
          <t>2026-09-11 19:06</t>
        </is>
      </c>
    </row>
    <row r="1361">
      <c r="A1361" t="n">
        <v>1360</v>
      </c>
      <c r="B1361" t="inlineStr">
        <is>
          <t>2026-05-11</t>
        </is>
      </c>
      <c r="C1361" t="n">
        <v>2026</v>
      </c>
      <c r="D1361" t="inlineStr">
        <is>
          <t>Maj</t>
        </is>
      </c>
      <c r="E1361" t="inlineStr">
        <is>
          <t>W2</t>
        </is>
      </c>
      <c r="F1361" t="inlineStr">
        <is>
          <t>2026_Maj_W2</t>
        </is>
      </c>
      <c r="G1361" t="inlineStr">
        <is>
          <t>Pn</t>
        </is>
      </c>
      <c r="H1361" t="inlineStr">
        <is>
          <t>WIŚNIEWSKA, MAGDALENA</t>
        </is>
      </c>
      <c r="I1361" t="inlineStr">
        <is>
          <t>Instructor</t>
        </is>
      </c>
      <c r="J1361" t="inlineStr">
        <is>
          <t>Standard 0,5|20h</t>
        </is>
      </c>
      <c r="K1361" t="n">
        <v>6.67</v>
      </c>
      <c r="L1361" t="inlineStr">
        <is>
          <t>384</t>
        </is>
      </c>
      <c r="M1361" t="inlineStr">
        <is>
          <t>108120 SBX Warszawa Janki</t>
        </is>
      </c>
      <c r="N1361" t="inlineStr">
        <is>
          <t>2026-09-11 19:06</t>
        </is>
      </c>
    </row>
    <row r="1362">
      <c r="A1362" t="n">
        <v>1361</v>
      </c>
      <c r="B1362" t="inlineStr">
        <is>
          <t>2026-05-13</t>
        </is>
      </c>
      <c r="C1362" t="n">
        <v>2026</v>
      </c>
      <c r="D1362" t="inlineStr">
        <is>
          <t>Maj</t>
        </is>
      </c>
      <c r="E1362" t="inlineStr">
        <is>
          <t>W3</t>
        </is>
      </c>
      <c r="F1362" t="inlineStr">
        <is>
          <t>2026_Maj_W3</t>
        </is>
      </c>
      <c r="G1362" t="inlineStr">
        <is>
          <t>Śr</t>
        </is>
      </c>
      <c r="H1362" t="inlineStr">
        <is>
          <t>WIŚNIEWSKA, MAGDALENA</t>
        </is>
      </c>
      <c r="I1362" t="inlineStr">
        <is>
          <t>Instructor</t>
        </is>
      </c>
      <c r="J1362" t="inlineStr">
        <is>
          <t>Standard 0,5|20h</t>
        </is>
      </c>
      <c r="K1362" t="n">
        <v>7.12</v>
      </c>
      <c r="L1362" t="inlineStr">
        <is>
          <t>384</t>
        </is>
      </c>
      <c r="M1362" t="inlineStr">
        <is>
          <t>108120 SBX Warszawa Janki</t>
        </is>
      </c>
      <c r="N1362" t="inlineStr">
        <is>
          <t>2026-09-11 19:06</t>
        </is>
      </c>
    </row>
    <row r="1363">
      <c r="A1363" t="n">
        <v>1362</v>
      </c>
      <c r="B1363" t="inlineStr">
        <is>
          <t>2026-05-14</t>
        </is>
      </c>
      <c r="C1363" t="n">
        <v>2026</v>
      </c>
      <c r="D1363" t="inlineStr">
        <is>
          <t>Maj</t>
        </is>
      </c>
      <c r="E1363" t="inlineStr">
        <is>
          <t>W3</t>
        </is>
      </c>
      <c r="F1363" t="inlineStr">
        <is>
          <t>2026_Maj_W3</t>
        </is>
      </c>
      <c r="G1363" t="inlineStr">
        <is>
          <t>Czw</t>
        </is>
      </c>
      <c r="H1363" t="inlineStr">
        <is>
          <t>WIŚNIEWSKA, MAGDALENA</t>
        </is>
      </c>
      <c r="I1363" t="inlineStr">
        <is>
          <t>Instructor</t>
        </is>
      </c>
      <c r="J1363" t="inlineStr">
        <is>
          <t>Standard 0,5|20h</t>
        </is>
      </c>
      <c r="K1363" t="n">
        <v>7.51</v>
      </c>
      <c r="L1363" t="inlineStr">
        <is>
          <t>384</t>
        </is>
      </c>
      <c r="M1363" t="inlineStr">
        <is>
          <t>108120 SBX Warszawa Janki</t>
        </is>
      </c>
      <c r="N1363" t="inlineStr">
        <is>
          <t>2026-09-11 19:06</t>
        </is>
      </c>
    </row>
    <row r="1364">
      <c r="A1364" t="n">
        <v>1363</v>
      </c>
      <c r="B1364" t="inlineStr">
        <is>
          <t>2026-05-18</t>
        </is>
      </c>
      <c r="C1364" t="n">
        <v>2026</v>
      </c>
      <c r="D1364" t="inlineStr">
        <is>
          <t>Maj</t>
        </is>
      </c>
      <c r="E1364" t="inlineStr">
        <is>
          <t>W3</t>
        </is>
      </c>
      <c r="F1364" t="inlineStr">
        <is>
          <t>2026_Maj_W3</t>
        </is>
      </c>
      <c r="G1364" t="inlineStr">
        <is>
          <t>Pn</t>
        </is>
      </c>
      <c r="H1364" t="inlineStr">
        <is>
          <t>WIŚNIEWSKA, MAGDALENA</t>
        </is>
      </c>
      <c r="I1364" t="inlineStr">
        <is>
          <t>Instructor</t>
        </is>
      </c>
      <c r="J1364" t="inlineStr">
        <is>
          <t>Standard 0,5|20h</t>
        </is>
      </c>
      <c r="K1364" t="n">
        <v>8.1</v>
      </c>
      <c r="L1364" t="inlineStr">
        <is>
          <t>384</t>
        </is>
      </c>
      <c r="M1364" t="inlineStr">
        <is>
          <t>108120 SBX Warszawa Janki</t>
        </is>
      </c>
      <c r="N1364" t="inlineStr">
        <is>
          <t>2026-09-11 19:06</t>
        </is>
      </c>
    </row>
    <row r="1365">
      <c r="A1365" t="n">
        <v>1364</v>
      </c>
      <c r="B1365" t="inlineStr">
        <is>
          <t>2026-05-20</t>
        </is>
      </c>
      <c r="C1365" t="n">
        <v>2026</v>
      </c>
      <c r="D1365" t="inlineStr">
        <is>
          <t>Maj</t>
        </is>
      </c>
      <c r="E1365" t="inlineStr">
        <is>
          <t>W4</t>
        </is>
      </c>
      <c r="F1365" t="inlineStr">
        <is>
          <t>2026_Maj_W4</t>
        </is>
      </c>
      <c r="G1365" t="inlineStr">
        <is>
          <t>Śr</t>
        </is>
      </c>
      <c r="H1365" t="inlineStr">
        <is>
          <t>WIŚNIEWSKA, MAGDALENA</t>
        </is>
      </c>
      <c r="I1365" t="inlineStr">
        <is>
          <t>Instructor</t>
        </is>
      </c>
      <c r="J1365" t="inlineStr">
        <is>
          <t>Standard 0,5|20h</t>
        </is>
      </c>
      <c r="K1365" t="n">
        <v>7.03</v>
      </c>
      <c r="L1365" t="inlineStr">
        <is>
          <t>384</t>
        </is>
      </c>
      <c r="M1365" t="inlineStr">
        <is>
          <t>108120 SBX Warszawa Janki</t>
        </is>
      </c>
      <c r="N1365" t="inlineStr">
        <is>
          <t>2026-09-11 19:06</t>
        </is>
      </c>
    </row>
    <row r="1366">
      <c r="A1366" t="n">
        <v>1365</v>
      </c>
      <c r="B1366" t="inlineStr">
        <is>
          <t>2026-05-21</t>
        </is>
      </c>
      <c r="C1366" t="n">
        <v>2026</v>
      </c>
      <c r="D1366" t="inlineStr">
        <is>
          <t>Maj</t>
        </is>
      </c>
      <c r="E1366" t="inlineStr">
        <is>
          <t>W4</t>
        </is>
      </c>
      <c r="F1366" t="inlineStr">
        <is>
          <t>2026_Maj_W4</t>
        </is>
      </c>
      <c r="G1366" t="inlineStr">
        <is>
          <t>Czw</t>
        </is>
      </c>
      <c r="H1366" t="inlineStr">
        <is>
          <t>WIŚNIEWSKA, MAGDALENA</t>
        </is>
      </c>
      <c r="I1366" t="inlineStr">
        <is>
          <t>Instructor</t>
        </is>
      </c>
      <c r="J1366" t="inlineStr">
        <is>
          <t>Standard 0,5|20h</t>
        </is>
      </c>
      <c r="K1366" t="n">
        <v>6.48</v>
      </c>
      <c r="L1366" t="inlineStr">
        <is>
          <t>384</t>
        </is>
      </c>
      <c r="M1366" t="inlineStr">
        <is>
          <t>108120 SBX Warszawa Janki</t>
        </is>
      </c>
      <c r="N1366" t="inlineStr">
        <is>
          <t>2026-09-11 19:06</t>
        </is>
      </c>
    </row>
    <row r="1367">
      <c r="A1367" t="n">
        <v>1366</v>
      </c>
      <c r="B1367" t="inlineStr">
        <is>
          <t>2026-05-22</t>
        </is>
      </c>
      <c r="C1367" t="n">
        <v>2026</v>
      </c>
      <c r="D1367" t="inlineStr">
        <is>
          <t>Maj</t>
        </is>
      </c>
      <c r="E1367" t="inlineStr">
        <is>
          <t>W4</t>
        </is>
      </c>
      <c r="F1367" t="inlineStr">
        <is>
          <t>2026_Maj_W4</t>
        </is>
      </c>
      <c r="G1367" t="inlineStr">
        <is>
          <t>Pt</t>
        </is>
      </c>
      <c r="H1367" t="inlineStr">
        <is>
          <t>WIŚNIEWSKA, MAGDALENA</t>
        </is>
      </c>
      <c r="I1367" t="inlineStr">
        <is>
          <t>Instructor</t>
        </is>
      </c>
      <c r="J1367" t="inlineStr">
        <is>
          <t>Standard 0,5|20h</t>
        </is>
      </c>
      <c r="K1367" t="n">
        <v>7.07</v>
      </c>
      <c r="L1367" t="inlineStr">
        <is>
          <t>384</t>
        </is>
      </c>
      <c r="M1367" t="inlineStr">
        <is>
          <t>108120 SBX Warszawa Janki</t>
        </is>
      </c>
      <c r="N1367" t="inlineStr">
        <is>
          <t>2026-09-11 19:06</t>
        </is>
      </c>
    </row>
    <row r="1368">
      <c r="A1368" t="n">
        <v>1367</v>
      </c>
      <c r="B1368" t="inlineStr">
        <is>
          <t>2026-05-25</t>
        </is>
      </c>
      <c r="C1368" t="n">
        <v>2026</v>
      </c>
      <c r="D1368" t="inlineStr">
        <is>
          <t>Maj</t>
        </is>
      </c>
      <c r="E1368" t="inlineStr">
        <is>
          <t>W4</t>
        </is>
      </c>
      <c r="F1368" t="inlineStr">
        <is>
          <t>2026_Maj_W4</t>
        </is>
      </c>
      <c r="G1368" t="inlineStr">
        <is>
          <t>Pn</t>
        </is>
      </c>
      <c r="H1368" t="inlineStr">
        <is>
          <t>WIŚNIEWSKA, MAGDALENA</t>
        </is>
      </c>
      <c r="I1368" t="inlineStr">
        <is>
          <t>Instructor</t>
        </is>
      </c>
      <c r="J1368" t="inlineStr">
        <is>
          <t>Standard 0,5|20h</t>
        </is>
      </c>
      <c r="K1368" t="n">
        <v>7.78</v>
      </c>
      <c r="L1368" t="inlineStr">
        <is>
          <t>384</t>
        </is>
      </c>
      <c r="M1368" t="inlineStr">
        <is>
          <t>108120 SBX Warszawa Janki</t>
        </is>
      </c>
      <c r="N1368" t="inlineStr">
        <is>
          <t>2026-09-11 19:06</t>
        </is>
      </c>
    </row>
    <row r="1369">
      <c r="A1369" t="n">
        <v>1368</v>
      </c>
      <c r="B1369" t="inlineStr">
        <is>
          <t>2026-05-26</t>
        </is>
      </c>
      <c r="C1369" t="n">
        <v>2026</v>
      </c>
      <c r="D1369" t="inlineStr">
        <is>
          <t>Maj</t>
        </is>
      </c>
      <c r="E1369" t="inlineStr">
        <is>
          <t>W5</t>
        </is>
      </c>
      <c r="F1369" t="inlineStr">
        <is>
          <t>2026_Maj_W5</t>
        </is>
      </c>
      <c r="G1369" t="inlineStr">
        <is>
          <t>Wt</t>
        </is>
      </c>
      <c r="H1369" t="inlineStr">
        <is>
          <t>WIŚNIEWSKA, MAGDALENA</t>
        </is>
      </c>
      <c r="I1369" t="inlineStr">
        <is>
          <t>Instructor</t>
        </is>
      </c>
      <c r="J1369" t="inlineStr">
        <is>
          <t>Standard 0,5|20h</t>
        </is>
      </c>
      <c r="K1369" t="n">
        <v>7.7</v>
      </c>
      <c r="L1369" t="inlineStr">
        <is>
          <t>384</t>
        </is>
      </c>
      <c r="M1369" t="inlineStr">
        <is>
          <t>108120 SBX Warszawa Janki</t>
        </is>
      </c>
      <c r="N1369" t="inlineStr">
        <is>
          <t>2026-09-11 19:06</t>
        </is>
      </c>
    </row>
    <row r="1370">
      <c r="A1370" t="n">
        <v>1369</v>
      </c>
      <c r="B1370" t="inlineStr">
        <is>
          <t>2026-05-29</t>
        </is>
      </c>
      <c r="C1370" t="n">
        <v>2026</v>
      </c>
      <c r="D1370" t="inlineStr">
        <is>
          <t>Maj</t>
        </is>
      </c>
      <c r="E1370" t="inlineStr">
        <is>
          <t>W5</t>
        </is>
      </c>
      <c r="F1370" t="inlineStr">
        <is>
          <t>2026_Maj_W5</t>
        </is>
      </c>
      <c r="G1370" t="inlineStr">
        <is>
          <t>Pt</t>
        </is>
      </c>
      <c r="H1370" t="inlineStr">
        <is>
          <t>WIŚNIEWSKA, MAGDALENA</t>
        </is>
      </c>
      <c r="I1370" t="inlineStr">
        <is>
          <t>Instructor</t>
        </is>
      </c>
      <c r="J1370" t="inlineStr">
        <is>
          <t>Standard 0,5|20h</t>
        </is>
      </c>
      <c r="K1370" t="n">
        <v>8.19</v>
      </c>
      <c r="L1370" t="inlineStr">
        <is>
          <t>384</t>
        </is>
      </c>
      <c r="M1370" t="inlineStr">
        <is>
          <t>108120 SBX Warszawa Janki</t>
        </is>
      </c>
      <c r="N1370" t="inlineStr">
        <is>
          <t>2026-09-11 19:06</t>
        </is>
      </c>
    </row>
    <row r="1371">
      <c r="A1371" t="n">
        <v>1370</v>
      </c>
      <c r="B1371" t="inlineStr">
        <is>
          <t>2026-05-31</t>
        </is>
      </c>
      <c r="C1371" t="n">
        <v>2026</v>
      </c>
      <c r="D1371" t="inlineStr">
        <is>
          <t>Maj</t>
        </is>
      </c>
      <c r="E1371" t="inlineStr">
        <is>
          <t>W5</t>
        </is>
      </c>
      <c r="F1371" t="inlineStr">
        <is>
          <t>2026_Maj_W5</t>
        </is>
      </c>
      <c r="G1371" t="inlineStr">
        <is>
          <t>Nd</t>
        </is>
      </c>
      <c r="H1371" t="inlineStr">
        <is>
          <t>WIŚNIEWSKA, MAGDALENA</t>
        </is>
      </c>
      <c r="I1371" t="inlineStr">
        <is>
          <t>Instructor</t>
        </is>
      </c>
      <c r="J1371" t="inlineStr">
        <is>
          <t>Standard 0,5|20h</t>
        </is>
      </c>
      <c r="K1371" t="n">
        <v>6.95</v>
      </c>
      <c r="L1371" t="inlineStr">
        <is>
          <t>384</t>
        </is>
      </c>
      <c r="M1371" t="inlineStr">
        <is>
          <t>108120 SBX Warszawa Janki</t>
        </is>
      </c>
      <c r="N1371" t="inlineStr">
        <is>
          <t>2026-09-11 19:06</t>
        </is>
      </c>
    </row>
    <row r="1372">
      <c r="A1372" t="n">
        <v>1371</v>
      </c>
      <c r="B1372" t="inlineStr">
        <is>
          <t>2026-06-01</t>
        </is>
      </c>
      <c r="C1372" t="n">
        <v>2026</v>
      </c>
      <c r="D1372" t="inlineStr">
        <is>
          <t>Czerwiec</t>
        </is>
      </c>
      <c r="E1372" t="inlineStr">
        <is>
          <t>W1</t>
        </is>
      </c>
      <c r="F1372" t="inlineStr">
        <is>
          <t>2026_Czerwiec_W1</t>
        </is>
      </c>
      <c r="G1372" t="inlineStr">
        <is>
          <t>Pn</t>
        </is>
      </c>
      <c r="H1372" t="inlineStr">
        <is>
          <t>WIŚNIEWSKA, MAGDALENA</t>
        </is>
      </c>
      <c r="I1372" t="inlineStr">
        <is>
          <t>Instructor</t>
        </is>
      </c>
      <c r="J1372" t="inlineStr">
        <is>
          <t>Standard 0,5|20h</t>
        </is>
      </c>
      <c r="K1372" t="n">
        <v>7.23</v>
      </c>
      <c r="L1372" t="inlineStr">
        <is>
          <t>384</t>
        </is>
      </c>
      <c r="M1372" t="inlineStr">
        <is>
          <t>108120 SBX Warszawa Janki</t>
        </is>
      </c>
      <c r="N1372" t="inlineStr">
        <is>
          <t>2026-09-11 19:06</t>
        </is>
      </c>
    </row>
    <row r="1373">
      <c r="A1373" t="n">
        <v>1372</v>
      </c>
      <c r="B1373" t="inlineStr">
        <is>
          <t>2026-06-02</t>
        </is>
      </c>
      <c r="C1373" t="n">
        <v>2026</v>
      </c>
      <c r="D1373" t="inlineStr">
        <is>
          <t>Czerwiec</t>
        </is>
      </c>
      <c r="E1373" t="inlineStr">
        <is>
          <t>W2</t>
        </is>
      </c>
      <c r="F1373" t="inlineStr">
        <is>
          <t>2026_Czerwiec_W2</t>
        </is>
      </c>
      <c r="G1373" t="inlineStr">
        <is>
          <t>Wt</t>
        </is>
      </c>
      <c r="H1373" t="inlineStr">
        <is>
          <t>WIŚNIEWSKA, MAGDALENA</t>
        </is>
      </c>
      <c r="I1373" t="inlineStr">
        <is>
          <t>Instructor</t>
        </is>
      </c>
      <c r="J1373" t="inlineStr">
        <is>
          <t>Standard 0,5|20h</t>
        </is>
      </c>
      <c r="K1373" t="n">
        <v>8.16</v>
      </c>
      <c r="L1373" t="inlineStr">
        <is>
          <t>384</t>
        </is>
      </c>
      <c r="M1373" t="inlineStr">
        <is>
          <t>108120 SBX Warszawa Janki</t>
        </is>
      </c>
      <c r="N1373" t="inlineStr">
        <is>
          <t>2026-09-11 19:06</t>
        </is>
      </c>
    </row>
    <row r="1374">
      <c r="A1374" t="n">
        <v>1373</v>
      </c>
      <c r="B1374" t="inlineStr">
        <is>
          <t>2026-06-12</t>
        </is>
      </c>
      <c r="C1374" t="n">
        <v>2026</v>
      </c>
      <c r="D1374" t="inlineStr">
        <is>
          <t>Czerwiec</t>
        </is>
      </c>
      <c r="E1374" t="inlineStr">
        <is>
          <t>W3</t>
        </is>
      </c>
      <c r="F1374" t="inlineStr">
        <is>
          <t>2026_Czerwiec_W3</t>
        </is>
      </c>
      <c r="G1374" t="inlineStr">
        <is>
          <t>Pt</t>
        </is>
      </c>
      <c r="H1374" t="inlineStr">
        <is>
          <t>WIŚNIEWSKA, MAGDALENA</t>
        </is>
      </c>
      <c r="I1374" t="inlineStr">
        <is>
          <t>Instructor</t>
        </is>
      </c>
      <c r="J1374" t="inlineStr">
        <is>
          <t>Standard 0,5|20h</t>
        </is>
      </c>
      <c r="K1374" t="n">
        <v>7.21</v>
      </c>
      <c r="L1374" t="inlineStr">
        <is>
          <t>384</t>
        </is>
      </c>
      <c r="M1374" t="inlineStr">
        <is>
          <t>108120 SBX Warszawa Janki</t>
        </is>
      </c>
      <c r="N1374" t="inlineStr">
        <is>
          <t>2026-09-11 19:06</t>
        </is>
      </c>
    </row>
    <row r="1375">
      <c r="A1375" t="n">
        <v>1374</v>
      </c>
      <c r="B1375" t="inlineStr">
        <is>
          <t>2026-06-13</t>
        </is>
      </c>
      <c r="C1375" t="n">
        <v>2026</v>
      </c>
      <c r="D1375" t="inlineStr">
        <is>
          <t>Czerwiec</t>
        </is>
      </c>
      <c r="E1375" t="inlineStr">
        <is>
          <t>W3</t>
        </is>
      </c>
      <c r="F1375" t="inlineStr">
        <is>
          <t>2026_Czerwiec_W3</t>
        </is>
      </c>
      <c r="G1375" t="inlineStr">
        <is>
          <t>Sob</t>
        </is>
      </c>
      <c r="H1375" t="inlineStr">
        <is>
          <t>WIŚNIEWSKA, MAGDALENA</t>
        </is>
      </c>
      <c r="I1375" t="inlineStr">
        <is>
          <t>Instructor</t>
        </is>
      </c>
      <c r="J1375" t="inlineStr">
        <is>
          <t>Standard 0,5|20h</t>
        </is>
      </c>
      <c r="K1375" t="n">
        <v>8.09</v>
      </c>
      <c r="L1375" t="inlineStr">
        <is>
          <t>384</t>
        </is>
      </c>
      <c r="M1375" t="inlineStr">
        <is>
          <t>108120 SBX Warszawa Janki</t>
        </is>
      </c>
      <c r="N1375" t="inlineStr">
        <is>
          <t>2026-09-11 19:06</t>
        </is>
      </c>
    </row>
    <row r="1376">
      <c r="A1376" t="n">
        <v>1375</v>
      </c>
      <c r="B1376" t="inlineStr">
        <is>
          <t>2026-06-15</t>
        </is>
      </c>
      <c r="C1376" t="n">
        <v>2026</v>
      </c>
      <c r="D1376" t="inlineStr">
        <is>
          <t>Czerwiec</t>
        </is>
      </c>
      <c r="E1376" t="inlineStr">
        <is>
          <t>W3</t>
        </is>
      </c>
      <c r="F1376" t="inlineStr">
        <is>
          <t>2026_Czerwiec_W3</t>
        </is>
      </c>
      <c r="G1376" t="inlineStr">
        <is>
          <t>Pn</t>
        </is>
      </c>
      <c r="H1376" t="inlineStr">
        <is>
          <t>WIŚNIEWSKA, MAGDALENA</t>
        </is>
      </c>
      <c r="I1376" t="inlineStr">
        <is>
          <t>Instructor</t>
        </is>
      </c>
      <c r="J1376" t="inlineStr">
        <is>
          <t>Standard 0,5|20h</t>
        </is>
      </c>
      <c r="K1376" t="n">
        <v>6.1</v>
      </c>
      <c r="L1376" t="inlineStr">
        <is>
          <t>384</t>
        </is>
      </c>
      <c r="M1376" t="inlineStr">
        <is>
          <t>108120 SBX Warszawa Janki</t>
        </is>
      </c>
      <c r="N1376" t="inlineStr">
        <is>
          <t>2026-09-11 19:06</t>
        </is>
      </c>
    </row>
    <row r="1377">
      <c r="A1377" t="n">
        <v>1376</v>
      </c>
      <c r="B1377" t="inlineStr">
        <is>
          <t>2026-06-16</t>
        </is>
      </c>
      <c r="C1377" t="n">
        <v>2026</v>
      </c>
      <c r="D1377" t="inlineStr">
        <is>
          <t>Czerwiec</t>
        </is>
      </c>
      <c r="E1377" t="inlineStr">
        <is>
          <t>W4</t>
        </is>
      </c>
      <c r="F1377" t="inlineStr">
        <is>
          <t>2026_Czerwiec_W4</t>
        </is>
      </c>
      <c r="G1377" t="inlineStr">
        <is>
          <t>Wt</t>
        </is>
      </c>
      <c r="H1377" t="inlineStr">
        <is>
          <t>WIŚNIEWSKA, MAGDALENA</t>
        </is>
      </c>
      <c r="I1377" t="inlineStr">
        <is>
          <t>Instructor</t>
        </is>
      </c>
      <c r="J1377" t="inlineStr">
        <is>
          <t>Standard 0,5|20h</t>
        </is>
      </c>
      <c r="K1377" t="n">
        <v>8.84</v>
      </c>
      <c r="L1377" t="inlineStr">
        <is>
          <t>384</t>
        </is>
      </c>
      <c r="M1377" t="inlineStr">
        <is>
          <t>108120 SBX Warszawa Janki</t>
        </is>
      </c>
      <c r="N1377" t="inlineStr">
        <is>
          <t>2026-09-11 19:06</t>
        </is>
      </c>
    </row>
    <row r="1378">
      <c r="A1378" t="n">
        <v>1377</v>
      </c>
      <c r="B1378" t="inlineStr">
        <is>
          <t>2026-06-18</t>
        </is>
      </c>
      <c r="C1378" t="n">
        <v>2026</v>
      </c>
      <c r="D1378" t="inlineStr">
        <is>
          <t>Czerwiec</t>
        </is>
      </c>
      <c r="E1378" t="inlineStr">
        <is>
          <t>W4</t>
        </is>
      </c>
      <c r="F1378" t="inlineStr">
        <is>
          <t>2026_Czerwiec_W4</t>
        </is>
      </c>
      <c r="G1378" t="inlineStr">
        <is>
          <t>Czw</t>
        </is>
      </c>
      <c r="H1378" t="inlineStr">
        <is>
          <t>WIŚNIEWSKA, MAGDALENA</t>
        </is>
      </c>
      <c r="I1378" t="inlineStr">
        <is>
          <t>Instructor</t>
        </is>
      </c>
      <c r="J1378" t="inlineStr">
        <is>
          <t>Standard 0,5|20h</t>
        </is>
      </c>
      <c r="K1378" t="n">
        <v>9.210000000000001</v>
      </c>
      <c r="L1378" t="inlineStr">
        <is>
          <t>384</t>
        </is>
      </c>
      <c r="M1378" t="inlineStr">
        <is>
          <t>108120 SBX Warszawa Janki</t>
        </is>
      </c>
      <c r="N1378" t="inlineStr">
        <is>
          <t>2026-09-11 19:06</t>
        </is>
      </c>
    </row>
    <row r="1379">
      <c r="A1379" t="n">
        <v>1378</v>
      </c>
      <c r="B1379" t="inlineStr">
        <is>
          <t>2026-06-19</t>
        </is>
      </c>
      <c r="C1379" t="n">
        <v>2026</v>
      </c>
      <c r="D1379" t="inlineStr">
        <is>
          <t>Czerwiec</t>
        </is>
      </c>
      <c r="E1379" t="inlineStr">
        <is>
          <t>W4</t>
        </is>
      </c>
      <c r="F1379" t="inlineStr">
        <is>
          <t>2026_Czerwiec_W4</t>
        </is>
      </c>
      <c r="G1379" t="inlineStr">
        <is>
          <t>Pt</t>
        </is>
      </c>
      <c r="H1379" t="inlineStr">
        <is>
          <t>WIŚNIEWSKA, MAGDALENA</t>
        </is>
      </c>
      <c r="I1379" t="inlineStr">
        <is>
          <t>Instructor</t>
        </is>
      </c>
      <c r="J1379" t="inlineStr">
        <is>
          <t>Standard 0,5|20h</t>
        </is>
      </c>
      <c r="K1379" t="n">
        <v>8.09</v>
      </c>
      <c r="L1379" t="inlineStr">
        <is>
          <t>384</t>
        </is>
      </c>
      <c r="M1379" t="inlineStr">
        <is>
          <t>108120 SBX Warszawa Janki</t>
        </is>
      </c>
      <c r="N1379" t="inlineStr">
        <is>
          <t>2026-09-11 19:06</t>
        </is>
      </c>
    </row>
    <row r="1380">
      <c r="A1380" t="n">
        <v>1379</v>
      </c>
      <c r="B1380" t="inlineStr">
        <is>
          <t>2026-06-22</t>
        </is>
      </c>
      <c r="C1380" t="n">
        <v>2026</v>
      </c>
      <c r="D1380" t="inlineStr">
        <is>
          <t>Czerwiec</t>
        </is>
      </c>
      <c r="E1380" t="inlineStr">
        <is>
          <t>W4</t>
        </is>
      </c>
      <c r="F1380" t="inlineStr">
        <is>
          <t>2026_Czerwiec_W4</t>
        </is>
      </c>
      <c r="G1380" t="inlineStr">
        <is>
          <t>Pn</t>
        </is>
      </c>
      <c r="H1380" t="inlineStr">
        <is>
          <t>WIŚNIEWSKA, MAGDALENA</t>
        </is>
      </c>
      <c r="I1380" t="inlineStr">
        <is>
          <t>Instructor</t>
        </is>
      </c>
      <c r="J1380" t="inlineStr">
        <is>
          <t>Standard 0,5|20h</t>
        </is>
      </c>
      <c r="K1380" t="n">
        <v>8.390000000000001</v>
      </c>
      <c r="L1380" t="inlineStr">
        <is>
          <t>384</t>
        </is>
      </c>
      <c r="M1380" t="inlineStr">
        <is>
          <t>108120 SBX Warszawa Janki</t>
        </is>
      </c>
      <c r="N1380" t="inlineStr">
        <is>
          <t>2026-09-11 19:06</t>
        </is>
      </c>
    </row>
    <row r="1381">
      <c r="A1381" t="n">
        <v>1380</v>
      </c>
      <c r="B1381" t="inlineStr">
        <is>
          <t>2026-06-23</t>
        </is>
      </c>
      <c r="C1381" t="n">
        <v>2026</v>
      </c>
      <c r="D1381" t="inlineStr">
        <is>
          <t>Czerwiec</t>
        </is>
      </c>
      <c r="E1381" t="inlineStr">
        <is>
          <t>W5</t>
        </is>
      </c>
      <c r="F1381" t="inlineStr">
        <is>
          <t>2026_Czerwiec_W5</t>
        </is>
      </c>
      <c r="G1381" t="inlineStr">
        <is>
          <t>Wt</t>
        </is>
      </c>
      <c r="H1381" t="inlineStr">
        <is>
          <t>WIŚNIEWSKA, MAGDALENA</t>
        </is>
      </c>
      <c r="I1381" t="inlineStr">
        <is>
          <t>Instructor</t>
        </is>
      </c>
      <c r="J1381" t="inlineStr">
        <is>
          <t>Standard 0,5|20h</t>
        </is>
      </c>
      <c r="K1381" t="n">
        <v>8</v>
      </c>
      <c r="L1381" t="inlineStr">
        <is>
          <t>384</t>
        </is>
      </c>
      <c r="M1381" t="inlineStr">
        <is>
          <t>108120 SBX Warszawa Janki</t>
        </is>
      </c>
      <c r="N1381" t="inlineStr">
        <is>
          <t>2026-09-11 19:06</t>
        </is>
      </c>
    </row>
    <row r="1382">
      <c r="A1382" t="n">
        <v>1381</v>
      </c>
      <c r="B1382" t="inlineStr">
        <is>
          <t>2026-06-25</t>
        </is>
      </c>
      <c r="C1382" t="n">
        <v>2026</v>
      </c>
      <c r="D1382" t="inlineStr">
        <is>
          <t>Czerwiec</t>
        </is>
      </c>
      <c r="E1382" t="inlineStr">
        <is>
          <t>W5</t>
        </is>
      </c>
      <c r="F1382" t="inlineStr">
        <is>
          <t>2026_Czerwiec_W5</t>
        </is>
      </c>
      <c r="G1382" t="inlineStr">
        <is>
          <t>Czw</t>
        </is>
      </c>
      <c r="H1382" t="inlineStr">
        <is>
          <t>WIŚNIEWSKA, MAGDALENA</t>
        </is>
      </c>
      <c r="I1382" t="inlineStr">
        <is>
          <t>Instructor</t>
        </is>
      </c>
      <c r="J1382" t="inlineStr">
        <is>
          <t>Standard 0,5|20h</t>
        </is>
      </c>
      <c r="K1382" t="n">
        <v>7.95</v>
      </c>
      <c r="L1382" t="inlineStr">
        <is>
          <t>384</t>
        </is>
      </c>
      <c r="M1382" t="inlineStr">
        <is>
          <t>108120 SBX Warszawa Janki</t>
        </is>
      </c>
      <c r="N1382" t="inlineStr">
        <is>
          <t>2026-09-11 19:06</t>
        </is>
      </c>
    </row>
    <row r="1383">
      <c r="A1383" t="n">
        <v>1382</v>
      </c>
      <c r="B1383" t="inlineStr">
        <is>
          <t>2026-06-26</t>
        </is>
      </c>
      <c r="C1383" t="n">
        <v>2026</v>
      </c>
      <c r="D1383" t="inlineStr">
        <is>
          <t>Czerwiec</t>
        </is>
      </c>
      <c r="E1383" t="inlineStr">
        <is>
          <t>W5</t>
        </is>
      </c>
      <c r="F1383" t="inlineStr">
        <is>
          <t>2026_Czerwiec_W5</t>
        </is>
      </c>
      <c r="G1383" t="inlineStr">
        <is>
          <t>Pt</t>
        </is>
      </c>
      <c r="H1383" t="inlineStr">
        <is>
          <t>WIŚNIEWSKA, MAGDALENA</t>
        </is>
      </c>
      <c r="I1383" t="inlineStr">
        <is>
          <t>Instructor</t>
        </is>
      </c>
      <c r="J1383" t="inlineStr">
        <is>
          <t>Standard 0,5|20h</t>
        </is>
      </c>
      <c r="K1383" t="n">
        <v>7.83</v>
      </c>
      <c r="L1383" t="inlineStr">
        <is>
          <t>384</t>
        </is>
      </c>
      <c r="M1383" t="inlineStr">
        <is>
          <t>108120 SBX Warszawa Janki</t>
        </is>
      </c>
      <c r="N1383" t="inlineStr">
        <is>
          <t>2026-09-11 19:06</t>
        </is>
      </c>
    </row>
    <row r="1384">
      <c r="A1384" t="n">
        <v>1383</v>
      </c>
      <c r="B1384" t="inlineStr">
        <is>
          <t>2026-06-28</t>
        </is>
      </c>
      <c r="C1384" t="n">
        <v>2026</v>
      </c>
      <c r="D1384" t="inlineStr">
        <is>
          <t>Czerwiec</t>
        </is>
      </c>
      <c r="E1384" t="inlineStr">
        <is>
          <t>W5</t>
        </is>
      </c>
      <c r="F1384" t="inlineStr">
        <is>
          <t>2026_Czerwiec_W5</t>
        </is>
      </c>
      <c r="G1384" t="inlineStr">
        <is>
          <t>Nd</t>
        </is>
      </c>
      <c r="H1384" t="inlineStr">
        <is>
          <t>WIŚNIEWSKA, MAGDALENA</t>
        </is>
      </c>
      <c r="I1384" t="inlineStr">
        <is>
          <t>Instructor</t>
        </is>
      </c>
      <c r="J1384" t="inlineStr">
        <is>
          <t>Standard 0,5|20h</t>
        </is>
      </c>
      <c r="K1384" t="n">
        <v>6.96</v>
      </c>
      <c r="L1384" t="inlineStr">
        <is>
          <t>384</t>
        </is>
      </c>
      <c r="M1384" t="inlineStr">
        <is>
          <t>108120 SBX Warszawa Janki</t>
        </is>
      </c>
      <c r="N1384" t="inlineStr">
        <is>
          <t>2026-09-11 19:06</t>
        </is>
      </c>
    </row>
    <row r="1385">
      <c r="A1385" t="n">
        <v>1384</v>
      </c>
      <c r="B1385" t="inlineStr">
        <is>
          <t>2026-06-29</t>
        </is>
      </c>
      <c r="C1385" t="n">
        <v>2026</v>
      </c>
      <c r="D1385" t="inlineStr">
        <is>
          <t>Czerwiec</t>
        </is>
      </c>
      <c r="E1385" t="inlineStr">
        <is>
          <t>W5</t>
        </is>
      </c>
      <c r="F1385" t="inlineStr">
        <is>
          <t>2026_Czerwiec_W5</t>
        </is>
      </c>
      <c r="G1385" t="inlineStr">
        <is>
          <t>Pn</t>
        </is>
      </c>
      <c r="H1385" t="inlineStr">
        <is>
          <t>WIŚNIEWSKA, MAGDALENA</t>
        </is>
      </c>
      <c r="I1385" t="inlineStr">
        <is>
          <t>Instructor</t>
        </is>
      </c>
      <c r="J1385" t="inlineStr">
        <is>
          <t>Standard 0,5|20h</t>
        </is>
      </c>
      <c r="K1385" t="n">
        <v>6.95</v>
      </c>
      <c r="L1385" t="inlineStr">
        <is>
          <t>384</t>
        </is>
      </c>
      <c r="M1385" t="inlineStr">
        <is>
          <t>108120 SBX Warszawa Janki</t>
        </is>
      </c>
      <c r="N1385" t="inlineStr">
        <is>
          <t>2026-09-11 19:06</t>
        </is>
      </c>
    </row>
    <row r="1386">
      <c r="A1386" t="n">
        <v>1385</v>
      </c>
      <c r="B1386" t="inlineStr">
        <is>
          <t>2026-06-30</t>
        </is>
      </c>
      <c r="C1386" t="n">
        <v>2026</v>
      </c>
      <c r="D1386" t="inlineStr">
        <is>
          <t>Czerwiec</t>
        </is>
      </c>
      <c r="E1386" t="inlineStr">
        <is>
          <t>W6</t>
        </is>
      </c>
      <c r="F1386" t="inlineStr">
        <is>
          <t>2026_Czerwiec_W6</t>
        </is>
      </c>
      <c r="G1386" t="inlineStr">
        <is>
          <t>Wt</t>
        </is>
      </c>
      <c r="H1386" t="inlineStr">
        <is>
          <t>WIŚNIEWSKA, MAGDALENA</t>
        </is>
      </c>
      <c r="I1386" t="inlineStr">
        <is>
          <t>Instructor</t>
        </is>
      </c>
      <c r="J1386" t="inlineStr">
        <is>
          <t>Standard 0,5|20h</t>
        </is>
      </c>
      <c r="K1386" t="n">
        <v>7</v>
      </c>
      <c r="L1386" t="inlineStr">
        <is>
          <t>384</t>
        </is>
      </c>
      <c r="M1386" t="inlineStr">
        <is>
          <t>108120 SBX Warszawa Janki</t>
        </is>
      </c>
      <c r="N1386" t="inlineStr">
        <is>
          <t>2026-09-11 19:06</t>
        </is>
      </c>
    </row>
    <row r="1387">
      <c r="A1387" t="n">
        <v>1386</v>
      </c>
      <c r="B1387" t="inlineStr">
        <is>
          <t>2026-07-01</t>
        </is>
      </c>
      <c r="C1387" t="n">
        <v>2026</v>
      </c>
      <c r="D1387" t="inlineStr">
        <is>
          <t>Lipiec</t>
        </is>
      </c>
      <c r="E1387" t="inlineStr">
        <is>
          <t>W1</t>
        </is>
      </c>
      <c r="F1387" t="inlineStr">
        <is>
          <t>2026_Lipiec_W1</t>
        </is>
      </c>
      <c r="G1387" t="inlineStr">
        <is>
          <t>Śr</t>
        </is>
      </c>
      <c r="H1387" t="inlineStr">
        <is>
          <t>WIŚNIEWSKA, MAGDALENA</t>
        </is>
      </c>
      <c r="I1387" t="inlineStr">
        <is>
          <t>Instructor</t>
        </is>
      </c>
      <c r="J1387" t="inlineStr">
        <is>
          <t>Standard 0,75|30h</t>
        </is>
      </c>
      <c r="K1387" t="n">
        <v>5.21</v>
      </c>
      <c r="L1387" t="inlineStr">
        <is>
          <t>384</t>
        </is>
      </c>
      <c r="M1387" t="inlineStr">
        <is>
          <t>108120 SBX Warszawa Janki</t>
        </is>
      </c>
      <c r="N1387" t="inlineStr">
        <is>
          <t>2026-09-11 19:06</t>
        </is>
      </c>
    </row>
    <row r="1388">
      <c r="A1388" t="n">
        <v>1387</v>
      </c>
      <c r="B1388" t="inlineStr">
        <is>
          <t>2026-07-02</t>
        </is>
      </c>
      <c r="C1388" t="n">
        <v>2026</v>
      </c>
      <c r="D1388" t="inlineStr">
        <is>
          <t>Lipiec</t>
        </is>
      </c>
      <c r="E1388" t="inlineStr">
        <is>
          <t>W1</t>
        </is>
      </c>
      <c r="F1388" t="inlineStr">
        <is>
          <t>2026_Lipiec_W1</t>
        </is>
      </c>
      <c r="G1388" t="inlineStr">
        <is>
          <t>Czw</t>
        </is>
      </c>
      <c r="H1388" t="inlineStr">
        <is>
          <t>WIŚNIEWSKA, MAGDALENA</t>
        </is>
      </c>
      <c r="I1388" t="inlineStr">
        <is>
          <t>Instructor</t>
        </is>
      </c>
      <c r="J1388" t="inlineStr">
        <is>
          <t>Standard 0,75|30h</t>
        </is>
      </c>
      <c r="K1388" t="n">
        <v>8</v>
      </c>
      <c r="L1388" t="inlineStr">
        <is>
          <t>384</t>
        </is>
      </c>
      <c r="M1388" t="inlineStr">
        <is>
          <t>108120 SBX Warszawa Janki</t>
        </is>
      </c>
      <c r="N1388" t="inlineStr">
        <is>
          <t>2026-09-11 19:06</t>
        </is>
      </c>
    </row>
    <row r="1389">
      <c r="A1389" t="n">
        <v>1388</v>
      </c>
      <c r="B1389" t="inlineStr">
        <is>
          <t>2026-07-03</t>
        </is>
      </c>
      <c r="C1389" t="n">
        <v>2026</v>
      </c>
      <c r="D1389" t="inlineStr">
        <is>
          <t>Lipiec</t>
        </is>
      </c>
      <c r="E1389" t="inlineStr">
        <is>
          <t>W1</t>
        </is>
      </c>
      <c r="F1389" t="inlineStr">
        <is>
          <t>2026_Lipiec_W1</t>
        </is>
      </c>
      <c r="G1389" t="inlineStr">
        <is>
          <t>Pt</t>
        </is>
      </c>
      <c r="H1389" t="inlineStr">
        <is>
          <t>WIŚNIEWSKA, MAGDALENA</t>
        </is>
      </c>
      <c r="I1389" t="inlineStr">
        <is>
          <t>Instructor</t>
        </is>
      </c>
      <c r="J1389" t="inlineStr">
        <is>
          <t>Standard 0,75|30h</t>
        </is>
      </c>
      <c r="K1389" t="n">
        <v>8</v>
      </c>
      <c r="L1389" t="inlineStr">
        <is>
          <t>384</t>
        </is>
      </c>
      <c r="M1389" t="inlineStr">
        <is>
          <t>108120 SBX Warszawa Janki</t>
        </is>
      </c>
      <c r="N1389" t="inlineStr">
        <is>
          <t>2026-09-11 19:06</t>
        </is>
      </c>
    </row>
    <row r="1390">
      <c r="A1390" t="n">
        <v>1389</v>
      </c>
      <c r="B1390" t="inlineStr">
        <is>
          <t>2026-07-05</t>
        </is>
      </c>
      <c r="C1390" t="n">
        <v>2026</v>
      </c>
      <c r="D1390" t="inlineStr">
        <is>
          <t>Lipiec</t>
        </is>
      </c>
      <c r="E1390" t="inlineStr">
        <is>
          <t>W1</t>
        </is>
      </c>
      <c r="F1390" t="inlineStr">
        <is>
          <t>2026_Lipiec_W1</t>
        </is>
      </c>
      <c r="G1390" t="inlineStr">
        <is>
          <t>Nd</t>
        </is>
      </c>
      <c r="H1390" t="inlineStr">
        <is>
          <t>WIŚNIEWSKA, MAGDALENA</t>
        </is>
      </c>
      <c r="I1390" t="inlineStr">
        <is>
          <t>Instructor</t>
        </is>
      </c>
      <c r="J1390" t="inlineStr">
        <is>
          <t>Standard 0,75|30h</t>
        </is>
      </c>
      <c r="K1390" t="n">
        <v>8.06</v>
      </c>
      <c r="L1390" t="inlineStr">
        <is>
          <t>384</t>
        </is>
      </c>
      <c r="M1390" t="inlineStr">
        <is>
          <t>108120 SBX Warszawa Janki</t>
        </is>
      </c>
      <c r="N1390" t="inlineStr">
        <is>
          <t>2026-09-11 19:06</t>
        </is>
      </c>
    </row>
    <row r="1391">
      <c r="A1391" t="n">
        <v>1390</v>
      </c>
      <c r="B1391" t="inlineStr">
        <is>
          <t>2026-07-06</t>
        </is>
      </c>
      <c r="C1391" t="n">
        <v>2026</v>
      </c>
      <c r="D1391" t="inlineStr">
        <is>
          <t>Lipiec</t>
        </is>
      </c>
      <c r="E1391" t="inlineStr">
        <is>
          <t>W1</t>
        </is>
      </c>
      <c r="F1391" t="inlineStr">
        <is>
          <t>2026_Lipiec_W1</t>
        </is>
      </c>
      <c r="G1391" t="inlineStr">
        <is>
          <t>Pn</t>
        </is>
      </c>
      <c r="H1391" t="inlineStr">
        <is>
          <t>WIŚNIEWSKA, MAGDALENA</t>
        </is>
      </c>
      <c r="I1391" t="inlineStr">
        <is>
          <t>Instructor</t>
        </is>
      </c>
      <c r="J1391" t="inlineStr">
        <is>
          <t>Standard 0,75|30h</t>
        </is>
      </c>
      <c r="K1391" t="n">
        <v>7.99</v>
      </c>
      <c r="L1391" t="inlineStr">
        <is>
          <t>384</t>
        </is>
      </c>
      <c r="M1391" t="inlineStr">
        <is>
          <t>108120 SBX Warszawa Janki</t>
        </is>
      </c>
      <c r="N1391" t="inlineStr">
        <is>
          <t>2026-09-11 19:06</t>
        </is>
      </c>
    </row>
    <row r="1392">
      <c r="A1392" t="n">
        <v>1391</v>
      </c>
      <c r="B1392" t="inlineStr">
        <is>
          <t>2026-07-08</t>
        </is>
      </c>
      <c r="C1392" t="n">
        <v>2026</v>
      </c>
      <c r="D1392" t="inlineStr">
        <is>
          <t>Lipiec</t>
        </is>
      </c>
      <c r="E1392" t="inlineStr">
        <is>
          <t>W2</t>
        </is>
      </c>
      <c r="F1392" t="inlineStr">
        <is>
          <t>2026_Lipiec_W2</t>
        </is>
      </c>
      <c r="G1392" t="inlineStr">
        <is>
          <t>Śr</t>
        </is>
      </c>
      <c r="H1392" t="inlineStr">
        <is>
          <t>WIŚNIEWSKA, MAGDALENA</t>
        </is>
      </c>
      <c r="I1392" t="inlineStr">
        <is>
          <t>Instructor</t>
        </is>
      </c>
      <c r="J1392" t="inlineStr">
        <is>
          <t>Standard 0,75|30h</t>
        </is>
      </c>
      <c r="K1392" t="n">
        <v>8.199999999999999</v>
      </c>
      <c r="L1392" t="inlineStr">
        <is>
          <t>384</t>
        </is>
      </c>
      <c r="M1392" t="inlineStr">
        <is>
          <t>108120 SBX Warszawa Janki</t>
        </is>
      </c>
      <c r="N1392" t="inlineStr">
        <is>
          <t>2026-09-11 19:06</t>
        </is>
      </c>
    </row>
    <row r="1393">
      <c r="A1393" t="n">
        <v>1392</v>
      </c>
      <c r="B1393" t="inlineStr">
        <is>
          <t>2026-07-09</t>
        </is>
      </c>
      <c r="C1393" t="n">
        <v>2026</v>
      </c>
      <c r="D1393" t="inlineStr">
        <is>
          <t>Lipiec</t>
        </is>
      </c>
      <c r="E1393" t="inlineStr">
        <is>
          <t>W2</t>
        </is>
      </c>
      <c r="F1393" t="inlineStr">
        <is>
          <t>2026_Lipiec_W2</t>
        </is>
      </c>
      <c r="G1393" t="inlineStr">
        <is>
          <t>Czw</t>
        </is>
      </c>
      <c r="H1393" t="inlineStr">
        <is>
          <t>WIŚNIEWSKA, MAGDALENA</t>
        </is>
      </c>
      <c r="I1393" t="inlineStr">
        <is>
          <t>Instructor</t>
        </is>
      </c>
      <c r="J1393" t="inlineStr">
        <is>
          <t>Standard 0,75|30h</t>
        </is>
      </c>
      <c r="K1393" t="n">
        <v>8</v>
      </c>
      <c r="L1393" t="inlineStr">
        <is>
          <t>384</t>
        </is>
      </c>
      <c r="M1393" t="inlineStr">
        <is>
          <t>108120 SBX Warszawa Janki</t>
        </is>
      </c>
      <c r="N1393" t="inlineStr">
        <is>
          <t>2026-09-11 19:06</t>
        </is>
      </c>
    </row>
    <row r="1394">
      <c r="A1394" t="n">
        <v>1393</v>
      </c>
      <c r="B1394" t="inlineStr">
        <is>
          <t>2026-07-12</t>
        </is>
      </c>
      <c r="C1394" t="n">
        <v>2026</v>
      </c>
      <c r="D1394" t="inlineStr">
        <is>
          <t>Lipiec</t>
        </is>
      </c>
      <c r="E1394" t="inlineStr">
        <is>
          <t>W2</t>
        </is>
      </c>
      <c r="F1394" t="inlineStr">
        <is>
          <t>2026_Lipiec_W2</t>
        </is>
      </c>
      <c r="G1394" t="inlineStr">
        <is>
          <t>Nd</t>
        </is>
      </c>
      <c r="H1394" t="inlineStr">
        <is>
          <t>WIŚNIEWSKA, MAGDALENA</t>
        </is>
      </c>
      <c r="I1394" t="inlineStr">
        <is>
          <t>Instructor</t>
        </is>
      </c>
      <c r="J1394" t="inlineStr">
        <is>
          <t>Standard 0,75|30h</t>
        </is>
      </c>
      <c r="K1394" t="n">
        <v>7.27</v>
      </c>
      <c r="L1394" t="inlineStr">
        <is>
          <t>384</t>
        </is>
      </c>
      <c r="M1394" t="inlineStr">
        <is>
          <t>108120 SBX Warszawa Janki</t>
        </is>
      </c>
      <c r="N1394" t="inlineStr">
        <is>
          <t>2026-09-11 19:06</t>
        </is>
      </c>
    </row>
    <row r="1395">
      <c r="A1395" t="n">
        <v>1394</v>
      </c>
      <c r="B1395" t="inlineStr">
        <is>
          <t>2026-07-13</t>
        </is>
      </c>
      <c r="C1395" t="n">
        <v>2026</v>
      </c>
      <c r="D1395" t="inlineStr">
        <is>
          <t>Lipiec</t>
        </is>
      </c>
      <c r="E1395" t="inlineStr">
        <is>
          <t>W2</t>
        </is>
      </c>
      <c r="F1395" t="inlineStr">
        <is>
          <t>2026_Lipiec_W2</t>
        </is>
      </c>
      <c r="G1395" t="inlineStr">
        <is>
          <t>Pn</t>
        </is>
      </c>
      <c r="H1395" t="inlineStr">
        <is>
          <t>WIŚNIEWSKA, MAGDALENA</t>
        </is>
      </c>
      <c r="I1395" t="inlineStr">
        <is>
          <t>Instructor</t>
        </is>
      </c>
      <c r="J1395" t="inlineStr">
        <is>
          <t>Standard 0,75|30h</t>
        </is>
      </c>
      <c r="K1395" t="n">
        <v>8.44</v>
      </c>
      <c r="L1395" t="inlineStr">
        <is>
          <t>384</t>
        </is>
      </c>
      <c r="M1395" t="inlineStr">
        <is>
          <t>108120 SBX Warszawa Janki</t>
        </is>
      </c>
      <c r="N1395" t="inlineStr">
        <is>
          <t>2026-09-11 19:06</t>
        </is>
      </c>
    </row>
    <row r="1396">
      <c r="A1396" t="n">
        <v>1395</v>
      </c>
      <c r="B1396" t="inlineStr">
        <is>
          <t>2026-07-14</t>
        </is>
      </c>
      <c r="C1396" t="n">
        <v>2026</v>
      </c>
      <c r="D1396" t="inlineStr">
        <is>
          <t>Lipiec</t>
        </is>
      </c>
      <c r="E1396" t="inlineStr">
        <is>
          <t>W3</t>
        </is>
      </c>
      <c r="F1396" t="inlineStr">
        <is>
          <t>2026_Lipiec_W3</t>
        </is>
      </c>
      <c r="G1396" t="inlineStr">
        <is>
          <t>Wt</t>
        </is>
      </c>
      <c r="H1396" t="inlineStr">
        <is>
          <t>WIŚNIEWSKA, MAGDALENA</t>
        </is>
      </c>
      <c r="I1396" t="inlineStr">
        <is>
          <t>Instructor</t>
        </is>
      </c>
      <c r="J1396" t="inlineStr">
        <is>
          <t>Standard 0,75|30h</t>
        </is>
      </c>
      <c r="K1396" t="n">
        <v>8.75</v>
      </c>
      <c r="L1396" t="inlineStr">
        <is>
          <t>384</t>
        </is>
      </c>
      <c r="M1396" t="inlineStr">
        <is>
          <t>108120 SBX Warszawa Janki</t>
        </is>
      </c>
      <c r="N1396" t="inlineStr">
        <is>
          <t>2026-09-11 19:06</t>
        </is>
      </c>
    </row>
    <row r="1397">
      <c r="A1397" t="n">
        <v>1396</v>
      </c>
      <c r="B1397" t="inlineStr">
        <is>
          <t>2026-07-15</t>
        </is>
      </c>
      <c r="C1397" t="n">
        <v>2026</v>
      </c>
      <c r="D1397" t="inlineStr">
        <is>
          <t>Lipiec</t>
        </is>
      </c>
      <c r="E1397" t="inlineStr">
        <is>
          <t>W3</t>
        </is>
      </c>
      <c r="F1397" t="inlineStr">
        <is>
          <t>2026_Lipiec_W3</t>
        </is>
      </c>
      <c r="G1397" t="inlineStr">
        <is>
          <t>Śr</t>
        </is>
      </c>
      <c r="H1397" t="inlineStr">
        <is>
          <t>WIŚNIEWSKA, MAGDALENA</t>
        </is>
      </c>
      <c r="I1397" t="inlineStr">
        <is>
          <t>Instructor</t>
        </is>
      </c>
      <c r="J1397" t="inlineStr">
        <is>
          <t>Standard 0,75|30h</t>
        </is>
      </c>
      <c r="K1397" t="n">
        <v>8.5</v>
      </c>
      <c r="L1397" t="inlineStr">
        <is>
          <t>384</t>
        </is>
      </c>
      <c r="M1397" t="inlineStr">
        <is>
          <t>108120 SBX Warszawa Janki</t>
        </is>
      </c>
      <c r="N1397" t="inlineStr">
        <is>
          <t>2026-09-11 19:06</t>
        </is>
      </c>
    </row>
    <row r="1398">
      <c r="A1398" t="n">
        <v>1397</v>
      </c>
      <c r="B1398" t="inlineStr">
        <is>
          <t>2026-07-16</t>
        </is>
      </c>
      <c r="C1398" t="n">
        <v>2026</v>
      </c>
      <c r="D1398" t="inlineStr">
        <is>
          <t>Lipiec</t>
        </is>
      </c>
      <c r="E1398" t="inlineStr">
        <is>
          <t>W3</t>
        </is>
      </c>
      <c r="F1398" t="inlineStr">
        <is>
          <t>2026_Lipiec_W3</t>
        </is>
      </c>
      <c r="G1398" t="inlineStr">
        <is>
          <t>Czw</t>
        </is>
      </c>
      <c r="H1398" t="inlineStr">
        <is>
          <t>WIŚNIEWSKA, MAGDALENA</t>
        </is>
      </c>
      <c r="I1398" t="inlineStr">
        <is>
          <t>Instructor</t>
        </is>
      </c>
      <c r="J1398" t="inlineStr">
        <is>
          <t>Standard 0,75|30h</t>
        </is>
      </c>
      <c r="K1398" t="n">
        <v>8.01</v>
      </c>
      <c r="L1398" t="inlineStr">
        <is>
          <t>384</t>
        </is>
      </c>
      <c r="M1398" t="inlineStr">
        <is>
          <t>108120 SBX Warszawa Janki</t>
        </is>
      </c>
      <c r="N1398" t="inlineStr">
        <is>
          <t>2026-09-11 19:06</t>
        </is>
      </c>
    </row>
    <row r="1399">
      <c r="A1399" t="n">
        <v>1398</v>
      </c>
      <c r="B1399" t="inlineStr">
        <is>
          <t>2026-07-17</t>
        </is>
      </c>
      <c r="C1399" t="n">
        <v>2026</v>
      </c>
      <c r="D1399" t="inlineStr">
        <is>
          <t>Lipiec</t>
        </is>
      </c>
      <c r="E1399" t="inlineStr">
        <is>
          <t>W3</t>
        </is>
      </c>
      <c r="F1399" t="inlineStr">
        <is>
          <t>2026_Lipiec_W3</t>
        </is>
      </c>
      <c r="G1399" t="inlineStr">
        <is>
          <t>Pt</t>
        </is>
      </c>
      <c r="H1399" t="inlineStr">
        <is>
          <t>WIŚNIEWSKA, MAGDALENA</t>
        </is>
      </c>
      <c r="I1399" t="inlineStr">
        <is>
          <t>Instructor</t>
        </is>
      </c>
      <c r="J1399" t="inlineStr">
        <is>
          <t>Standard 0,75|30h</t>
        </is>
      </c>
      <c r="K1399" t="n">
        <v>6.47</v>
      </c>
      <c r="L1399" t="inlineStr">
        <is>
          <t>384</t>
        </is>
      </c>
      <c r="M1399" t="inlineStr">
        <is>
          <t>108120 SBX Warszawa Janki</t>
        </is>
      </c>
      <c r="N1399" t="inlineStr">
        <is>
          <t>2026-09-11 19:06</t>
        </is>
      </c>
    </row>
    <row r="1400">
      <c r="A1400" t="n">
        <v>1399</v>
      </c>
      <c r="B1400" t="inlineStr">
        <is>
          <t>2026-07-21</t>
        </is>
      </c>
      <c r="C1400" t="n">
        <v>2026</v>
      </c>
      <c r="D1400" t="inlineStr">
        <is>
          <t>Lipiec</t>
        </is>
      </c>
      <c r="E1400" t="inlineStr">
        <is>
          <t>W4</t>
        </is>
      </c>
      <c r="F1400" t="inlineStr">
        <is>
          <t>2026_Lipiec_W4</t>
        </is>
      </c>
      <c r="G1400" t="inlineStr">
        <is>
          <t>Wt</t>
        </is>
      </c>
      <c r="H1400" t="inlineStr">
        <is>
          <t>WIŚNIEWSKA, MAGDALENA</t>
        </is>
      </c>
      <c r="I1400" t="inlineStr">
        <is>
          <t>Instructor</t>
        </is>
      </c>
      <c r="J1400" t="inlineStr">
        <is>
          <t>Standard 0,75|30h</t>
        </is>
      </c>
      <c r="K1400" t="n">
        <v>6.21</v>
      </c>
      <c r="L1400" t="inlineStr">
        <is>
          <t>384</t>
        </is>
      </c>
      <c r="M1400" t="inlineStr">
        <is>
          <t>108120 SBX Warszawa Janki</t>
        </is>
      </c>
      <c r="N1400" t="inlineStr">
        <is>
          <t>2026-09-11 19:06</t>
        </is>
      </c>
    </row>
    <row r="1401">
      <c r="A1401" t="n">
        <v>1400</v>
      </c>
      <c r="B1401" t="inlineStr">
        <is>
          <t>2026-07-22</t>
        </is>
      </c>
      <c r="C1401" t="n">
        <v>2026</v>
      </c>
      <c r="D1401" t="inlineStr">
        <is>
          <t>Lipiec</t>
        </is>
      </c>
      <c r="E1401" t="inlineStr">
        <is>
          <t>W4</t>
        </is>
      </c>
      <c r="F1401" t="inlineStr">
        <is>
          <t>2026_Lipiec_W4</t>
        </is>
      </c>
      <c r="G1401" t="inlineStr">
        <is>
          <t>Śr</t>
        </is>
      </c>
      <c r="H1401" t="inlineStr">
        <is>
          <t>WIŚNIEWSKA, MAGDALENA</t>
        </is>
      </c>
      <c r="I1401" t="inlineStr">
        <is>
          <t>Instructor</t>
        </is>
      </c>
      <c r="J1401" t="inlineStr">
        <is>
          <t>Standard 0,75|30h</t>
        </is>
      </c>
      <c r="K1401" t="n">
        <v>6.05</v>
      </c>
      <c r="L1401" t="inlineStr">
        <is>
          <t>384</t>
        </is>
      </c>
      <c r="M1401" t="inlineStr">
        <is>
          <t>108120 SBX Warszawa Janki</t>
        </is>
      </c>
      <c r="N1401" t="inlineStr">
        <is>
          <t>2026-09-11 19:06</t>
        </is>
      </c>
    </row>
    <row r="1402">
      <c r="A1402" t="n">
        <v>1401</v>
      </c>
      <c r="B1402" t="inlineStr">
        <is>
          <t>2026-07-23</t>
        </is>
      </c>
      <c r="C1402" t="n">
        <v>2026</v>
      </c>
      <c r="D1402" t="inlineStr">
        <is>
          <t>Lipiec</t>
        </is>
      </c>
      <c r="E1402" t="inlineStr">
        <is>
          <t>W4</t>
        </is>
      </c>
      <c r="F1402" t="inlineStr">
        <is>
          <t>2026_Lipiec_W4</t>
        </is>
      </c>
      <c r="G1402" t="inlineStr">
        <is>
          <t>Czw</t>
        </is>
      </c>
      <c r="H1402" t="inlineStr">
        <is>
          <t>WIŚNIEWSKA, MAGDALENA</t>
        </is>
      </c>
      <c r="I1402" t="inlineStr">
        <is>
          <t>Instructor</t>
        </is>
      </c>
      <c r="J1402" t="inlineStr">
        <is>
          <t>Standard 0,75|30h</t>
        </is>
      </c>
      <c r="K1402" t="n">
        <v>6.09</v>
      </c>
      <c r="L1402" t="inlineStr">
        <is>
          <t>384</t>
        </is>
      </c>
      <c r="M1402" t="inlineStr">
        <is>
          <t>108120 SBX Warszawa Janki</t>
        </is>
      </c>
      <c r="N1402" t="inlineStr">
        <is>
          <t>2026-09-11 19:06</t>
        </is>
      </c>
    </row>
    <row r="1403">
      <c r="A1403" t="n">
        <v>1402</v>
      </c>
      <c r="B1403" t="inlineStr">
        <is>
          <t>2026-07-24</t>
        </is>
      </c>
      <c r="C1403" t="n">
        <v>2026</v>
      </c>
      <c r="D1403" t="inlineStr">
        <is>
          <t>Lipiec</t>
        </is>
      </c>
      <c r="E1403" t="inlineStr">
        <is>
          <t>W4</t>
        </is>
      </c>
      <c r="F1403" t="inlineStr">
        <is>
          <t>2026_Lipiec_W4</t>
        </is>
      </c>
      <c r="G1403" t="inlineStr">
        <is>
          <t>Pt</t>
        </is>
      </c>
      <c r="H1403" t="inlineStr">
        <is>
          <t>WIŚNIEWSKA, MAGDALENA</t>
        </is>
      </c>
      <c r="I1403" t="inlineStr">
        <is>
          <t>Instructor</t>
        </is>
      </c>
      <c r="J1403" t="inlineStr">
        <is>
          <t>Standard 0,75|30h</t>
        </is>
      </c>
      <c r="K1403" t="n">
        <v>5.91</v>
      </c>
      <c r="L1403" t="inlineStr">
        <is>
          <t>384</t>
        </is>
      </c>
      <c r="M1403" t="inlineStr">
        <is>
          <t>108120 SBX Warszawa Janki</t>
        </is>
      </c>
      <c r="N1403" t="inlineStr">
        <is>
          <t>2026-09-11 19:06</t>
        </is>
      </c>
    </row>
    <row r="1404">
      <c r="A1404" t="n">
        <v>1403</v>
      </c>
      <c r="B1404" t="inlineStr">
        <is>
          <t>2026-07-25</t>
        </is>
      </c>
      <c r="C1404" t="n">
        <v>2026</v>
      </c>
      <c r="D1404" t="inlineStr">
        <is>
          <t>Lipiec</t>
        </is>
      </c>
      <c r="E1404" t="inlineStr">
        <is>
          <t>W4</t>
        </is>
      </c>
      <c r="F1404" t="inlineStr">
        <is>
          <t>2026_Lipiec_W4</t>
        </is>
      </c>
      <c r="G1404" t="inlineStr">
        <is>
          <t>Sob</t>
        </is>
      </c>
      <c r="H1404" t="inlineStr">
        <is>
          <t>WIŚNIEWSKA, MAGDALENA</t>
        </is>
      </c>
      <c r="I1404" t="inlineStr">
        <is>
          <t>Instructor</t>
        </is>
      </c>
      <c r="J1404" t="inlineStr">
        <is>
          <t>Standard 0,75|30h</t>
        </is>
      </c>
      <c r="K1404" t="n">
        <v>8.02</v>
      </c>
      <c r="L1404" t="inlineStr">
        <is>
          <t>384</t>
        </is>
      </c>
      <c r="M1404" t="inlineStr">
        <is>
          <t>108120 SBX Warszawa Janki</t>
        </is>
      </c>
      <c r="N1404" t="inlineStr">
        <is>
          <t>2026-09-11 19:06</t>
        </is>
      </c>
    </row>
    <row r="1405">
      <c r="A1405" t="n">
        <v>1404</v>
      </c>
      <c r="B1405" t="inlineStr">
        <is>
          <t>2026-07-27</t>
        </is>
      </c>
      <c r="C1405" t="n">
        <v>2026</v>
      </c>
      <c r="D1405" t="inlineStr">
        <is>
          <t>Lipiec</t>
        </is>
      </c>
      <c r="E1405" t="inlineStr">
        <is>
          <t>W4</t>
        </is>
      </c>
      <c r="F1405" t="inlineStr">
        <is>
          <t>2026_Lipiec_W4</t>
        </is>
      </c>
      <c r="G1405" t="inlineStr">
        <is>
          <t>Pn</t>
        </is>
      </c>
      <c r="H1405" t="inlineStr">
        <is>
          <t>WIŚNIEWSKA, MAGDALENA</t>
        </is>
      </c>
      <c r="I1405" t="inlineStr">
        <is>
          <t>Instructor</t>
        </is>
      </c>
      <c r="J1405" t="inlineStr">
        <is>
          <t>Standard 0,75|30h</t>
        </is>
      </c>
      <c r="K1405" t="n">
        <v>6.09</v>
      </c>
      <c r="L1405" t="inlineStr">
        <is>
          <t>384</t>
        </is>
      </c>
      <c r="M1405" t="inlineStr">
        <is>
          <t>108120 SBX Warszawa Janki</t>
        </is>
      </c>
      <c r="N1405" t="inlineStr">
        <is>
          <t>2026-09-11 19:06</t>
        </is>
      </c>
    </row>
    <row r="1406">
      <c r="A1406" t="n">
        <v>1405</v>
      </c>
      <c r="B1406" t="inlineStr">
        <is>
          <t>2026-07-28</t>
        </is>
      </c>
      <c r="C1406" t="n">
        <v>2026</v>
      </c>
      <c r="D1406" t="inlineStr">
        <is>
          <t>Lipiec</t>
        </is>
      </c>
      <c r="E1406" t="inlineStr">
        <is>
          <t>W5</t>
        </is>
      </c>
      <c r="F1406" t="inlineStr">
        <is>
          <t>2026_Lipiec_W5</t>
        </is>
      </c>
      <c r="G1406" t="inlineStr">
        <is>
          <t>Wt</t>
        </is>
      </c>
      <c r="H1406" t="inlineStr">
        <is>
          <t>WIŚNIEWSKA, MAGDALENA</t>
        </is>
      </c>
      <c r="I1406" t="inlineStr">
        <is>
          <t>Instructor</t>
        </is>
      </c>
      <c r="J1406" t="inlineStr">
        <is>
          <t>Standard 0,75|30h</t>
        </is>
      </c>
      <c r="K1406" t="n">
        <v>7.44</v>
      </c>
      <c r="L1406" t="inlineStr">
        <is>
          <t>384</t>
        </is>
      </c>
      <c r="M1406" t="inlineStr">
        <is>
          <t>108120 SBX Warszawa Janki</t>
        </is>
      </c>
      <c r="N1406" t="inlineStr">
        <is>
          <t>2026-09-11 19:06</t>
        </is>
      </c>
    </row>
    <row r="1407">
      <c r="A1407" t="n">
        <v>1406</v>
      </c>
      <c r="B1407" t="inlineStr">
        <is>
          <t>2026-07-29</t>
        </is>
      </c>
      <c r="C1407" t="n">
        <v>2026</v>
      </c>
      <c r="D1407" t="inlineStr">
        <is>
          <t>Lipiec</t>
        </is>
      </c>
      <c r="E1407" t="inlineStr">
        <is>
          <t>W5</t>
        </is>
      </c>
      <c r="F1407" t="inlineStr">
        <is>
          <t>2026_Lipiec_W5</t>
        </is>
      </c>
      <c r="G1407" t="inlineStr">
        <is>
          <t>Śr</t>
        </is>
      </c>
      <c r="H1407" t="inlineStr">
        <is>
          <t>WIŚNIEWSKA, MAGDALENA</t>
        </is>
      </c>
      <c r="I1407" t="inlineStr">
        <is>
          <t>Instructor</t>
        </is>
      </c>
      <c r="J1407" t="inlineStr">
        <is>
          <t>Standard 0,75|30h</t>
        </is>
      </c>
      <c r="K1407" t="n">
        <v>4.9</v>
      </c>
      <c r="L1407" t="inlineStr">
        <is>
          <t>384</t>
        </is>
      </c>
      <c r="M1407" t="inlineStr">
        <is>
          <t>108120 SBX Warszawa Janki</t>
        </is>
      </c>
      <c r="N1407" t="inlineStr">
        <is>
          <t>2026-09-11 19:06</t>
        </is>
      </c>
    </row>
    <row r="1408">
      <c r="A1408" t="n">
        <v>1407</v>
      </c>
      <c r="B1408" t="inlineStr">
        <is>
          <t>2026-07-30</t>
        </is>
      </c>
      <c r="C1408" t="n">
        <v>2026</v>
      </c>
      <c r="D1408" t="inlineStr">
        <is>
          <t>Lipiec</t>
        </is>
      </c>
      <c r="E1408" t="inlineStr">
        <is>
          <t>W5</t>
        </is>
      </c>
      <c r="F1408" t="inlineStr">
        <is>
          <t>2026_Lipiec_W5</t>
        </is>
      </c>
      <c r="G1408" t="inlineStr">
        <is>
          <t>Czw</t>
        </is>
      </c>
      <c r="H1408" t="inlineStr">
        <is>
          <t>WIŚNIEWSKA, MAGDALENA</t>
        </is>
      </c>
      <c r="I1408" t="inlineStr">
        <is>
          <t>Instructor</t>
        </is>
      </c>
      <c r="J1408" t="inlineStr">
        <is>
          <t>Standard 0,75|30h</t>
        </is>
      </c>
      <c r="K1408" t="n">
        <v>6.06</v>
      </c>
      <c r="L1408" t="inlineStr">
        <is>
          <t>384</t>
        </is>
      </c>
      <c r="M1408" t="inlineStr">
        <is>
          <t>108120 SBX Warszawa Janki</t>
        </is>
      </c>
      <c r="N1408" t="inlineStr">
        <is>
          <t>2026-09-11 19:06</t>
        </is>
      </c>
    </row>
    <row r="1409">
      <c r="A1409" t="n">
        <v>1408</v>
      </c>
      <c r="B1409" t="inlineStr">
        <is>
          <t>2026-08-03</t>
        </is>
      </c>
      <c r="C1409" t="n">
        <v>2026</v>
      </c>
      <c r="D1409" t="inlineStr">
        <is>
          <t>Sierpień</t>
        </is>
      </c>
      <c r="E1409" t="inlineStr">
        <is>
          <t>W1</t>
        </is>
      </c>
      <c r="F1409" t="inlineStr">
        <is>
          <t>2026_Sierpień_W1</t>
        </is>
      </c>
      <c r="G1409" t="inlineStr">
        <is>
          <t>Pn</t>
        </is>
      </c>
      <c r="H1409" t="inlineStr">
        <is>
          <t>WIŚNIEWSKA, MAGDALENA</t>
        </is>
      </c>
      <c r="I1409" t="inlineStr">
        <is>
          <t>Instructor</t>
        </is>
      </c>
      <c r="J1409" t="inlineStr">
        <is>
          <t>Standard 0,75|30h</t>
        </is>
      </c>
      <c r="K1409" t="n">
        <v>7.12</v>
      </c>
      <c r="L1409" t="inlineStr">
        <is>
          <t>384</t>
        </is>
      </c>
      <c r="M1409" t="inlineStr">
        <is>
          <t>108120 SBX Warszawa Janki</t>
        </is>
      </c>
      <c r="N1409" t="inlineStr">
        <is>
          <t>2026-09-11 19:06</t>
        </is>
      </c>
    </row>
    <row r="1410">
      <c r="A1410" t="n">
        <v>1409</v>
      </c>
      <c r="B1410" t="inlineStr">
        <is>
          <t>2026-08-04</t>
        </is>
      </c>
      <c r="C1410" t="n">
        <v>2026</v>
      </c>
      <c r="D1410" t="inlineStr">
        <is>
          <t>Sierpień</t>
        </is>
      </c>
      <c r="E1410" t="inlineStr">
        <is>
          <t>W2</t>
        </is>
      </c>
      <c r="F1410" t="inlineStr">
        <is>
          <t>2026_Sierpień_W2</t>
        </is>
      </c>
      <c r="G1410" t="inlineStr">
        <is>
          <t>Wt</t>
        </is>
      </c>
      <c r="H1410" t="inlineStr">
        <is>
          <t>WIŚNIEWSKA, MAGDALENA</t>
        </is>
      </c>
      <c r="I1410" t="inlineStr">
        <is>
          <t>Instructor</t>
        </is>
      </c>
      <c r="J1410" t="inlineStr">
        <is>
          <t>Standard 0,75|30h</t>
        </is>
      </c>
      <c r="K1410" t="n">
        <v>6.09</v>
      </c>
      <c r="L1410" t="inlineStr">
        <is>
          <t>384</t>
        </is>
      </c>
      <c r="M1410" t="inlineStr">
        <is>
          <t>108120 SBX Warszawa Janki</t>
        </is>
      </c>
      <c r="N1410" t="inlineStr">
        <is>
          <t>2026-09-11 19:06</t>
        </is>
      </c>
    </row>
    <row r="1411">
      <c r="A1411" t="n">
        <v>1410</v>
      </c>
      <c r="B1411" t="inlineStr">
        <is>
          <t>2026-08-05</t>
        </is>
      </c>
      <c r="C1411" t="n">
        <v>2026</v>
      </c>
      <c r="D1411" t="inlineStr">
        <is>
          <t>Sierpień</t>
        </is>
      </c>
      <c r="E1411" t="inlineStr">
        <is>
          <t>W2</t>
        </is>
      </c>
      <c r="F1411" t="inlineStr">
        <is>
          <t>2026_Sierpień_W2</t>
        </is>
      </c>
      <c r="G1411" t="inlineStr">
        <is>
          <t>Śr</t>
        </is>
      </c>
      <c r="H1411" t="inlineStr">
        <is>
          <t>WIŚNIEWSKA, MAGDALENA</t>
        </is>
      </c>
      <c r="I1411" t="inlineStr">
        <is>
          <t>Instructor</t>
        </is>
      </c>
      <c r="J1411" t="inlineStr">
        <is>
          <t>Standard 0,75|30h</t>
        </is>
      </c>
      <c r="K1411" t="n">
        <v>7.82</v>
      </c>
      <c r="L1411" t="inlineStr">
        <is>
          <t>384</t>
        </is>
      </c>
      <c r="M1411" t="inlineStr">
        <is>
          <t>108120 SBX Warszawa Janki</t>
        </is>
      </c>
      <c r="N1411" t="inlineStr">
        <is>
          <t>2026-09-11 19:06</t>
        </is>
      </c>
    </row>
    <row r="1412">
      <c r="A1412" t="n">
        <v>1411</v>
      </c>
      <c r="B1412" t="inlineStr">
        <is>
          <t>2026-08-06</t>
        </is>
      </c>
      <c r="C1412" t="n">
        <v>2026</v>
      </c>
      <c r="D1412" t="inlineStr">
        <is>
          <t>Sierpień</t>
        </is>
      </c>
      <c r="E1412" t="inlineStr">
        <is>
          <t>W2</t>
        </is>
      </c>
      <c r="F1412" t="inlineStr">
        <is>
          <t>2026_Sierpień_W2</t>
        </is>
      </c>
      <c r="G1412" t="inlineStr">
        <is>
          <t>Czw</t>
        </is>
      </c>
      <c r="H1412" t="inlineStr">
        <is>
          <t>WIŚNIEWSKA, MAGDALENA</t>
        </is>
      </c>
      <c r="I1412" t="inlineStr">
        <is>
          <t>Instructor</t>
        </is>
      </c>
      <c r="J1412" t="inlineStr">
        <is>
          <t>Standard 0,75|30h</t>
        </is>
      </c>
      <c r="K1412" t="n">
        <v>5.51</v>
      </c>
      <c r="L1412" t="inlineStr">
        <is>
          <t>384</t>
        </is>
      </c>
      <c r="M1412" t="inlineStr">
        <is>
          <t>108120 SBX Warszawa Janki</t>
        </is>
      </c>
      <c r="N1412" t="inlineStr">
        <is>
          <t>2026-09-11 19:06</t>
        </is>
      </c>
    </row>
    <row r="1413">
      <c r="A1413" t="n">
        <v>1412</v>
      </c>
      <c r="B1413" t="inlineStr">
        <is>
          <t>2026-08-07</t>
        </is>
      </c>
      <c r="C1413" t="n">
        <v>2026</v>
      </c>
      <c r="D1413" t="inlineStr">
        <is>
          <t>Sierpień</t>
        </is>
      </c>
      <c r="E1413" t="inlineStr">
        <is>
          <t>W2</t>
        </is>
      </c>
      <c r="F1413" t="inlineStr">
        <is>
          <t>2026_Sierpień_W2</t>
        </is>
      </c>
      <c r="G1413" t="inlineStr">
        <is>
          <t>Pt</t>
        </is>
      </c>
      <c r="H1413" t="inlineStr">
        <is>
          <t>WIŚNIEWSKA, MAGDALENA</t>
        </is>
      </c>
      <c r="I1413" t="inlineStr">
        <is>
          <t>Instructor</t>
        </is>
      </c>
      <c r="J1413" t="inlineStr">
        <is>
          <t>Standard 0,75|30h</t>
        </is>
      </c>
      <c r="K1413" t="n">
        <v>7.38</v>
      </c>
      <c r="L1413" t="inlineStr">
        <is>
          <t>384</t>
        </is>
      </c>
      <c r="M1413" t="inlineStr">
        <is>
          <t>108120 SBX Warszawa Janki</t>
        </is>
      </c>
      <c r="N1413" t="inlineStr">
        <is>
          <t>2026-09-11 19:06</t>
        </is>
      </c>
    </row>
    <row r="1414">
      <c r="A1414" t="n">
        <v>1413</v>
      </c>
      <c r="B1414" t="inlineStr">
        <is>
          <t>2026-08-10</t>
        </is>
      </c>
      <c r="C1414" t="n">
        <v>2026</v>
      </c>
      <c r="D1414" t="inlineStr">
        <is>
          <t>Sierpień</t>
        </is>
      </c>
      <c r="E1414" t="inlineStr">
        <is>
          <t>W2</t>
        </is>
      </c>
      <c r="F1414" t="inlineStr">
        <is>
          <t>2026_Sierpień_W2</t>
        </is>
      </c>
      <c r="G1414" t="inlineStr">
        <is>
          <t>Pn</t>
        </is>
      </c>
      <c r="H1414" t="inlineStr">
        <is>
          <t>WIŚNIEWSKA, MAGDALENA</t>
        </is>
      </c>
      <c r="I1414" t="inlineStr">
        <is>
          <t>Instructor</t>
        </is>
      </c>
      <c r="J1414" t="inlineStr">
        <is>
          <t>Standard 0,75|30h</t>
        </is>
      </c>
      <c r="K1414" t="n">
        <v>5.54</v>
      </c>
      <c r="L1414" t="inlineStr">
        <is>
          <t>384</t>
        </is>
      </c>
      <c r="M1414" t="inlineStr">
        <is>
          <t>108120 SBX Warszawa Janki</t>
        </is>
      </c>
      <c r="N1414" t="inlineStr">
        <is>
          <t>2026-09-11 19:06</t>
        </is>
      </c>
    </row>
    <row r="1415">
      <c r="A1415" t="n">
        <v>1414</v>
      </c>
      <c r="B1415" t="inlineStr">
        <is>
          <t>2026-08-11</t>
        </is>
      </c>
      <c r="C1415" t="n">
        <v>2026</v>
      </c>
      <c r="D1415" t="inlineStr">
        <is>
          <t>Sierpień</t>
        </is>
      </c>
      <c r="E1415" t="inlineStr">
        <is>
          <t>W3</t>
        </is>
      </c>
      <c r="F1415" t="inlineStr">
        <is>
          <t>2026_Sierpień_W3</t>
        </is>
      </c>
      <c r="G1415" t="inlineStr">
        <is>
          <t>Wt</t>
        </is>
      </c>
      <c r="H1415" t="inlineStr">
        <is>
          <t>WIŚNIEWSKA, MAGDALENA</t>
        </is>
      </c>
      <c r="I1415" t="inlineStr">
        <is>
          <t>Instructor</t>
        </is>
      </c>
      <c r="J1415" t="inlineStr">
        <is>
          <t>Standard 0,75|30h</t>
        </is>
      </c>
      <c r="K1415" t="n">
        <v>8.130000000000001</v>
      </c>
      <c r="L1415" t="inlineStr">
        <is>
          <t>384</t>
        </is>
      </c>
      <c r="M1415" t="inlineStr">
        <is>
          <t>108120 SBX Warszawa Janki</t>
        </is>
      </c>
      <c r="N1415" t="inlineStr">
        <is>
          <t>2026-09-11 19:06</t>
        </is>
      </c>
    </row>
    <row r="1416">
      <c r="A1416" t="n">
        <v>1415</v>
      </c>
      <c r="B1416" t="inlineStr">
        <is>
          <t>2026-08-12</t>
        </is>
      </c>
      <c r="C1416" t="n">
        <v>2026</v>
      </c>
      <c r="D1416" t="inlineStr">
        <is>
          <t>Sierpień</t>
        </is>
      </c>
      <c r="E1416" t="inlineStr">
        <is>
          <t>W3</t>
        </is>
      </c>
      <c r="F1416" t="inlineStr">
        <is>
          <t>2026_Sierpień_W3</t>
        </is>
      </c>
      <c r="G1416" t="inlineStr">
        <is>
          <t>Śr</t>
        </is>
      </c>
      <c r="H1416" t="inlineStr">
        <is>
          <t>WIŚNIEWSKA, MAGDALENA</t>
        </is>
      </c>
      <c r="I1416" t="inlineStr">
        <is>
          <t>Instructor</t>
        </is>
      </c>
      <c r="J1416" t="inlineStr">
        <is>
          <t>Standard 0,75|30h</t>
        </is>
      </c>
      <c r="K1416" t="n">
        <v>7.57</v>
      </c>
      <c r="L1416" t="inlineStr">
        <is>
          <t>384</t>
        </is>
      </c>
      <c r="M1416" t="inlineStr">
        <is>
          <t>108120 SBX Warszawa Janki</t>
        </is>
      </c>
      <c r="N1416" t="inlineStr">
        <is>
          <t>2026-09-11 19:06</t>
        </is>
      </c>
    </row>
    <row r="1417">
      <c r="A1417" t="n">
        <v>1416</v>
      </c>
      <c r="B1417" t="inlineStr">
        <is>
          <t>2026-08-14</t>
        </is>
      </c>
      <c r="C1417" t="n">
        <v>2026</v>
      </c>
      <c r="D1417" t="inlineStr">
        <is>
          <t>Sierpień</t>
        </is>
      </c>
      <c r="E1417" t="inlineStr">
        <is>
          <t>W3</t>
        </is>
      </c>
      <c r="F1417" t="inlineStr">
        <is>
          <t>2026_Sierpień_W3</t>
        </is>
      </c>
      <c r="G1417" t="inlineStr">
        <is>
          <t>Pt</t>
        </is>
      </c>
      <c r="H1417" t="inlineStr">
        <is>
          <t>WIŚNIEWSKA, MAGDALENA</t>
        </is>
      </c>
      <c r="I1417" t="inlineStr">
        <is>
          <t>Instructor</t>
        </is>
      </c>
      <c r="J1417" t="inlineStr">
        <is>
          <t>Standard 0,75|30h</t>
        </is>
      </c>
      <c r="K1417" t="n">
        <v>8.220000000000001</v>
      </c>
      <c r="L1417" t="inlineStr">
        <is>
          <t>384</t>
        </is>
      </c>
      <c r="M1417" t="inlineStr">
        <is>
          <t>108120 SBX Warszawa Janki</t>
        </is>
      </c>
      <c r="N1417" t="inlineStr">
        <is>
          <t>2026-09-11 19:06</t>
        </is>
      </c>
    </row>
    <row r="1418">
      <c r="A1418" t="n">
        <v>1417</v>
      </c>
      <c r="B1418" t="inlineStr">
        <is>
          <t>2026-08-17</t>
        </is>
      </c>
      <c r="C1418" t="n">
        <v>2026</v>
      </c>
      <c r="D1418" t="inlineStr">
        <is>
          <t>Sierpień</t>
        </is>
      </c>
      <c r="E1418" t="inlineStr">
        <is>
          <t>W3</t>
        </is>
      </c>
      <c r="F1418" t="inlineStr">
        <is>
          <t>2026_Sierpień_W3</t>
        </is>
      </c>
      <c r="G1418" t="inlineStr">
        <is>
          <t>Pn</t>
        </is>
      </c>
      <c r="H1418" t="inlineStr">
        <is>
          <t>WIŚNIEWSKA, MAGDALENA</t>
        </is>
      </c>
      <c r="I1418" t="inlineStr">
        <is>
          <t>Instructor</t>
        </is>
      </c>
      <c r="J1418" t="inlineStr">
        <is>
          <t>Standard 0,75|30h</t>
        </is>
      </c>
      <c r="K1418" t="n">
        <v>5.12</v>
      </c>
      <c r="L1418" t="inlineStr">
        <is>
          <t>384</t>
        </is>
      </c>
      <c r="M1418" t="inlineStr">
        <is>
          <t>108120 SBX Warszawa Janki</t>
        </is>
      </c>
      <c r="N1418" t="inlineStr">
        <is>
          <t>2026-09-11 19:06</t>
        </is>
      </c>
    </row>
    <row r="1419">
      <c r="A1419" t="n">
        <v>1418</v>
      </c>
      <c r="B1419" t="inlineStr">
        <is>
          <t>2026-08-18</t>
        </is>
      </c>
      <c r="C1419" t="n">
        <v>2026</v>
      </c>
      <c r="D1419" t="inlineStr">
        <is>
          <t>Sierpień</t>
        </is>
      </c>
      <c r="E1419" t="inlineStr">
        <is>
          <t>W4</t>
        </is>
      </c>
      <c r="F1419" t="inlineStr">
        <is>
          <t>2026_Sierpień_W4</t>
        </is>
      </c>
      <c r="G1419" t="inlineStr">
        <is>
          <t>Wt</t>
        </is>
      </c>
      <c r="H1419" t="inlineStr">
        <is>
          <t>WIŚNIEWSKA, MAGDALENA</t>
        </is>
      </c>
      <c r="I1419" t="inlineStr">
        <is>
          <t>Instructor</t>
        </is>
      </c>
      <c r="J1419" t="inlineStr">
        <is>
          <t>Standard 0,75|30h</t>
        </is>
      </c>
      <c r="K1419" t="n">
        <v>8.220000000000001</v>
      </c>
      <c r="L1419" t="inlineStr">
        <is>
          <t>384</t>
        </is>
      </c>
      <c r="M1419" t="inlineStr">
        <is>
          <t>108120 SBX Warszawa Janki</t>
        </is>
      </c>
      <c r="N1419" t="inlineStr">
        <is>
          <t>2026-09-11 19:06</t>
        </is>
      </c>
    </row>
    <row r="1420">
      <c r="A1420" t="n">
        <v>1419</v>
      </c>
      <c r="B1420" t="inlineStr">
        <is>
          <t>2026-08-19</t>
        </is>
      </c>
      <c r="C1420" t="n">
        <v>2026</v>
      </c>
      <c r="D1420" t="inlineStr">
        <is>
          <t>Sierpień</t>
        </is>
      </c>
      <c r="E1420" t="inlineStr">
        <is>
          <t>W4</t>
        </is>
      </c>
      <c r="F1420" t="inlineStr">
        <is>
          <t>2026_Sierpień_W4</t>
        </is>
      </c>
      <c r="G1420" t="inlineStr">
        <is>
          <t>Śr</t>
        </is>
      </c>
      <c r="H1420" t="inlineStr">
        <is>
          <t>WIŚNIEWSKA, MAGDALENA</t>
        </is>
      </c>
      <c r="I1420" t="inlineStr">
        <is>
          <t>Instructor</t>
        </is>
      </c>
      <c r="J1420" t="inlineStr">
        <is>
          <t>Standard 0,75|30h</t>
        </is>
      </c>
      <c r="K1420" t="n">
        <v>6.55</v>
      </c>
      <c r="L1420" t="inlineStr">
        <is>
          <t>384</t>
        </is>
      </c>
      <c r="M1420" t="inlineStr">
        <is>
          <t>108120 SBX Warszawa Janki</t>
        </is>
      </c>
      <c r="N1420" t="inlineStr">
        <is>
          <t>2026-09-11 19:06</t>
        </is>
      </c>
    </row>
    <row r="1421">
      <c r="A1421" t="n">
        <v>1420</v>
      </c>
      <c r="B1421" t="inlineStr">
        <is>
          <t>2026-08-20</t>
        </is>
      </c>
      <c r="C1421" t="n">
        <v>2026</v>
      </c>
      <c r="D1421" t="inlineStr">
        <is>
          <t>Sierpień</t>
        </is>
      </c>
      <c r="E1421" t="inlineStr">
        <is>
          <t>W4</t>
        </is>
      </c>
      <c r="F1421" t="inlineStr">
        <is>
          <t>2026_Sierpień_W4</t>
        </is>
      </c>
      <c r="G1421" t="inlineStr">
        <is>
          <t>Czw</t>
        </is>
      </c>
      <c r="H1421" t="inlineStr">
        <is>
          <t>WIŚNIEWSKA, MAGDALENA</t>
        </is>
      </c>
      <c r="I1421" t="inlineStr">
        <is>
          <t>Instructor</t>
        </is>
      </c>
      <c r="J1421" t="inlineStr">
        <is>
          <t>Standard 0,75|30h</t>
        </is>
      </c>
      <c r="K1421" t="n">
        <v>7.02</v>
      </c>
      <c r="L1421" t="inlineStr">
        <is>
          <t>384</t>
        </is>
      </c>
      <c r="M1421" t="inlineStr">
        <is>
          <t>108120 SBX Warszawa Janki</t>
        </is>
      </c>
      <c r="N1421" t="inlineStr">
        <is>
          <t>2026-09-11 19:06</t>
        </is>
      </c>
    </row>
    <row r="1422">
      <c r="A1422" t="n">
        <v>1421</v>
      </c>
      <c r="B1422" t="inlineStr">
        <is>
          <t>2026-08-23</t>
        </is>
      </c>
      <c r="C1422" t="n">
        <v>2026</v>
      </c>
      <c r="D1422" t="inlineStr">
        <is>
          <t>Sierpień</t>
        </is>
      </c>
      <c r="E1422" t="inlineStr">
        <is>
          <t>W4</t>
        </is>
      </c>
      <c r="F1422" t="inlineStr">
        <is>
          <t>2026_Sierpień_W4</t>
        </is>
      </c>
      <c r="G1422" t="inlineStr">
        <is>
          <t>Nd</t>
        </is>
      </c>
      <c r="H1422" t="inlineStr">
        <is>
          <t>WIŚNIEWSKA, MAGDALENA</t>
        </is>
      </c>
      <c r="I1422" t="inlineStr">
        <is>
          <t>Instructor</t>
        </is>
      </c>
      <c r="J1422" t="inlineStr">
        <is>
          <t>Standard 0,75|30h</t>
        </is>
      </c>
      <c r="K1422" t="n">
        <v>1.75</v>
      </c>
      <c r="L1422" t="inlineStr">
        <is>
          <t>384</t>
        </is>
      </c>
      <c r="M1422" t="inlineStr">
        <is>
          <t>108120 SBX Warszawa Janki</t>
        </is>
      </c>
      <c r="N1422" t="inlineStr">
        <is>
          <t>2026-09-11 19:06</t>
        </is>
      </c>
    </row>
    <row r="1423">
      <c r="A1423" t="n">
        <v>1422</v>
      </c>
      <c r="B1423" t="inlineStr">
        <is>
          <t>2026-08-24</t>
        </is>
      </c>
      <c r="C1423" t="n">
        <v>2026</v>
      </c>
      <c r="D1423" t="inlineStr">
        <is>
          <t>Sierpień</t>
        </is>
      </c>
      <c r="E1423" t="inlineStr">
        <is>
          <t>W4</t>
        </is>
      </c>
      <c r="F1423" t="inlineStr">
        <is>
          <t>2026_Sierpień_W4</t>
        </is>
      </c>
      <c r="G1423" t="inlineStr">
        <is>
          <t>Pn</t>
        </is>
      </c>
      <c r="H1423" t="inlineStr">
        <is>
          <t>WIŚNIEWSKA, MAGDALENA</t>
        </is>
      </c>
      <c r="I1423" t="inlineStr">
        <is>
          <t>Instructor</t>
        </is>
      </c>
      <c r="J1423" t="inlineStr">
        <is>
          <t>Standard 0,75|30h</t>
        </is>
      </c>
      <c r="K1423" t="n">
        <v>7.05</v>
      </c>
      <c r="L1423" t="inlineStr">
        <is>
          <t>384</t>
        </is>
      </c>
      <c r="M1423" t="inlineStr">
        <is>
          <t>108120 SBX Warszawa Janki</t>
        </is>
      </c>
      <c r="N1423" t="inlineStr">
        <is>
          <t>2026-09-11 19:06</t>
        </is>
      </c>
    </row>
    <row r="1424">
      <c r="A1424" t="n">
        <v>1423</v>
      </c>
      <c r="B1424" t="inlineStr">
        <is>
          <t>2026-08-25</t>
        </is>
      </c>
      <c r="C1424" t="n">
        <v>2026</v>
      </c>
      <c r="D1424" t="inlineStr">
        <is>
          <t>Sierpień</t>
        </is>
      </c>
      <c r="E1424" t="inlineStr">
        <is>
          <t>W5</t>
        </is>
      </c>
      <c r="F1424" t="inlineStr">
        <is>
          <t>2026_Sierpień_W5</t>
        </is>
      </c>
      <c r="G1424" t="inlineStr">
        <is>
          <t>Wt</t>
        </is>
      </c>
      <c r="H1424" t="inlineStr">
        <is>
          <t>WIŚNIEWSKA, MAGDALENA</t>
        </is>
      </c>
      <c r="I1424" t="inlineStr">
        <is>
          <t>Instructor</t>
        </is>
      </c>
      <c r="J1424" t="inlineStr">
        <is>
          <t>Standard 0,75|30h</t>
        </is>
      </c>
      <c r="K1424" t="n">
        <v>7.61</v>
      </c>
      <c r="L1424" t="inlineStr">
        <is>
          <t>384</t>
        </is>
      </c>
      <c r="M1424" t="inlineStr">
        <is>
          <t>108120 SBX Warszawa Janki</t>
        </is>
      </c>
      <c r="N1424" t="inlineStr">
        <is>
          <t>2026-09-11 19:06</t>
        </is>
      </c>
    </row>
    <row r="1425">
      <c r="A1425" t="n">
        <v>1424</v>
      </c>
      <c r="B1425" t="inlineStr">
        <is>
          <t>2026-08-27</t>
        </is>
      </c>
      <c r="C1425" t="n">
        <v>2026</v>
      </c>
      <c r="D1425" t="inlineStr">
        <is>
          <t>Sierpień</t>
        </is>
      </c>
      <c r="E1425" t="inlineStr">
        <is>
          <t>W5</t>
        </is>
      </c>
      <c r="F1425" t="inlineStr">
        <is>
          <t>2026_Sierpień_W5</t>
        </is>
      </c>
      <c r="G1425" t="inlineStr">
        <is>
          <t>Czw</t>
        </is>
      </c>
      <c r="H1425" t="inlineStr">
        <is>
          <t>WIŚNIEWSKA, MAGDALENA</t>
        </is>
      </c>
      <c r="I1425" t="inlineStr">
        <is>
          <t>Instructor</t>
        </is>
      </c>
      <c r="J1425" t="inlineStr">
        <is>
          <t>Standard 0,75|30h</t>
        </is>
      </c>
      <c r="K1425" t="n">
        <v>6.86</v>
      </c>
      <c r="L1425" t="inlineStr">
        <is>
          <t>384</t>
        </is>
      </c>
      <c r="M1425" t="inlineStr">
        <is>
          <t>108120 SBX Warszawa Janki</t>
        </is>
      </c>
      <c r="N1425" t="inlineStr">
        <is>
          <t>2026-09-11 19:06</t>
        </is>
      </c>
    </row>
    <row r="1426">
      <c r="A1426" t="n">
        <v>1425</v>
      </c>
      <c r="B1426" t="inlineStr">
        <is>
          <t>2026-08-28</t>
        </is>
      </c>
      <c r="C1426" t="n">
        <v>2026</v>
      </c>
      <c r="D1426" t="inlineStr">
        <is>
          <t>Sierpień</t>
        </is>
      </c>
      <c r="E1426" t="inlineStr">
        <is>
          <t>W5</t>
        </is>
      </c>
      <c r="F1426" t="inlineStr">
        <is>
          <t>2026_Sierpień_W5</t>
        </is>
      </c>
      <c r="G1426" t="inlineStr">
        <is>
          <t>Pt</t>
        </is>
      </c>
      <c r="H1426" t="inlineStr">
        <is>
          <t>WIŚNIEWSKA, MAGDALENA</t>
        </is>
      </c>
      <c r="I1426" t="inlineStr">
        <is>
          <t>Instructor</t>
        </is>
      </c>
      <c r="J1426" t="inlineStr">
        <is>
          <t>Standard 0,75|30h</t>
        </is>
      </c>
      <c r="K1426" t="n">
        <v>7.43</v>
      </c>
      <c r="L1426" t="inlineStr">
        <is>
          <t>384</t>
        </is>
      </c>
      <c r="M1426" t="inlineStr">
        <is>
          <t>108120 SBX Warszawa Janki</t>
        </is>
      </c>
      <c r="N1426" t="inlineStr">
        <is>
          <t>2026-09-11 19:06</t>
        </is>
      </c>
    </row>
    <row r="1427">
      <c r="A1427" t="n">
        <v>1426</v>
      </c>
      <c r="B1427" t="inlineStr">
        <is>
          <t>2026-08-29</t>
        </is>
      </c>
      <c r="C1427" t="n">
        <v>2026</v>
      </c>
      <c r="D1427" t="inlineStr">
        <is>
          <t>Sierpień</t>
        </is>
      </c>
      <c r="E1427" t="inlineStr">
        <is>
          <t>W5</t>
        </is>
      </c>
      <c r="F1427" t="inlineStr">
        <is>
          <t>2026_Sierpień_W5</t>
        </is>
      </c>
      <c r="G1427" t="inlineStr">
        <is>
          <t>Sob</t>
        </is>
      </c>
      <c r="H1427" t="inlineStr">
        <is>
          <t>WIŚNIEWSKA, MAGDALENA</t>
        </is>
      </c>
      <c r="I1427" t="inlineStr">
        <is>
          <t>Instructor</t>
        </is>
      </c>
      <c r="J1427" t="inlineStr">
        <is>
          <t>Standard 0,75|30h</t>
        </is>
      </c>
      <c r="K1427" t="n">
        <v>8.08</v>
      </c>
      <c r="L1427" t="inlineStr">
        <is>
          <t>384</t>
        </is>
      </c>
      <c r="M1427" t="inlineStr">
        <is>
          <t>108120 SBX Warszawa Janki</t>
        </is>
      </c>
      <c r="N1427" t="inlineStr">
        <is>
          <t>2026-09-11 19:06</t>
        </is>
      </c>
    </row>
    <row r="1428">
      <c r="A1428" t="n">
        <v>1427</v>
      </c>
      <c r="B1428" t="inlineStr">
        <is>
          <t>2026-09-01</t>
        </is>
      </c>
      <c r="C1428" t="n">
        <v>2026</v>
      </c>
      <c r="D1428" t="inlineStr">
        <is>
          <t>Wrzesień</t>
        </is>
      </c>
      <c r="E1428" t="inlineStr">
        <is>
          <t>W1</t>
        </is>
      </c>
      <c r="F1428" t="inlineStr">
        <is>
          <t>2026_Wrzesień_W1</t>
        </is>
      </c>
      <c r="G1428" t="inlineStr">
        <is>
          <t>Wt</t>
        </is>
      </c>
      <c r="H1428" t="inlineStr">
        <is>
          <t>WIŚNIEWSKA, MAGDALENA</t>
        </is>
      </c>
      <c r="I1428" t="inlineStr">
        <is>
          <t>Instructor</t>
        </is>
      </c>
      <c r="J1428" t="inlineStr">
        <is>
          <t>Standard 0,75|30h</t>
        </is>
      </c>
      <c r="K1428" t="n">
        <v>7.06</v>
      </c>
      <c r="L1428" t="inlineStr">
        <is>
          <t>384</t>
        </is>
      </c>
      <c r="M1428" t="inlineStr">
        <is>
          <t>108120 SBX Warszawa Janki</t>
        </is>
      </c>
      <c r="N1428" t="inlineStr">
        <is>
          <t>2026-09-11 19:06</t>
        </is>
      </c>
    </row>
    <row r="1429">
      <c r="A1429" t="n">
        <v>1428</v>
      </c>
      <c r="B1429" t="inlineStr">
        <is>
          <t>2026-09-03</t>
        </is>
      </c>
      <c r="C1429" t="n">
        <v>2026</v>
      </c>
      <c r="D1429" t="inlineStr">
        <is>
          <t>Wrzesień</t>
        </is>
      </c>
      <c r="E1429" t="inlineStr">
        <is>
          <t>W1</t>
        </is>
      </c>
      <c r="F1429" t="inlineStr">
        <is>
          <t>2026_Wrzesień_W1</t>
        </is>
      </c>
      <c r="G1429" t="inlineStr">
        <is>
          <t>Czw</t>
        </is>
      </c>
      <c r="H1429" t="inlineStr">
        <is>
          <t>WIŚNIEWSKA, MAGDALENA</t>
        </is>
      </c>
      <c r="I1429" t="inlineStr">
        <is>
          <t>Instructor</t>
        </is>
      </c>
      <c r="J1429" t="inlineStr">
        <is>
          <t>Standard 0,75|30h</t>
        </is>
      </c>
      <c r="K1429" t="n">
        <v>7.9</v>
      </c>
      <c r="L1429" t="inlineStr">
        <is>
          <t>384</t>
        </is>
      </c>
      <c r="M1429" t="inlineStr">
        <is>
          <t>108120 SBX Warszawa Janki</t>
        </is>
      </c>
      <c r="N1429" t="inlineStr">
        <is>
          <t>2026-09-11 19:06</t>
        </is>
      </c>
    </row>
    <row r="1430">
      <c r="A1430" t="n">
        <v>1429</v>
      </c>
      <c r="B1430" t="inlineStr">
        <is>
          <t>2026-09-04</t>
        </is>
      </c>
      <c r="C1430" t="n">
        <v>2026</v>
      </c>
      <c r="D1430" t="inlineStr">
        <is>
          <t>Wrzesień</t>
        </is>
      </c>
      <c r="E1430" t="inlineStr">
        <is>
          <t>W1</t>
        </is>
      </c>
      <c r="F1430" t="inlineStr">
        <is>
          <t>2026_Wrzesień_W1</t>
        </is>
      </c>
      <c r="G1430" t="inlineStr">
        <is>
          <t>Pt</t>
        </is>
      </c>
      <c r="H1430" t="inlineStr">
        <is>
          <t>WIŚNIEWSKA, MAGDALENA</t>
        </is>
      </c>
      <c r="I1430" t="inlineStr">
        <is>
          <t>Instructor</t>
        </is>
      </c>
      <c r="J1430" t="inlineStr">
        <is>
          <t>Standard 0,75|30h</t>
        </is>
      </c>
      <c r="K1430" t="n">
        <v>4.95</v>
      </c>
      <c r="L1430" t="inlineStr">
        <is>
          <t>384</t>
        </is>
      </c>
      <c r="M1430" t="inlineStr">
        <is>
          <t>108120 SBX Warszawa Janki</t>
        </is>
      </c>
      <c r="N1430" t="inlineStr">
        <is>
          <t>2026-09-11 19:06</t>
        </is>
      </c>
    </row>
    <row r="1431">
      <c r="A1431" t="n">
        <v>1430</v>
      </c>
      <c r="B1431" t="inlineStr">
        <is>
          <t>2026-09-05</t>
        </is>
      </c>
      <c r="C1431" t="n">
        <v>2026</v>
      </c>
      <c r="D1431" t="inlineStr">
        <is>
          <t>Wrzesień</t>
        </is>
      </c>
      <c r="E1431" t="inlineStr">
        <is>
          <t>W1</t>
        </is>
      </c>
      <c r="F1431" t="inlineStr">
        <is>
          <t>2026_Wrzesień_W1</t>
        </is>
      </c>
      <c r="G1431" t="inlineStr">
        <is>
          <t>Sob</t>
        </is>
      </c>
      <c r="H1431" t="inlineStr">
        <is>
          <t>WIŚNIEWSKA, MAGDALENA</t>
        </is>
      </c>
      <c r="I1431" t="inlineStr">
        <is>
          <t>Instructor</t>
        </is>
      </c>
      <c r="J1431" t="inlineStr">
        <is>
          <t>Standard 0,75|30h</t>
        </is>
      </c>
      <c r="K1431" t="n">
        <v>8.01</v>
      </c>
      <c r="L1431" t="inlineStr">
        <is>
          <t>384</t>
        </is>
      </c>
      <c r="M1431" t="inlineStr">
        <is>
          <t>108120 SBX Warszawa Janki</t>
        </is>
      </c>
      <c r="N1431" t="inlineStr">
        <is>
          <t>2026-09-11 19:06</t>
        </is>
      </c>
    </row>
    <row r="1432">
      <c r="A1432" t="n">
        <v>1431</v>
      </c>
      <c r="B1432" t="inlineStr">
        <is>
          <t>2026-05-03</t>
        </is>
      </c>
      <c r="C1432" t="n">
        <v>2026</v>
      </c>
      <c r="D1432" t="inlineStr">
        <is>
          <t>Maj</t>
        </is>
      </c>
      <c r="E1432" t="inlineStr">
        <is>
          <t>W1</t>
        </is>
      </c>
      <c r="F1432" t="inlineStr">
        <is>
          <t>2026_Maj_W1</t>
        </is>
      </c>
      <c r="G1432" t="inlineStr">
        <is>
          <t>Nd</t>
        </is>
      </c>
      <c r="H1432" t="inlineStr">
        <is>
          <t>WIŚNIEWSKI, DANIEL</t>
        </is>
      </c>
      <c r="I1432" t="inlineStr">
        <is>
          <t>Instructor</t>
        </is>
      </c>
      <c r="J1432" t="inlineStr">
        <is>
          <t>Standard 0,25|10h</t>
        </is>
      </c>
      <c r="K1432" t="n">
        <v>7</v>
      </c>
      <c r="L1432" t="inlineStr">
        <is>
          <t>384</t>
        </is>
      </c>
      <c r="M1432" t="inlineStr">
        <is>
          <t>108120 SBX Warszawa Janki</t>
        </is>
      </c>
      <c r="N1432" t="inlineStr">
        <is>
          <t>2026-09-11 19:06</t>
        </is>
      </c>
    </row>
    <row r="1433">
      <c r="A1433" t="n">
        <v>1432</v>
      </c>
      <c r="B1433" t="inlineStr">
        <is>
          <t>2026-07-03</t>
        </is>
      </c>
      <c r="C1433" t="n">
        <v>2026</v>
      </c>
      <c r="D1433" t="inlineStr">
        <is>
          <t>Lipiec</t>
        </is>
      </c>
      <c r="E1433" t="inlineStr">
        <is>
          <t>W1</t>
        </is>
      </c>
      <c r="F1433" t="inlineStr">
        <is>
          <t>2026_Lipiec_W1</t>
        </is>
      </c>
      <c r="G1433" t="inlineStr">
        <is>
          <t>Pt</t>
        </is>
      </c>
      <c r="H1433" t="inlineStr">
        <is>
          <t>WIŚNIEWSKI, DANIEL</t>
        </is>
      </c>
      <c r="I1433" t="inlineStr">
        <is>
          <t>Instructor</t>
        </is>
      </c>
      <c r="J1433" t="inlineStr">
        <is>
          <t>Standard 0,25|10h</t>
        </is>
      </c>
      <c r="K1433" t="n">
        <v>4.74</v>
      </c>
      <c r="L1433" t="inlineStr">
        <is>
          <t>384</t>
        </is>
      </c>
      <c r="M1433" t="inlineStr">
        <is>
          <t>108120 SBX Warszawa Janki</t>
        </is>
      </c>
      <c r="N1433" t="inlineStr">
        <is>
          <t>2026-09-11 19:06</t>
        </is>
      </c>
    </row>
    <row r="1434">
      <c r="A1434" t="n">
        <v>1433</v>
      </c>
      <c r="B1434" t="inlineStr">
        <is>
          <t>2026-07-04</t>
        </is>
      </c>
      <c r="C1434" t="n">
        <v>2026</v>
      </c>
      <c r="D1434" t="inlineStr">
        <is>
          <t>Lipiec</t>
        </is>
      </c>
      <c r="E1434" t="inlineStr">
        <is>
          <t>W1</t>
        </is>
      </c>
      <c r="F1434" t="inlineStr">
        <is>
          <t>2026_Lipiec_W1</t>
        </is>
      </c>
      <c r="G1434" t="inlineStr">
        <is>
          <t>Sob</t>
        </is>
      </c>
      <c r="H1434" t="inlineStr">
        <is>
          <t>WIŚNIEWSKI, DANIEL</t>
        </is>
      </c>
      <c r="I1434" t="inlineStr">
        <is>
          <t>Instructor</t>
        </is>
      </c>
      <c r="J1434" t="inlineStr">
        <is>
          <t>Standard 0,25|10h</t>
        </is>
      </c>
      <c r="K1434" t="n">
        <v>6.24</v>
      </c>
      <c r="L1434" t="inlineStr">
        <is>
          <t>384</t>
        </is>
      </c>
      <c r="M1434" t="inlineStr">
        <is>
          <t>108120 SBX Warszawa Janki</t>
        </is>
      </c>
      <c r="N1434" t="inlineStr">
        <is>
          <t>2026-09-11 19:06</t>
        </is>
      </c>
    </row>
    <row r="1435">
      <c r="A1435" t="n">
        <v>1434</v>
      </c>
      <c r="B1435" t="inlineStr">
        <is>
          <t>2026-07-10</t>
        </is>
      </c>
      <c r="C1435" t="n">
        <v>2026</v>
      </c>
      <c r="D1435" t="inlineStr">
        <is>
          <t>Lipiec</t>
        </is>
      </c>
      <c r="E1435" t="inlineStr">
        <is>
          <t>W2</t>
        </is>
      </c>
      <c r="F1435" t="inlineStr">
        <is>
          <t>2026_Lipiec_W2</t>
        </is>
      </c>
      <c r="G1435" t="inlineStr">
        <is>
          <t>Pt</t>
        </is>
      </c>
      <c r="H1435" t="inlineStr">
        <is>
          <t>WIŚNIEWSKI, DANIEL</t>
        </is>
      </c>
      <c r="I1435" t="inlineStr">
        <is>
          <t>Instructor</t>
        </is>
      </c>
      <c r="J1435" t="inlineStr">
        <is>
          <t>Standard 0,25|10h</t>
        </is>
      </c>
      <c r="K1435" t="n">
        <v>4.63</v>
      </c>
      <c r="L1435" t="inlineStr">
        <is>
          <t>384</t>
        </is>
      </c>
      <c r="M1435" t="inlineStr">
        <is>
          <t>108120 SBX Warszawa Janki</t>
        </is>
      </c>
      <c r="N1435" t="inlineStr">
        <is>
          <t>2026-09-11 19:06</t>
        </is>
      </c>
    </row>
    <row r="1436">
      <c r="A1436" t="n">
        <v>1435</v>
      </c>
      <c r="B1436" t="inlineStr">
        <is>
          <t>2026-07-11</t>
        </is>
      </c>
      <c r="C1436" t="n">
        <v>2026</v>
      </c>
      <c r="D1436" t="inlineStr">
        <is>
          <t>Lipiec</t>
        </is>
      </c>
      <c r="E1436" t="inlineStr">
        <is>
          <t>W2</t>
        </is>
      </c>
      <c r="F1436" t="inlineStr">
        <is>
          <t>2026_Lipiec_W2</t>
        </is>
      </c>
      <c r="G1436" t="inlineStr">
        <is>
          <t>Sob</t>
        </is>
      </c>
      <c r="H1436" t="inlineStr">
        <is>
          <t>WIŚNIEWSKI, DANIEL</t>
        </is>
      </c>
      <c r="I1436" t="inlineStr">
        <is>
          <t>Instructor</t>
        </is>
      </c>
      <c r="J1436" t="inlineStr">
        <is>
          <t>Standard 0,25|10h</t>
        </is>
      </c>
      <c r="K1436" t="n">
        <v>6.44</v>
      </c>
      <c r="L1436" t="inlineStr">
        <is>
          <t>384</t>
        </is>
      </c>
      <c r="M1436" t="inlineStr">
        <is>
          <t>108120 SBX Warszawa Janki</t>
        </is>
      </c>
      <c r="N1436" t="inlineStr">
        <is>
          <t>2026-09-11 19:06</t>
        </is>
      </c>
    </row>
    <row r="1437">
      <c r="A1437" t="n">
        <v>1436</v>
      </c>
      <c r="B1437" t="inlineStr">
        <is>
          <t>2026-07-18</t>
        </is>
      </c>
      <c r="C1437" t="n">
        <v>2026</v>
      </c>
      <c r="D1437" t="inlineStr">
        <is>
          <t>Lipiec</t>
        </is>
      </c>
      <c r="E1437" t="inlineStr">
        <is>
          <t>W3</t>
        </is>
      </c>
      <c r="F1437" t="inlineStr">
        <is>
          <t>2026_Lipiec_W3</t>
        </is>
      </c>
      <c r="G1437" t="inlineStr">
        <is>
          <t>Sob</t>
        </is>
      </c>
      <c r="H1437" t="inlineStr">
        <is>
          <t>WIŚNIEWSKI, DANIEL</t>
        </is>
      </c>
      <c r="I1437" t="inlineStr">
        <is>
          <t>Instructor</t>
        </is>
      </c>
      <c r="J1437" t="inlineStr">
        <is>
          <t>Standard 0,25|10h</t>
        </is>
      </c>
      <c r="K1437" t="n">
        <v>6.7</v>
      </c>
      <c r="L1437" t="inlineStr">
        <is>
          <t>384</t>
        </is>
      </c>
      <c r="M1437" t="inlineStr">
        <is>
          <t>108120 SBX Warszawa Janki</t>
        </is>
      </c>
      <c r="N1437" t="inlineStr">
        <is>
          <t>2026-09-11 19:06</t>
        </is>
      </c>
    </row>
    <row r="1438">
      <c r="A1438" t="n">
        <v>1437</v>
      </c>
      <c r="B1438" t="inlineStr">
        <is>
          <t>2026-07-20</t>
        </is>
      </c>
      <c r="C1438" t="n">
        <v>2026</v>
      </c>
      <c r="D1438" t="inlineStr">
        <is>
          <t>Lipiec</t>
        </is>
      </c>
      <c r="E1438" t="inlineStr">
        <is>
          <t>W3</t>
        </is>
      </c>
      <c r="F1438" t="inlineStr">
        <is>
          <t>2026_Lipiec_W3</t>
        </is>
      </c>
      <c r="G1438" t="inlineStr">
        <is>
          <t>Pn</t>
        </is>
      </c>
      <c r="H1438" t="inlineStr">
        <is>
          <t>WIŚNIEWSKI, DANIEL</t>
        </is>
      </c>
      <c r="I1438" t="inlineStr">
        <is>
          <t>Instructor</t>
        </is>
      </c>
      <c r="J1438" t="inlineStr">
        <is>
          <t>Standard 0,25|10h</t>
        </is>
      </c>
      <c r="K1438" t="n">
        <v>4.83</v>
      </c>
      <c r="L1438" t="inlineStr">
        <is>
          <t>384</t>
        </is>
      </c>
      <c r="M1438" t="inlineStr">
        <is>
          <t>108120 SBX Warszawa Janki</t>
        </is>
      </c>
      <c r="N1438" t="inlineStr">
        <is>
          <t>2026-09-11 19:06</t>
        </is>
      </c>
    </row>
    <row r="1439">
      <c r="A1439" t="n">
        <v>1438</v>
      </c>
      <c r="B1439" t="inlineStr">
        <is>
          <t>2026-07-31</t>
        </is>
      </c>
      <c r="C1439" t="n">
        <v>2026</v>
      </c>
      <c r="D1439" t="inlineStr">
        <is>
          <t>Lipiec</t>
        </is>
      </c>
      <c r="E1439" t="inlineStr">
        <is>
          <t>W5</t>
        </is>
      </c>
      <c r="F1439" t="inlineStr">
        <is>
          <t>2026_Lipiec_W5</t>
        </is>
      </c>
      <c r="G1439" t="inlineStr">
        <is>
          <t>Pt</t>
        </is>
      </c>
      <c r="H1439" t="inlineStr">
        <is>
          <t>WIŚNIEWSKI, DANIEL</t>
        </is>
      </c>
      <c r="I1439" t="inlineStr">
        <is>
          <t>Instructor</t>
        </is>
      </c>
      <c r="J1439" t="inlineStr">
        <is>
          <t>Standard 0,25|10h</t>
        </is>
      </c>
      <c r="K1439" t="n">
        <v>4.32</v>
      </c>
      <c r="L1439" t="inlineStr">
        <is>
          <t>384</t>
        </is>
      </c>
      <c r="M1439" t="inlineStr">
        <is>
          <t>108120 SBX Warszawa Janki</t>
        </is>
      </c>
      <c r="N1439" t="inlineStr">
        <is>
          <t>2026-09-11 19:06</t>
        </is>
      </c>
    </row>
    <row r="1440">
      <c r="A1440" t="n">
        <v>1439</v>
      </c>
      <c r="B1440" t="inlineStr">
        <is>
          <t>2026-08-10</t>
        </is>
      </c>
      <c r="C1440" t="n">
        <v>2026</v>
      </c>
      <c r="D1440" t="inlineStr">
        <is>
          <t>Sierpień</t>
        </is>
      </c>
      <c r="E1440" t="inlineStr">
        <is>
          <t>W2</t>
        </is>
      </c>
      <c r="F1440" t="inlineStr">
        <is>
          <t>2026_Sierpień_W2</t>
        </is>
      </c>
      <c r="G1440" t="inlineStr">
        <is>
          <t>Pn</t>
        </is>
      </c>
      <c r="H1440" t="inlineStr">
        <is>
          <t>WIŚNIEWSKI, DANIEL</t>
        </is>
      </c>
      <c r="I1440" t="inlineStr">
        <is>
          <t>Instructor</t>
        </is>
      </c>
      <c r="J1440" t="inlineStr">
        <is>
          <t>Standard 0,25|10h</t>
        </is>
      </c>
      <c r="K1440" t="n">
        <v>5.89</v>
      </c>
      <c r="L1440" t="inlineStr">
        <is>
          <t>384</t>
        </is>
      </c>
      <c r="M1440" t="inlineStr">
        <is>
          <t>108120 SBX Warszawa Janki</t>
        </is>
      </c>
      <c r="N1440" t="inlineStr">
        <is>
          <t>2026-09-11 19:06</t>
        </is>
      </c>
    </row>
    <row r="1441">
      <c r="A1441" t="n">
        <v>1440</v>
      </c>
      <c r="B1441" t="inlineStr">
        <is>
          <t>2026-08-15</t>
        </is>
      </c>
      <c r="C1441" t="n">
        <v>2026</v>
      </c>
      <c r="D1441" t="inlineStr">
        <is>
          <t>Sierpień</t>
        </is>
      </c>
      <c r="E1441" t="inlineStr">
        <is>
          <t>W3</t>
        </is>
      </c>
      <c r="F1441" t="inlineStr">
        <is>
          <t>2026_Sierpień_W3</t>
        </is>
      </c>
      <c r="G1441" t="inlineStr">
        <is>
          <t>Sob</t>
        </is>
      </c>
      <c r="H1441" t="inlineStr">
        <is>
          <t>WIŚNIEWSKI, DANIEL</t>
        </is>
      </c>
      <c r="I1441" t="inlineStr">
        <is>
          <t>Instructor</t>
        </is>
      </c>
      <c r="J1441" t="inlineStr">
        <is>
          <t>Standard 0,25|10h</t>
        </is>
      </c>
      <c r="K1441" t="n">
        <v>3.08</v>
      </c>
      <c r="L1441" t="inlineStr">
        <is>
          <t>384</t>
        </is>
      </c>
      <c r="M1441" t="inlineStr">
        <is>
          <t>108120 SBX Warszawa Janki</t>
        </is>
      </c>
      <c r="N1441" t="inlineStr">
        <is>
          <t>2026-09-11 19:06</t>
        </is>
      </c>
    </row>
    <row r="1442">
      <c r="A1442" t="n">
        <v>1441</v>
      </c>
      <c r="B1442" t="inlineStr">
        <is>
          <t>2026-08-17</t>
        </is>
      </c>
      <c r="C1442" t="n">
        <v>2026</v>
      </c>
      <c r="D1442" t="inlineStr">
        <is>
          <t>Sierpień</t>
        </is>
      </c>
      <c r="E1442" t="inlineStr">
        <is>
          <t>W3</t>
        </is>
      </c>
      <c r="F1442" t="inlineStr">
        <is>
          <t>2026_Sierpień_W3</t>
        </is>
      </c>
      <c r="G1442" t="inlineStr">
        <is>
          <t>Pn</t>
        </is>
      </c>
      <c r="H1442" t="inlineStr">
        <is>
          <t>WIŚNIEWSKI, DANIEL</t>
        </is>
      </c>
      <c r="I1442" t="inlineStr">
        <is>
          <t>Instructor</t>
        </is>
      </c>
      <c r="J1442" t="inlineStr">
        <is>
          <t>Standard 0,25|10h</t>
        </is>
      </c>
      <c r="K1442" t="n">
        <v>4.08</v>
      </c>
      <c r="L1442" t="inlineStr">
        <is>
          <t>384</t>
        </is>
      </c>
      <c r="M1442" t="inlineStr">
        <is>
          <t>108120 SBX Warszawa Janki</t>
        </is>
      </c>
      <c r="N1442" t="inlineStr">
        <is>
          <t>2026-09-11 19:06</t>
        </is>
      </c>
    </row>
    <row r="1443">
      <c r="A1443" t="n">
        <v>1442</v>
      </c>
      <c r="B1443" t="inlineStr">
        <is>
          <t>2026-08-30</t>
        </is>
      </c>
      <c r="C1443" t="n">
        <v>2026</v>
      </c>
      <c r="D1443" t="inlineStr">
        <is>
          <t>Sierpień</t>
        </is>
      </c>
      <c r="E1443" t="inlineStr">
        <is>
          <t>W5</t>
        </is>
      </c>
      <c r="F1443" t="inlineStr">
        <is>
          <t>2026_Sierpień_W5</t>
        </is>
      </c>
      <c r="G1443" t="inlineStr">
        <is>
          <t>Nd</t>
        </is>
      </c>
      <c r="H1443" t="inlineStr">
        <is>
          <t>WIŚNIEWSKI, DANIEL</t>
        </is>
      </c>
      <c r="I1443" t="inlineStr">
        <is>
          <t>Instructor</t>
        </is>
      </c>
      <c r="J1443" t="inlineStr">
        <is>
          <t>Standard 0,25|10h</t>
        </is>
      </c>
      <c r="K1443" t="n">
        <v>6.86</v>
      </c>
      <c r="L1443" t="inlineStr">
        <is>
          <t>384</t>
        </is>
      </c>
      <c r="M1443" t="inlineStr">
        <is>
          <t>108120 SBX Warszawa Janki</t>
        </is>
      </c>
      <c r="N1443" t="inlineStr">
        <is>
          <t>2026-09-11 19:06</t>
        </is>
      </c>
    </row>
    <row r="1444">
      <c r="A1444" t="n">
        <v>1443</v>
      </c>
      <c r="B1444" t="inlineStr">
        <is>
          <t>2026-07-20</t>
        </is>
      </c>
      <c r="C1444" t="n">
        <v>2026</v>
      </c>
      <c r="D1444" t="inlineStr">
        <is>
          <t>Lipiec</t>
        </is>
      </c>
      <c r="E1444" t="inlineStr">
        <is>
          <t>W3</t>
        </is>
      </c>
      <c r="F1444" t="inlineStr">
        <is>
          <t>2026_Lipiec_W3</t>
        </is>
      </c>
      <c r="G1444" t="inlineStr">
        <is>
          <t>Pn</t>
        </is>
      </c>
      <c r="H1444" t="inlineStr">
        <is>
          <t>ZEMBRZUSKA, JULIA</t>
        </is>
      </c>
      <c r="I1444" t="inlineStr">
        <is>
          <t>Crew Civil</t>
        </is>
      </c>
      <c r="J1444" t="inlineStr">
        <is>
          <t>Zlecenie</t>
        </is>
      </c>
      <c r="K1444" t="n">
        <v>6</v>
      </c>
      <c r="L1444" t="inlineStr">
        <is>
          <t>384</t>
        </is>
      </c>
      <c r="M1444" t="inlineStr">
        <is>
          <t>108120 SBX Warszawa Janki</t>
        </is>
      </c>
      <c r="N1444" t="inlineStr">
        <is>
          <t>2026-09-11 19:06</t>
        </is>
      </c>
    </row>
    <row r="1445">
      <c r="A1445" t="n">
        <v>1444</v>
      </c>
      <c r="B1445" t="inlineStr">
        <is>
          <t>2026-07-21</t>
        </is>
      </c>
      <c r="C1445" t="n">
        <v>2026</v>
      </c>
      <c r="D1445" t="inlineStr">
        <is>
          <t>Lipiec</t>
        </is>
      </c>
      <c r="E1445" t="inlineStr">
        <is>
          <t>W4</t>
        </is>
      </c>
      <c r="F1445" t="inlineStr">
        <is>
          <t>2026_Lipiec_W4</t>
        </is>
      </c>
      <c r="G1445" t="inlineStr">
        <is>
          <t>Wt</t>
        </is>
      </c>
      <c r="H1445" t="inlineStr">
        <is>
          <t>ZEMBRZUSKA, JULIA</t>
        </is>
      </c>
      <c r="I1445" t="inlineStr">
        <is>
          <t>Crew Civil</t>
        </is>
      </c>
      <c r="J1445" t="inlineStr">
        <is>
          <t>Zlecenie</t>
        </is>
      </c>
      <c r="K1445" t="n">
        <v>8.18</v>
      </c>
      <c r="L1445" t="inlineStr">
        <is>
          <t>384</t>
        </is>
      </c>
      <c r="M1445" t="inlineStr">
        <is>
          <t>108120 SBX Warszawa Janki</t>
        </is>
      </c>
      <c r="N1445" t="inlineStr">
        <is>
          <t>2026-09-11 19:06</t>
        </is>
      </c>
    </row>
    <row r="1446">
      <c r="A1446" t="n">
        <v>1445</v>
      </c>
      <c r="B1446" t="inlineStr">
        <is>
          <t>2026-07-22</t>
        </is>
      </c>
      <c r="C1446" t="n">
        <v>2026</v>
      </c>
      <c r="D1446" t="inlineStr">
        <is>
          <t>Lipiec</t>
        </is>
      </c>
      <c r="E1446" t="inlineStr">
        <is>
          <t>W4</t>
        </is>
      </c>
      <c r="F1446" t="inlineStr">
        <is>
          <t>2026_Lipiec_W4</t>
        </is>
      </c>
      <c r="G1446" t="inlineStr">
        <is>
          <t>Śr</t>
        </is>
      </c>
      <c r="H1446" t="inlineStr">
        <is>
          <t>ZEMBRZUSKA, JULIA</t>
        </is>
      </c>
      <c r="I1446" t="inlineStr">
        <is>
          <t>Crew Civil</t>
        </is>
      </c>
      <c r="J1446" t="inlineStr">
        <is>
          <t>Zlecenie</t>
        </is>
      </c>
      <c r="K1446" t="n">
        <v>8.07</v>
      </c>
      <c r="L1446" t="inlineStr">
        <is>
          <t>384</t>
        </is>
      </c>
      <c r="M1446" t="inlineStr">
        <is>
          <t>108120 SBX Warszawa Janki</t>
        </is>
      </c>
      <c r="N1446" t="inlineStr">
        <is>
          <t>2026-09-11 19:06</t>
        </is>
      </c>
    </row>
    <row r="1447">
      <c r="A1447" t="n">
        <v>1446</v>
      </c>
      <c r="B1447" t="inlineStr">
        <is>
          <t>2026-07-24</t>
        </is>
      </c>
      <c r="C1447" t="n">
        <v>2026</v>
      </c>
      <c r="D1447" t="inlineStr">
        <is>
          <t>Lipiec</t>
        </is>
      </c>
      <c r="E1447" t="inlineStr">
        <is>
          <t>W4</t>
        </is>
      </c>
      <c r="F1447" t="inlineStr">
        <is>
          <t>2026_Lipiec_W4</t>
        </is>
      </c>
      <c r="G1447" t="inlineStr">
        <is>
          <t>Pt</t>
        </is>
      </c>
      <c r="H1447" t="inlineStr">
        <is>
          <t>ZEMBRZUSKA, JULIA</t>
        </is>
      </c>
      <c r="I1447" t="inlineStr">
        <is>
          <t>Crew Civil</t>
        </is>
      </c>
      <c r="J1447" t="inlineStr">
        <is>
          <t>Zlecenie</t>
        </is>
      </c>
      <c r="K1447" t="n">
        <v>6.92</v>
      </c>
      <c r="L1447" t="inlineStr">
        <is>
          <t>384</t>
        </is>
      </c>
      <c r="M1447" t="inlineStr">
        <is>
          <t>108120 SBX Warszawa Janki</t>
        </is>
      </c>
      <c r="N1447" t="inlineStr">
        <is>
          <t>2026-09-11 19:06</t>
        </is>
      </c>
    </row>
    <row r="1448">
      <c r="A1448" t="n">
        <v>1447</v>
      </c>
      <c r="B1448" t="inlineStr">
        <is>
          <t>2026-07-25</t>
        </is>
      </c>
      <c r="C1448" t="n">
        <v>2026</v>
      </c>
      <c r="D1448" t="inlineStr">
        <is>
          <t>Lipiec</t>
        </is>
      </c>
      <c r="E1448" t="inlineStr">
        <is>
          <t>W4</t>
        </is>
      </c>
      <c r="F1448" t="inlineStr">
        <is>
          <t>2026_Lipiec_W4</t>
        </is>
      </c>
      <c r="G1448" t="inlineStr">
        <is>
          <t>Sob</t>
        </is>
      </c>
      <c r="H1448" t="inlineStr">
        <is>
          <t>ZEMBRZUSKA, JULIA</t>
        </is>
      </c>
      <c r="I1448" t="inlineStr">
        <is>
          <t>Crew Civil</t>
        </is>
      </c>
      <c r="J1448" t="inlineStr">
        <is>
          <t>Zlecenie</t>
        </is>
      </c>
      <c r="K1448" t="n">
        <v>4.81</v>
      </c>
      <c r="L1448" t="inlineStr">
        <is>
          <t>384</t>
        </is>
      </c>
      <c r="M1448" t="inlineStr">
        <is>
          <t>108120 SBX Warszawa Janki</t>
        </is>
      </c>
      <c r="N1448" t="inlineStr">
        <is>
          <t>2026-09-11 19:06</t>
        </is>
      </c>
    </row>
    <row r="1449">
      <c r="A1449" t="n">
        <v>1448</v>
      </c>
      <c r="B1449" t="inlineStr">
        <is>
          <t>2026-07-28</t>
        </is>
      </c>
      <c r="C1449" t="n">
        <v>2026</v>
      </c>
      <c r="D1449" t="inlineStr">
        <is>
          <t>Lipiec</t>
        </is>
      </c>
      <c r="E1449" t="inlineStr">
        <is>
          <t>W5</t>
        </is>
      </c>
      <c r="F1449" t="inlineStr">
        <is>
          <t>2026_Lipiec_W5</t>
        </is>
      </c>
      <c r="G1449" t="inlineStr">
        <is>
          <t>Wt</t>
        </is>
      </c>
      <c r="H1449" t="inlineStr">
        <is>
          <t>ZEMBRZUSKA, JULIA</t>
        </is>
      </c>
      <c r="I1449" t="inlineStr">
        <is>
          <t>Crew Civil</t>
        </is>
      </c>
      <c r="J1449" t="inlineStr">
        <is>
          <t>Zlecenie</t>
        </is>
      </c>
      <c r="K1449" t="n">
        <v>6.89</v>
      </c>
      <c r="L1449" t="inlineStr">
        <is>
          <t>384</t>
        </is>
      </c>
      <c r="M1449" t="inlineStr">
        <is>
          <t>108120 SBX Warszawa Janki</t>
        </is>
      </c>
      <c r="N1449" t="inlineStr">
        <is>
          <t>2026-09-11 19:06</t>
        </is>
      </c>
    </row>
    <row r="1450">
      <c r="A1450" t="n">
        <v>1449</v>
      </c>
      <c r="B1450" t="inlineStr">
        <is>
          <t>2026-07-30</t>
        </is>
      </c>
      <c r="C1450" t="n">
        <v>2026</v>
      </c>
      <c r="D1450" t="inlineStr">
        <is>
          <t>Lipiec</t>
        </is>
      </c>
      <c r="E1450" t="inlineStr">
        <is>
          <t>W5</t>
        </is>
      </c>
      <c r="F1450" t="inlineStr">
        <is>
          <t>2026_Lipiec_W5</t>
        </is>
      </c>
      <c r="G1450" t="inlineStr">
        <is>
          <t>Czw</t>
        </is>
      </c>
      <c r="H1450" t="inlineStr">
        <is>
          <t>ZEMBRZUSKA, JULIA</t>
        </is>
      </c>
      <c r="I1450" t="inlineStr">
        <is>
          <t>Crew Civil</t>
        </is>
      </c>
      <c r="J1450" t="inlineStr">
        <is>
          <t>Zlecenie</t>
        </is>
      </c>
      <c r="K1450" t="n">
        <v>7.27</v>
      </c>
      <c r="L1450" t="inlineStr">
        <is>
          <t>384</t>
        </is>
      </c>
      <c r="M1450" t="inlineStr">
        <is>
          <t>108120 SBX Warszawa Janki</t>
        </is>
      </c>
      <c r="N1450" t="inlineStr">
        <is>
          <t>2026-09-11 19:06</t>
        </is>
      </c>
    </row>
    <row r="1451">
      <c r="A1451" t="n">
        <v>1450</v>
      </c>
      <c r="B1451" t="inlineStr">
        <is>
          <t>2026-08-02</t>
        </is>
      </c>
      <c r="C1451" t="n">
        <v>2026</v>
      </c>
      <c r="D1451" t="inlineStr">
        <is>
          <t>Sierpień</t>
        </is>
      </c>
      <c r="E1451" t="inlineStr">
        <is>
          <t>W1</t>
        </is>
      </c>
      <c r="F1451" t="inlineStr">
        <is>
          <t>2026_Sierpień_W1</t>
        </is>
      </c>
      <c r="G1451" t="inlineStr">
        <is>
          <t>Nd</t>
        </is>
      </c>
      <c r="H1451" t="inlineStr">
        <is>
          <t>ZEMBRZUSKA, JULIA</t>
        </is>
      </c>
      <c r="I1451" t="inlineStr">
        <is>
          <t>Crew Civil</t>
        </is>
      </c>
      <c r="J1451" t="inlineStr">
        <is>
          <t>Zlecenie</t>
        </is>
      </c>
      <c r="K1451" t="n">
        <v>6.09</v>
      </c>
      <c r="L1451" t="inlineStr">
        <is>
          <t>384</t>
        </is>
      </c>
      <c r="M1451" t="inlineStr">
        <is>
          <t>108120 SBX Warszawa Janki</t>
        </is>
      </c>
      <c r="N1451" t="inlineStr">
        <is>
          <t>2026-09-11 19:06</t>
        </is>
      </c>
    </row>
    <row r="1452">
      <c r="A1452" t="n">
        <v>1451</v>
      </c>
      <c r="B1452" t="inlineStr">
        <is>
          <t>2026-08-03</t>
        </is>
      </c>
      <c r="C1452" t="n">
        <v>2026</v>
      </c>
      <c r="D1452" t="inlineStr">
        <is>
          <t>Sierpień</t>
        </is>
      </c>
      <c r="E1452" t="inlineStr">
        <is>
          <t>W1</t>
        </is>
      </c>
      <c r="F1452" t="inlineStr">
        <is>
          <t>2026_Sierpień_W1</t>
        </is>
      </c>
      <c r="G1452" t="inlineStr">
        <is>
          <t>Pn</t>
        </is>
      </c>
      <c r="H1452" t="inlineStr">
        <is>
          <t>ZEMBRZUSKA, JULIA</t>
        </is>
      </c>
      <c r="I1452" t="inlineStr">
        <is>
          <t>Crew Civil</t>
        </is>
      </c>
      <c r="J1452" t="inlineStr">
        <is>
          <t>Zlecenie</t>
        </is>
      </c>
      <c r="K1452" t="n">
        <v>8.130000000000001</v>
      </c>
      <c r="L1452" t="inlineStr">
        <is>
          <t>384</t>
        </is>
      </c>
      <c r="M1452" t="inlineStr">
        <is>
          <t>108120 SBX Warszawa Janki</t>
        </is>
      </c>
      <c r="N1452" t="inlineStr">
        <is>
          <t>2026-09-11 19:06</t>
        </is>
      </c>
    </row>
    <row r="1453">
      <c r="A1453" t="n">
        <v>1452</v>
      </c>
      <c r="B1453" t="inlineStr">
        <is>
          <t>2026-08-09</t>
        </is>
      </c>
      <c r="C1453" t="n">
        <v>2026</v>
      </c>
      <c r="D1453" t="inlineStr">
        <is>
          <t>Sierpień</t>
        </is>
      </c>
      <c r="E1453" t="inlineStr">
        <is>
          <t>W2</t>
        </is>
      </c>
      <c r="F1453" t="inlineStr">
        <is>
          <t>2026_Sierpień_W2</t>
        </is>
      </c>
      <c r="G1453" t="inlineStr">
        <is>
          <t>Nd</t>
        </is>
      </c>
      <c r="H1453" t="inlineStr">
        <is>
          <t>ZEMBRZUSKA, JULIA</t>
        </is>
      </c>
      <c r="I1453" t="inlineStr">
        <is>
          <t>Crew Civil</t>
        </is>
      </c>
      <c r="J1453" t="inlineStr">
        <is>
          <t>Zlecenie</t>
        </is>
      </c>
      <c r="K1453" t="n">
        <v>5.55</v>
      </c>
      <c r="L1453" t="inlineStr">
        <is>
          <t>384</t>
        </is>
      </c>
      <c r="M1453" t="inlineStr">
        <is>
          <t>108120 SBX Warszawa Janki</t>
        </is>
      </c>
      <c r="N1453" t="inlineStr">
        <is>
          <t>2026-09-11 19:06</t>
        </is>
      </c>
    </row>
    <row r="1454">
      <c r="A1454" t="n">
        <v>1453</v>
      </c>
      <c r="B1454" t="inlineStr">
        <is>
          <t>2026-08-11</t>
        </is>
      </c>
      <c r="C1454" t="n">
        <v>2026</v>
      </c>
      <c r="D1454" t="inlineStr">
        <is>
          <t>Sierpień</t>
        </is>
      </c>
      <c r="E1454" t="inlineStr">
        <is>
          <t>W3</t>
        </is>
      </c>
      <c r="F1454" t="inlineStr">
        <is>
          <t>2026_Sierpień_W3</t>
        </is>
      </c>
      <c r="G1454" t="inlineStr">
        <is>
          <t>Wt</t>
        </is>
      </c>
      <c r="H1454" t="inlineStr">
        <is>
          <t>ZEMBRZUSKA, JULIA</t>
        </is>
      </c>
      <c r="I1454" t="inlineStr">
        <is>
          <t>Crew Civil</t>
        </is>
      </c>
      <c r="J1454" t="inlineStr">
        <is>
          <t>Zlecenie</t>
        </is>
      </c>
      <c r="K1454" t="n">
        <v>7.21</v>
      </c>
      <c r="L1454" t="inlineStr">
        <is>
          <t>384</t>
        </is>
      </c>
      <c r="M1454" t="inlineStr">
        <is>
          <t>108120 SBX Warszawa Janki</t>
        </is>
      </c>
      <c r="N1454" t="inlineStr">
        <is>
          <t>2026-09-11 19:06</t>
        </is>
      </c>
    </row>
    <row r="1455">
      <c r="A1455" t="n">
        <v>1454</v>
      </c>
      <c r="B1455" t="inlineStr">
        <is>
          <t>2026-08-19</t>
        </is>
      </c>
      <c r="C1455" t="n">
        <v>2026</v>
      </c>
      <c r="D1455" t="inlineStr">
        <is>
          <t>Sierpień</t>
        </is>
      </c>
      <c r="E1455" t="inlineStr">
        <is>
          <t>W4</t>
        </is>
      </c>
      <c r="F1455" t="inlineStr">
        <is>
          <t>2026_Sierpień_W4</t>
        </is>
      </c>
      <c r="G1455" t="inlineStr">
        <is>
          <t>Śr</t>
        </is>
      </c>
      <c r="H1455" t="inlineStr">
        <is>
          <t>ZEMBRZUSKA, JULIA</t>
        </is>
      </c>
      <c r="I1455" t="inlineStr">
        <is>
          <t>Crew Civil</t>
        </is>
      </c>
      <c r="J1455" t="inlineStr">
        <is>
          <t>Zlecenie</t>
        </is>
      </c>
      <c r="K1455" t="n">
        <v>1.66</v>
      </c>
      <c r="L1455" t="inlineStr">
        <is>
          <t>384</t>
        </is>
      </c>
      <c r="M1455" t="inlineStr">
        <is>
          <t>108120 SBX Warszawa Janki</t>
        </is>
      </c>
      <c r="N1455" t="inlineStr">
        <is>
          <t>2026-09-11 19:06</t>
        </is>
      </c>
    </row>
    <row r="1456">
      <c r="A1456" t="n">
        <v>1455</v>
      </c>
      <c r="B1456" t="inlineStr">
        <is>
          <t>2026-08-22</t>
        </is>
      </c>
      <c r="C1456" t="n">
        <v>2026</v>
      </c>
      <c r="D1456" t="inlineStr">
        <is>
          <t>Sierpień</t>
        </is>
      </c>
      <c r="E1456" t="inlineStr">
        <is>
          <t>W4</t>
        </is>
      </c>
      <c r="F1456" t="inlineStr">
        <is>
          <t>2026_Sierpień_W4</t>
        </is>
      </c>
      <c r="G1456" t="inlineStr">
        <is>
          <t>Sob</t>
        </is>
      </c>
      <c r="H1456" t="inlineStr">
        <is>
          <t>ZEMBRZUSKA, JULIA</t>
        </is>
      </c>
      <c r="I1456" t="inlineStr">
        <is>
          <t>Crew Civil</t>
        </is>
      </c>
      <c r="J1456" t="inlineStr">
        <is>
          <t>Zlecenie</t>
        </is>
      </c>
      <c r="K1456" t="n">
        <v>7.13</v>
      </c>
      <c r="L1456" t="inlineStr">
        <is>
          <t>384</t>
        </is>
      </c>
      <c r="M1456" t="inlineStr">
        <is>
          <t>108120 SBX Warszawa Janki</t>
        </is>
      </c>
      <c r="N1456" t="inlineStr">
        <is>
          <t>2026-09-11 19:06</t>
        </is>
      </c>
    </row>
    <row r="1457">
      <c r="A1457" t="n">
        <v>1456</v>
      </c>
      <c r="B1457" t="inlineStr">
        <is>
          <t>2026-08-23</t>
        </is>
      </c>
      <c r="C1457" t="n">
        <v>2026</v>
      </c>
      <c r="D1457" t="inlineStr">
        <is>
          <t>Sierpień</t>
        </is>
      </c>
      <c r="E1457" t="inlineStr">
        <is>
          <t>W4</t>
        </is>
      </c>
      <c r="F1457" t="inlineStr">
        <is>
          <t>2026_Sierpień_W4</t>
        </is>
      </c>
      <c r="G1457" t="inlineStr">
        <is>
          <t>Nd</t>
        </is>
      </c>
      <c r="H1457" t="inlineStr">
        <is>
          <t>ZEMBRZUSKA, JULIA</t>
        </is>
      </c>
      <c r="I1457" t="inlineStr">
        <is>
          <t>Crew Civil</t>
        </is>
      </c>
      <c r="J1457" t="inlineStr">
        <is>
          <t>Zlecenie</t>
        </is>
      </c>
      <c r="K1457" t="n">
        <v>1.91</v>
      </c>
      <c r="L1457" t="inlineStr">
        <is>
          <t>384</t>
        </is>
      </c>
      <c r="M1457" t="inlineStr">
        <is>
          <t>108120 SBX Warszawa Janki</t>
        </is>
      </c>
      <c r="N1457" t="inlineStr">
        <is>
          <t>2026-09-11 19:06</t>
        </is>
      </c>
    </row>
    <row r="1458">
      <c r="A1458" t="n">
        <v>1457</v>
      </c>
      <c r="B1458" t="inlineStr">
        <is>
          <t>2026-08-25</t>
        </is>
      </c>
      <c r="C1458" t="n">
        <v>2026</v>
      </c>
      <c r="D1458" t="inlineStr">
        <is>
          <t>Sierpień</t>
        </is>
      </c>
      <c r="E1458" t="inlineStr">
        <is>
          <t>W5</t>
        </is>
      </c>
      <c r="F1458" t="inlineStr">
        <is>
          <t>2026_Sierpień_W5</t>
        </is>
      </c>
      <c r="G1458" t="inlineStr">
        <is>
          <t>Wt</t>
        </is>
      </c>
      <c r="H1458" t="inlineStr">
        <is>
          <t>ZEMBRZUSKA, JULIA</t>
        </is>
      </c>
      <c r="I1458" t="inlineStr">
        <is>
          <t>Crew Civil</t>
        </is>
      </c>
      <c r="J1458" t="inlineStr">
        <is>
          <t>Zlecenie</t>
        </is>
      </c>
      <c r="K1458" t="n">
        <v>6.11</v>
      </c>
      <c r="L1458" t="inlineStr">
        <is>
          <t>384</t>
        </is>
      </c>
      <c r="M1458" t="inlineStr">
        <is>
          <t>108120 SBX Warszawa Janki</t>
        </is>
      </c>
      <c r="N1458" t="inlineStr">
        <is>
          <t>2026-09-11 19:06</t>
        </is>
      </c>
    </row>
    <row r="1459">
      <c r="A1459" t="n">
        <v>1458</v>
      </c>
      <c r="B1459" t="inlineStr">
        <is>
          <t>2026-08-26</t>
        </is>
      </c>
      <c r="C1459" t="n">
        <v>2026</v>
      </c>
      <c r="D1459" t="inlineStr">
        <is>
          <t>Sierpień</t>
        </is>
      </c>
      <c r="E1459" t="inlineStr">
        <is>
          <t>W5</t>
        </is>
      </c>
      <c r="F1459" t="inlineStr">
        <is>
          <t>2026_Sierpień_W5</t>
        </is>
      </c>
      <c r="G1459" t="inlineStr">
        <is>
          <t>Śr</t>
        </is>
      </c>
      <c r="H1459" t="inlineStr">
        <is>
          <t>ZEMBRZUSKA, JULIA</t>
        </is>
      </c>
      <c r="I1459" t="inlineStr">
        <is>
          <t>Crew Civil</t>
        </is>
      </c>
      <c r="J1459" t="inlineStr">
        <is>
          <t>Zlecenie</t>
        </is>
      </c>
      <c r="K1459" t="n">
        <v>7.1</v>
      </c>
      <c r="L1459" t="inlineStr">
        <is>
          <t>384</t>
        </is>
      </c>
      <c r="M1459" t="inlineStr">
        <is>
          <t>108120 SBX Warszawa Janki</t>
        </is>
      </c>
      <c r="N1459" t="inlineStr">
        <is>
          <t>2026-09-11 19:06</t>
        </is>
      </c>
    </row>
    <row r="1460">
      <c r="A1460" t="n">
        <v>1459</v>
      </c>
      <c r="B1460" t="inlineStr">
        <is>
          <t>2026-08-28</t>
        </is>
      </c>
      <c r="C1460" t="n">
        <v>2026</v>
      </c>
      <c r="D1460" t="inlineStr">
        <is>
          <t>Sierpień</t>
        </is>
      </c>
      <c r="E1460" t="inlineStr">
        <is>
          <t>W5</t>
        </is>
      </c>
      <c r="F1460" t="inlineStr">
        <is>
          <t>2026_Sierpień_W5</t>
        </is>
      </c>
      <c r="G1460" t="inlineStr">
        <is>
          <t>Pt</t>
        </is>
      </c>
      <c r="H1460" t="inlineStr">
        <is>
          <t>ZEMBRZUSKA, JULIA</t>
        </is>
      </c>
      <c r="I1460" t="inlineStr">
        <is>
          <t>Crew Civil</t>
        </is>
      </c>
      <c r="J1460" t="inlineStr">
        <is>
          <t>Zlecenie</t>
        </is>
      </c>
      <c r="K1460" t="n">
        <v>5.4</v>
      </c>
      <c r="L1460" t="inlineStr">
        <is>
          <t>384</t>
        </is>
      </c>
      <c r="M1460" t="inlineStr">
        <is>
          <t>108120 SBX Warszawa Janki</t>
        </is>
      </c>
      <c r="N1460" t="inlineStr">
        <is>
          <t>2026-09-11 19:06</t>
        </is>
      </c>
    </row>
    <row r="1461">
      <c r="A1461" t="n">
        <v>1460</v>
      </c>
      <c r="B1461" t="inlineStr">
        <is>
          <t>2026-08-30</t>
        </is>
      </c>
      <c r="C1461" t="n">
        <v>2026</v>
      </c>
      <c r="D1461" t="inlineStr">
        <is>
          <t>Sierpień</t>
        </is>
      </c>
      <c r="E1461" t="inlineStr">
        <is>
          <t>W5</t>
        </is>
      </c>
      <c r="F1461" t="inlineStr">
        <is>
          <t>2026_Sierpień_W5</t>
        </is>
      </c>
      <c r="G1461" t="inlineStr">
        <is>
          <t>Nd</t>
        </is>
      </c>
      <c r="H1461" t="inlineStr">
        <is>
          <t>ZEMBRZUSKA, JULIA</t>
        </is>
      </c>
      <c r="I1461" t="inlineStr">
        <is>
          <t>Crew Civil</t>
        </is>
      </c>
      <c r="J1461" t="inlineStr">
        <is>
          <t>Zlecenie</t>
        </is>
      </c>
      <c r="K1461" t="n">
        <v>6.07</v>
      </c>
      <c r="L1461" t="inlineStr">
        <is>
          <t>384</t>
        </is>
      </c>
      <c r="M1461" t="inlineStr">
        <is>
          <t>108120 SBX Warszawa Janki</t>
        </is>
      </c>
      <c r="N1461" t="inlineStr">
        <is>
          <t>2026-09-11 19:06</t>
        </is>
      </c>
    </row>
    <row r="1462">
      <c r="A1462" t="n">
        <v>1461</v>
      </c>
      <c r="B1462" t="inlineStr">
        <is>
          <t>2026-09-01</t>
        </is>
      </c>
      <c r="C1462" t="n">
        <v>2026</v>
      </c>
      <c r="D1462" t="inlineStr">
        <is>
          <t>Wrzesień</t>
        </is>
      </c>
      <c r="E1462" t="inlineStr">
        <is>
          <t>W1</t>
        </is>
      </c>
      <c r="F1462" t="inlineStr">
        <is>
          <t>2026_Wrzesień_W1</t>
        </is>
      </c>
      <c r="G1462" t="inlineStr">
        <is>
          <t>Wt</t>
        </is>
      </c>
      <c r="H1462" t="inlineStr">
        <is>
          <t>ZEMBRZUSKA, JULIA</t>
        </is>
      </c>
      <c r="I1462" t="inlineStr">
        <is>
          <t>Crew Civil</t>
        </is>
      </c>
      <c r="J1462" t="inlineStr">
        <is>
          <t>Zlecenie</t>
        </is>
      </c>
      <c r="K1462" t="n">
        <v>8.16</v>
      </c>
      <c r="L1462" t="inlineStr">
        <is>
          <t>384</t>
        </is>
      </c>
      <c r="M1462" t="inlineStr">
        <is>
          <t>108120 SBX Warszawa Janki</t>
        </is>
      </c>
      <c r="N1462" t="inlineStr">
        <is>
          <t>2026-09-11 19:06</t>
        </is>
      </c>
    </row>
    <row r="1463">
      <c r="A1463" t="n">
        <v>1462</v>
      </c>
      <c r="B1463" t="inlineStr">
        <is>
          <t>2026-09-02</t>
        </is>
      </c>
      <c r="C1463" t="n">
        <v>2026</v>
      </c>
      <c r="D1463" t="inlineStr">
        <is>
          <t>Wrzesień</t>
        </is>
      </c>
      <c r="E1463" t="inlineStr">
        <is>
          <t>W1</t>
        </is>
      </c>
      <c r="F1463" t="inlineStr">
        <is>
          <t>2026_Wrzesień_W1</t>
        </is>
      </c>
      <c r="G1463" t="inlineStr">
        <is>
          <t>Śr</t>
        </is>
      </c>
      <c r="H1463" t="inlineStr">
        <is>
          <t>ZEMBRZUSKA, JULIA</t>
        </is>
      </c>
      <c r="I1463" t="inlineStr">
        <is>
          <t>Crew Civil</t>
        </is>
      </c>
      <c r="J1463" t="inlineStr">
        <is>
          <t>Zlecenie</t>
        </is>
      </c>
      <c r="K1463" t="n">
        <v>6.32</v>
      </c>
      <c r="L1463" t="inlineStr">
        <is>
          <t>384</t>
        </is>
      </c>
      <c r="M1463" t="inlineStr">
        <is>
          <t>108120 SBX Warszawa Janki</t>
        </is>
      </c>
      <c r="N1463" t="inlineStr">
        <is>
          <t>2026-09-11 19:06</t>
        </is>
      </c>
    </row>
    <row r="1464">
      <c r="A1464" t="n">
        <v>1463</v>
      </c>
      <c r="B1464" t="inlineStr">
        <is>
          <t>2026-01-03</t>
        </is>
      </c>
      <c r="C1464" t="n">
        <v>2026</v>
      </c>
      <c r="D1464" t="inlineStr">
        <is>
          <t>Styczeń</t>
        </is>
      </c>
      <c r="E1464" t="inlineStr">
        <is>
          <t>W1</t>
        </is>
      </c>
      <c r="F1464" t="inlineStr">
        <is>
          <t>2026_Styczeń_W1</t>
        </is>
      </c>
      <c r="G1464" t="inlineStr">
        <is>
          <t>Sob</t>
        </is>
      </c>
      <c r="H1464" t="inlineStr">
        <is>
          <t>ZIMNICKA, JULIA</t>
        </is>
      </c>
      <c r="I1464" t="inlineStr">
        <is>
          <t>Crew Civil</t>
        </is>
      </c>
      <c r="J1464" t="inlineStr">
        <is>
          <t>Zlecenie</t>
        </is>
      </c>
      <c r="K1464" t="n">
        <v>6.27</v>
      </c>
      <c r="L1464" t="inlineStr">
        <is>
          <t>384</t>
        </is>
      </c>
      <c r="M1464" t="inlineStr">
        <is>
          <t>108120 SBX Warszawa Janki</t>
        </is>
      </c>
      <c r="N1464" t="inlineStr">
        <is>
          <t>2026-09-11 19:06</t>
        </is>
      </c>
    </row>
    <row r="1465">
      <c r="A1465" t="n">
        <v>1464</v>
      </c>
      <c r="B1465" t="inlineStr">
        <is>
          <t>2026-01-06</t>
        </is>
      </c>
      <c r="C1465" t="n">
        <v>2026</v>
      </c>
      <c r="D1465" t="inlineStr">
        <is>
          <t>Styczeń</t>
        </is>
      </c>
      <c r="E1465" t="inlineStr">
        <is>
          <t>W2</t>
        </is>
      </c>
      <c r="F1465" t="inlineStr">
        <is>
          <t>2026_Styczeń_W2</t>
        </is>
      </c>
      <c r="G1465" t="inlineStr">
        <is>
          <t>Wt</t>
        </is>
      </c>
      <c r="H1465" t="inlineStr">
        <is>
          <t>ZIMNICKA, JULIA</t>
        </is>
      </c>
      <c r="I1465" t="inlineStr">
        <is>
          <t>Crew Civil</t>
        </is>
      </c>
      <c r="J1465" t="inlineStr">
        <is>
          <t>Zlecenie</t>
        </is>
      </c>
      <c r="K1465" t="n">
        <v>7.88</v>
      </c>
      <c r="L1465" t="inlineStr">
        <is>
          <t>384</t>
        </is>
      </c>
      <c r="M1465" t="inlineStr">
        <is>
          <t>108120 SBX Warszawa Janki</t>
        </is>
      </c>
      <c r="N1465" t="inlineStr">
        <is>
          <t>2026-09-11 19:06</t>
        </is>
      </c>
    </row>
    <row r="1466">
      <c r="A1466" t="n">
        <v>1465</v>
      </c>
      <c r="B1466" t="inlineStr">
        <is>
          <t>2026-01-10</t>
        </is>
      </c>
      <c r="C1466" t="n">
        <v>2026</v>
      </c>
      <c r="D1466" t="inlineStr">
        <is>
          <t>Styczeń</t>
        </is>
      </c>
      <c r="E1466" t="inlineStr">
        <is>
          <t>W2</t>
        </is>
      </c>
      <c r="F1466" t="inlineStr">
        <is>
          <t>2026_Styczeń_W2</t>
        </is>
      </c>
      <c r="G1466" t="inlineStr">
        <is>
          <t>Sob</t>
        </is>
      </c>
      <c r="H1466" t="inlineStr">
        <is>
          <t>ZIMNICKA, JULIA</t>
        </is>
      </c>
      <c r="I1466" t="inlineStr">
        <is>
          <t>Crew Civil</t>
        </is>
      </c>
      <c r="J1466" t="inlineStr">
        <is>
          <t>Zlecenie</t>
        </is>
      </c>
      <c r="K1466" t="n">
        <v>6.8</v>
      </c>
      <c r="L1466" t="inlineStr">
        <is>
          <t>384</t>
        </is>
      </c>
      <c r="M1466" t="inlineStr">
        <is>
          <t>108120 SBX Warszawa Janki</t>
        </is>
      </c>
      <c r="N1466" t="inlineStr">
        <is>
          <t>2026-09-11 19:06</t>
        </is>
      </c>
    </row>
    <row r="1467">
      <c r="A1467" t="n">
        <v>1466</v>
      </c>
      <c r="B1467" t="inlineStr">
        <is>
          <t>2026-01-11</t>
        </is>
      </c>
      <c r="C1467" t="n">
        <v>2026</v>
      </c>
      <c r="D1467" t="inlineStr">
        <is>
          <t>Styczeń</t>
        </is>
      </c>
      <c r="E1467" t="inlineStr">
        <is>
          <t>W2</t>
        </is>
      </c>
      <c r="F1467" t="inlineStr">
        <is>
          <t>2026_Styczeń_W2</t>
        </is>
      </c>
      <c r="G1467" t="inlineStr">
        <is>
          <t>Nd</t>
        </is>
      </c>
      <c r="H1467" t="inlineStr">
        <is>
          <t>ZIMNICKA, JULIA</t>
        </is>
      </c>
      <c r="I1467" t="inlineStr">
        <is>
          <t>Crew Civil</t>
        </is>
      </c>
      <c r="J1467" t="inlineStr">
        <is>
          <t>Zlecenie</t>
        </is>
      </c>
      <c r="K1467" t="n">
        <v>4.6</v>
      </c>
      <c r="L1467" t="inlineStr">
        <is>
          <t>384</t>
        </is>
      </c>
      <c r="M1467" t="inlineStr">
        <is>
          <t>108120 SBX Warszawa Janki</t>
        </is>
      </c>
      <c r="N1467" t="inlineStr">
        <is>
          <t>2026-09-11 19:06</t>
        </is>
      </c>
    </row>
    <row r="1468">
      <c r="A1468" t="n">
        <v>1467</v>
      </c>
      <c r="B1468" t="inlineStr">
        <is>
          <t>2026-01-19</t>
        </is>
      </c>
      <c r="C1468" t="n">
        <v>2026</v>
      </c>
      <c r="D1468" t="inlineStr">
        <is>
          <t>Styczeń</t>
        </is>
      </c>
      <c r="E1468" t="inlineStr">
        <is>
          <t>W3</t>
        </is>
      </c>
      <c r="F1468" t="inlineStr">
        <is>
          <t>2026_Styczeń_W3</t>
        </is>
      </c>
      <c r="G1468" t="inlineStr">
        <is>
          <t>Pn</t>
        </is>
      </c>
      <c r="H1468" t="inlineStr">
        <is>
          <t>ZIMNICKA, JULIA</t>
        </is>
      </c>
      <c r="I1468" t="inlineStr">
        <is>
          <t>Crew Civil</t>
        </is>
      </c>
      <c r="J1468" t="inlineStr">
        <is>
          <t>Zlecenie</t>
        </is>
      </c>
      <c r="K1468" t="n">
        <v>6.01</v>
      </c>
      <c r="L1468" t="inlineStr">
        <is>
          <t>384</t>
        </is>
      </c>
      <c r="M1468" t="inlineStr">
        <is>
          <t>108120 SBX Warszawa Janki</t>
        </is>
      </c>
      <c r="N1468" t="inlineStr">
        <is>
          <t>2026-09-11 19:06</t>
        </is>
      </c>
    </row>
    <row r="1469">
      <c r="A1469" t="n">
        <v>1468</v>
      </c>
      <c r="B1469" t="inlineStr">
        <is>
          <t>2026-01-22</t>
        </is>
      </c>
      <c r="C1469" t="n">
        <v>2026</v>
      </c>
      <c r="D1469" t="inlineStr">
        <is>
          <t>Styczeń</t>
        </is>
      </c>
      <c r="E1469" t="inlineStr">
        <is>
          <t>W4</t>
        </is>
      </c>
      <c r="F1469" t="inlineStr">
        <is>
          <t>2026_Styczeń_W4</t>
        </is>
      </c>
      <c r="G1469" t="inlineStr">
        <is>
          <t>Czw</t>
        </is>
      </c>
      <c r="H1469" t="inlineStr">
        <is>
          <t>ZIMNICKA, JULIA</t>
        </is>
      </c>
      <c r="I1469" t="inlineStr">
        <is>
          <t>Crew Civil</t>
        </is>
      </c>
      <c r="J1469" t="inlineStr">
        <is>
          <t>Zlecenie</t>
        </is>
      </c>
      <c r="K1469" t="n">
        <v>7.02</v>
      </c>
      <c r="L1469" t="inlineStr">
        <is>
          <t>384</t>
        </is>
      </c>
      <c r="M1469" t="inlineStr">
        <is>
          <t>108120 SBX Warszawa Janki</t>
        </is>
      </c>
      <c r="N1469" t="inlineStr">
        <is>
          <t>2026-09-11 19:06</t>
        </is>
      </c>
    </row>
    <row r="1470">
      <c r="A1470" t="n">
        <v>1469</v>
      </c>
      <c r="B1470" t="inlineStr">
        <is>
          <t>2026-01-24</t>
        </is>
      </c>
      <c r="C1470" t="n">
        <v>2026</v>
      </c>
      <c r="D1470" t="inlineStr">
        <is>
          <t>Styczeń</t>
        </is>
      </c>
      <c r="E1470" t="inlineStr">
        <is>
          <t>W4</t>
        </is>
      </c>
      <c r="F1470" t="inlineStr">
        <is>
          <t>2026_Styczeń_W4</t>
        </is>
      </c>
      <c r="G1470" t="inlineStr">
        <is>
          <t>Sob</t>
        </is>
      </c>
      <c r="H1470" t="inlineStr">
        <is>
          <t>ZIMNICKA, JULIA</t>
        </is>
      </c>
      <c r="I1470" t="inlineStr">
        <is>
          <t>Crew Civil</t>
        </is>
      </c>
      <c r="J1470" t="inlineStr">
        <is>
          <t>Zlecenie</t>
        </is>
      </c>
      <c r="K1470" t="n">
        <v>8.01</v>
      </c>
      <c r="L1470" t="inlineStr">
        <is>
          <t>384</t>
        </is>
      </c>
      <c r="M1470" t="inlineStr">
        <is>
          <t>108120 SBX Warszawa Janki</t>
        </is>
      </c>
      <c r="N1470" t="inlineStr">
        <is>
          <t>2026-09-11 19:06</t>
        </is>
      </c>
    </row>
    <row r="1471">
      <c r="A1471" t="n">
        <v>1470</v>
      </c>
      <c r="B1471" t="inlineStr">
        <is>
          <t>2026-01-25</t>
        </is>
      </c>
      <c r="C1471" t="n">
        <v>2026</v>
      </c>
      <c r="D1471" t="inlineStr">
        <is>
          <t>Styczeń</t>
        </is>
      </c>
      <c r="E1471" t="inlineStr">
        <is>
          <t>W4</t>
        </is>
      </c>
      <c r="F1471" t="inlineStr">
        <is>
          <t>2026_Styczeń_W4</t>
        </is>
      </c>
      <c r="G1471" t="inlineStr">
        <is>
          <t>Nd</t>
        </is>
      </c>
      <c r="H1471" t="inlineStr">
        <is>
          <t>ZIMNICKA, JULIA</t>
        </is>
      </c>
      <c r="I1471" t="inlineStr">
        <is>
          <t>Crew Civil</t>
        </is>
      </c>
      <c r="J1471" t="inlineStr">
        <is>
          <t>Zlecenie</t>
        </is>
      </c>
      <c r="K1471" t="n">
        <v>6.64</v>
      </c>
      <c r="L1471" t="inlineStr">
        <is>
          <t>384</t>
        </is>
      </c>
      <c r="M1471" t="inlineStr">
        <is>
          <t>108120 SBX Warszawa Janki</t>
        </is>
      </c>
      <c r="N1471" t="inlineStr">
        <is>
          <t>2026-09-11 19:06</t>
        </is>
      </c>
    </row>
    <row r="1472">
      <c r="A1472" t="n">
        <v>1471</v>
      </c>
      <c r="B1472" t="inlineStr">
        <is>
          <t>2026-01-27</t>
        </is>
      </c>
      <c r="C1472" t="n">
        <v>2026</v>
      </c>
      <c r="D1472" t="inlineStr">
        <is>
          <t>Styczeń</t>
        </is>
      </c>
      <c r="E1472" t="inlineStr">
        <is>
          <t>W5</t>
        </is>
      </c>
      <c r="F1472" t="inlineStr">
        <is>
          <t>2026_Styczeń_W5</t>
        </is>
      </c>
      <c r="G1472" t="inlineStr">
        <is>
          <t>Wt</t>
        </is>
      </c>
      <c r="H1472" t="inlineStr">
        <is>
          <t>ZIMNICKA, JULIA</t>
        </is>
      </c>
      <c r="I1472" t="inlineStr">
        <is>
          <t>Crew Civil</t>
        </is>
      </c>
      <c r="J1472" t="inlineStr">
        <is>
          <t>Zlecenie</t>
        </is>
      </c>
      <c r="K1472" t="n">
        <v>5.31</v>
      </c>
      <c r="L1472" t="inlineStr">
        <is>
          <t>384</t>
        </is>
      </c>
      <c r="M1472" t="inlineStr">
        <is>
          <t>108120 SBX Warszawa Janki</t>
        </is>
      </c>
      <c r="N1472" t="inlineStr">
        <is>
          <t>2026-09-11 19:06</t>
        </is>
      </c>
    </row>
    <row r="1473">
      <c r="A1473" t="n">
        <v>1472</v>
      </c>
      <c r="B1473" t="inlineStr">
        <is>
          <t>2026-02-07</t>
        </is>
      </c>
      <c r="C1473" t="n">
        <v>2026</v>
      </c>
      <c r="D1473" t="inlineStr">
        <is>
          <t>Luty</t>
        </is>
      </c>
      <c r="E1473" t="inlineStr">
        <is>
          <t>W2</t>
        </is>
      </c>
      <c r="F1473" t="inlineStr">
        <is>
          <t>2026_Luty_W2</t>
        </is>
      </c>
      <c r="G1473" t="inlineStr">
        <is>
          <t>Sob</t>
        </is>
      </c>
      <c r="H1473" t="inlineStr">
        <is>
          <t>ZIMNICKA, JULIA</t>
        </is>
      </c>
      <c r="I1473" t="inlineStr">
        <is>
          <t>Crew Civil</t>
        </is>
      </c>
      <c r="J1473" t="inlineStr">
        <is>
          <t>Zlecenie</t>
        </is>
      </c>
      <c r="K1473" t="n">
        <v>7.97</v>
      </c>
      <c r="L1473" t="inlineStr">
        <is>
          <t>384</t>
        </is>
      </c>
      <c r="M1473" t="inlineStr">
        <is>
          <t>108120 SBX Warszawa Janki</t>
        </is>
      </c>
      <c r="N1473" t="inlineStr">
        <is>
          <t>2026-09-11 19:06</t>
        </is>
      </c>
    </row>
    <row r="1474">
      <c r="A1474" t="n">
        <v>1473</v>
      </c>
      <c r="B1474" t="inlineStr">
        <is>
          <t>2026-02-14</t>
        </is>
      </c>
      <c r="C1474" t="n">
        <v>2026</v>
      </c>
      <c r="D1474" t="inlineStr">
        <is>
          <t>Luty</t>
        </is>
      </c>
      <c r="E1474" t="inlineStr">
        <is>
          <t>W3</t>
        </is>
      </c>
      <c r="F1474" t="inlineStr">
        <is>
          <t>2026_Luty_W3</t>
        </is>
      </c>
      <c r="G1474" t="inlineStr">
        <is>
          <t>Sob</t>
        </is>
      </c>
      <c r="H1474" t="inlineStr">
        <is>
          <t>ZIMNICKA, JULIA</t>
        </is>
      </c>
      <c r="I1474" t="inlineStr">
        <is>
          <t>Crew Civil</t>
        </is>
      </c>
      <c r="J1474" t="inlineStr">
        <is>
          <t>Zlecenie</t>
        </is>
      </c>
      <c r="K1474" t="n">
        <v>8.57</v>
      </c>
      <c r="L1474" t="inlineStr">
        <is>
          <t>384</t>
        </is>
      </c>
      <c r="M1474" t="inlineStr">
        <is>
          <t>108120 SBX Warszawa Janki</t>
        </is>
      </c>
      <c r="N1474" t="inlineStr">
        <is>
          <t>2026-09-11 19:06</t>
        </is>
      </c>
    </row>
    <row r="1475">
      <c r="A1475" t="n">
        <v>1474</v>
      </c>
      <c r="B1475" t="inlineStr">
        <is>
          <t>2026-02-15</t>
        </is>
      </c>
      <c r="C1475" t="n">
        <v>2026</v>
      </c>
      <c r="D1475" t="inlineStr">
        <is>
          <t>Luty</t>
        </is>
      </c>
      <c r="E1475" t="inlineStr">
        <is>
          <t>W3</t>
        </is>
      </c>
      <c r="F1475" t="inlineStr">
        <is>
          <t>2026_Luty_W3</t>
        </is>
      </c>
      <c r="G1475" t="inlineStr">
        <is>
          <t>Nd</t>
        </is>
      </c>
      <c r="H1475" t="inlineStr">
        <is>
          <t>ZIMNICKA, JULIA</t>
        </is>
      </c>
      <c r="I1475" t="inlineStr">
        <is>
          <t>Crew Civil</t>
        </is>
      </c>
      <c r="J1475" t="inlineStr">
        <is>
          <t>Zlecenie</t>
        </is>
      </c>
      <c r="K1475" t="n">
        <v>5.64</v>
      </c>
      <c r="L1475" t="inlineStr">
        <is>
          <t>384</t>
        </is>
      </c>
      <c r="M1475" t="inlineStr">
        <is>
          <t>108120 SBX Warszawa Janki</t>
        </is>
      </c>
      <c r="N1475" t="inlineStr">
        <is>
          <t>2026-09-11 19:06</t>
        </is>
      </c>
    </row>
    <row r="1476">
      <c r="A1476" t="n">
        <v>1475</v>
      </c>
      <c r="B1476" t="inlineStr">
        <is>
          <t>2026-02-21</t>
        </is>
      </c>
      <c r="C1476" t="n">
        <v>2026</v>
      </c>
      <c r="D1476" t="inlineStr">
        <is>
          <t>Luty</t>
        </is>
      </c>
      <c r="E1476" t="inlineStr">
        <is>
          <t>W4</t>
        </is>
      </c>
      <c r="F1476" t="inlineStr">
        <is>
          <t>2026_Luty_W4</t>
        </is>
      </c>
      <c r="G1476" t="inlineStr">
        <is>
          <t>Sob</t>
        </is>
      </c>
      <c r="H1476" t="inlineStr">
        <is>
          <t>ZIMNICKA, JULIA</t>
        </is>
      </c>
      <c r="I1476" t="inlineStr">
        <is>
          <t>Crew Civil</t>
        </is>
      </c>
      <c r="J1476" t="inlineStr">
        <is>
          <t>Zlecenie</t>
        </is>
      </c>
      <c r="K1476" t="n">
        <v>8.1</v>
      </c>
      <c r="L1476" t="inlineStr">
        <is>
          <t>384</t>
        </is>
      </c>
      <c r="M1476" t="inlineStr">
        <is>
          <t>108120 SBX Warszawa Janki</t>
        </is>
      </c>
      <c r="N1476" t="inlineStr">
        <is>
          <t>2026-09-11 19:06</t>
        </is>
      </c>
    </row>
    <row r="1477">
      <c r="A1477" t="n">
        <v>1476</v>
      </c>
      <c r="B1477" t="inlineStr">
        <is>
          <t>2026-03-01</t>
        </is>
      </c>
      <c r="C1477" t="n">
        <v>2026</v>
      </c>
      <c r="D1477" t="inlineStr">
        <is>
          <t>Marzec</t>
        </is>
      </c>
      <c r="E1477" t="inlineStr">
        <is>
          <t>W1</t>
        </is>
      </c>
      <c r="F1477" t="inlineStr">
        <is>
          <t>2026_Marzec_W1</t>
        </is>
      </c>
      <c r="G1477" t="inlineStr">
        <is>
          <t>Nd</t>
        </is>
      </c>
      <c r="H1477" t="inlineStr">
        <is>
          <t>ZIMNICKA, JULIA</t>
        </is>
      </c>
      <c r="I1477" t="inlineStr">
        <is>
          <t>Crew Civil</t>
        </is>
      </c>
      <c r="J1477" t="inlineStr">
        <is>
          <t>Zlecenie</t>
        </is>
      </c>
      <c r="K1477" t="n">
        <v>1.5</v>
      </c>
      <c r="L1477" t="inlineStr">
        <is>
          <t>384</t>
        </is>
      </c>
      <c r="M1477" t="inlineStr">
        <is>
          <t>108120 SBX Warszawa Janki</t>
        </is>
      </c>
      <c r="N1477" t="inlineStr">
        <is>
          <t>2026-09-11 19:06</t>
        </is>
      </c>
    </row>
    <row r="1478">
      <c r="A1478" t="n">
        <v>1477</v>
      </c>
      <c r="B1478" t="inlineStr">
        <is>
          <t>2026-03-09</t>
        </is>
      </c>
      <c r="C1478" t="n">
        <v>2026</v>
      </c>
      <c r="D1478" t="inlineStr">
        <is>
          <t>Marzec</t>
        </is>
      </c>
      <c r="E1478" t="inlineStr">
        <is>
          <t>W2</t>
        </is>
      </c>
      <c r="F1478" t="inlineStr">
        <is>
          <t>2026_Marzec_W2</t>
        </is>
      </c>
      <c r="G1478" t="inlineStr">
        <is>
          <t>Pn</t>
        </is>
      </c>
      <c r="H1478" t="inlineStr">
        <is>
          <t>ZIMNICKA, JULIA</t>
        </is>
      </c>
      <c r="I1478" t="inlineStr">
        <is>
          <t>Crew Civil</t>
        </is>
      </c>
      <c r="J1478" t="inlineStr">
        <is>
          <t>Zlecenie</t>
        </is>
      </c>
      <c r="K1478" t="n">
        <v>1.5</v>
      </c>
      <c r="L1478" t="inlineStr">
        <is>
          <t>384</t>
        </is>
      </c>
      <c r="M1478" t="inlineStr">
        <is>
          <t>108120 SBX Warszawa Janki</t>
        </is>
      </c>
      <c r="N1478" t="inlineStr">
        <is>
          <t>2026-09-11 19:06</t>
        </is>
      </c>
    </row>
    <row r="1479">
      <c r="A1479" t="n">
        <v>1478</v>
      </c>
      <c r="B1479" t="inlineStr">
        <is>
          <t>2026-03-14</t>
        </is>
      </c>
      <c r="C1479" t="n">
        <v>2026</v>
      </c>
      <c r="D1479" t="inlineStr">
        <is>
          <t>Marzec</t>
        </is>
      </c>
      <c r="E1479" t="inlineStr">
        <is>
          <t>W3</t>
        </is>
      </c>
      <c r="F1479" t="inlineStr">
        <is>
          <t>2026_Marzec_W3</t>
        </is>
      </c>
      <c r="G1479" t="inlineStr">
        <is>
          <t>Sob</t>
        </is>
      </c>
      <c r="H1479" t="inlineStr">
        <is>
          <t>ZIMNICKA, JULIA</t>
        </is>
      </c>
      <c r="I1479" t="inlineStr">
        <is>
          <t>Crew Civil</t>
        </is>
      </c>
      <c r="J1479" t="inlineStr">
        <is>
          <t>Zlecenie</t>
        </is>
      </c>
      <c r="K1479" t="n">
        <v>7.5</v>
      </c>
      <c r="L1479" t="inlineStr">
        <is>
          <t>384</t>
        </is>
      </c>
      <c r="M1479" t="inlineStr">
        <is>
          <t>108120 SBX Warszawa Janki</t>
        </is>
      </c>
      <c r="N1479" t="inlineStr">
        <is>
          <t>2026-09-11 19:06</t>
        </is>
      </c>
    </row>
    <row r="1480">
      <c r="A1480" t="n">
        <v>1479</v>
      </c>
      <c r="B1480" t="inlineStr">
        <is>
          <t>2026-03-15</t>
        </is>
      </c>
      <c r="C1480" t="n">
        <v>2026</v>
      </c>
      <c r="D1480" t="inlineStr">
        <is>
          <t>Marzec</t>
        </is>
      </c>
      <c r="E1480" t="inlineStr">
        <is>
          <t>W3</t>
        </is>
      </c>
      <c r="F1480" t="inlineStr">
        <is>
          <t>2026_Marzec_W3</t>
        </is>
      </c>
      <c r="G1480" t="inlineStr">
        <is>
          <t>Nd</t>
        </is>
      </c>
      <c r="H1480" t="inlineStr">
        <is>
          <t>ZIMNICKA, JULIA</t>
        </is>
      </c>
      <c r="I1480" t="inlineStr">
        <is>
          <t>Crew Civil</t>
        </is>
      </c>
      <c r="J1480" t="inlineStr">
        <is>
          <t>Zlecenie</t>
        </is>
      </c>
      <c r="K1480" t="n">
        <v>7.5</v>
      </c>
      <c r="L1480" t="inlineStr">
        <is>
          <t>384</t>
        </is>
      </c>
      <c r="M1480" t="inlineStr">
        <is>
          <t>108120 SBX Warszawa Janki</t>
        </is>
      </c>
      <c r="N1480" t="inlineStr">
        <is>
          <t>2026-09-11 19:06</t>
        </is>
      </c>
    </row>
    <row r="1481">
      <c r="A1481" t="n">
        <v>1480</v>
      </c>
      <c r="B1481" t="inlineStr">
        <is>
          <t>2026-03-22</t>
        </is>
      </c>
      <c r="C1481" t="n">
        <v>2026</v>
      </c>
      <c r="D1481" t="inlineStr">
        <is>
          <t>Marzec</t>
        </is>
      </c>
      <c r="E1481" t="inlineStr">
        <is>
          <t>W4</t>
        </is>
      </c>
      <c r="F1481" t="inlineStr">
        <is>
          <t>2026_Marzec_W4</t>
        </is>
      </c>
      <c r="G1481" t="inlineStr">
        <is>
          <t>Nd</t>
        </is>
      </c>
      <c r="H1481" t="inlineStr">
        <is>
          <t>ZIMNICKA, JULIA</t>
        </is>
      </c>
      <c r="I1481" t="inlineStr">
        <is>
          <t>Crew Civil</t>
        </is>
      </c>
      <c r="J1481" t="inlineStr">
        <is>
          <t>Zlecenie</t>
        </is>
      </c>
      <c r="K1481" t="n">
        <v>5.5</v>
      </c>
      <c r="L1481" t="inlineStr">
        <is>
          <t>384</t>
        </is>
      </c>
      <c r="M1481" t="inlineStr">
        <is>
          <t>108120 SBX Warszawa Janki</t>
        </is>
      </c>
      <c r="N1481" t="inlineStr">
        <is>
          <t>2026-09-11 19:06</t>
        </is>
      </c>
    </row>
    <row r="1482">
      <c r="A1482" t="n">
        <v>1481</v>
      </c>
      <c r="B1482" t="inlineStr">
        <is>
          <t>2026-03-28</t>
        </is>
      </c>
      <c r="C1482" t="n">
        <v>2026</v>
      </c>
      <c r="D1482" t="inlineStr">
        <is>
          <t>Marzec</t>
        </is>
      </c>
      <c r="E1482" t="inlineStr">
        <is>
          <t>W5</t>
        </is>
      </c>
      <c r="F1482" t="inlineStr">
        <is>
          <t>2026_Marzec_W5</t>
        </is>
      </c>
      <c r="G1482" t="inlineStr">
        <is>
          <t>Sob</t>
        </is>
      </c>
      <c r="H1482" t="inlineStr">
        <is>
          <t>ZIMNICKA, JULIA</t>
        </is>
      </c>
      <c r="I1482" t="inlineStr">
        <is>
          <t>Crew Civil</t>
        </is>
      </c>
      <c r="J1482" t="inlineStr">
        <is>
          <t>Zlecenie</t>
        </is>
      </c>
      <c r="K1482" t="n">
        <v>7</v>
      </c>
      <c r="L1482" t="inlineStr">
        <is>
          <t>384</t>
        </is>
      </c>
      <c r="M1482" t="inlineStr">
        <is>
          <t>108120 SBX Warszawa Janki</t>
        </is>
      </c>
      <c r="N1482" t="inlineStr">
        <is>
          <t>2026-09-11 19:06</t>
        </is>
      </c>
    </row>
    <row r="1483">
      <c r="A1483" t="n">
        <v>1482</v>
      </c>
      <c r="B1483" t="inlineStr">
        <is>
          <t>2026-03-29</t>
        </is>
      </c>
      <c r="C1483" t="n">
        <v>2026</v>
      </c>
      <c r="D1483" t="inlineStr">
        <is>
          <t>Marzec</t>
        </is>
      </c>
      <c r="E1483" t="inlineStr">
        <is>
          <t>W5</t>
        </is>
      </c>
      <c r="F1483" t="inlineStr">
        <is>
          <t>2026_Marzec_W5</t>
        </is>
      </c>
      <c r="G1483" t="inlineStr">
        <is>
          <t>Nd</t>
        </is>
      </c>
      <c r="H1483" t="inlineStr">
        <is>
          <t>ZIMNICKA, JULIA</t>
        </is>
      </c>
      <c r="I1483" t="inlineStr">
        <is>
          <t>Crew Civil</t>
        </is>
      </c>
      <c r="J1483" t="inlineStr">
        <is>
          <t>Zlecenie</t>
        </is>
      </c>
      <c r="K1483" t="n">
        <v>8.130000000000001</v>
      </c>
      <c r="L1483" t="inlineStr">
        <is>
          <t>384</t>
        </is>
      </c>
      <c r="M1483" t="inlineStr">
        <is>
          <t>108120 SBX Warszawa Janki</t>
        </is>
      </c>
      <c r="N1483" t="inlineStr">
        <is>
          <t>2026-09-11 19:06</t>
        </is>
      </c>
    </row>
    <row r="1484">
      <c r="A1484" t="n">
        <v>1483</v>
      </c>
      <c r="B1484" t="inlineStr">
        <is>
          <t>2026-04-11</t>
        </is>
      </c>
      <c r="C1484" t="n">
        <v>2026</v>
      </c>
      <c r="D1484" t="inlineStr">
        <is>
          <t>Kwiecień</t>
        </is>
      </c>
      <c r="E1484" t="inlineStr">
        <is>
          <t>W2</t>
        </is>
      </c>
      <c r="F1484" t="inlineStr">
        <is>
          <t>2026_Kwiecień_W2</t>
        </is>
      </c>
      <c r="G1484" t="inlineStr">
        <is>
          <t>Sob</t>
        </is>
      </c>
      <c r="H1484" t="inlineStr">
        <is>
          <t>ZIMNICKA, JULIA</t>
        </is>
      </c>
      <c r="I1484" t="inlineStr">
        <is>
          <t>Crew Civil</t>
        </is>
      </c>
      <c r="J1484" t="inlineStr">
        <is>
          <t>Zlecenie</t>
        </is>
      </c>
      <c r="K1484" t="n">
        <v>8.279999999999999</v>
      </c>
      <c r="L1484" t="inlineStr">
        <is>
          <t>384</t>
        </is>
      </c>
      <c r="M1484" t="inlineStr">
        <is>
          <t>108120 SBX Warszawa Janki</t>
        </is>
      </c>
      <c r="N1484" t="inlineStr">
        <is>
          <t>2026-09-11 19:06</t>
        </is>
      </c>
    </row>
    <row r="1485">
      <c r="A1485" t="n">
        <v>1484</v>
      </c>
      <c r="B1485" t="inlineStr">
        <is>
          <t>2026-04-12</t>
        </is>
      </c>
      <c r="C1485" t="n">
        <v>2026</v>
      </c>
      <c r="D1485" t="inlineStr">
        <is>
          <t>Kwiecień</t>
        </is>
      </c>
      <c r="E1485" t="inlineStr">
        <is>
          <t>W2</t>
        </is>
      </c>
      <c r="F1485" t="inlineStr">
        <is>
          <t>2026_Kwiecień_W2</t>
        </is>
      </c>
      <c r="G1485" t="inlineStr">
        <is>
          <t>Nd</t>
        </is>
      </c>
      <c r="H1485" t="inlineStr">
        <is>
          <t>ZIMNICKA, JULIA</t>
        </is>
      </c>
      <c r="I1485" t="inlineStr">
        <is>
          <t>Crew Civil</t>
        </is>
      </c>
      <c r="J1485" t="inlineStr">
        <is>
          <t>Zlecenie</t>
        </is>
      </c>
      <c r="K1485" t="n">
        <v>4.88</v>
      </c>
      <c r="L1485" t="inlineStr">
        <is>
          <t>384</t>
        </is>
      </c>
      <c r="M1485" t="inlineStr">
        <is>
          <t>108120 SBX Warszawa Janki</t>
        </is>
      </c>
      <c r="N1485" t="inlineStr">
        <is>
          <t>2026-09-11 19:06</t>
        </is>
      </c>
    </row>
    <row r="1486">
      <c r="A1486" t="n">
        <v>1485</v>
      </c>
      <c r="B1486" t="inlineStr">
        <is>
          <t>2026-04-18</t>
        </is>
      </c>
      <c r="C1486" t="n">
        <v>2026</v>
      </c>
      <c r="D1486" t="inlineStr">
        <is>
          <t>Kwiecień</t>
        </is>
      </c>
      <c r="E1486" t="inlineStr">
        <is>
          <t>W3</t>
        </is>
      </c>
      <c r="F1486" t="inlineStr">
        <is>
          <t>2026_Kwiecień_W3</t>
        </is>
      </c>
      <c r="G1486" t="inlineStr">
        <is>
          <t>Sob</t>
        </is>
      </c>
      <c r="H1486" t="inlineStr">
        <is>
          <t>ZIMNICKA, JULIA</t>
        </is>
      </c>
      <c r="I1486" t="inlineStr">
        <is>
          <t>Crew Civil</t>
        </is>
      </c>
      <c r="J1486" t="inlineStr">
        <is>
          <t>Zlecenie</t>
        </is>
      </c>
      <c r="K1486" t="n">
        <v>8.039999999999999</v>
      </c>
      <c r="L1486" t="inlineStr">
        <is>
          <t>384</t>
        </is>
      </c>
      <c r="M1486" t="inlineStr">
        <is>
          <t>108120 SBX Warszawa Janki</t>
        </is>
      </c>
      <c r="N1486" t="inlineStr">
        <is>
          <t>2026-09-11 19:06</t>
        </is>
      </c>
    </row>
    <row r="1487">
      <c r="A1487" t="n">
        <v>1486</v>
      </c>
      <c r="B1487" t="inlineStr">
        <is>
          <t>2026-04-19</t>
        </is>
      </c>
      <c r="C1487" t="n">
        <v>2026</v>
      </c>
      <c r="D1487" t="inlineStr">
        <is>
          <t>Kwiecień</t>
        </is>
      </c>
      <c r="E1487" t="inlineStr">
        <is>
          <t>W3</t>
        </is>
      </c>
      <c r="F1487" t="inlineStr">
        <is>
          <t>2026_Kwiecień_W3</t>
        </is>
      </c>
      <c r="G1487" t="inlineStr">
        <is>
          <t>Nd</t>
        </is>
      </c>
      <c r="H1487" t="inlineStr">
        <is>
          <t>ZIMNICKA, JULIA</t>
        </is>
      </c>
      <c r="I1487" t="inlineStr">
        <is>
          <t>Crew Civil</t>
        </is>
      </c>
      <c r="J1487" t="inlineStr">
        <is>
          <t>Zlecenie</t>
        </is>
      </c>
      <c r="K1487" t="n">
        <v>6.18</v>
      </c>
      <c r="L1487" t="inlineStr">
        <is>
          <t>384</t>
        </is>
      </c>
      <c r="M1487" t="inlineStr">
        <is>
          <t>108120 SBX Warszawa Janki</t>
        </is>
      </c>
      <c r="N1487" t="inlineStr">
        <is>
          <t>2026-09-11 19:06</t>
        </is>
      </c>
    </row>
    <row r="1488">
      <c r="A1488" t="n">
        <v>1487</v>
      </c>
      <c r="B1488" t="inlineStr">
        <is>
          <t>2026-04-25</t>
        </is>
      </c>
      <c r="C1488" t="n">
        <v>2026</v>
      </c>
      <c r="D1488" t="inlineStr">
        <is>
          <t>Kwiecień</t>
        </is>
      </c>
      <c r="E1488" t="inlineStr">
        <is>
          <t>W4</t>
        </is>
      </c>
      <c r="F1488" t="inlineStr">
        <is>
          <t>2026_Kwiecień_W4</t>
        </is>
      </c>
      <c r="G1488" t="inlineStr">
        <is>
          <t>Sob</t>
        </is>
      </c>
      <c r="H1488" t="inlineStr">
        <is>
          <t>ZIMNICKA, JULIA</t>
        </is>
      </c>
      <c r="I1488" t="inlineStr">
        <is>
          <t>Crew Civil</t>
        </is>
      </c>
      <c r="J1488" t="inlineStr">
        <is>
          <t>Zlecenie</t>
        </is>
      </c>
      <c r="K1488" t="n">
        <v>6.46</v>
      </c>
      <c r="L1488" t="inlineStr">
        <is>
          <t>384</t>
        </is>
      </c>
      <c r="M1488" t="inlineStr">
        <is>
          <t>108120 SBX Warszawa Janki</t>
        </is>
      </c>
      <c r="N1488" t="inlineStr">
        <is>
          <t>2026-09-11 19:06</t>
        </is>
      </c>
    </row>
    <row r="1489">
      <c r="A1489" t="n">
        <v>1488</v>
      </c>
      <c r="B1489" t="inlineStr">
        <is>
          <t>2026-04-26</t>
        </is>
      </c>
      <c r="C1489" t="n">
        <v>2026</v>
      </c>
      <c r="D1489" t="inlineStr">
        <is>
          <t>Kwiecień</t>
        </is>
      </c>
      <c r="E1489" t="inlineStr">
        <is>
          <t>W4</t>
        </is>
      </c>
      <c r="F1489" t="inlineStr">
        <is>
          <t>2026_Kwiecień_W4</t>
        </is>
      </c>
      <c r="G1489" t="inlineStr">
        <is>
          <t>Nd</t>
        </is>
      </c>
      <c r="H1489" t="inlineStr">
        <is>
          <t>ZIMNICKA, JULIA</t>
        </is>
      </c>
      <c r="I1489" t="inlineStr">
        <is>
          <t>Crew Civil</t>
        </is>
      </c>
      <c r="J1489" t="inlineStr">
        <is>
          <t>Zlecenie</t>
        </is>
      </c>
      <c r="K1489" t="n">
        <v>7.15</v>
      </c>
      <c r="L1489" t="inlineStr">
        <is>
          <t>384</t>
        </is>
      </c>
      <c r="M1489" t="inlineStr">
        <is>
          <t>108120 SBX Warszawa Janki</t>
        </is>
      </c>
      <c r="N1489" t="inlineStr">
        <is>
          <t>2026-09-11 19:06</t>
        </is>
      </c>
    </row>
    <row r="1490">
      <c r="A1490" t="n">
        <v>1489</v>
      </c>
      <c r="B1490" t="inlineStr">
        <is>
          <t>2026-04-28</t>
        </is>
      </c>
      <c r="C1490" t="n">
        <v>2026</v>
      </c>
      <c r="D1490" t="inlineStr">
        <is>
          <t>Kwiecień</t>
        </is>
      </c>
      <c r="E1490" t="inlineStr">
        <is>
          <t>W5</t>
        </is>
      </c>
      <c r="F1490" t="inlineStr">
        <is>
          <t>2026_Kwiecień_W5</t>
        </is>
      </c>
      <c r="G1490" t="inlineStr">
        <is>
          <t>Wt</t>
        </is>
      </c>
      <c r="H1490" t="inlineStr">
        <is>
          <t>ZIMNICKA, JULIA</t>
        </is>
      </c>
      <c r="I1490" t="inlineStr">
        <is>
          <t>Crew Civil</t>
        </is>
      </c>
      <c r="J1490" t="inlineStr">
        <is>
          <t>Zlecenie</t>
        </is>
      </c>
      <c r="K1490" t="n">
        <v>2.41</v>
      </c>
      <c r="L1490" t="inlineStr">
        <is>
          <t>384</t>
        </is>
      </c>
      <c r="M1490" t="inlineStr">
        <is>
          <t>108120 SBX Warszawa Janki</t>
        </is>
      </c>
      <c r="N1490" t="inlineStr">
        <is>
          <t>2026-09-11 19:06</t>
        </is>
      </c>
    </row>
    <row r="1491">
      <c r="A1491" t="n">
        <v>1490</v>
      </c>
      <c r="B1491" t="inlineStr">
        <is>
          <t>2026-05-02</t>
        </is>
      </c>
      <c r="C1491" t="n">
        <v>2026</v>
      </c>
      <c r="D1491" t="inlineStr">
        <is>
          <t>Maj</t>
        </is>
      </c>
      <c r="E1491" t="inlineStr">
        <is>
          <t>W1</t>
        </is>
      </c>
      <c r="F1491" t="inlineStr">
        <is>
          <t>2026_Maj_W1</t>
        </is>
      </c>
      <c r="G1491" t="inlineStr">
        <is>
          <t>Sob</t>
        </is>
      </c>
      <c r="H1491" t="inlineStr">
        <is>
          <t>ZIMNICKA, JULIA</t>
        </is>
      </c>
      <c r="I1491" t="inlineStr">
        <is>
          <t>Crew Civil</t>
        </is>
      </c>
      <c r="J1491" t="inlineStr">
        <is>
          <t>Zlecenie</t>
        </is>
      </c>
      <c r="K1491" t="n">
        <v>8.02</v>
      </c>
      <c r="L1491" t="inlineStr">
        <is>
          <t>384</t>
        </is>
      </c>
      <c r="M1491" t="inlineStr">
        <is>
          <t>108120 SBX Warszawa Janki</t>
        </is>
      </c>
      <c r="N1491" t="inlineStr">
        <is>
          <t>2026-09-11 19:06</t>
        </is>
      </c>
    </row>
    <row r="1492">
      <c r="A1492" t="n">
        <v>1491</v>
      </c>
      <c r="B1492" t="inlineStr">
        <is>
          <t>2026-05-18</t>
        </is>
      </c>
      <c r="C1492" t="n">
        <v>2026</v>
      </c>
      <c r="D1492" t="inlineStr">
        <is>
          <t>Maj</t>
        </is>
      </c>
      <c r="E1492" t="inlineStr">
        <is>
          <t>W3</t>
        </is>
      </c>
      <c r="F1492" t="inlineStr">
        <is>
          <t>2026_Maj_W3</t>
        </is>
      </c>
      <c r="G1492" t="inlineStr">
        <is>
          <t>Pn</t>
        </is>
      </c>
      <c r="H1492" t="inlineStr">
        <is>
          <t>ZIMNICKA, JULIA</t>
        </is>
      </c>
      <c r="I1492" t="inlineStr">
        <is>
          <t>Crew Civil</t>
        </is>
      </c>
      <c r="J1492" t="inlineStr">
        <is>
          <t>Zlecenie</t>
        </is>
      </c>
      <c r="K1492" t="n">
        <v>8.279999999999999</v>
      </c>
      <c r="L1492" t="inlineStr">
        <is>
          <t>384</t>
        </is>
      </c>
      <c r="M1492" t="inlineStr">
        <is>
          <t>108120 SBX Warszawa Janki</t>
        </is>
      </c>
      <c r="N1492" t="inlineStr">
        <is>
          <t>2026-09-11 19:06</t>
        </is>
      </c>
    </row>
    <row r="1493">
      <c r="A1493" t="n">
        <v>1492</v>
      </c>
      <c r="B1493" t="inlineStr">
        <is>
          <t>2026-05-24</t>
        </is>
      </c>
      <c r="C1493" t="n">
        <v>2026</v>
      </c>
      <c r="D1493" t="inlineStr">
        <is>
          <t>Maj</t>
        </is>
      </c>
      <c r="E1493" t="inlineStr">
        <is>
          <t>W4</t>
        </is>
      </c>
      <c r="F1493" t="inlineStr">
        <is>
          <t>2026_Maj_W4</t>
        </is>
      </c>
      <c r="G1493" t="inlineStr">
        <is>
          <t>Nd</t>
        </is>
      </c>
      <c r="H1493" t="inlineStr">
        <is>
          <t>ZIMNICKA, JULIA</t>
        </is>
      </c>
      <c r="I1493" t="inlineStr">
        <is>
          <t>Crew Civil</t>
        </is>
      </c>
      <c r="J1493" t="inlineStr">
        <is>
          <t>Zlecenie</t>
        </is>
      </c>
      <c r="K1493" t="n">
        <v>7.07</v>
      </c>
      <c r="L1493" t="inlineStr">
        <is>
          <t>384</t>
        </is>
      </c>
      <c r="M1493" t="inlineStr">
        <is>
          <t>108120 SBX Warszawa Janki</t>
        </is>
      </c>
      <c r="N1493" t="inlineStr">
        <is>
          <t>2026-09-11 19:06</t>
        </is>
      </c>
    </row>
    <row r="1494">
      <c r="A1494" t="n">
        <v>1493</v>
      </c>
      <c r="B1494" t="inlineStr">
        <is>
          <t>2026-05-25</t>
        </is>
      </c>
      <c r="C1494" t="n">
        <v>2026</v>
      </c>
      <c r="D1494" t="inlineStr">
        <is>
          <t>Maj</t>
        </is>
      </c>
      <c r="E1494" t="inlineStr">
        <is>
          <t>W4</t>
        </is>
      </c>
      <c r="F1494" t="inlineStr">
        <is>
          <t>2026_Maj_W4</t>
        </is>
      </c>
      <c r="G1494" t="inlineStr">
        <is>
          <t>Pn</t>
        </is>
      </c>
      <c r="H1494" t="inlineStr">
        <is>
          <t>ZIMNICKA, JULIA</t>
        </is>
      </c>
      <c r="I1494" t="inlineStr">
        <is>
          <t>Crew Civil</t>
        </is>
      </c>
      <c r="J1494" t="inlineStr">
        <is>
          <t>Zlecenie</t>
        </is>
      </c>
      <c r="K1494" t="n">
        <v>7.5</v>
      </c>
      <c r="L1494" t="inlineStr">
        <is>
          <t>384</t>
        </is>
      </c>
      <c r="M1494" t="inlineStr">
        <is>
          <t>108120 SBX Warszawa Janki</t>
        </is>
      </c>
      <c r="N1494" t="inlineStr">
        <is>
          <t>2026-09-11 19:06</t>
        </is>
      </c>
    </row>
    <row r="1495">
      <c r="A1495" t="n">
        <v>1494</v>
      </c>
      <c r="B1495" t="inlineStr">
        <is>
          <t>2026-05-27</t>
        </is>
      </c>
      <c r="C1495" t="n">
        <v>2026</v>
      </c>
      <c r="D1495" t="inlineStr">
        <is>
          <t>Maj</t>
        </is>
      </c>
      <c r="E1495" t="inlineStr">
        <is>
          <t>W5</t>
        </is>
      </c>
      <c r="F1495" t="inlineStr">
        <is>
          <t>2026_Maj_W5</t>
        </is>
      </c>
      <c r="G1495" t="inlineStr">
        <is>
          <t>Śr</t>
        </is>
      </c>
      <c r="H1495" t="inlineStr">
        <is>
          <t>ZIMNICKA, JULIA</t>
        </is>
      </c>
      <c r="I1495" t="inlineStr">
        <is>
          <t>Crew Civil</t>
        </is>
      </c>
      <c r="J1495" t="inlineStr">
        <is>
          <t>Zlecenie</t>
        </is>
      </c>
      <c r="K1495" t="n">
        <v>6.65</v>
      </c>
      <c r="L1495" t="inlineStr">
        <is>
          <t>384</t>
        </is>
      </c>
      <c r="M1495" t="inlineStr">
        <is>
          <t>108120 SBX Warszawa Janki</t>
        </is>
      </c>
      <c r="N1495" t="inlineStr">
        <is>
          <t>2026-09-11 19:06</t>
        </is>
      </c>
    </row>
    <row r="1496">
      <c r="A1496" t="n">
        <v>1495</v>
      </c>
      <c r="B1496" t="inlineStr">
        <is>
          <t>2026-05-28</t>
        </is>
      </c>
      <c r="C1496" t="n">
        <v>2026</v>
      </c>
      <c r="D1496" t="inlineStr">
        <is>
          <t>Maj</t>
        </is>
      </c>
      <c r="E1496" t="inlineStr">
        <is>
          <t>W5</t>
        </is>
      </c>
      <c r="F1496" t="inlineStr">
        <is>
          <t>2026_Maj_W5</t>
        </is>
      </c>
      <c r="G1496" t="inlineStr">
        <is>
          <t>Czw</t>
        </is>
      </c>
      <c r="H1496" t="inlineStr">
        <is>
          <t>ZIMNICKA, JULIA</t>
        </is>
      </c>
      <c r="I1496" t="inlineStr">
        <is>
          <t>Crew Civil</t>
        </is>
      </c>
      <c r="J1496" t="inlineStr">
        <is>
          <t>Zlecenie</t>
        </is>
      </c>
      <c r="K1496" t="n">
        <v>7.8</v>
      </c>
      <c r="L1496" t="inlineStr">
        <is>
          <t>384</t>
        </is>
      </c>
      <c r="M1496" t="inlineStr">
        <is>
          <t>108120 SBX Warszawa Janki</t>
        </is>
      </c>
      <c r="N1496" t="inlineStr">
        <is>
          <t>2026-09-11 19:06</t>
        </is>
      </c>
    </row>
    <row r="1497">
      <c r="A1497" t="n">
        <v>1496</v>
      </c>
      <c r="B1497" t="inlineStr">
        <is>
          <t>2026-05-29</t>
        </is>
      </c>
      <c r="C1497" t="n">
        <v>2026</v>
      </c>
      <c r="D1497" t="inlineStr">
        <is>
          <t>Maj</t>
        </is>
      </c>
      <c r="E1497" t="inlineStr">
        <is>
          <t>W5</t>
        </is>
      </c>
      <c r="F1497" t="inlineStr">
        <is>
          <t>2026_Maj_W5</t>
        </is>
      </c>
      <c r="G1497" t="inlineStr">
        <is>
          <t>Pt</t>
        </is>
      </c>
      <c r="H1497" t="inlineStr">
        <is>
          <t>ZIMNICKA, JULIA</t>
        </is>
      </c>
      <c r="I1497" t="inlineStr">
        <is>
          <t>Crew Civil</t>
        </is>
      </c>
      <c r="J1497" t="inlineStr">
        <is>
          <t>Zlecenie</t>
        </is>
      </c>
      <c r="K1497" t="n">
        <v>8.02</v>
      </c>
      <c r="L1497" t="inlineStr">
        <is>
          <t>384</t>
        </is>
      </c>
      <c r="M1497" t="inlineStr">
        <is>
          <t>108120 SBX Warszawa Janki</t>
        </is>
      </c>
      <c r="N1497" t="inlineStr">
        <is>
          <t>2026-09-11 19:06</t>
        </is>
      </c>
    </row>
    <row r="1498">
      <c r="A1498" t="n">
        <v>1497</v>
      </c>
      <c r="B1498" t="inlineStr">
        <is>
          <t>2026-05-30</t>
        </is>
      </c>
      <c r="C1498" t="n">
        <v>2026</v>
      </c>
      <c r="D1498" t="inlineStr">
        <is>
          <t>Maj</t>
        </is>
      </c>
      <c r="E1498" t="inlineStr">
        <is>
          <t>W5</t>
        </is>
      </c>
      <c r="F1498" t="inlineStr">
        <is>
          <t>2026_Maj_W5</t>
        </is>
      </c>
      <c r="G1498" t="inlineStr">
        <is>
          <t>Sob</t>
        </is>
      </c>
      <c r="H1498" t="inlineStr">
        <is>
          <t>ZIMNICKA, JULIA</t>
        </is>
      </c>
      <c r="I1498" t="inlineStr">
        <is>
          <t>Crew Civil</t>
        </is>
      </c>
      <c r="J1498" t="inlineStr">
        <is>
          <t>Zlecenie</t>
        </is>
      </c>
      <c r="K1498" t="n">
        <v>8.02</v>
      </c>
      <c r="L1498" t="inlineStr">
        <is>
          <t>384</t>
        </is>
      </c>
      <c r="M1498" t="inlineStr">
        <is>
          <t>108120 SBX Warszawa Janki</t>
        </is>
      </c>
      <c r="N1498" t="inlineStr">
        <is>
          <t>2026-09-11 19:06</t>
        </is>
      </c>
    </row>
    <row r="1499">
      <c r="A1499" t="n">
        <v>1498</v>
      </c>
      <c r="B1499" t="inlineStr">
        <is>
          <t>2026-06-01</t>
        </is>
      </c>
      <c r="C1499" t="n">
        <v>2026</v>
      </c>
      <c r="D1499" t="inlineStr">
        <is>
          <t>Czerwiec</t>
        </is>
      </c>
      <c r="E1499" t="inlineStr">
        <is>
          <t>W1</t>
        </is>
      </c>
      <c r="F1499" t="inlineStr">
        <is>
          <t>2026_Czerwiec_W1</t>
        </is>
      </c>
      <c r="G1499" t="inlineStr">
        <is>
          <t>Pn</t>
        </is>
      </c>
      <c r="H1499" t="inlineStr">
        <is>
          <t>ZIMNICKA, JULIA</t>
        </is>
      </c>
      <c r="I1499" t="inlineStr">
        <is>
          <t>Crew Civil</t>
        </is>
      </c>
      <c r="J1499" t="inlineStr">
        <is>
          <t>Zlecenie</t>
        </is>
      </c>
      <c r="K1499" t="n">
        <v>8.17</v>
      </c>
      <c r="L1499" t="inlineStr">
        <is>
          <t>384</t>
        </is>
      </c>
      <c r="M1499" t="inlineStr">
        <is>
          <t>108120 SBX Warszawa Janki</t>
        </is>
      </c>
      <c r="N1499" t="inlineStr">
        <is>
          <t>2026-09-11 19:06</t>
        </is>
      </c>
    </row>
    <row r="1500">
      <c r="A1500" t="n">
        <v>1499</v>
      </c>
      <c r="B1500" t="inlineStr">
        <is>
          <t>2026-06-03</t>
        </is>
      </c>
      <c r="C1500" t="n">
        <v>2026</v>
      </c>
      <c r="D1500" t="inlineStr">
        <is>
          <t>Czerwiec</t>
        </is>
      </c>
      <c r="E1500" t="inlineStr">
        <is>
          <t>W2</t>
        </is>
      </c>
      <c r="F1500" t="inlineStr">
        <is>
          <t>2026_Czerwiec_W2</t>
        </is>
      </c>
      <c r="G1500" t="inlineStr">
        <is>
          <t>Śr</t>
        </is>
      </c>
      <c r="H1500" t="inlineStr">
        <is>
          <t>ZIMNICKA, JULIA</t>
        </is>
      </c>
      <c r="I1500" t="inlineStr">
        <is>
          <t>Crew Civil</t>
        </is>
      </c>
      <c r="J1500" t="inlineStr">
        <is>
          <t>Zlecenie</t>
        </is>
      </c>
      <c r="K1500" t="n">
        <v>7.97</v>
      </c>
      <c r="L1500" t="inlineStr">
        <is>
          <t>384</t>
        </is>
      </c>
      <c r="M1500" t="inlineStr">
        <is>
          <t>108120 SBX Warszawa Janki</t>
        </is>
      </c>
      <c r="N1500" t="inlineStr">
        <is>
          <t>2026-09-11 19:06</t>
        </is>
      </c>
    </row>
    <row r="1501">
      <c r="A1501" t="n">
        <v>1500</v>
      </c>
      <c r="B1501" t="inlineStr">
        <is>
          <t>2026-06-06</t>
        </is>
      </c>
      <c r="C1501" t="n">
        <v>2026</v>
      </c>
      <c r="D1501" t="inlineStr">
        <is>
          <t>Czerwiec</t>
        </is>
      </c>
      <c r="E1501" t="inlineStr">
        <is>
          <t>W2</t>
        </is>
      </c>
      <c r="F1501" t="inlineStr">
        <is>
          <t>2026_Czerwiec_W2</t>
        </is>
      </c>
      <c r="G1501" t="inlineStr">
        <is>
          <t>Sob</t>
        </is>
      </c>
      <c r="H1501" t="inlineStr">
        <is>
          <t>ZIMNICKA, JULIA</t>
        </is>
      </c>
      <c r="I1501" t="inlineStr">
        <is>
          <t>Crew Civil</t>
        </is>
      </c>
      <c r="J1501" t="inlineStr">
        <is>
          <t>Zlecenie</t>
        </is>
      </c>
      <c r="K1501" t="n">
        <v>8.16</v>
      </c>
      <c r="L1501" t="inlineStr">
        <is>
          <t>384</t>
        </is>
      </c>
      <c r="M1501" t="inlineStr">
        <is>
          <t>108120 SBX Warszawa Janki</t>
        </is>
      </c>
      <c r="N1501" t="inlineStr">
        <is>
          <t>2026-09-11 19:06</t>
        </is>
      </c>
    </row>
    <row r="1502">
      <c r="A1502" t="n">
        <v>1501</v>
      </c>
      <c r="B1502" t="inlineStr">
        <is>
          <t>2026-06-08</t>
        </is>
      </c>
      <c r="C1502" t="n">
        <v>2026</v>
      </c>
      <c r="D1502" t="inlineStr">
        <is>
          <t>Czerwiec</t>
        </is>
      </c>
      <c r="E1502" t="inlineStr">
        <is>
          <t>W2</t>
        </is>
      </c>
      <c r="F1502" t="inlineStr">
        <is>
          <t>2026_Czerwiec_W2</t>
        </is>
      </c>
      <c r="G1502" t="inlineStr">
        <is>
          <t>Pn</t>
        </is>
      </c>
      <c r="H1502" t="inlineStr">
        <is>
          <t>ZIMNICKA, JULIA</t>
        </is>
      </c>
      <c r="I1502" t="inlineStr">
        <is>
          <t>Crew Civil</t>
        </is>
      </c>
      <c r="J1502" t="inlineStr">
        <is>
          <t>Zlecenie</t>
        </is>
      </c>
      <c r="K1502" t="n">
        <v>8.33</v>
      </c>
      <c r="L1502" t="inlineStr">
        <is>
          <t>384</t>
        </is>
      </c>
      <c r="M1502" t="inlineStr">
        <is>
          <t>108120 SBX Warszawa Janki</t>
        </is>
      </c>
      <c r="N1502" t="inlineStr">
        <is>
          <t>2026-09-11 19:06</t>
        </is>
      </c>
    </row>
    <row r="1503">
      <c r="A1503" t="n">
        <v>1502</v>
      </c>
      <c r="B1503" t="inlineStr">
        <is>
          <t>2026-06-09</t>
        </is>
      </c>
      <c r="C1503" t="n">
        <v>2026</v>
      </c>
      <c r="D1503" t="inlineStr">
        <is>
          <t>Czerwiec</t>
        </is>
      </c>
      <c r="E1503" t="inlineStr">
        <is>
          <t>W3</t>
        </is>
      </c>
      <c r="F1503" t="inlineStr">
        <is>
          <t>2026_Czerwiec_W3</t>
        </is>
      </c>
      <c r="G1503" t="inlineStr">
        <is>
          <t>Wt</t>
        </is>
      </c>
      <c r="H1503" t="inlineStr">
        <is>
          <t>ZIMNICKA, JULIA</t>
        </is>
      </c>
      <c r="I1503" t="inlineStr">
        <is>
          <t>Crew Civil</t>
        </is>
      </c>
      <c r="J1503" t="inlineStr">
        <is>
          <t>Zlecenie</t>
        </is>
      </c>
      <c r="K1503" t="n">
        <v>8.15</v>
      </c>
      <c r="L1503" t="inlineStr">
        <is>
          <t>384</t>
        </is>
      </c>
      <c r="M1503" t="inlineStr">
        <is>
          <t>108120 SBX Warszawa Janki</t>
        </is>
      </c>
      <c r="N1503" t="inlineStr">
        <is>
          <t>2026-09-11 19:06</t>
        </is>
      </c>
    </row>
    <row r="1504">
      <c r="A1504" t="n">
        <v>1503</v>
      </c>
      <c r="B1504" t="inlineStr">
        <is>
          <t>2026-06-10</t>
        </is>
      </c>
      <c r="C1504" t="n">
        <v>2026</v>
      </c>
      <c r="D1504" t="inlineStr">
        <is>
          <t>Czerwiec</t>
        </is>
      </c>
      <c r="E1504" t="inlineStr">
        <is>
          <t>W3</t>
        </is>
      </c>
      <c r="F1504" t="inlineStr">
        <is>
          <t>2026_Czerwiec_W3</t>
        </is>
      </c>
      <c r="G1504" t="inlineStr">
        <is>
          <t>Śr</t>
        </is>
      </c>
      <c r="H1504" t="inlineStr">
        <is>
          <t>ZIMNICKA, JULIA</t>
        </is>
      </c>
      <c r="I1504" t="inlineStr">
        <is>
          <t>Crew Civil</t>
        </is>
      </c>
      <c r="J1504" t="inlineStr">
        <is>
          <t>Zlecenie</t>
        </is>
      </c>
      <c r="K1504" t="n">
        <v>8.119999999999999</v>
      </c>
      <c r="L1504" t="inlineStr">
        <is>
          <t>384</t>
        </is>
      </c>
      <c r="M1504" t="inlineStr">
        <is>
          <t>108120 SBX Warszawa Janki</t>
        </is>
      </c>
      <c r="N1504" t="inlineStr">
        <is>
          <t>2026-09-11 19:06</t>
        </is>
      </c>
    </row>
    <row r="1505">
      <c r="A1505" t="n">
        <v>1504</v>
      </c>
      <c r="B1505" t="inlineStr">
        <is>
          <t>2026-06-15</t>
        </is>
      </c>
      <c r="C1505" t="n">
        <v>2026</v>
      </c>
      <c r="D1505" t="inlineStr">
        <is>
          <t>Czerwiec</t>
        </is>
      </c>
      <c r="E1505" t="inlineStr">
        <is>
          <t>W3</t>
        </is>
      </c>
      <c r="F1505" t="inlineStr">
        <is>
          <t>2026_Czerwiec_W3</t>
        </is>
      </c>
      <c r="G1505" t="inlineStr">
        <is>
          <t>Pn</t>
        </is>
      </c>
      <c r="H1505" t="inlineStr">
        <is>
          <t>ZIMNICKA, JULIA</t>
        </is>
      </c>
      <c r="I1505" t="inlineStr">
        <is>
          <t>Crew Civil</t>
        </is>
      </c>
      <c r="J1505" t="inlineStr">
        <is>
          <t>Zlecenie</t>
        </is>
      </c>
      <c r="K1505" t="n">
        <v>6.18</v>
      </c>
      <c r="L1505" t="inlineStr">
        <is>
          <t>384</t>
        </is>
      </c>
      <c r="M1505" t="inlineStr">
        <is>
          <t>108120 SBX Warszawa Janki</t>
        </is>
      </c>
      <c r="N1505" t="inlineStr">
        <is>
          <t>2026-09-11 19:06</t>
        </is>
      </c>
    </row>
    <row r="1506">
      <c r="A1506" t="n">
        <v>1505</v>
      </c>
      <c r="B1506" t="inlineStr">
        <is>
          <t>2026-06-16</t>
        </is>
      </c>
      <c r="C1506" t="n">
        <v>2026</v>
      </c>
      <c r="D1506" t="inlineStr">
        <is>
          <t>Czerwiec</t>
        </is>
      </c>
      <c r="E1506" t="inlineStr">
        <is>
          <t>W4</t>
        </is>
      </c>
      <c r="F1506" t="inlineStr">
        <is>
          <t>2026_Czerwiec_W4</t>
        </is>
      </c>
      <c r="G1506" t="inlineStr">
        <is>
          <t>Wt</t>
        </is>
      </c>
      <c r="H1506" t="inlineStr">
        <is>
          <t>ZIMNICKA, JULIA</t>
        </is>
      </c>
      <c r="I1506" t="inlineStr">
        <is>
          <t>Crew Civil</t>
        </is>
      </c>
      <c r="J1506" t="inlineStr">
        <is>
          <t>Zlecenie</t>
        </is>
      </c>
      <c r="K1506" t="n">
        <v>8.18</v>
      </c>
      <c r="L1506" t="inlineStr">
        <is>
          <t>384</t>
        </is>
      </c>
      <c r="M1506" t="inlineStr">
        <is>
          <t>108120 SBX Warszawa Janki</t>
        </is>
      </c>
      <c r="N1506" t="inlineStr">
        <is>
          <t>2026-09-11 19:06</t>
        </is>
      </c>
    </row>
    <row r="1507">
      <c r="A1507" t="n">
        <v>1506</v>
      </c>
      <c r="B1507" t="inlineStr">
        <is>
          <t>2026-06-17</t>
        </is>
      </c>
      <c r="C1507" t="n">
        <v>2026</v>
      </c>
      <c r="D1507" t="inlineStr">
        <is>
          <t>Czerwiec</t>
        </is>
      </c>
      <c r="E1507" t="inlineStr">
        <is>
          <t>W4</t>
        </is>
      </c>
      <c r="F1507" t="inlineStr">
        <is>
          <t>2026_Czerwiec_W4</t>
        </is>
      </c>
      <c r="G1507" t="inlineStr">
        <is>
          <t>Śr</t>
        </is>
      </c>
      <c r="H1507" t="inlineStr">
        <is>
          <t>ZIMNICKA, JULIA</t>
        </is>
      </c>
      <c r="I1507" t="inlineStr">
        <is>
          <t>Crew Civil</t>
        </is>
      </c>
      <c r="J1507" t="inlineStr">
        <is>
          <t>Zlecenie</t>
        </is>
      </c>
      <c r="K1507" t="n">
        <v>9.5</v>
      </c>
      <c r="L1507" t="inlineStr">
        <is>
          <t>384</t>
        </is>
      </c>
      <c r="M1507" t="inlineStr">
        <is>
          <t>108120 SBX Warszawa Janki</t>
        </is>
      </c>
      <c r="N1507" t="inlineStr">
        <is>
          <t>2026-09-11 19:06</t>
        </is>
      </c>
    </row>
    <row r="1508">
      <c r="A1508" t="n">
        <v>1507</v>
      </c>
      <c r="B1508" t="inlineStr">
        <is>
          <t>2026-06-20</t>
        </is>
      </c>
      <c r="C1508" t="n">
        <v>2026</v>
      </c>
      <c r="D1508" t="inlineStr">
        <is>
          <t>Czerwiec</t>
        </is>
      </c>
      <c r="E1508" t="inlineStr">
        <is>
          <t>W4</t>
        </is>
      </c>
      <c r="F1508" t="inlineStr">
        <is>
          <t>2026_Czerwiec_W4</t>
        </is>
      </c>
      <c r="G1508" t="inlineStr">
        <is>
          <t>Sob</t>
        </is>
      </c>
      <c r="H1508" t="inlineStr">
        <is>
          <t>ZIMNICKA, JULIA</t>
        </is>
      </c>
      <c r="I1508" t="inlineStr">
        <is>
          <t>Crew Civil</t>
        </is>
      </c>
      <c r="J1508" t="inlineStr">
        <is>
          <t>Zlecenie</t>
        </is>
      </c>
      <c r="K1508" t="n">
        <v>8.1</v>
      </c>
      <c r="L1508" t="inlineStr">
        <is>
          <t>384</t>
        </is>
      </c>
      <c r="M1508" t="inlineStr">
        <is>
          <t>108120 SBX Warszawa Janki</t>
        </is>
      </c>
      <c r="N1508" t="inlineStr">
        <is>
          <t>2026-09-11 19:06</t>
        </is>
      </c>
    </row>
    <row r="1509">
      <c r="A1509" t="n">
        <v>1508</v>
      </c>
      <c r="B1509" t="inlineStr">
        <is>
          <t>2026-06-21</t>
        </is>
      </c>
      <c r="C1509" t="n">
        <v>2026</v>
      </c>
      <c r="D1509" t="inlineStr">
        <is>
          <t>Czerwiec</t>
        </is>
      </c>
      <c r="E1509" t="inlineStr">
        <is>
          <t>W4</t>
        </is>
      </c>
      <c r="F1509" t="inlineStr">
        <is>
          <t>2026_Czerwiec_W4</t>
        </is>
      </c>
      <c r="G1509" t="inlineStr">
        <is>
          <t>Nd</t>
        </is>
      </c>
      <c r="H1509" t="inlineStr">
        <is>
          <t>ZIMNICKA, JULIA</t>
        </is>
      </c>
      <c r="I1509" t="inlineStr">
        <is>
          <t>Crew Civil</t>
        </is>
      </c>
      <c r="J1509" t="inlineStr">
        <is>
          <t>Zlecenie</t>
        </is>
      </c>
      <c r="K1509" t="n">
        <v>7.13</v>
      </c>
      <c r="L1509" t="inlineStr">
        <is>
          <t>384</t>
        </is>
      </c>
      <c r="M1509" t="inlineStr">
        <is>
          <t>108120 SBX Warszawa Janki</t>
        </is>
      </c>
      <c r="N1509" t="inlineStr">
        <is>
          <t>2026-09-11 19:06</t>
        </is>
      </c>
    </row>
    <row r="1510">
      <c r="A1510" t="n">
        <v>1509</v>
      </c>
      <c r="B1510" t="inlineStr">
        <is>
          <t>2026-06-24</t>
        </is>
      </c>
      <c r="C1510" t="n">
        <v>2026</v>
      </c>
      <c r="D1510" t="inlineStr">
        <is>
          <t>Czerwiec</t>
        </is>
      </c>
      <c r="E1510" t="inlineStr">
        <is>
          <t>W5</t>
        </is>
      </c>
      <c r="F1510" t="inlineStr">
        <is>
          <t>2026_Czerwiec_W5</t>
        </is>
      </c>
      <c r="G1510" t="inlineStr">
        <is>
          <t>Śr</t>
        </is>
      </c>
      <c r="H1510" t="inlineStr">
        <is>
          <t>ZIMNICKA, JULIA</t>
        </is>
      </c>
      <c r="I1510" t="inlineStr">
        <is>
          <t>Crew Civil</t>
        </is>
      </c>
      <c r="J1510" t="inlineStr">
        <is>
          <t>Zlecenie</t>
        </is>
      </c>
      <c r="K1510" t="n">
        <v>7</v>
      </c>
      <c r="L1510" t="inlineStr">
        <is>
          <t>384</t>
        </is>
      </c>
      <c r="M1510" t="inlineStr">
        <is>
          <t>108120 SBX Warszawa Janki</t>
        </is>
      </c>
      <c r="N1510" t="inlineStr">
        <is>
          <t>2026-09-11 19:06</t>
        </is>
      </c>
    </row>
    <row r="1511">
      <c r="A1511" t="n">
        <v>1510</v>
      </c>
      <c r="B1511" t="inlineStr">
        <is>
          <t>2026-06-25</t>
        </is>
      </c>
      <c r="C1511" t="n">
        <v>2026</v>
      </c>
      <c r="D1511" t="inlineStr">
        <is>
          <t>Czerwiec</t>
        </is>
      </c>
      <c r="E1511" t="inlineStr">
        <is>
          <t>W5</t>
        </is>
      </c>
      <c r="F1511" t="inlineStr">
        <is>
          <t>2026_Czerwiec_W5</t>
        </is>
      </c>
      <c r="G1511" t="inlineStr">
        <is>
          <t>Czw</t>
        </is>
      </c>
      <c r="H1511" t="inlineStr">
        <is>
          <t>ZIMNICKA, JULIA</t>
        </is>
      </c>
      <c r="I1511" t="inlineStr">
        <is>
          <t>Crew Civil</t>
        </is>
      </c>
      <c r="J1511" t="inlineStr">
        <is>
          <t>Zlecenie</t>
        </is>
      </c>
      <c r="K1511" t="n">
        <v>7.11</v>
      </c>
      <c r="L1511" t="inlineStr">
        <is>
          <t>384</t>
        </is>
      </c>
      <c r="M1511" t="inlineStr">
        <is>
          <t>108120 SBX Warszawa Janki</t>
        </is>
      </c>
      <c r="N1511" t="inlineStr">
        <is>
          <t>2026-09-11 19:06</t>
        </is>
      </c>
    </row>
    <row r="1512">
      <c r="A1512" t="n">
        <v>1511</v>
      </c>
      <c r="B1512" t="inlineStr">
        <is>
          <t>2026-06-26</t>
        </is>
      </c>
      <c r="C1512" t="n">
        <v>2026</v>
      </c>
      <c r="D1512" t="inlineStr">
        <is>
          <t>Czerwiec</t>
        </is>
      </c>
      <c r="E1512" t="inlineStr">
        <is>
          <t>W5</t>
        </is>
      </c>
      <c r="F1512" t="inlineStr">
        <is>
          <t>2026_Czerwiec_W5</t>
        </is>
      </c>
      <c r="G1512" t="inlineStr">
        <is>
          <t>Pt</t>
        </is>
      </c>
      <c r="H1512" t="inlineStr">
        <is>
          <t>ZIMNICKA, JULIA</t>
        </is>
      </c>
      <c r="I1512" t="inlineStr">
        <is>
          <t>Crew Civil</t>
        </is>
      </c>
      <c r="J1512" t="inlineStr">
        <is>
          <t>Zlecenie</t>
        </is>
      </c>
      <c r="K1512" t="n">
        <v>7.96</v>
      </c>
      <c r="L1512" t="inlineStr">
        <is>
          <t>384</t>
        </is>
      </c>
      <c r="M1512" t="inlineStr">
        <is>
          <t>108120 SBX Warszawa Janki</t>
        </is>
      </c>
      <c r="N1512" t="inlineStr">
        <is>
          <t>2026-09-11 19:06</t>
        </is>
      </c>
    </row>
    <row r="1513">
      <c r="A1513" t="n">
        <v>1512</v>
      </c>
      <c r="B1513" t="inlineStr">
        <is>
          <t>2026-06-29</t>
        </is>
      </c>
      <c r="C1513" t="n">
        <v>2026</v>
      </c>
      <c r="D1513" t="inlineStr">
        <is>
          <t>Czerwiec</t>
        </is>
      </c>
      <c r="E1513" t="inlineStr">
        <is>
          <t>W5</t>
        </is>
      </c>
      <c r="F1513" t="inlineStr">
        <is>
          <t>2026_Czerwiec_W5</t>
        </is>
      </c>
      <c r="G1513" t="inlineStr">
        <is>
          <t>Pn</t>
        </is>
      </c>
      <c r="H1513" t="inlineStr">
        <is>
          <t>ZIMNICKA, JULIA</t>
        </is>
      </c>
      <c r="I1513" t="inlineStr">
        <is>
          <t>Crew Civil</t>
        </is>
      </c>
      <c r="J1513" t="inlineStr">
        <is>
          <t>Zlecenie</t>
        </is>
      </c>
      <c r="K1513" t="n">
        <v>6.01</v>
      </c>
      <c r="L1513" t="inlineStr">
        <is>
          <t>384</t>
        </is>
      </c>
      <c r="M1513" t="inlineStr">
        <is>
          <t>108120 SBX Warszawa Janki</t>
        </is>
      </c>
      <c r="N1513" t="inlineStr">
        <is>
          <t>2026-09-11 19:06</t>
        </is>
      </c>
    </row>
    <row r="1514">
      <c r="A1514" t="n">
        <v>1513</v>
      </c>
      <c r="B1514" t="inlineStr">
        <is>
          <t>2026-06-30</t>
        </is>
      </c>
      <c r="C1514" t="n">
        <v>2026</v>
      </c>
      <c r="D1514" t="inlineStr">
        <is>
          <t>Czerwiec</t>
        </is>
      </c>
      <c r="E1514" t="inlineStr">
        <is>
          <t>W6</t>
        </is>
      </c>
      <c r="F1514" t="inlineStr">
        <is>
          <t>2026_Czerwiec_W6</t>
        </is>
      </c>
      <c r="G1514" t="inlineStr">
        <is>
          <t>Wt</t>
        </is>
      </c>
      <c r="H1514" t="inlineStr">
        <is>
          <t>ZIMNICKA, JULIA</t>
        </is>
      </c>
      <c r="I1514" t="inlineStr">
        <is>
          <t>Crew Civil</t>
        </is>
      </c>
      <c r="J1514" t="inlineStr">
        <is>
          <t>Zlecenie</t>
        </is>
      </c>
      <c r="K1514" t="n">
        <v>8</v>
      </c>
      <c r="L1514" t="inlineStr">
        <is>
          <t>384</t>
        </is>
      </c>
      <c r="M1514" t="inlineStr">
        <is>
          <t>108120 SBX Warszawa Janki</t>
        </is>
      </c>
      <c r="N1514" t="inlineStr">
        <is>
          <t>2026-09-11 19:06</t>
        </is>
      </c>
    </row>
    <row r="1515">
      <c r="A1515" t="n">
        <v>1514</v>
      </c>
      <c r="B1515" t="inlineStr">
        <is>
          <t>2026-07-03</t>
        </is>
      </c>
      <c r="C1515" t="n">
        <v>2026</v>
      </c>
      <c r="D1515" t="inlineStr">
        <is>
          <t>Lipiec</t>
        </is>
      </c>
      <c r="E1515" t="inlineStr">
        <is>
          <t>W1</t>
        </is>
      </c>
      <c r="F1515" t="inlineStr">
        <is>
          <t>2026_Lipiec_W1</t>
        </is>
      </c>
      <c r="G1515" t="inlineStr">
        <is>
          <t>Pt</t>
        </is>
      </c>
      <c r="H1515" t="inlineStr">
        <is>
          <t>ZIMNICKA, JULIA</t>
        </is>
      </c>
      <c r="I1515" t="inlineStr">
        <is>
          <t>Crew Civil</t>
        </is>
      </c>
      <c r="J1515" t="inlineStr">
        <is>
          <t>Zlecenie</t>
        </is>
      </c>
      <c r="K1515" t="n">
        <v>7.6</v>
      </c>
      <c r="L1515" t="inlineStr">
        <is>
          <t>384</t>
        </is>
      </c>
      <c r="M1515" t="inlineStr">
        <is>
          <t>108120 SBX Warszawa Janki</t>
        </is>
      </c>
      <c r="N1515" t="inlineStr">
        <is>
          <t>2026-09-11 19:06</t>
        </is>
      </c>
    </row>
    <row r="1516">
      <c r="A1516" t="n">
        <v>1515</v>
      </c>
      <c r="B1516" t="inlineStr">
        <is>
          <t>2026-07-07</t>
        </is>
      </c>
      <c r="C1516" t="n">
        <v>2026</v>
      </c>
      <c r="D1516" t="inlineStr">
        <is>
          <t>Lipiec</t>
        </is>
      </c>
      <c r="E1516" t="inlineStr">
        <is>
          <t>W2</t>
        </is>
      </c>
      <c r="F1516" t="inlineStr">
        <is>
          <t>2026_Lipiec_W2</t>
        </is>
      </c>
      <c r="G1516" t="inlineStr">
        <is>
          <t>Wt</t>
        </is>
      </c>
      <c r="H1516" t="inlineStr">
        <is>
          <t>ZIMNICKA, JULIA</t>
        </is>
      </c>
      <c r="I1516" t="inlineStr">
        <is>
          <t>Crew Civil</t>
        </is>
      </c>
      <c r="J1516" t="inlineStr">
        <is>
          <t>Zlecenie</t>
        </is>
      </c>
      <c r="K1516" t="n">
        <v>8.130000000000001</v>
      </c>
      <c r="L1516" t="inlineStr">
        <is>
          <t>384</t>
        </is>
      </c>
      <c r="M1516" t="inlineStr">
        <is>
          <t>108120 SBX Warszawa Janki</t>
        </is>
      </c>
      <c r="N1516" t="inlineStr">
        <is>
          <t>2026-09-11 19:06</t>
        </is>
      </c>
    </row>
    <row r="1517">
      <c r="A1517" t="n">
        <v>1516</v>
      </c>
      <c r="B1517" t="inlineStr">
        <is>
          <t>2026-07-10</t>
        </is>
      </c>
      <c r="C1517" t="n">
        <v>2026</v>
      </c>
      <c r="D1517" t="inlineStr">
        <is>
          <t>Lipiec</t>
        </is>
      </c>
      <c r="E1517" t="inlineStr">
        <is>
          <t>W2</t>
        </is>
      </c>
      <c r="F1517" t="inlineStr">
        <is>
          <t>2026_Lipiec_W2</t>
        </is>
      </c>
      <c r="G1517" t="inlineStr">
        <is>
          <t>Pt</t>
        </is>
      </c>
      <c r="H1517" t="inlineStr">
        <is>
          <t>ZIMNICKA, JULIA</t>
        </is>
      </c>
      <c r="I1517" t="inlineStr">
        <is>
          <t>Crew Civil</t>
        </is>
      </c>
      <c r="J1517" t="inlineStr">
        <is>
          <t>Zlecenie</t>
        </is>
      </c>
      <c r="K1517" t="n">
        <v>7.04</v>
      </c>
      <c r="L1517" t="inlineStr">
        <is>
          <t>384</t>
        </is>
      </c>
      <c r="M1517" t="inlineStr">
        <is>
          <t>108120 SBX Warszawa Janki</t>
        </is>
      </c>
      <c r="N1517" t="inlineStr">
        <is>
          <t>2026-09-11 19:06</t>
        </is>
      </c>
    </row>
    <row r="1518">
      <c r="A1518" t="n">
        <v>1517</v>
      </c>
      <c r="B1518" t="inlineStr">
        <is>
          <t>2026-07-11</t>
        </is>
      </c>
      <c r="C1518" t="n">
        <v>2026</v>
      </c>
      <c r="D1518" t="inlineStr">
        <is>
          <t>Lipiec</t>
        </is>
      </c>
      <c r="E1518" t="inlineStr">
        <is>
          <t>W2</t>
        </is>
      </c>
      <c r="F1518" t="inlineStr">
        <is>
          <t>2026_Lipiec_W2</t>
        </is>
      </c>
      <c r="G1518" t="inlineStr">
        <is>
          <t>Sob</t>
        </is>
      </c>
      <c r="H1518" t="inlineStr">
        <is>
          <t>ZIMNICKA, JULIA</t>
        </is>
      </c>
      <c r="I1518" t="inlineStr">
        <is>
          <t>Crew Civil</t>
        </is>
      </c>
      <c r="J1518" t="inlineStr">
        <is>
          <t>Zlecenie</t>
        </is>
      </c>
      <c r="K1518" t="n">
        <v>8.16</v>
      </c>
      <c r="L1518" t="inlineStr">
        <is>
          <t>384</t>
        </is>
      </c>
      <c r="M1518" t="inlineStr">
        <is>
          <t>108120 SBX Warszawa Janki</t>
        </is>
      </c>
      <c r="N1518" t="inlineStr">
        <is>
          <t>2026-09-11 19:06</t>
        </is>
      </c>
    </row>
    <row r="1519">
      <c r="A1519" t="n">
        <v>1518</v>
      </c>
      <c r="B1519" t="inlineStr">
        <is>
          <t>2026-07-12</t>
        </is>
      </c>
      <c r="C1519" t="n">
        <v>2026</v>
      </c>
      <c r="D1519" t="inlineStr">
        <is>
          <t>Lipiec</t>
        </is>
      </c>
      <c r="E1519" t="inlineStr">
        <is>
          <t>W2</t>
        </is>
      </c>
      <c r="F1519" t="inlineStr">
        <is>
          <t>2026_Lipiec_W2</t>
        </is>
      </c>
      <c r="G1519" t="inlineStr">
        <is>
          <t>Nd</t>
        </is>
      </c>
      <c r="H1519" t="inlineStr">
        <is>
          <t>ZIMNICKA, JULIA</t>
        </is>
      </c>
      <c r="I1519" t="inlineStr">
        <is>
          <t>Crew Civil</t>
        </is>
      </c>
      <c r="J1519" t="inlineStr">
        <is>
          <t>Zlecenie</t>
        </is>
      </c>
      <c r="K1519" t="n">
        <v>7.23</v>
      </c>
      <c r="L1519" t="inlineStr">
        <is>
          <t>384</t>
        </is>
      </c>
      <c r="M1519" t="inlineStr">
        <is>
          <t>108120 SBX Warszawa Janki</t>
        </is>
      </c>
      <c r="N1519" t="inlineStr">
        <is>
          <t>2026-09-11 19:06</t>
        </is>
      </c>
    </row>
    <row r="1520">
      <c r="A1520" t="n">
        <v>1519</v>
      </c>
      <c r="B1520" t="inlineStr">
        <is>
          <t>2026-07-13</t>
        </is>
      </c>
      <c r="C1520" t="n">
        <v>2026</v>
      </c>
      <c r="D1520" t="inlineStr">
        <is>
          <t>Lipiec</t>
        </is>
      </c>
      <c r="E1520" t="inlineStr">
        <is>
          <t>W2</t>
        </is>
      </c>
      <c r="F1520" t="inlineStr">
        <is>
          <t>2026_Lipiec_W2</t>
        </is>
      </c>
      <c r="G1520" t="inlineStr">
        <is>
          <t>Pn</t>
        </is>
      </c>
      <c r="H1520" t="inlineStr">
        <is>
          <t>ZIMNICKA, JULIA</t>
        </is>
      </c>
      <c r="I1520" t="inlineStr">
        <is>
          <t>Crew Civil</t>
        </is>
      </c>
      <c r="J1520" t="inlineStr">
        <is>
          <t>Zlecenie</t>
        </is>
      </c>
      <c r="K1520" t="n">
        <v>8</v>
      </c>
      <c r="L1520" t="inlineStr">
        <is>
          <t>384</t>
        </is>
      </c>
      <c r="M1520" t="inlineStr">
        <is>
          <t>108120 SBX Warszawa Janki</t>
        </is>
      </c>
      <c r="N1520" t="inlineStr">
        <is>
          <t>2026-09-11 19:06</t>
        </is>
      </c>
    </row>
    <row r="1521">
      <c r="A1521" t="n">
        <v>1520</v>
      </c>
      <c r="B1521" t="inlineStr">
        <is>
          <t>2026-07-15</t>
        </is>
      </c>
      <c r="C1521" t="n">
        <v>2026</v>
      </c>
      <c r="D1521" t="inlineStr">
        <is>
          <t>Lipiec</t>
        </is>
      </c>
      <c r="E1521" t="inlineStr">
        <is>
          <t>W3</t>
        </is>
      </c>
      <c r="F1521" t="inlineStr">
        <is>
          <t>2026_Lipiec_W3</t>
        </is>
      </c>
      <c r="G1521" t="inlineStr">
        <is>
          <t>Śr</t>
        </is>
      </c>
      <c r="H1521" t="inlineStr">
        <is>
          <t>ZIMNICKA, JULIA</t>
        </is>
      </c>
      <c r="I1521" t="inlineStr">
        <is>
          <t>Crew Civil</t>
        </is>
      </c>
      <c r="J1521" t="inlineStr">
        <is>
          <t>Zlecenie</t>
        </is>
      </c>
      <c r="K1521" t="n">
        <v>8.130000000000001</v>
      </c>
      <c r="L1521" t="inlineStr">
        <is>
          <t>384</t>
        </is>
      </c>
      <c r="M1521" t="inlineStr">
        <is>
          <t>108120 SBX Warszawa Janki</t>
        </is>
      </c>
      <c r="N1521" t="inlineStr">
        <is>
          <t>2026-09-11 19:06</t>
        </is>
      </c>
    </row>
    <row r="1522">
      <c r="A1522" t="n">
        <v>1521</v>
      </c>
      <c r="B1522" t="inlineStr">
        <is>
          <t>2026-07-18</t>
        </is>
      </c>
      <c r="C1522" t="n">
        <v>2026</v>
      </c>
      <c r="D1522" t="inlineStr">
        <is>
          <t>Lipiec</t>
        </is>
      </c>
      <c r="E1522" t="inlineStr">
        <is>
          <t>W3</t>
        </is>
      </c>
      <c r="F1522" t="inlineStr">
        <is>
          <t>2026_Lipiec_W3</t>
        </is>
      </c>
      <c r="G1522" t="inlineStr">
        <is>
          <t>Sob</t>
        </is>
      </c>
      <c r="H1522" t="inlineStr">
        <is>
          <t>ZIMNICKA, JULIA</t>
        </is>
      </c>
      <c r="I1522" t="inlineStr">
        <is>
          <t>Crew Civil</t>
        </is>
      </c>
      <c r="J1522" t="inlineStr">
        <is>
          <t>Zlecenie</t>
        </is>
      </c>
      <c r="K1522" t="n">
        <v>7.91</v>
      </c>
      <c r="L1522" t="inlineStr">
        <is>
          <t>384</t>
        </is>
      </c>
      <c r="M1522" t="inlineStr">
        <is>
          <t>108120 SBX Warszawa Janki</t>
        </is>
      </c>
      <c r="N1522" t="inlineStr">
        <is>
          <t>2026-09-11 19:06</t>
        </is>
      </c>
    </row>
    <row r="1523">
      <c r="A1523" t="n">
        <v>1522</v>
      </c>
      <c r="B1523" t="inlineStr">
        <is>
          <t>2026-07-19</t>
        </is>
      </c>
      <c r="C1523" t="n">
        <v>2026</v>
      </c>
      <c r="D1523" t="inlineStr">
        <is>
          <t>Lipiec</t>
        </is>
      </c>
      <c r="E1523" t="inlineStr">
        <is>
          <t>W3</t>
        </is>
      </c>
      <c r="F1523" t="inlineStr">
        <is>
          <t>2026_Lipiec_W3</t>
        </is>
      </c>
      <c r="G1523" t="inlineStr">
        <is>
          <t>Nd</t>
        </is>
      </c>
      <c r="H1523" t="inlineStr">
        <is>
          <t>ZIMNICKA, JULIA</t>
        </is>
      </c>
      <c r="I1523" t="inlineStr">
        <is>
          <t>Crew Civil</t>
        </is>
      </c>
      <c r="J1523" t="inlineStr">
        <is>
          <t>Zlecenie</t>
        </is>
      </c>
      <c r="K1523" t="n">
        <v>5.14</v>
      </c>
      <c r="L1523" t="inlineStr">
        <is>
          <t>384</t>
        </is>
      </c>
      <c r="M1523" t="inlineStr">
        <is>
          <t>108120 SBX Warszawa Janki</t>
        </is>
      </c>
      <c r="N1523" t="inlineStr">
        <is>
          <t>2026-09-11 19:06</t>
        </is>
      </c>
    </row>
    <row r="1524">
      <c r="A1524" t="n">
        <v>1523</v>
      </c>
      <c r="B1524" t="inlineStr">
        <is>
          <t>2026-07-21</t>
        </is>
      </c>
      <c r="C1524" t="n">
        <v>2026</v>
      </c>
      <c r="D1524" t="inlineStr">
        <is>
          <t>Lipiec</t>
        </is>
      </c>
      <c r="E1524" t="inlineStr">
        <is>
          <t>W4</t>
        </is>
      </c>
      <c r="F1524" t="inlineStr">
        <is>
          <t>2026_Lipiec_W4</t>
        </is>
      </c>
      <c r="G1524" t="inlineStr">
        <is>
          <t>Wt</t>
        </is>
      </c>
      <c r="H1524" t="inlineStr">
        <is>
          <t>ZIMNICKA, JULIA</t>
        </is>
      </c>
      <c r="I1524" t="inlineStr">
        <is>
          <t>Crew Civil</t>
        </is>
      </c>
      <c r="J1524" t="inlineStr">
        <is>
          <t>Zlecenie</t>
        </is>
      </c>
      <c r="K1524" t="n">
        <v>8.289999999999999</v>
      </c>
      <c r="L1524" t="inlineStr">
        <is>
          <t>384</t>
        </is>
      </c>
      <c r="M1524" t="inlineStr">
        <is>
          <t>108120 SBX Warszawa Janki</t>
        </is>
      </c>
      <c r="N1524" t="inlineStr">
        <is>
          <t>2026-09-11 19:06</t>
        </is>
      </c>
    </row>
    <row r="1525">
      <c r="A1525" t="n">
        <v>1524</v>
      </c>
      <c r="B1525" t="inlineStr">
        <is>
          <t>2026-07-22</t>
        </is>
      </c>
      <c r="C1525" t="n">
        <v>2026</v>
      </c>
      <c r="D1525" t="inlineStr">
        <is>
          <t>Lipiec</t>
        </is>
      </c>
      <c r="E1525" t="inlineStr">
        <is>
          <t>W4</t>
        </is>
      </c>
      <c r="F1525" t="inlineStr">
        <is>
          <t>2026_Lipiec_W4</t>
        </is>
      </c>
      <c r="G1525" t="inlineStr">
        <is>
          <t>Śr</t>
        </is>
      </c>
      <c r="H1525" t="inlineStr">
        <is>
          <t>ZIMNICKA, JULIA</t>
        </is>
      </c>
      <c r="I1525" t="inlineStr">
        <is>
          <t>Crew Civil</t>
        </is>
      </c>
      <c r="J1525" t="inlineStr">
        <is>
          <t>Zlecenie</t>
        </is>
      </c>
      <c r="K1525" t="n">
        <v>7.22</v>
      </c>
      <c r="L1525" t="inlineStr">
        <is>
          <t>384</t>
        </is>
      </c>
      <c r="M1525" t="inlineStr">
        <is>
          <t>108120 SBX Warszawa Janki</t>
        </is>
      </c>
      <c r="N1525" t="inlineStr">
        <is>
          <t>2026-09-11 19:06</t>
        </is>
      </c>
    </row>
    <row r="1526">
      <c r="A1526" t="n">
        <v>1525</v>
      </c>
      <c r="B1526" t="inlineStr">
        <is>
          <t>2026-07-25</t>
        </is>
      </c>
      <c r="C1526" t="n">
        <v>2026</v>
      </c>
      <c r="D1526" t="inlineStr">
        <is>
          <t>Lipiec</t>
        </is>
      </c>
      <c r="E1526" t="inlineStr">
        <is>
          <t>W4</t>
        </is>
      </c>
      <c r="F1526" t="inlineStr">
        <is>
          <t>2026_Lipiec_W4</t>
        </is>
      </c>
      <c r="G1526" t="inlineStr">
        <is>
          <t>Sob</t>
        </is>
      </c>
      <c r="H1526" t="inlineStr">
        <is>
          <t>ZIMNICKA, JULIA</t>
        </is>
      </c>
      <c r="I1526" t="inlineStr">
        <is>
          <t>Crew Civil</t>
        </is>
      </c>
      <c r="J1526" t="inlineStr">
        <is>
          <t>Zlecenie</t>
        </is>
      </c>
      <c r="K1526" t="n">
        <v>7.85</v>
      </c>
      <c r="L1526" t="inlineStr">
        <is>
          <t>384</t>
        </is>
      </c>
      <c r="M1526" t="inlineStr">
        <is>
          <t>108120 SBX Warszawa Janki</t>
        </is>
      </c>
      <c r="N1526" t="inlineStr">
        <is>
          <t>2026-09-11 19:06</t>
        </is>
      </c>
    </row>
    <row r="1527">
      <c r="A1527" t="n">
        <v>1526</v>
      </c>
      <c r="B1527" t="inlineStr">
        <is>
          <t>2026-07-26</t>
        </is>
      </c>
      <c r="C1527" t="n">
        <v>2026</v>
      </c>
      <c r="D1527" t="inlineStr">
        <is>
          <t>Lipiec</t>
        </is>
      </c>
      <c r="E1527" t="inlineStr">
        <is>
          <t>W4</t>
        </is>
      </c>
      <c r="F1527" t="inlineStr">
        <is>
          <t>2026_Lipiec_W4</t>
        </is>
      </c>
      <c r="G1527" t="inlineStr">
        <is>
          <t>Nd</t>
        </is>
      </c>
      <c r="H1527" t="inlineStr">
        <is>
          <t>ZIMNICKA, JULIA</t>
        </is>
      </c>
      <c r="I1527" t="inlineStr">
        <is>
          <t>Crew Civil</t>
        </is>
      </c>
      <c r="J1527" t="inlineStr">
        <is>
          <t>Zlecenie</t>
        </is>
      </c>
      <c r="K1527" t="n">
        <v>7.29</v>
      </c>
      <c r="L1527" t="inlineStr">
        <is>
          <t>384</t>
        </is>
      </c>
      <c r="M1527" t="inlineStr">
        <is>
          <t>108120 SBX Warszawa Janki</t>
        </is>
      </c>
      <c r="N1527" t="inlineStr">
        <is>
          <t>2026-09-11 19:06</t>
        </is>
      </c>
    </row>
    <row r="1528">
      <c r="A1528" t="n">
        <v>1527</v>
      </c>
      <c r="B1528" t="inlineStr">
        <is>
          <t>2026-07-27</t>
        </is>
      </c>
      <c r="C1528" t="n">
        <v>2026</v>
      </c>
      <c r="D1528" t="inlineStr">
        <is>
          <t>Lipiec</t>
        </is>
      </c>
      <c r="E1528" t="inlineStr">
        <is>
          <t>W4</t>
        </is>
      </c>
      <c r="F1528" t="inlineStr">
        <is>
          <t>2026_Lipiec_W4</t>
        </is>
      </c>
      <c r="G1528" t="inlineStr">
        <is>
          <t>Pn</t>
        </is>
      </c>
      <c r="H1528" t="inlineStr">
        <is>
          <t>ZIMNICKA, JULIA</t>
        </is>
      </c>
      <c r="I1528" t="inlineStr">
        <is>
          <t>Crew Civil</t>
        </is>
      </c>
      <c r="J1528" t="inlineStr">
        <is>
          <t>Zlecenie</t>
        </is>
      </c>
      <c r="K1528" t="n">
        <v>7.1</v>
      </c>
      <c r="L1528" t="inlineStr">
        <is>
          <t>384</t>
        </is>
      </c>
      <c r="M1528" t="inlineStr">
        <is>
          <t>108120 SBX Warszawa Janki</t>
        </is>
      </c>
      <c r="N1528" t="inlineStr">
        <is>
          <t>2026-09-11 19:06</t>
        </is>
      </c>
    </row>
    <row r="1529">
      <c r="A1529" t="n">
        <v>1528</v>
      </c>
      <c r="B1529" t="inlineStr">
        <is>
          <t>2026-07-30</t>
        </is>
      </c>
      <c r="C1529" t="n">
        <v>2026</v>
      </c>
      <c r="D1529" t="inlineStr">
        <is>
          <t>Lipiec</t>
        </is>
      </c>
      <c r="E1529" t="inlineStr">
        <is>
          <t>W5</t>
        </is>
      </c>
      <c r="F1529" t="inlineStr">
        <is>
          <t>2026_Lipiec_W5</t>
        </is>
      </c>
      <c r="G1529" t="inlineStr">
        <is>
          <t>Czw</t>
        </is>
      </c>
      <c r="H1529" t="inlineStr">
        <is>
          <t>ZIMNICKA, JULIA</t>
        </is>
      </c>
      <c r="I1529" t="inlineStr">
        <is>
          <t>Crew Civil</t>
        </is>
      </c>
      <c r="J1529" t="inlineStr">
        <is>
          <t>Zlecenie</t>
        </is>
      </c>
      <c r="K1529" t="n">
        <v>8.08</v>
      </c>
      <c r="L1529" t="inlineStr">
        <is>
          <t>384</t>
        </is>
      </c>
      <c r="M1529" t="inlineStr">
        <is>
          <t>108120 SBX Warszawa Janki</t>
        </is>
      </c>
      <c r="N1529" t="inlineStr">
        <is>
          <t>2026-09-11 19:06</t>
        </is>
      </c>
    </row>
    <row r="1530">
      <c r="A1530" t="n">
        <v>1529</v>
      </c>
      <c r="B1530" t="inlineStr">
        <is>
          <t>2026-08-01</t>
        </is>
      </c>
      <c r="C1530" t="n">
        <v>2026</v>
      </c>
      <c r="D1530" t="inlineStr">
        <is>
          <t>Sierpień</t>
        </is>
      </c>
      <c r="E1530" t="inlineStr">
        <is>
          <t>W1</t>
        </is>
      </c>
      <c r="F1530" t="inlineStr">
        <is>
          <t>2026_Sierpień_W1</t>
        </is>
      </c>
      <c r="G1530" t="inlineStr">
        <is>
          <t>Sob</t>
        </is>
      </c>
      <c r="H1530" t="inlineStr">
        <is>
          <t>ZIMNICKA, JULIA</t>
        </is>
      </c>
      <c r="I1530" t="inlineStr">
        <is>
          <t>Crew Civil</t>
        </is>
      </c>
      <c r="J1530" t="inlineStr">
        <is>
          <t>Zlecenie</t>
        </is>
      </c>
      <c r="K1530" t="n">
        <v>7.19</v>
      </c>
      <c r="L1530" t="inlineStr">
        <is>
          <t>384</t>
        </is>
      </c>
      <c r="M1530" t="inlineStr">
        <is>
          <t>108120 SBX Warszawa Janki</t>
        </is>
      </c>
      <c r="N1530" t="inlineStr">
        <is>
          <t>2026-09-11 19:06</t>
        </is>
      </c>
    </row>
    <row r="1531">
      <c r="A1531" t="n">
        <v>1530</v>
      </c>
      <c r="B1531" t="inlineStr">
        <is>
          <t>2026-08-02</t>
        </is>
      </c>
      <c r="C1531" t="n">
        <v>2026</v>
      </c>
      <c r="D1531" t="inlineStr">
        <is>
          <t>Sierpień</t>
        </is>
      </c>
      <c r="E1531" t="inlineStr">
        <is>
          <t>W1</t>
        </is>
      </c>
      <c r="F1531" t="inlineStr">
        <is>
          <t>2026_Sierpień_W1</t>
        </is>
      </c>
      <c r="G1531" t="inlineStr">
        <is>
          <t>Nd</t>
        </is>
      </c>
      <c r="H1531" t="inlineStr">
        <is>
          <t>ZIMNICKA, JULIA</t>
        </is>
      </c>
      <c r="I1531" t="inlineStr">
        <is>
          <t>Crew Civil</t>
        </is>
      </c>
      <c r="J1531" t="inlineStr">
        <is>
          <t>Zlecenie</t>
        </is>
      </c>
      <c r="K1531" t="n">
        <v>7.1</v>
      </c>
      <c r="L1531" t="inlineStr">
        <is>
          <t>384</t>
        </is>
      </c>
      <c r="M1531" t="inlineStr">
        <is>
          <t>108120 SBX Warszawa Janki</t>
        </is>
      </c>
      <c r="N1531" t="inlineStr">
        <is>
          <t>2026-09-11 19:06</t>
        </is>
      </c>
    </row>
    <row r="1532">
      <c r="A1532" t="n">
        <v>1531</v>
      </c>
      <c r="B1532" t="inlineStr">
        <is>
          <t>2026-08-06</t>
        </is>
      </c>
      <c r="C1532" t="n">
        <v>2026</v>
      </c>
      <c r="D1532" t="inlineStr">
        <is>
          <t>Sierpień</t>
        </is>
      </c>
      <c r="E1532" t="inlineStr">
        <is>
          <t>W2</t>
        </is>
      </c>
      <c r="F1532" t="inlineStr">
        <is>
          <t>2026_Sierpień_W2</t>
        </is>
      </c>
      <c r="G1532" t="inlineStr">
        <is>
          <t>Czw</t>
        </is>
      </c>
      <c r="H1532" t="inlineStr">
        <is>
          <t>ZIMNICKA, JULIA</t>
        </is>
      </c>
      <c r="I1532" t="inlineStr">
        <is>
          <t>Crew Civil</t>
        </is>
      </c>
      <c r="J1532" t="inlineStr">
        <is>
          <t>Zlecenie</t>
        </is>
      </c>
      <c r="K1532" t="n">
        <v>4.02</v>
      </c>
      <c r="L1532" t="inlineStr">
        <is>
          <t>384</t>
        </is>
      </c>
      <c r="M1532" t="inlineStr">
        <is>
          <t>108120 SBX Warszawa Janki</t>
        </is>
      </c>
      <c r="N1532" t="inlineStr">
        <is>
          <t>2026-09-11 19:06</t>
        </is>
      </c>
    </row>
    <row r="1533">
      <c r="A1533" t="n">
        <v>1532</v>
      </c>
      <c r="B1533" t="inlineStr">
        <is>
          <t>2026-08-07</t>
        </is>
      </c>
      <c r="C1533" t="n">
        <v>2026</v>
      </c>
      <c r="D1533" t="inlineStr">
        <is>
          <t>Sierpień</t>
        </is>
      </c>
      <c r="E1533" t="inlineStr">
        <is>
          <t>W2</t>
        </is>
      </c>
      <c r="F1533" t="inlineStr">
        <is>
          <t>2026_Sierpień_W2</t>
        </is>
      </c>
      <c r="G1533" t="inlineStr">
        <is>
          <t>Pt</t>
        </is>
      </c>
      <c r="H1533" t="inlineStr">
        <is>
          <t>ZIMNICKA, JULIA</t>
        </is>
      </c>
      <c r="I1533" t="inlineStr">
        <is>
          <t>Crew Civil</t>
        </is>
      </c>
      <c r="J1533" t="inlineStr">
        <is>
          <t>Zlecenie</t>
        </is>
      </c>
      <c r="K1533" t="n">
        <v>7.96</v>
      </c>
      <c r="L1533" t="inlineStr">
        <is>
          <t>384</t>
        </is>
      </c>
      <c r="M1533" t="inlineStr">
        <is>
          <t>108120 SBX Warszawa Janki</t>
        </is>
      </c>
      <c r="N1533" t="inlineStr">
        <is>
          <t>2026-09-11 19:06</t>
        </is>
      </c>
    </row>
    <row r="1534">
      <c r="A1534" t="n">
        <v>1533</v>
      </c>
      <c r="B1534" t="inlineStr">
        <is>
          <t>2026-08-08</t>
        </is>
      </c>
      <c r="C1534" t="n">
        <v>2026</v>
      </c>
      <c r="D1534" t="inlineStr">
        <is>
          <t>Sierpień</t>
        </is>
      </c>
      <c r="E1534" t="inlineStr">
        <is>
          <t>W2</t>
        </is>
      </c>
      <c r="F1534" t="inlineStr">
        <is>
          <t>2026_Sierpień_W2</t>
        </is>
      </c>
      <c r="G1534" t="inlineStr">
        <is>
          <t>Sob</t>
        </is>
      </c>
      <c r="H1534" t="inlineStr">
        <is>
          <t>ZIMNICKA, JULIA</t>
        </is>
      </c>
      <c r="I1534" t="inlineStr">
        <is>
          <t>Crew Civil</t>
        </is>
      </c>
      <c r="J1534" t="inlineStr">
        <is>
          <t>Zlecenie</t>
        </is>
      </c>
      <c r="K1534" t="n">
        <v>6.04</v>
      </c>
      <c r="L1534" t="inlineStr">
        <is>
          <t>384</t>
        </is>
      </c>
      <c r="M1534" t="inlineStr">
        <is>
          <t>108120 SBX Warszawa Janki</t>
        </is>
      </c>
      <c r="N1534" t="inlineStr">
        <is>
          <t>2026-09-11 19:06</t>
        </is>
      </c>
    </row>
    <row r="1535">
      <c r="A1535" t="n">
        <v>1534</v>
      </c>
      <c r="B1535" t="inlineStr">
        <is>
          <t>2026-08-12</t>
        </is>
      </c>
      <c r="C1535" t="n">
        <v>2026</v>
      </c>
      <c r="D1535" t="inlineStr">
        <is>
          <t>Sierpień</t>
        </is>
      </c>
      <c r="E1535" t="inlineStr">
        <is>
          <t>W3</t>
        </is>
      </c>
      <c r="F1535" t="inlineStr">
        <is>
          <t>2026_Sierpień_W3</t>
        </is>
      </c>
      <c r="G1535" t="inlineStr">
        <is>
          <t>Śr</t>
        </is>
      </c>
      <c r="H1535" t="inlineStr">
        <is>
          <t>ZIMNICKA, JULIA</t>
        </is>
      </c>
      <c r="I1535" t="inlineStr">
        <is>
          <t>Crew Civil</t>
        </is>
      </c>
      <c r="J1535" t="inlineStr">
        <is>
          <t>Zlecenie</t>
        </is>
      </c>
      <c r="K1535" t="n">
        <v>8.130000000000001</v>
      </c>
      <c r="L1535" t="inlineStr">
        <is>
          <t>384</t>
        </is>
      </c>
      <c r="M1535" t="inlineStr">
        <is>
          <t>108120 SBX Warszawa Janki</t>
        </is>
      </c>
      <c r="N1535" t="inlineStr">
        <is>
          <t>2026-09-11 19:06</t>
        </is>
      </c>
    </row>
    <row r="1536">
      <c r="A1536" t="n">
        <v>1535</v>
      </c>
      <c r="B1536" t="inlineStr">
        <is>
          <t>2026-08-14</t>
        </is>
      </c>
      <c r="C1536" t="n">
        <v>2026</v>
      </c>
      <c r="D1536" t="inlineStr">
        <is>
          <t>Sierpień</t>
        </is>
      </c>
      <c r="E1536" t="inlineStr">
        <is>
          <t>W3</t>
        </is>
      </c>
      <c r="F1536" t="inlineStr">
        <is>
          <t>2026_Sierpień_W3</t>
        </is>
      </c>
      <c r="G1536" t="inlineStr">
        <is>
          <t>Pt</t>
        </is>
      </c>
      <c r="H1536" t="inlineStr">
        <is>
          <t>ZIMNICKA, JULIA</t>
        </is>
      </c>
      <c r="I1536" t="inlineStr">
        <is>
          <t>Crew Civil</t>
        </is>
      </c>
      <c r="J1536" t="inlineStr">
        <is>
          <t>Zlecenie</t>
        </is>
      </c>
      <c r="K1536" t="n">
        <v>7.06</v>
      </c>
      <c r="L1536" t="inlineStr">
        <is>
          <t>384</t>
        </is>
      </c>
      <c r="M1536" t="inlineStr">
        <is>
          <t>108120 SBX Warszawa Janki</t>
        </is>
      </c>
      <c r="N1536" t="inlineStr">
        <is>
          <t>2026-09-11 19:06</t>
        </is>
      </c>
    </row>
    <row r="1537">
      <c r="A1537" t="n">
        <v>1536</v>
      </c>
      <c r="B1537" t="inlineStr">
        <is>
          <t>2026-08-17</t>
        </is>
      </c>
      <c r="C1537" t="n">
        <v>2026</v>
      </c>
      <c r="D1537" t="inlineStr">
        <is>
          <t>Sierpień</t>
        </is>
      </c>
      <c r="E1537" t="inlineStr">
        <is>
          <t>W3</t>
        </is>
      </c>
      <c r="F1537" t="inlineStr">
        <is>
          <t>2026_Sierpień_W3</t>
        </is>
      </c>
      <c r="G1537" t="inlineStr">
        <is>
          <t>Pn</t>
        </is>
      </c>
      <c r="H1537" t="inlineStr">
        <is>
          <t>ZIMNICKA, JULIA</t>
        </is>
      </c>
      <c r="I1537" t="inlineStr">
        <is>
          <t>Crew Civil</t>
        </is>
      </c>
      <c r="J1537" t="inlineStr">
        <is>
          <t>Zlecenie</t>
        </is>
      </c>
      <c r="K1537" t="n">
        <v>8.06</v>
      </c>
      <c r="L1537" t="inlineStr">
        <is>
          <t>384</t>
        </is>
      </c>
      <c r="M1537" t="inlineStr">
        <is>
          <t>108120 SBX Warszawa Janki</t>
        </is>
      </c>
      <c r="N1537" t="inlineStr">
        <is>
          <t>2026-09-11 19:06</t>
        </is>
      </c>
    </row>
    <row r="1538">
      <c r="A1538" t="n">
        <v>1537</v>
      </c>
      <c r="B1538" t="inlineStr">
        <is>
          <t>2026-08-19</t>
        </is>
      </c>
      <c r="C1538" t="n">
        <v>2026</v>
      </c>
      <c r="D1538" t="inlineStr">
        <is>
          <t>Sierpień</t>
        </is>
      </c>
      <c r="E1538" t="inlineStr">
        <is>
          <t>W4</t>
        </is>
      </c>
      <c r="F1538" t="inlineStr">
        <is>
          <t>2026_Sierpień_W4</t>
        </is>
      </c>
      <c r="G1538" t="inlineStr">
        <is>
          <t>Śr</t>
        </is>
      </c>
      <c r="H1538" t="inlineStr">
        <is>
          <t>ZIMNICKA, JULIA</t>
        </is>
      </c>
      <c r="I1538" t="inlineStr">
        <is>
          <t>Crew Civil</t>
        </is>
      </c>
      <c r="J1538" t="inlineStr">
        <is>
          <t>Zlecenie</t>
        </is>
      </c>
      <c r="K1538" t="n">
        <v>6.34</v>
      </c>
      <c r="L1538" t="inlineStr">
        <is>
          <t>384</t>
        </is>
      </c>
      <c r="M1538" t="inlineStr">
        <is>
          <t>108120 SBX Warszawa Janki</t>
        </is>
      </c>
      <c r="N1538" t="inlineStr">
        <is>
          <t>2026-09-11 19:06</t>
        </is>
      </c>
    </row>
    <row r="1539">
      <c r="A1539" t="n">
        <v>1538</v>
      </c>
      <c r="B1539" t="inlineStr">
        <is>
          <t>2026-08-20</t>
        </is>
      </c>
      <c r="C1539" t="n">
        <v>2026</v>
      </c>
      <c r="D1539" t="inlineStr">
        <is>
          <t>Sierpień</t>
        </is>
      </c>
      <c r="E1539" t="inlineStr">
        <is>
          <t>W4</t>
        </is>
      </c>
      <c r="F1539" t="inlineStr">
        <is>
          <t>2026_Sierpień_W4</t>
        </is>
      </c>
      <c r="G1539" t="inlineStr">
        <is>
          <t>Czw</t>
        </is>
      </c>
      <c r="H1539" t="inlineStr">
        <is>
          <t>ZIMNICKA, JULIA</t>
        </is>
      </c>
      <c r="I1539" t="inlineStr">
        <is>
          <t>Crew Civil</t>
        </is>
      </c>
      <c r="J1539" t="inlineStr">
        <is>
          <t>Zlecenie</t>
        </is>
      </c>
      <c r="K1539" t="n">
        <v>8.630000000000001</v>
      </c>
      <c r="L1539" t="inlineStr">
        <is>
          <t>384</t>
        </is>
      </c>
      <c r="M1539" t="inlineStr">
        <is>
          <t>108120 SBX Warszawa Janki</t>
        </is>
      </c>
      <c r="N1539" t="inlineStr">
        <is>
          <t>2026-09-11 19:06</t>
        </is>
      </c>
    </row>
    <row r="1540">
      <c r="A1540" t="n">
        <v>1539</v>
      </c>
      <c r="B1540" t="inlineStr">
        <is>
          <t>2026-08-22</t>
        </is>
      </c>
      <c r="C1540" t="n">
        <v>2026</v>
      </c>
      <c r="D1540" t="inlineStr">
        <is>
          <t>Sierpień</t>
        </is>
      </c>
      <c r="E1540" t="inlineStr">
        <is>
          <t>W4</t>
        </is>
      </c>
      <c r="F1540" t="inlineStr">
        <is>
          <t>2026_Sierpień_W4</t>
        </is>
      </c>
      <c r="G1540" t="inlineStr">
        <is>
          <t>Sob</t>
        </is>
      </c>
      <c r="H1540" t="inlineStr">
        <is>
          <t>ZIMNICKA, JULIA</t>
        </is>
      </c>
      <c r="I1540" t="inlineStr">
        <is>
          <t>Crew Civil</t>
        </is>
      </c>
      <c r="J1540" t="inlineStr">
        <is>
          <t>Zlecenie</t>
        </is>
      </c>
      <c r="K1540" t="n">
        <v>7.11</v>
      </c>
      <c r="L1540" t="inlineStr">
        <is>
          <t>384</t>
        </is>
      </c>
      <c r="M1540" t="inlineStr">
        <is>
          <t>108120 SBX Warszawa Janki</t>
        </is>
      </c>
      <c r="N1540" t="inlineStr">
        <is>
          <t>2026-09-11 19:06</t>
        </is>
      </c>
    </row>
    <row r="1541">
      <c r="A1541" t="n">
        <v>1540</v>
      </c>
      <c r="B1541" t="inlineStr">
        <is>
          <t>2026-08-23</t>
        </is>
      </c>
      <c r="C1541" t="n">
        <v>2026</v>
      </c>
      <c r="D1541" t="inlineStr">
        <is>
          <t>Sierpień</t>
        </is>
      </c>
      <c r="E1541" t="inlineStr">
        <is>
          <t>W4</t>
        </is>
      </c>
      <c r="F1541" t="inlineStr">
        <is>
          <t>2026_Sierpień_W4</t>
        </is>
      </c>
      <c r="G1541" t="inlineStr">
        <is>
          <t>Nd</t>
        </is>
      </c>
      <c r="H1541" t="inlineStr">
        <is>
          <t>ZIMNICKA, JULIA</t>
        </is>
      </c>
      <c r="I1541" t="inlineStr">
        <is>
          <t>Crew Civil</t>
        </is>
      </c>
      <c r="J1541" t="inlineStr">
        <is>
          <t>Zlecenie</t>
        </is>
      </c>
      <c r="K1541" t="n">
        <v>8.18</v>
      </c>
      <c r="L1541" t="inlineStr">
        <is>
          <t>384</t>
        </is>
      </c>
      <c r="M1541" t="inlineStr">
        <is>
          <t>108120 SBX Warszawa Janki</t>
        </is>
      </c>
      <c r="N1541" t="inlineStr">
        <is>
          <t>2026-09-11 19:06</t>
        </is>
      </c>
    </row>
    <row r="1542">
      <c r="A1542" t="n">
        <v>1541</v>
      </c>
      <c r="B1542" t="inlineStr">
        <is>
          <t>2026-08-26</t>
        </is>
      </c>
      <c r="C1542" t="n">
        <v>2026</v>
      </c>
      <c r="D1542" t="inlineStr">
        <is>
          <t>Sierpień</t>
        </is>
      </c>
      <c r="E1542" t="inlineStr">
        <is>
          <t>W5</t>
        </is>
      </c>
      <c r="F1542" t="inlineStr">
        <is>
          <t>2026_Sierpień_W5</t>
        </is>
      </c>
      <c r="G1542" t="inlineStr">
        <is>
          <t>Śr</t>
        </is>
      </c>
      <c r="H1542" t="inlineStr">
        <is>
          <t>ZIMNICKA, JULIA</t>
        </is>
      </c>
      <c r="I1542" t="inlineStr">
        <is>
          <t>Crew Civil</t>
        </is>
      </c>
      <c r="J1542" t="inlineStr">
        <is>
          <t>Zlecenie</t>
        </is>
      </c>
      <c r="K1542" t="n">
        <v>7.68</v>
      </c>
      <c r="L1542" t="inlineStr">
        <is>
          <t>384</t>
        </is>
      </c>
      <c r="M1542" t="inlineStr">
        <is>
          <t>108120 SBX Warszawa Janki</t>
        </is>
      </c>
      <c r="N1542" t="inlineStr">
        <is>
          <t>2026-09-11 19:06</t>
        </is>
      </c>
    </row>
    <row r="1543">
      <c r="A1543" t="n">
        <v>1542</v>
      </c>
      <c r="B1543" t="inlineStr">
        <is>
          <t>2026-08-28</t>
        </is>
      </c>
      <c r="C1543" t="n">
        <v>2026</v>
      </c>
      <c r="D1543" t="inlineStr">
        <is>
          <t>Sierpień</t>
        </is>
      </c>
      <c r="E1543" t="inlineStr">
        <is>
          <t>W5</t>
        </is>
      </c>
      <c r="F1543" t="inlineStr">
        <is>
          <t>2026_Sierpień_W5</t>
        </is>
      </c>
      <c r="G1543" t="inlineStr">
        <is>
          <t>Pt</t>
        </is>
      </c>
      <c r="H1543" t="inlineStr">
        <is>
          <t>ZIMNICKA, JULIA</t>
        </is>
      </c>
      <c r="I1543" t="inlineStr">
        <is>
          <t>Crew Civil</t>
        </is>
      </c>
      <c r="J1543" t="inlineStr">
        <is>
          <t>Zlecenie</t>
        </is>
      </c>
      <c r="K1543" t="n">
        <v>5.35</v>
      </c>
      <c r="L1543" t="inlineStr">
        <is>
          <t>384</t>
        </is>
      </c>
      <c r="M1543" t="inlineStr">
        <is>
          <t>108120 SBX Warszawa Janki</t>
        </is>
      </c>
      <c r="N1543" t="inlineStr">
        <is>
          <t>2026-09-11 19:06</t>
        </is>
      </c>
    </row>
    <row r="1544">
      <c r="A1544" t="n">
        <v>1543</v>
      </c>
      <c r="B1544" t="inlineStr">
        <is>
          <t>2026-08-31</t>
        </is>
      </c>
      <c r="C1544" t="n">
        <v>2026</v>
      </c>
      <c r="D1544" t="inlineStr">
        <is>
          <t>Sierpień</t>
        </is>
      </c>
      <c r="E1544" t="inlineStr">
        <is>
          <t>W5</t>
        </is>
      </c>
      <c r="F1544" t="inlineStr">
        <is>
          <t>2026_Sierpień_W5</t>
        </is>
      </c>
      <c r="G1544" t="inlineStr">
        <is>
          <t>Pn</t>
        </is>
      </c>
      <c r="H1544" t="inlineStr">
        <is>
          <t>ZIMNICKA, JULIA</t>
        </is>
      </c>
      <c r="I1544" t="inlineStr">
        <is>
          <t>Crew Civil</t>
        </is>
      </c>
      <c r="J1544" t="inlineStr">
        <is>
          <t>Zlecenie</t>
        </is>
      </c>
      <c r="K1544" t="n">
        <v>8</v>
      </c>
      <c r="L1544" t="inlineStr">
        <is>
          <t>384</t>
        </is>
      </c>
      <c r="M1544" t="inlineStr">
        <is>
          <t>108120 SBX Warszawa Janki</t>
        </is>
      </c>
      <c r="N1544" t="inlineStr">
        <is>
          <t>2026-09-11 19:06</t>
        </is>
      </c>
    </row>
    <row r="1545">
      <c r="A1545" t="n">
        <v>1544</v>
      </c>
      <c r="B1545" t="inlineStr">
        <is>
          <t>2026-09-01</t>
        </is>
      </c>
      <c r="C1545" t="n">
        <v>2026</v>
      </c>
      <c r="D1545" t="inlineStr">
        <is>
          <t>Wrzesień</t>
        </is>
      </c>
      <c r="E1545" t="inlineStr">
        <is>
          <t>W1</t>
        </is>
      </c>
      <c r="F1545" t="inlineStr">
        <is>
          <t>2026_Wrzesień_W1</t>
        </is>
      </c>
      <c r="G1545" t="inlineStr">
        <is>
          <t>Wt</t>
        </is>
      </c>
      <c r="H1545" t="inlineStr">
        <is>
          <t>ZIMNICKA, JULIA</t>
        </is>
      </c>
      <c r="I1545" t="inlineStr">
        <is>
          <t>Crew Civil</t>
        </is>
      </c>
      <c r="J1545" t="inlineStr">
        <is>
          <t>Zlecenie</t>
        </is>
      </c>
      <c r="K1545" t="n">
        <v>7.98</v>
      </c>
      <c r="L1545" t="inlineStr">
        <is>
          <t>384</t>
        </is>
      </c>
      <c r="M1545" t="inlineStr">
        <is>
          <t>108120 SBX Warszawa Janki</t>
        </is>
      </c>
      <c r="N1545" t="inlineStr">
        <is>
          <t>2026-09-11 19:06</t>
        </is>
      </c>
    </row>
    <row r="1546">
      <c r="A1546" t="n">
        <v>1545</v>
      </c>
      <c r="B1546" t="inlineStr">
        <is>
          <t>2026-09-04</t>
        </is>
      </c>
      <c r="C1546" t="n">
        <v>2026</v>
      </c>
      <c r="D1546" t="inlineStr">
        <is>
          <t>Wrzesień</t>
        </is>
      </c>
      <c r="E1546" t="inlineStr">
        <is>
          <t>W1</t>
        </is>
      </c>
      <c r="F1546" t="inlineStr">
        <is>
          <t>2026_Wrzesień_W1</t>
        </is>
      </c>
      <c r="G1546" t="inlineStr">
        <is>
          <t>Pt</t>
        </is>
      </c>
      <c r="H1546" t="inlineStr">
        <is>
          <t>ZIMNICKA, JULIA</t>
        </is>
      </c>
      <c r="I1546" t="inlineStr">
        <is>
          <t>Crew Civil</t>
        </is>
      </c>
      <c r="J1546" t="inlineStr">
        <is>
          <t>Zlecenie</t>
        </is>
      </c>
      <c r="K1546" t="n">
        <v>8.08</v>
      </c>
      <c r="L1546" t="inlineStr">
        <is>
          <t>384</t>
        </is>
      </c>
      <c r="M1546" t="inlineStr">
        <is>
          <t>108120 SBX Warszawa Janki</t>
        </is>
      </c>
      <c r="N1546" t="inlineStr">
        <is>
          <t>2026-09-11 19:06</t>
        </is>
      </c>
    </row>
    <row r="1547">
      <c r="A1547" t="n">
        <v>1546</v>
      </c>
      <c r="B1547" t="inlineStr">
        <is>
          <t>2026-09-05</t>
        </is>
      </c>
      <c r="C1547" t="n">
        <v>2026</v>
      </c>
      <c r="D1547" t="inlineStr">
        <is>
          <t>Wrzesień</t>
        </is>
      </c>
      <c r="E1547" t="inlineStr">
        <is>
          <t>W1</t>
        </is>
      </c>
      <c r="F1547" t="inlineStr">
        <is>
          <t>2026_Wrzesień_W1</t>
        </is>
      </c>
      <c r="G1547" t="inlineStr">
        <is>
          <t>Sob</t>
        </is>
      </c>
      <c r="H1547" t="inlineStr">
        <is>
          <t>ZIMNICKA, JULIA</t>
        </is>
      </c>
      <c r="I1547" t="inlineStr">
        <is>
          <t>Crew Civil</t>
        </is>
      </c>
      <c r="J1547" t="inlineStr">
        <is>
          <t>Zlecenie</t>
        </is>
      </c>
      <c r="K1547" t="n">
        <v>7.71</v>
      </c>
      <c r="L1547" t="inlineStr">
        <is>
          <t>384</t>
        </is>
      </c>
      <c r="M1547" t="inlineStr">
        <is>
          <t>108120 SBX Warszawa Janki</t>
        </is>
      </c>
      <c r="N1547" t="inlineStr">
        <is>
          <t>2026-09-11 19:06</t>
        </is>
      </c>
    </row>
    <row r="1548">
      <c r="A1548" t="n">
        <v>1547</v>
      </c>
      <c r="B1548" t="inlineStr">
        <is>
          <t>2026-01-03</t>
        </is>
      </c>
      <c r="C1548" t="n">
        <v>2026</v>
      </c>
      <c r="D1548" t="inlineStr">
        <is>
          <t>Styczeń</t>
        </is>
      </c>
      <c r="E1548" t="inlineStr">
        <is>
          <t>W1</t>
        </is>
      </c>
      <c r="F1548" t="inlineStr">
        <is>
          <t>2026_Styczeń_W1</t>
        </is>
      </c>
      <c r="G1548" t="inlineStr">
        <is>
          <t>Sob</t>
        </is>
      </c>
      <c r="H1548" t="inlineStr">
        <is>
          <t>ZNOJEK, GABRIELA</t>
        </is>
      </c>
      <c r="I1548" t="inlineStr">
        <is>
          <t>Instructor</t>
        </is>
      </c>
      <c r="J1548" t="inlineStr">
        <is>
          <t>Standard 0,75|30h</t>
        </is>
      </c>
      <c r="K1548" t="n">
        <v>1.12</v>
      </c>
      <c r="L1548" t="inlineStr">
        <is>
          <t>384</t>
        </is>
      </c>
      <c r="M1548" t="inlineStr">
        <is>
          <t>108120 SBX Warszawa Janki</t>
        </is>
      </c>
      <c r="N1548" t="inlineStr">
        <is>
          <t>2026-09-11 19:06</t>
        </is>
      </c>
    </row>
    <row r="1549">
      <c r="A1549" t="n">
        <v>1548</v>
      </c>
      <c r="B1549" t="inlineStr">
        <is>
          <t>2026-01-03</t>
        </is>
      </c>
      <c r="C1549" t="n">
        <v>2026</v>
      </c>
      <c r="D1549" t="inlineStr">
        <is>
          <t>Styczeń</t>
        </is>
      </c>
      <c r="E1549" t="inlineStr">
        <is>
          <t>W1</t>
        </is>
      </c>
      <c r="F1549" t="inlineStr">
        <is>
          <t>2026_Styczeń_W1</t>
        </is>
      </c>
      <c r="G1549" t="inlineStr">
        <is>
          <t>Sob</t>
        </is>
      </c>
      <c r="H1549" t="inlineStr">
        <is>
          <t>ZNOJEK, GABRIELA</t>
        </is>
      </c>
      <c r="I1549" t="inlineStr">
        <is>
          <t>Instructor</t>
        </is>
      </c>
      <c r="J1549" t="inlineStr">
        <is>
          <t>Standard 0,75|30h</t>
        </is>
      </c>
      <c r="K1549" t="n">
        <v>8.34</v>
      </c>
      <c r="L1549" t="inlineStr">
        <is>
          <t>384</t>
        </is>
      </c>
      <c r="M1549" t="inlineStr">
        <is>
          <t>108120 SBX Warszawa Janki</t>
        </is>
      </c>
      <c r="N1549" t="inlineStr">
        <is>
          <t>2026-09-11 19:06</t>
        </is>
      </c>
    </row>
    <row r="1550">
      <c r="A1550" t="n">
        <v>1549</v>
      </c>
      <c r="B1550" t="inlineStr">
        <is>
          <t>2026-01-04</t>
        </is>
      </c>
      <c r="C1550" t="n">
        <v>2026</v>
      </c>
      <c r="D1550" t="inlineStr">
        <is>
          <t>Styczeń</t>
        </is>
      </c>
      <c r="E1550" t="inlineStr">
        <is>
          <t>W1</t>
        </is>
      </c>
      <c r="F1550" t="inlineStr">
        <is>
          <t>2026_Styczeń_W1</t>
        </is>
      </c>
      <c r="G1550" t="inlineStr">
        <is>
          <t>Nd</t>
        </is>
      </c>
      <c r="H1550" t="inlineStr">
        <is>
          <t>ZNOJEK, GABRIELA</t>
        </is>
      </c>
      <c r="I1550" t="inlineStr">
        <is>
          <t>Instructor</t>
        </is>
      </c>
      <c r="J1550" t="inlineStr">
        <is>
          <t>Standard 0,75|30h</t>
        </is>
      </c>
      <c r="K1550" t="n">
        <v>1.32</v>
      </c>
      <c r="L1550" t="inlineStr">
        <is>
          <t>384</t>
        </is>
      </c>
      <c r="M1550" t="inlineStr">
        <is>
          <t>108120 SBX Warszawa Janki</t>
        </is>
      </c>
      <c r="N1550" t="inlineStr">
        <is>
          <t>2026-09-11 19:06</t>
        </is>
      </c>
    </row>
    <row r="1551">
      <c r="A1551" t="n">
        <v>1550</v>
      </c>
      <c r="B1551" t="inlineStr">
        <is>
          <t>2026-01-05</t>
        </is>
      </c>
      <c r="C1551" t="n">
        <v>2026</v>
      </c>
      <c r="D1551" t="inlineStr">
        <is>
          <t>Styczeń</t>
        </is>
      </c>
      <c r="E1551" t="inlineStr">
        <is>
          <t>W1</t>
        </is>
      </c>
      <c r="F1551" t="inlineStr">
        <is>
          <t>2026_Styczeń_W1</t>
        </is>
      </c>
      <c r="G1551" t="inlineStr">
        <is>
          <t>Pn</t>
        </is>
      </c>
      <c r="H1551" t="inlineStr">
        <is>
          <t>ZNOJEK, GABRIELA</t>
        </is>
      </c>
      <c r="I1551" t="inlineStr">
        <is>
          <t>Instructor</t>
        </is>
      </c>
      <c r="J1551" t="inlineStr">
        <is>
          <t>Standard 0,75|30h</t>
        </is>
      </c>
      <c r="K1551" t="n">
        <v>8.220000000000001</v>
      </c>
      <c r="L1551" t="inlineStr">
        <is>
          <t>384</t>
        </is>
      </c>
      <c r="M1551" t="inlineStr">
        <is>
          <t>108120 SBX Warszawa Janki</t>
        </is>
      </c>
      <c r="N1551" t="inlineStr">
        <is>
          <t>2026-09-11 19:06</t>
        </is>
      </c>
    </row>
    <row r="1552">
      <c r="A1552" t="n">
        <v>1551</v>
      </c>
      <c r="B1552" t="inlineStr">
        <is>
          <t>2026-01-07</t>
        </is>
      </c>
      <c r="C1552" t="n">
        <v>2026</v>
      </c>
      <c r="D1552" t="inlineStr">
        <is>
          <t>Styczeń</t>
        </is>
      </c>
      <c r="E1552" t="inlineStr">
        <is>
          <t>W2</t>
        </is>
      </c>
      <c r="F1552" t="inlineStr">
        <is>
          <t>2026_Styczeń_W2</t>
        </is>
      </c>
      <c r="G1552" t="inlineStr">
        <is>
          <t>Śr</t>
        </is>
      </c>
      <c r="H1552" t="inlineStr">
        <is>
          <t>ZNOJEK, GABRIELA</t>
        </is>
      </c>
      <c r="I1552" t="inlineStr">
        <is>
          <t>Instructor</t>
        </is>
      </c>
      <c r="J1552" t="inlineStr">
        <is>
          <t>Standard 0,75|30h</t>
        </is>
      </c>
      <c r="K1552" t="n">
        <v>7.32</v>
      </c>
      <c r="L1552" t="inlineStr">
        <is>
          <t>384</t>
        </is>
      </c>
      <c r="M1552" t="inlineStr">
        <is>
          <t>108120 SBX Warszawa Janki</t>
        </is>
      </c>
      <c r="N1552" t="inlineStr">
        <is>
          <t>2026-09-11 19:06</t>
        </is>
      </c>
    </row>
    <row r="1553">
      <c r="A1553" t="n">
        <v>1552</v>
      </c>
      <c r="B1553" t="inlineStr">
        <is>
          <t>2026-01-12</t>
        </is>
      </c>
      <c r="C1553" t="n">
        <v>2026</v>
      </c>
      <c r="D1553" t="inlineStr">
        <is>
          <t>Styczeń</t>
        </is>
      </c>
      <c r="E1553" t="inlineStr">
        <is>
          <t>W2</t>
        </is>
      </c>
      <c r="F1553" t="inlineStr">
        <is>
          <t>2026_Styczeń_W2</t>
        </is>
      </c>
      <c r="G1553" t="inlineStr">
        <is>
          <t>Pn</t>
        </is>
      </c>
      <c r="H1553" t="inlineStr">
        <is>
          <t>ZNOJEK, GABRIELA</t>
        </is>
      </c>
      <c r="I1553" t="inlineStr">
        <is>
          <t>Instructor</t>
        </is>
      </c>
      <c r="J1553" t="inlineStr">
        <is>
          <t>Standard 0,75|30h</t>
        </is>
      </c>
      <c r="K1553" t="n">
        <v>8.119999999999999</v>
      </c>
      <c r="L1553" t="inlineStr">
        <is>
          <t>384</t>
        </is>
      </c>
      <c r="M1553" t="inlineStr">
        <is>
          <t>108120 SBX Warszawa Janki</t>
        </is>
      </c>
      <c r="N1553" t="inlineStr">
        <is>
          <t>2026-09-11 19:06</t>
        </is>
      </c>
    </row>
    <row r="1554">
      <c r="A1554" t="n">
        <v>1553</v>
      </c>
      <c r="B1554" t="inlineStr">
        <is>
          <t>2026-01-16</t>
        </is>
      </c>
      <c r="C1554" t="n">
        <v>2026</v>
      </c>
      <c r="D1554" t="inlineStr">
        <is>
          <t>Styczeń</t>
        </is>
      </c>
      <c r="E1554" t="inlineStr">
        <is>
          <t>W3</t>
        </is>
      </c>
      <c r="F1554" t="inlineStr">
        <is>
          <t>2026_Styczeń_W3</t>
        </is>
      </c>
      <c r="G1554" t="inlineStr">
        <is>
          <t>Pt</t>
        </is>
      </c>
      <c r="H1554" t="inlineStr">
        <is>
          <t>ZNOJEK, GABRIELA</t>
        </is>
      </c>
      <c r="I1554" t="inlineStr">
        <is>
          <t>Instructor</t>
        </is>
      </c>
      <c r="J1554" t="inlineStr">
        <is>
          <t>Standard 0,75|30h</t>
        </is>
      </c>
      <c r="K1554" t="n">
        <v>8.210000000000001</v>
      </c>
      <c r="L1554" t="inlineStr">
        <is>
          <t>384</t>
        </is>
      </c>
      <c r="M1554" t="inlineStr">
        <is>
          <t>108120 SBX Warszawa Janki</t>
        </is>
      </c>
      <c r="N1554" t="inlineStr">
        <is>
          <t>2026-09-11 19:06</t>
        </is>
      </c>
    </row>
    <row r="1555">
      <c r="A1555" t="n">
        <v>1554</v>
      </c>
      <c r="B1555" t="inlineStr">
        <is>
          <t>2026-01-19</t>
        </is>
      </c>
      <c r="C1555" t="n">
        <v>2026</v>
      </c>
      <c r="D1555" t="inlineStr">
        <is>
          <t>Styczeń</t>
        </is>
      </c>
      <c r="E1555" t="inlineStr">
        <is>
          <t>W3</t>
        </is>
      </c>
      <c r="F1555" t="inlineStr">
        <is>
          <t>2026_Styczeń_W3</t>
        </is>
      </c>
      <c r="G1555" t="inlineStr">
        <is>
          <t>Pn</t>
        </is>
      </c>
      <c r="H1555" t="inlineStr">
        <is>
          <t>ZNOJEK, GABRIELA</t>
        </is>
      </c>
      <c r="I1555" t="inlineStr">
        <is>
          <t>Instructor</t>
        </is>
      </c>
      <c r="J1555" t="inlineStr">
        <is>
          <t>Standard 0,75|30h</t>
        </is>
      </c>
      <c r="K1555" t="n">
        <v>8.050000000000001</v>
      </c>
      <c r="L1555" t="inlineStr">
        <is>
          <t>384</t>
        </is>
      </c>
      <c r="M1555" t="inlineStr">
        <is>
          <t>108120 SBX Warszawa Janki</t>
        </is>
      </c>
      <c r="N1555" t="inlineStr">
        <is>
          <t>2026-09-11 19:06</t>
        </is>
      </c>
    </row>
    <row r="1556">
      <c r="A1556" t="n">
        <v>1555</v>
      </c>
      <c r="B1556" t="inlineStr">
        <is>
          <t>2026-01-20</t>
        </is>
      </c>
      <c r="C1556" t="n">
        <v>2026</v>
      </c>
      <c r="D1556" t="inlineStr">
        <is>
          <t>Styczeń</t>
        </is>
      </c>
      <c r="E1556" t="inlineStr">
        <is>
          <t>W4</t>
        </is>
      </c>
      <c r="F1556" t="inlineStr">
        <is>
          <t>2026_Styczeń_W4</t>
        </is>
      </c>
      <c r="G1556" t="inlineStr">
        <is>
          <t>Wt</t>
        </is>
      </c>
      <c r="H1556" t="inlineStr">
        <is>
          <t>ZNOJEK, GABRIELA</t>
        </is>
      </c>
      <c r="I1556" t="inlineStr">
        <is>
          <t>Instructor</t>
        </is>
      </c>
      <c r="J1556" t="inlineStr">
        <is>
          <t>Standard 0,75|30h</t>
        </is>
      </c>
      <c r="K1556" t="n">
        <v>8.460000000000001</v>
      </c>
      <c r="L1556" t="inlineStr">
        <is>
          <t>384</t>
        </is>
      </c>
      <c r="M1556" t="inlineStr">
        <is>
          <t>108120 SBX Warszawa Janki</t>
        </is>
      </c>
      <c r="N1556" t="inlineStr">
        <is>
          <t>2026-09-11 19:06</t>
        </is>
      </c>
    </row>
    <row r="1557">
      <c r="A1557" t="n">
        <v>1556</v>
      </c>
      <c r="B1557" t="inlineStr">
        <is>
          <t>2026-01-21</t>
        </is>
      </c>
      <c r="C1557" t="n">
        <v>2026</v>
      </c>
      <c r="D1557" t="inlineStr">
        <is>
          <t>Styczeń</t>
        </is>
      </c>
      <c r="E1557" t="inlineStr">
        <is>
          <t>W4</t>
        </is>
      </c>
      <c r="F1557" t="inlineStr">
        <is>
          <t>2026_Styczeń_W4</t>
        </is>
      </c>
      <c r="G1557" t="inlineStr">
        <is>
          <t>Śr</t>
        </is>
      </c>
      <c r="H1557" t="inlineStr">
        <is>
          <t>ZNOJEK, GABRIELA</t>
        </is>
      </c>
      <c r="I1557" t="inlineStr">
        <is>
          <t>Instructor</t>
        </is>
      </c>
      <c r="J1557" t="inlineStr">
        <is>
          <t>Standard 0,75|30h</t>
        </is>
      </c>
      <c r="K1557" t="n">
        <v>8.19</v>
      </c>
      <c r="L1557" t="inlineStr">
        <is>
          <t>384</t>
        </is>
      </c>
      <c r="M1557" t="inlineStr">
        <is>
          <t>108120 SBX Warszawa Janki</t>
        </is>
      </c>
      <c r="N1557" t="inlineStr">
        <is>
          <t>2026-09-11 19:06</t>
        </is>
      </c>
    </row>
    <row r="1558">
      <c r="A1558" t="n">
        <v>1557</v>
      </c>
      <c r="B1558" t="inlineStr">
        <is>
          <t>2026-01-22</t>
        </is>
      </c>
      <c r="C1558" t="n">
        <v>2026</v>
      </c>
      <c r="D1558" t="inlineStr">
        <is>
          <t>Styczeń</t>
        </is>
      </c>
      <c r="E1558" t="inlineStr">
        <is>
          <t>W4</t>
        </is>
      </c>
      <c r="F1558" t="inlineStr">
        <is>
          <t>2026_Styczeń_W4</t>
        </is>
      </c>
      <c r="G1558" t="inlineStr">
        <is>
          <t>Czw</t>
        </is>
      </c>
      <c r="H1558" t="inlineStr">
        <is>
          <t>ZNOJEK, GABRIELA</t>
        </is>
      </c>
      <c r="I1558" t="inlineStr">
        <is>
          <t>Instructor</t>
        </is>
      </c>
      <c r="J1558" t="inlineStr">
        <is>
          <t>Standard 0,75|30h</t>
        </is>
      </c>
      <c r="K1558" t="n">
        <v>8.15</v>
      </c>
      <c r="L1558" t="inlineStr">
        <is>
          <t>384</t>
        </is>
      </c>
      <c r="M1558" t="inlineStr">
        <is>
          <t>108120 SBX Warszawa Janki</t>
        </is>
      </c>
      <c r="N1558" t="inlineStr">
        <is>
          <t>2026-09-11 19:06</t>
        </is>
      </c>
    </row>
    <row r="1559">
      <c r="A1559" t="n">
        <v>1558</v>
      </c>
      <c r="B1559" t="inlineStr">
        <is>
          <t>2026-01-23</t>
        </is>
      </c>
      <c r="C1559" t="n">
        <v>2026</v>
      </c>
      <c r="D1559" t="inlineStr">
        <is>
          <t>Styczeń</t>
        </is>
      </c>
      <c r="E1559" t="inlineStr">
        <is>
          <t>W4</t>
        </is>
      </c>
      <c r="F1559" t="inlineStr">
        <is>
          <t>2026_Styczeń_W4</t>
        </is>
      </c>
      <c r="G1559" t="inlineStr">
        <is>
          <t>Pt</t>
        </is>
      </c>
      <c r="H1559" t="inlineStr">
        <is>
          <t>ZNOJEK, GABRIELA</t>
        </is>
      </c>
      <c r="I1559" t="inlineStr">
        <is>
          <t>Instructor</t>
        </is>
      </c>
      <c r="J1559" t="inlineStr">
        <is>
          <t>Standard 0,75|30h</t>
        </is>
      </c>
      <c r="K1559" t="n">
        <v>8.94</v>
      </c>
      <c r="L1559" t="inlineStr">
        <is>
          <t>384</t>
        </is>
      </c>
      <c r="M1559" t="inlineStr">
        <is>
          <t>108120 SBX Warszawa Janki</t>
        </is>
      </c>
      <c r="N1559" t="inlineStr">
        <is>
          <t>2026-09-11 19:06</t>
        </is>
      </c>
    </row>
    <row r="1560">
      <c r="A1560" t="n">
        <v>1559</v>
      </c>
      <c r="B1560" t="inlineStr">
        <is>
          <t>2026-01-26</t>
        </is>
      </c>
      <c r="C1560" t="n">
        <v>2026</v>
      </c>
      <c r="D1560" t="inlineStr">
        <is>
          <t>Styczeń</t>
        </is>
      </c>
      <c r="E1560" t="inlineStr">
        <is>
          <t>W4</t>
        </is>
      </c>
      <c r="F1560" t="inlineStr">
        <is>
          <t>2026_Styczeń_W4</t>
        </is>
      </c>
      <c r="G1560" t="inlineStr">
        <is>
          <t>Pn</t>
        </is>
      </c>
      <c r="H1560" t="inlineStr">
        <is>
          <t>ZNOJEK, GABRIELA</t>
        </is>
      </c>
      <c r="I1560" t="inlineStr">
        <is>
          <t>Instructor</t>
        </is>
      </c>
      <c r="J1560" t="inlineStr">
        <is>
          <t>Standard 0,75|30h</t>
        </is>
      </c>
      <c r="K1560" t="n">
        <v>6.01</v>
      </c>
      <c r="L1560" t="inlineStr">
        <is>
          <t>384</t>
        </is>
      </c>
      <c r="M1560" t="inlineStr">
        <is>
          <t>108120 SBX Warszawa Janki</t>
        </is>
      </c>
      <c r="N1560" t="inlineStr">
        <is>
          <t>2026-09-11 19:06</t>
        </is>
      </c>
    </row>
    <row r="1561">
      <c r="A1561" t="n">
        <v>1560</v>
      </c>
      <c r="B1561" t="inlineStr">
        <is>
          <t>2026-01-27</t>
        </is>
      </c>
      <c r="C1561" t="n">
        <v>2026</v>
      </c>
      <c r="D1561" t="inlineStr">
        <is>
          <t>Styczeń</t>
        </is>
      </c>
      <c r="E1561" t="inlineStr">
        <is>
          <t>W5</t>
        </is>
      </c>
      <c r="F1561" t="inlineStr">
        <is>
          <t>2026_Styczeń_W5</t>
        </is>
      </c>
      <c r="G1561" t="inlineStr">
        <is>
          <t>Wt</t>
        </is>
      </c>
      <c r="H1561" t="inlineStr">
        <is>
          <t>ZNOJEK, GABRIELA</t>
        </is>
      </c>
      <c r="I1561" t="inlineStr">
        <is>
          <t>Instructor</t>
        </is>
      </c>
      <c r="J1561" t="inlineStr">
        <is>
          <t>Standard 0,75|30h</t>
        </is>
      </c>
      <c r="K1561" t="n">
        <v>5.55</v>
      </c>
      <c r="L1561" t="inlineStr">
        <is>
          <t>384</t>
        </is>
      </c>
      <c r="M1561" t="inlineStr">
        <is>
          <t>108120 SBX Warszawa Janki</t>
        </is>
      </c>
      <c r="N1561" t="inlineStr">
        <is>
          <t>2026-09-11 19:06</t>
        </is>
      </c>
    </row>
    <row r="1562">
      <c r="A1562" t="n">
        <v>1561</v>
      </c>
      <c r="B1562" t="inlineStr">
        <is>
          <t>2026-01-28</t>
        </is>
      </c>
      <c r="C1562" t="n">
        <v>2026</v>
      </c>
      <c r="D1562" t="inlineStr">
        <is>
          <t>Styczeń</t>
        </is>
      </c>
      <c r="E1562" t="inlineStr">
        <is>
          <t>W5</t>
        </is>
      </c>
      <c r="F1562" t="inlineStr">
        <is>
          <t>2026_Styczeń_W5</t>
        </is>
      </c>
      <c r="G1562" t="inlineStr">
        <is>
          <t>Śr</t>
        </is>
      </c>
      <c r="H1562" t="inlineStr">
        <is>
          <t>ZNOJEK, GABRIELA</t>
        </is>
      </c>
      <c r="I1562" t="inlineStr">
        <is>
          <t>Instructor</t>
        </is>
      </c>
      <c r="J1562" t="inlineStr">
        <is>
          <t>Standard 0,75|30h</t>
        </is>
      </c>
      <c r="K1562" t="n">
        <v>6.31</v>
      </c>
      <c r="L1562" t="inlineStr">
        <is>
          <t>384</t>
        </is>
      </c>
      <c r="M1562" t="inlineStr">
        <is>
          <t>108120 SBX Warszawa Janki</t>
        </is>
      </c>
      <c r="N1562" t="inlineStr">
        <is>
          <t>2026-09-11 19:06</t>
        </is>
      </c>
    </row>
    <row r="1563">
      <c r="A1563" t="n">
        <v>1562</v>
      </c>
      <c r="B1563" t="inlineStr">
        <is>
          <t>2026-01-29</t>
        </is>
      </c>
      <c r="C1563" t="n">
        <v>2026</v>
      </c>
      <c r="D1563" t="inlineStr">
        <is>
          <t>Styczeń</t>
        </is>
      </c>
      <c r="E1563" t="inlineStr">
        <is>
          <t>W5</t>
        </is>
      </c>
      <c r="F1563" t="inlineStr">
        <is>
          <t>2026_Styczeń_W5</t>
        </is>
      </c>
      <c r="G1563" t="inlineStr">
        <is>
          <t>Czw</t>
        </is>
      </c>
      <c r="H1563" t="inlineStr">
        <is>
          <t>ZNOJEK, GABRIELA</t>
        </is>
      </c>
      <c r="I1563" t="inlineStr">
        <is>
          <t>Instructor</t>
        </is>
      </c>
      <c r="J1563" t="inlineStr">
        <is>
          <t>Standard 0,75|30h</t>
        </is>
      </c>
      <c r="K1563" t="n">
        <v>9.140000000000001</v>
      </c>
      <c r="L1563" t="inlineStr">
        <is>
          <t>384</t>
        </is>
      </c>
      <c r="M1563" t="inlineStr">
        <is>
          <t>108120 SBX Warszawa Janki</t>
        </is>
      </c>
      <c r="N1563" t="inlineStr">
        <is>
          <t>2026-09-11 19:06</t>
        </is>
      </c>
    </row>
    <row r="1564">
      <c r="A1564" t="n">
        <v>1563</v>
      </c>
      <c r="B1564" t="inlineStr">
        <is>
          <t>2026-01-30</t>
        </is>
      </c>
      <c r="C1564" t="n">
        <v>2026</v>
      </c>
      <c r="D1564" t="inlineStr">
        <is>
          <t>Styczeń</t>
        </is>
      </c>
      <c r="E1564" t="inlineStr">
        <is>
          <t>W5</t>
        </is>
      </c>
      <c r="F1564" t="inlineStr">
        <is>
          <t>2026_Styczeń_W5</t>
        </is>
      </c>
      <c r="G1564" t="inlineStr">
        <is>
          <t>Pt</t>
        </is>
      </c>
      <c r="H1564" t="inlineStr">
        <is>
          <t>ZNOJEK, GABRIELA</t>
        </is>
      </c>
      <c r="I1564" t="inlineStr">
        <is>
          <t>Instructor</t>
        </is>
      </c>
      <c r="J1564" t="inlineStr">
        <is>
          <t>Standard 0,75|30h</t>
        </is>
      </c>
      <c r="K1564" t="n">
        <v>8.710000000000001</v>
      </c>
      <c r="L1564" t="inlineStr">
        <is>
          <t>384</t>
        </is>
      </c>
      <c r="M1564" t="inlineStr">
        <is>
          <t>108120 SBX Warszawa Janki</t>
        </is>
      </c>
      <c r="N1564" t="inlineStr">
        <is>
          <t>2026-09-11 19:06</t>
        </is>
      </c>
    </row>
    <row r="1565">
      <c r="A1565" t="n">
        <v>1564</v>
      </c>
      <c r="B1565" t="inlineStr">
        <is>
          <t>2026-02-02</t>
        </is>
      </c>
      <c r="C1565" t="n">
        <v>2026</v>
      </c>
      <c r="D1565" t="inlineStr">
        <is>
          <t>Luty</t>
        </is>
      </c>
      <c r="E1565" t="inlineStr">
        <is>
          <t>W1</t>
        </is>
      </c>
      <c r="F1565" t="inlineStr">
        <is>
          <t>2026_Luty_W1</t>
        </is>
      </c>
      <c r="G1565" t="inlineStr">
        <is>
          <t>Pn</t>
        </is>
      </c>
      <c r="H1565" t="inlineStr">
        <is>
          <t>ZNOJEK, GABRIELA</t>
        </is>
      </c>
      <c r="I1565" t="inlineStr">
        <is>
          <t>Instructor</t>
        </is>
      </c>
      <c r="J1565" t="inlineStr">
        <is>
          <t>Standard 0,75|30h</t>
        </is>
      </c>
      <c r="K1565" t="n">
        <v>8.16</v>
      </c>
      <c r="L1565" t="inlineStr">
        <is>
          <t>384</t>
        </is>
      </c>
      <c r="M1565" t="inlineStr">
        <is>
          <t>108120 SBX Warszawa Janki</t>
        </is>
      </c>
      <c r="N1565" t="inlineStr">
        <is>
          <t>2026-09-11 19:06</t>
        </is>
      </c>
    </row>
    <row r="1566">
      <c r="A1566" t="n">
        <v>1565</v>
      </c>
      <c r="B1566" t="inlineStr">
        <is>
          <t>2026-02-03</t>
        </is>
      </c>
      <c r="C1566" t="n">
        <v>2026</v>
      </c>
      <c r="D1566" t="inlineStr">
        <is>
          <t>Luty</t>
        </is>
      </c>
      <c r="E1566" t="inlineStr">
        <is>
          <t>W2</t>
        </is>
      </c>
      <c r="F1566" t="inlineStr">
        <is>
          <t>2026_Luty_W2</t>
        </is>
      </c>
      <c r="G1566" t="inlineStr">
        <is>
          <t>Wt</t>
        </is>
      </c>
      <c r="H1566" t="inlineStr">
        <is>
          <t>ZNOJEK, GABRIELA</t>
        </is>
      </c>
      <c r="I1566" t="inlineStr">
        <is>
          <t>Instructor</t>
        </is>
      </c>
      <c r="J1566" t="inlineStr">
        <is>
          <t>Standard 0,75|30h</t>
        </is>
      </c>
      <c r="K1566" t="n">
        <v>8.140000000000001</v>
      </c>
      <c r="L1566" t="inlineStr">
        <is>
          <t>384</t>
        </is>
      </c>
      <c r="M1566" t="inlineStr">
        <is>
          <t>108120 SBX Warszawa Janki</t>
        </is>
      </c>
      <c r="N1566" t="inlineStr">
        <is>
          <t>2026-09-11 19:06</t>
        </is>
      </c>
    </row>
    <row r="1567">
      <c r="A1567" t="n">
        <v>1566</v>
      </c>
      <c r="B1567" t="inlineStr">
        <is>
          <t>2026-02-04</t>
        </is>
      </c>
      <c r="C1567" t="n">
        <v>2026</v>
      </c>
      <c r="D1567" t="inlineStr">
        <is>
          <t>Luty</t>
        </is>
      </c>
      <c r="E1567" t="inlineStr">
        <is>
          <t>W2</t>
        </is>
      </c>
      <c r="F1567" t="inlineStr">
        <is>
          <t>2026_Luty_W2</t>
        </is>
      </c>
      <c r="G1567" t="inlineStr">
        <is>
          <t>Śr</t>
        </is>
      </c>
      <c r="H1567" t="inlineStr">
        <is>
          <t>ZNOJEK, GABRIELA</t>
        </is>
      </c>
      <c r="I1567" t="inlineStr">
        <is>
          <t>Instructor</t>
        </is>
      </c>
      <c r="J1567" t="inlineStr">
        <is>
          <t>Standard 0,75|30h</t>
        </is>
      </c>
      <c r="K1567" t="n">
        <v>7.93</v>
      </c>
      <c r="L1567" t="inlineStr">
        <is>
          <t>384</t>
        </is>
      </c>
      <c r="M1567" t="inlineStr">
        <is>
          <t>108120 SBX Warszawa Janki</t>
        </is>
      </c>
      <c r="N1567" t="inlineStr">
        <is>
          <t>2026-09-11 19:06</t>
        </is>
      </c>
    </row>
    <row r="1568">
      <c r="A1568" t="n">
        <v>1567</v>
      </c>
      <c r="B1568" t="inlineStr">
        <is>
          <t>2026-02-06</t>
        </is>
      </c>
      <c r="C1568" t="n">
        <v>2026</v>
      </c>
      <c r="D1568" t="inlineStr">
        <is>
          <t>Luty</t>
        </is>
      </c>
      <c r="E1568" t="inlineStr">
        <is>
          <t>W2</t>
        </is>
      </c>
      <c r="F1568" t="inlineStr">
        <is>
          <t>2026_Luty_W2</t>
        </is>
      </c>
      <c r="G1568" t="inlineStr">
        <is>
          <t>Pt</t>
        </is>
      </c>
      <c r="H1568" t="inlineStr">
        <is>
          <t>ZNOJEK, GABRIELA</t>
        </is>
      </c>
      <c r="I1568" t="inlineStr">
        <is>
          <t>Instructor</t>
        </is>
      </c>
      <c r="J1568" t="inlineStr">
        <is>
          <t>Standard 0,75|30h</t>
        </is>
      </c>
      <c r="K1568" t="n">
        <v>7.81</v>
      </c>
      <c r="L1568" t="inlineStr">
        <is>
          <t>384</t>
        </is>
      </c>
      <c r="M1568" t="inlineStr">
        <is>
          <t>108120 SBX Warszawa Janki</t>
        </is>
      </c>
      <c r="N1568" t="inlineStr">
        <is>
          <t>2026-09-11 19:06</t>
        </is>
      </c>
    </row>
    <row r="1569">
      <c r="A1569" t="n">
        <v>1568</v>
      </c>
      <c r="B1569" t="inlineStr">
        <is>
          <t>2026-02-07</t>
        </is>
      </c>
      <c r="C1569" t="n">
        <v>2026</v>
      </c>
      <c r="D1569" t="inlineStr">
        <is>
          <t>Luty</t>
        </is>
      </c>
      <c r="E1569" t="inlineStr">
        <is>
          <t>W2</t>
        </is>
      </c>
      <c r="F1569" t="inlineStr">
        <is>
          <t>2026_Luty_W2</t>
        </is>
      </c>
      <c r="G1569" t="inlineStr">
        <is>
          <t>Sob</t>
        </is>
      </c>
      <c r="H1569" t="inlineStr">
        <is>
          <t>ZNOJEK, GABRIELA</t>
        </is>
      </c>
      <c r="I1569" t="inlineStr">
        <is>
          <t>Instructor</t>
        </is>
      </c>
      <c r="J1569" t="inlineStr">
        <is>
          <t>Standard 0,75|30h</t>
        </is>
      </c>
      <c r="K1569" t="n">
        <v>5.13</v>
      </c>
      <c r="L1569" t="inlineStr">
        <is>
          <t>384</t>
        </is>
      </c>
      <c r="M1569" t="inlineStr">
        <is>
          <t>108120 SBX Warszawa Janki</t>
        </is>
      </c>
      <c r="N1569" t="inlineStr">
        <is>
          <t>2026-09-11 19:06</t>
        </is>
      </c>
    </row>
    <row r="1570">
      <c r="A1570" t="n">
        <v>1569</v>
      </c>
      <c r="B1570" t="inlineStr">
        <is>
          <t>2026-02-08</t>
        </is>
      </c>
      <c r="C1570" t="n">
        <v>2026</v>
      </c>
      <c r="D1570" t="inlineStr">
        <is>
          <t>Luty</t>
        </is>
      </c>
      <c r="E1570" t="inlineStr">
        <is>
          <t>W2</t>
        </is>
      </c>
      <c r="F1570" t="inlineStr">
        <is>
          <t>2026_Luty_W2</t>
        </is>
      </c>
      <c r="G1570" t="inlineStr">
        <is>
          <t>Nd</t>
        </is>
      </c>
      <c r="H1570" t="inlineStr">
        <is>
          <t>ZNOJEK, GABRIELA</t>
        </is>
      </c>
      <c r="I1570" t="inlineStr">
        <is>
          <t>Instructor</t>
        </is>
      </c>
      <c r="J1570" t="inlineStr">
        <is>
          <t>Standard 0,75|30h</t>
        </is>
      </c>
      <c r="K1570" t="n">
        <v>3.7</v>
      </c>
      <c r="L1570" t="inlineStr">
        <is>
          <t>384</t>
        </is>
      </c>
      <c r="M1570" t="inlineStr">
        <is>
          <t>108120 SBX Warszawa Janki</t>
        </is>
      </c>
      <c r="N1570" t="inlineStr">
        <is>
          <t>2026-09-11 19:06</t>
        </is>
      </c>
    </row>
    <row r="1571">
      <c r="A1571" t="n">
        <v>1570</v>
      </c>
      <c r="B1571" t="inlineStr">
        <is>
          <t>2026-02-09</t>
        </is>
      </c>
      <c r="C1571" t="n">
        <v>2026</v>
      </c>
      <c r="D1571" t="inlineStr">
        <is>
          <t>Luty</t>
        </is>
      </c>
      <c r="E1571" t="inlineStr">
        <is>
          <t>W2</t>
        </is>
      </c>
      <c r="F1571" t="inlineStr">
        <is>
          <t>2026_Luty_W2</t>
        </is>
      </c>
      <c r="G1571" t="inlineStr">
        <is>
          <t>Pn</t>
        </is>
      </c>
      <c r="H1571" t="inlineStr">
        <is>
          <t>ZNOJEK, GABRIELA</t>
        </is>
      </c>
      <c r="I1571" t="inlineStr">
        <is>
          <t>Instructor</t>
        </is>
      </c>
      <c r="J1571" t="inlineStr">
        <is>
          <t>Standard 0,75|30h</t>
        </is>
      </c>
      <c r="K1571" t="n">
        <v>7.18</v>
      </c>
      <c r="L1571" t="inlineStr">
        <is>
          <t>384</t>
        </is>
      </c>
      <c r="M1571" t="inlineStr">
        <is>
          <t>108120 SBX Warszawa Janki</t>
        </is>
      </c>
      <c r="N1571" t="inlineStr">
        <is>
          <t>2026-09-11 19:06</t>
        </is>
      </c>
    </row>
    <row r="1572">
      <c r="A1572" t="n">
        <v>1571</v>
      </c>
      <c r="B1572" t="inlineStr">
        <is>
          <t>2026-02-10</t>
        </is>
      </c>
      <c r="C1572" t="n">
        <v>2026</v>
      </c>
      <c r="D1572" t="inlineStr">
        <is>
          <t>Luty</t>
        </is>
      </c>
      <c r="E1572" t="inlineStr">
        <is>
          <t>W3</t>
        </is>
      </c>
      <c r="F1572" t="inlineStr">
        <is>
          <t>2026_Luty_W3</t>
        </is>
      </c>
      <c r="G1572" t="inlineStr">
        <is>
          <t>Wt</t>
        </is>
      </c>
      <c r="H1572" t="inlineStr">
        <is>
          <t>ZNOJEK, GABRIELA</t>
        </is>
      </c>
      <c r="I1572" t="inlineStr">
        <is>
          <t>Instructor</t>
        </is>
      </c>
      <c r="J1572" t="inlineStr">
        <is>
          <t>Standard 0,75|30h</t>
        </is>
      </c>
      <c r="K1572" t="n">
        <v>7.93</v>
      </c>
      <c r="L1572" t="inlineStr">
        <is>
          <t>384</t>
        </is>
      </c>
      <c r="M1572" t="inlineStr">
        <is>
          <t>108120 SBX Warszawa Janki</t>
        </is>
      </c>
      <c r="N1572" t="inlineStr">
        <is>
          <t>2026-09-11 19:06</t>
        </is>
      </c>
    </row>
    <row r="1573">
      <c r="A1573" t="n">
        <v>1572</v>
      </c>
      <c r="B1573" t="inlineStr">
        <is>
          <t>2026-02-12</t>
        </is>
      </c>
      <c r="C1573" t="n">
        <v>2026</v>
      </c>
      <c r="D1573" t="inlineStr">
        <is>
          <t>Luty</t>
        </is>
      </c>
      <c r="E1573" t="inlineStr">
        <is>
          <t>W3</t>
        </is>
      </c>
      <c r="F1573" t="inlineStr">
        <is>
          <t>2026_Luty_W3</t>
        </is>
      </c>
      <c r="G1573" t="inlineStr">
        <is>
          <t>Czw</t>
        </is>
      </c>
      <c r="H1573" t="inlineStr">
        <is>
          <t>ZNOJEK, GABRIELA</t>
        </is>
      </c>
      <c r="I1573" t="inlineStr">
        <is>
          <t>Instructor</t>
        </is>
      </c>
      <c r="J1573" t="inlineStr">
        <is>
          <t>Standard 0,75|30h</t>
        </is>
      </c>
      <c r="K1573" t="n">
        <v>2.2</v>
      </c>
      <c r="L1573" t="inlineStr">
        <is>
          <t>384</t>
        </is>
      </c>
      <c r="M1573" t="inlineStr">
        <is>
          <t>108120 SBX Warszawa Janki</t>
        </is>
      </c>
      <c r="N1573" t="inlineStr">
        <is>
          <t>2026-09-11 19:06</t>
        </is>
      </c>
    </row>
    <row r="1574">
      <c r="A1574" t="n">
        <v>1573</v>
      </c>
      <c r="B1574" t="inlineStr">
        <is>
          <t>2026-02-13</t>
        </is>
      </c>
      <c r="C1574" t="n">
        <v>2026</v>
      </c>
      <c r="D1574" t="inlineStr">
        <is>
          <t>Luty</t>
        </is>
      </c>
      <c r="E1574" t="inlineStr">
        <is>
          <t>W3</t>
        </is>
      </c>
      <c r="F1574" t="inlineStr">
        <is>
          <t>2026_Luty_W3</t>
        </is>
      </c>
      <c r="G1574" t="inlineStr">
        <is>
          <t>Pt</t>
        </is>
      </c>
      <c r="H1574" t="inlineStr">
        <is>
          <t>ZNOJEK, GABRIELA</t>
        </is>
      </c>
      <c r="I1574" t="inlineStr">
        <is>
          <t>Instructor</t>
        </is>
      </c>
      <c r="J1574" t="inlineStr">
        <is>
          <t>Standard 0,75|30h</t>
        </is>
      </c>
      <c r="K1574" t="n">
        <v>7.28</v>
      </c>
      <c r="L1574" t="inlineStr">
        <is>
          <t>384</t>
        </is>
      </c>
      <c r="M1574" t="inlineStr">
        <is>
          <t>108120 SBX Warszawa Janki</t>
        </is>
      </c>
      <c r="N1574" t="inlineStr">
        <is>
          <t>2026-09-11 19:06</t>
        </is>
      </c>
    </row>
    <row r="1575">
      <c r="A1575" t="n">
        <v>1574</v>
      </c>
      <c r="B1575" t="inlineStr">
        <is>
          <t>2026-02-14</t>
        </is>
      </c>
      <c r="C1575" t="n">
        <v>2026</v>
      </c>
      <c r="D1575" t="inlineStr">
        <is>
          <t>Luty</t>
        </is>
      </c>
      <c r="E1575" t="inlineStr">
        <is>
          <t>W3</t>
        </is>
      </c>
      <c r="F1575" t="inlineStr">
        <is>
          <t>2026_Luty_W3</t>
        </is>
      </c>
      <c r="G1575" t="inlineStr">
        <is>
          <t>Sob</t>
        </is>
      </c>
      <c r="H1575" t="inlineStr">
        <is>
          <t>ZNOJEK, GABRIELA</t>
        </is>
      </c>
      <c r="I1575" t="inlineStr">
        <is>
          <t>Instructor</t>
        </is>
      </c>
      <c r="J1575" t="inlineStr">
        <is>
          <t>Standard 0,75|30h</t>
        </is>
      </c>
      <c r="K1575" t="n">
        <v>9.5</v>
      </c>
      <c r="L1575" t="inlineStr">
        <is>
          <t>384</t>
        </is>
      </c>
      <c r="M1575" t="inlineStr">
        <is>
          <t>108120 SBX Warszawa Janki</t>
        </is>
      </c>
      <c r="N1575" t="inlineStr">
        <is>
          <t>2026-09-11 19:06</t>
        </is>
      </c>
    </row>
    <row r="1576">
      <c r="A1576" t="n">
        <v>1575</v>
      </c>
      <c r="B1576" t="inlineStr">
        <is>
          <t>2026-02-16</t>
        </is>
      </c>
      <c r="C1576" t="n">
        <v>2026</v>
      </c>
      <c r="D1576" t="inlineStr">
        <is>
          <t>Luty</t>
        </is>
      </c>
      <c r="E1576" t="inlineStr">
        <is>
          <t>W3</t>
        </is>
      </c>
      <c r="F1576" t="inlineStr">
        <is>
          <t>2026_Luty_W3</t>
        </is>
      </c>
      <c r="G1576" t="inlineStr">
        <is>
          <t>Pn</t>
        </is>
      </c>
      <c r="H1576" t="inlineStr">
        <is>
          <t>ZNOJEK, GABRIELA</t>
        </is>
      </c>
      <c r="I1576" t="inlineStr">
        <is>
          <t>Instructor</t>
        </is>
      </c>
      <c r="J1576" t="inlineStr">
        <is>
          <t>Standard 0,75|30h</t>
        </is>
      </c>
      <c r="K1576" t="n">
        <v>7.5</v>
      </c>
      <c r="L1576" t="inlineStr">
        <is>
          <t>384</t>
        </is>
      </c>
      <c r="M1576" t="inlineStr">
        <is>
          <t>108120 SBX Warszawa Janki</t>
        </is>
      </c>
      <c r="N1576" t="inlineStr">
        <is>
          <t>2026-09-11 19:06</t>
        </is>
      </c>
    </row>
    <row r="1577">
      <c r="A1577" t="n">
        <v>1576</v>
      </c>
      <c r="B1577" t="inlineStr">
        <is>
          <t>2026-02-17</t>
        </is>
      </c>
      <c r="C1577" t="n">
        <v>2026</v>
      </c>
      <c r="D1577" t="inlineStr">
        <is>
          <t>Luty</t>
        </is>
      </c>
      <c r="E1577" t="inlineStr">
        <is>
          <t>W4</t>
        </is>
      </c>
      <c r="F1577" t="inlineStr">
        <is>
          <t>2026_Luty_W4</t>
        </is>
      </c>
      <c r="G1577" t="inlineStr">
        <is>
          <t>Wt</t>
        </is>
      </c>
      <c r="H1577" t="inlineStr">
        <is>
          <t>ZNOJEK, GABRIELA</t>
        </is>
      </c>
      <c r="I1577" t="inlineStr">
        <is>
          <t>Instructor</t>
        </is>
      </c>
      <c r="J1577" t="inlineStr">
        <is>
          <t>Standard 0,75|30h</t>
        </is>
      </c>
      <c r="K1577" t="n">
        <v>5.21</v>
      </c>
      <c r="L1577" t="inlineStr">
        <is>
          <t>384</t>
        </is>
      </c>
      <c r="M1577" t="inlineStr">
        <is>
          <t>108120 SBX Warszawa Janki</t>
        </is>
      </c>
      <c r="N1577" t="inlineStr">
        <is>
          <t>2026-09-11 19:06</t>
        </is>
      </c>
    </row>
    <row r="1578">
      <c r="A1578" t="n">
        <v>1577</v>
      </c>
      <c r="B1578" t="inlineStr">
        <is>
          <t>2026-02-20</t>
        </is>
      </c>
      <c r="C1578" t="n">
        <v>2026</v>
      </c>
      <c r="D1578" t="inlineStr">
        <is>
          <t>Luty</t>
        </is>
      </c>
      <c r="E1578" t="inlineStr">
        <is>
          <t>W4</t>
        </is>
      </c>
      <c r="F1578" t="inlineStr">
        <is>
          <t>2026_Luty_W4</t>
        </is>
      </c>
      <c r="G1578" t="inlineStr">
        <is>
          <t>Pt</t>
        </is>
      </c>
      <c r="H1578" t="inlineStr">
        <is>
          <t>ZNOJEK, GABRIELA</t>
        </is>
      </c>
      <c r="I1578" t="inlineStr">
        <is>
          <t>Instructor</t>
        </is>
      </c>
      <c r="J1578" t="inlineStr">
        <is>
          <t>Standard 0,75|30h</t>
        </is>
      </c>
      <c r="K1578" t="n">
        <v>8.039999999999999</v>
      </c>
      <c r="L1578" t="inlineStr">
        <is>
          <t>384</t>
        </is>
      </c>
      <c r="M1578" t="inlineStr">
        <is>
          <t>108120 SBX Warszawa Janki</t>
        </is>
      </c>
      <c r="N1578" t="inlineStr">
        <is>
          <t>2026-09-11 19:06</t>
        </is>
      </c>
    </row>
    <row r="1579">
      <c r="A1579" t="n">
        <v>1578</v>
      </c>
      <c r="B1579" t="inlineStr">
        <is>
          <t>2026-02-23</t>
        </is>
      </c>
      <c r="C1579" t="n">
        <v>2026</v>
      </c>
      <c r="D1579" t="inlineStr">
        <is>
          <t>Luty</t>
        </is>
      </c>
      <c r="E1579" t="inlineStr">
        <is>
          <t>W4</t>
        </is>
      </c>
      <c r="F1579" t="inlineStr">
        <is>
          <t>2026_Luty_W4</t>
        </is>
      </c>
      <c r="G1579" t="inlineStr">
        <is>
          <t>Pn</t>
        </is>
      </c>
      <c r="H1579" t="inlineStr">
        <is>
          <t>ZNOJEK, GABRIELA</t>
        </is>
      </c>
      <c r="I1579" t="inlineStr">
        <is>
          <t>Instructor</t>
        </is>
      </c>
      <c r="J1579" t="inlineStr">
        <is>
          <t>Standard 0,75|30h</t>
        </is>
      </c>
      <c r="K1579" t="n">
        <v>8.300000000000001</v>
      </c>
      <c r="L1579" t="inlineStr">
        <is>
          <t>384</t>
        </is>
      </c>
      <c r="M1579" t="inlineStr">
        <is>
          <t>108120 SBX Warszawa Janki</t>
        </is>
      </c>
      <c r="N1579" t="inlineStr">
        <is>
          <t>2026-09-11 19:06</t>
        </is>
      </c>
    </row>
    <row r="1580">
      <c r="A1580" t="n">
        <v>1579</v>
      </c>
      <c r="B1580" t="inlineStr">
        <is>
          <t>2026-02-25</t>
        </is>
      </c>
      <c r="C1580" t="n">
        <v>2026</v>
      </c>
      <c r="D1580" t="inlineStr">
        <is>
          <t>Luty</t>
        </is>
      </c>
      <c r="E1580" t="inlineStr">
        <is>
          <t>W5</t>
        </is>
      </c>
      <c r="F1580" t="inlineStr">
        <is>
          <t>2026_Luty_W5</t>
        </is>
      </c>
      <c r="G1580" t="inlineStr">
        <is>
          <t>Śr</t>
        </is>
      </c>
      <c r="H1580" t="inlineStr">
        <is>
          <t>ZNOJEK, GABRIELA</t>
        </is>
      </c>
      <c r="I1580" t="inlineStr">
        <is>
          <t>Instructor</t>
        </is>
      </c>
      <c r="J1580" t="inlineStr">
        <is>
          <t>Standard 0,75|30h</t>
        </is>
      </c>
      <c r="K1580" t="n">
        <v>8.08</v>
      </c>
      <c r="L1580" t="inlineStr">
        <is>
          <t>384</t>
        </is>
      </c>
      <c r="M1580" t="inlineStr">
        <is>
          <t>108120 SBX Warszawa Janki</t>
        </is>
      </c>
      <c r="N1580" t="inlineStr">
        <is>
          <t>2026-09-11 19:06</t>
        </is>
      </c>
    </row>
    <row r="1581">
      <c r="A1581" t="n">
        <v>1580</v>
      </c>
      <c r="B1581" t="inlineStr">
        <is>
          <t>2026-02-26</t>
        </is>
      </c>
      <c r="C1581" t="n">
        <v>2026</v>
      </c>
      <c r="D1581" t="inlineStr">
        <is>
          <t>Luty</t>
        </is>
      </c>
      <c r="E1581" t="inlineStr">
        <is>
          <t>W5</t>
        </is>
      </c>
      <c r="F1581" t="inlineStr">
        <is>
          <t>2026_Luty_W5</t>
        </is>
      </c>
      <c r="G1581" t="inlineStr">
        <is>
          <t>Czw</t>
        </is>
      </c>
      <c r="H1581" t="inlineStr">
        <is>
          <t>ZNOJEK, GABRIELA</t>
        </is>
      </c>
      <c r="I1581" t="inlineStr">
        <is>
          <t>Instructor</t>
        </is>
      </c>
      <c r="J1581" t="inlineStr">
        <is>
          <t>Standard 0,75|30h</t>
        </is>
      </c>
      <c r="K1581" t="n">
        <v>7.49</v>
      </c>
      <c r="L1581" t="inlineStr">
        <is>
          <t>384</t>
        </is>
      </c>
      <c r="M1581" t="inlineStr">
        <is>
          <t>108120 SBX Warszawa Janki</t>
        </is>
      </c>
      <c r="N1581" t="inlineStr">
        <is>
          <t>2026-09-11 19:06</t>
        </is>
      </c>
    </row>
    <row r="1582">
      <c r="A1582" t="n">
        <v>1581</v>
      </c>
      <c r="B1582" t="inlineStr">
        <is>
          <t>2026-02-27</t>
        </is>
      </c>
      <c r="C1582" t="n">
        <v>2026</v>
      </c>
      <c r="D1582" t="inlineStr">
        <is>
          <t>Luty</t>
        </is>
      </c>
      <c r="E1582" t="inlineStr">
        <is>
          <t>W5</t>
        </is>
      </c>
      <c r="F1582" t="inlineStr">
        <is>
          <t>2026_Luty_W5</t>
        </is>
      </c>
      <c r="G1582" t="inlineStr">
        <is>
          <t>Pt</t>
        </is>
      </c>
      <c r="H1582" t="inlineStr">
        <is>
          <t>ZNOJEK, GABRIELA</t>
        </is>
      </c>
      <c r="I1582" t="inlineStr">
        <is>
          <t>Instructor</t>
        </is>
      </c>
      <c r="J1582" t="inlineStr">
        <is>
          <t>Standard 0,75|30h</t>
        </is>
      </c>
      <c r="K1582" t="n">
        <v>7.62</v>
      </c>
      <c r="L1582" t="inlineStr">
        <is>
          <t>384</t>
        </is>
      </c>
      <c r="M1582" t="inlineStr">
        <is>
          <t>108120 SBX Warszawa Janki</t>
        </is>
      </c>
      <c r="N1582" t="inlineStr">
        <is>
          <t>2026-09-11 19:06</t>
        </is>
      </c>
    </row>
    <row r="1583">
      <c r="A1583" t="n">
        <v>1582</v>
      </c>
      <c r="B1583" t="inlineStr">
        <is>
          <t>2026-02-28</t>
        </is>
      </c>
      <c r="C1583" t="n">
        <v>2026</v>
      </c>
      <c r="D1583" t="inlineStr">
        <is>
          <t>Luty</t>
        </is>
      </c>
      <c r="E1583" t="inlineStr">
        <is>
          <t>W5</t>
        </is>
      </c>
      <c r="F1583" t="inlineStr">
        <is>
          <t>2026_Luty_W5</t>
        </is>
      </c>
      <c r="G1583" t="inlineStr">
        <is>
          <t>Sob</t>
        </is>
      </c>
      <c r="H1583" t="inlineStr">
        <is>
          <t>ZNOJEK, GABRIELA</t>
        </is>
      </c>
      <c r="I1583" t="inlineStr">
        <is>
          <t>Instructor</t>
        </is>
      </c>
      <c r="J1583" t="inlineStr">
        <is>
          <t>Standard 0,75|30h</t>
        </is>
      </c>
      <c r="K1583" t="n">
        <v>8.68</v>
      </c>
      <c r="L1583" t="inlineStr">
        <is>
          <t>384</t>
        </is>
      </c>
      <c r="M1583" t="inlineStr">
        <is>
          <t>108120 SBX Warszawa Janki</t>
        </is>
      </c>
      <c r="N1583" t="inlineStr">
        <is>
          <t>2026-09-11 19:06</t>
        </is>
      </c>
    </row>
    <row r="1584">
      <c r="A1584" t="n">
        <v>1583</v>
      </c>
      <c r="B1584" t="inlineStr">
        <is>
          <t>2026-03-09</t>
        </is>
      </c>
      <c r="C1584" t="n">
        <v>2026</v>
      </c>
      <c r="D1584" t="inlineStr">
        <is>
          <t>Marzec</t>
        </is>
      </c>
      <c r="E1584" t="inlineStr">
        <is>
          <t>W2</t>
        </is>
      </c>
      <c r="F1584" t="inlineStr">
        <is>
          <t>2026_Marzec_W2</t>
        </is>
      </c>
      <c r="G1584" t="inlineStr">
        <is>
          <t>Pn</t>
        </is>
      </c>
      <c r="H1584" t="inlineStr">
        <is>
          <t>ZNOJEK, GABRIELA</t>
        </is>
      </c>
      <c r="I1584" t="inlineStr">
        <is>
          <t>Instructor</t>
        </is>
      </c>
      <c r="J1584" t="inlineStr">
        <is>
          <t>Standard 0,75|30h</t>
        </is>
      </c>
      <c r="K1584" t="n">
        <v>5.5</v>
      </c>
      <c r="L1584" t="inlineStr">
        <is>
          <t>384</t>
        </is>
      </c>
      <c r="M1584" t="inlineStr">
        <is>
          <t>108120 SBX Warszawa Janki</t>
        </is>
      </c>
      <c r="N1584" t="inlineStr">
        <is>
          <t>2026-09-11 19:06</t>
        </is>
      </c>
    </row>
    <row r="1585">
      <c r="A1585" t="n">
        <v>1584</v>
      </c>
      <c r="B1585" t="inlineStr">
        <is>
          <t>2026-03-10</t>
        </is>
      </c>
      <c r="C1585" t="n">
        <v>2026</v>
      </c>
      <c r="D1585" t="inlineStr">
        <is>
          <t>Marzec</t>
        </is>
      </c>
      <c r="E1585" t="inlineStr">
        <is>
          <t>W3</t>
        </is>
      </c>
      <c r="F1585" t="inlineStr">
        <is>
          <t>2026_Marzec_W3</t>
        </is>
      </c>
      <c r="G1585" t="inlineStr">
        <is>
          <t>Wt</t>
        </is>
      </c>
      <c r="H1585" t="inlineStr">
        <is>
          <t>ZNOJEK, GABRIELA</t>
        </is>
      </c>
      <c r="I1585" t="inlineStr">
        <is>
          <t>Instructor</t>
        </is>
      </c>
      <c r="J1585" t="inlineStr">
        <is>
          <t>Standard 0,75|30h</t>
        </is>
      </c>
      <c r="K1585" t="n">
        <v>8.640000000000001</v>
      </c>
      <c r="L1585" t="inlineStr">
        <is>
          <t>384</t>
        </is>
      </c>
      <c r="M1585" t="inlineStr">
        <is>
          <t>108120 SBX Warszawa Janki</t>
        </is>
      </c>
      <c r="N1585" t="inlineStr">
        <is>
          <t>2026-09-11 19:06</t>
        </is>
      </c>
    </row>
    <row r="1586">
      <c r="A1586" t="n">
        <v>1585</v>
      </c>
      <c r="B1586" t="inlineStr">
        <is>
          <t>2026-03-12</t>
        </is>
      </c>
      <c r="C1586" t="n">
        <v>2026</v>
      </c>
      <c r="D1586" t="inlineStr">
        <is>
          <t>Marzec</t>
        </is>
      </c>
      <c r="E1586" t="inlineStr">
        <is>
          <t>W3</t>
        </is>
      </c>
      <c r="F1586" t="inlineStr">
        <is>
          <t>2026_Marzec_W3</t>
        </is>
      </c>
      <c r="G1586" t="inlineStr">
        <is>
          <t>Czw</t>
        </is>
      </c>
      <c r="H1586" t="inlineStr">
        <is>
          <t>ZNOJEK, GABRIELA</t>
        </is>
      </c>
      <c r="I1586" t="inlineStr">
        <is>
          <t>Instructor</t>
        </is>
      </c>
      <c r="J1586" t="inlineStr">
        <is>
          <t>Standard 0,75|30h</t>
        </is>
      </c>
      <c r="K1586" t="n">
        <v>8</v>
      </c>
      <c r="L1586" t="inlineStr">
        <is>
          <t>384</t>
        </is>
      </c>
      <c r="M1586" t="inlineStr">
        <is>
          <t>108120 SBX Warszawa Janki</t>
        </is>
      </c>
      <c r="N1586" t="inlineStr">
        <is>
          <t>2026-09-11 19:06</t>
        </is>
      </c>
    </row>
    <row r="1587">
      <c r="A1587" t="n">
        <v>1586</v>
      </c>
      <c r="B1587" t="inlineStr">
        <is>
          <t>2026-03-13</t>
        </is>
      </c>
      <c r="C1587" t="n">
        <v>2026</v>
      </c>
      <c r="D1587" t="inlineStr">
        <is>
          <t>Marzec</t>
        </is>
      </c>
      <c r="E1587" t="inlineStr">
        <is>
          <t>W3</t>
        </is>
      </c>
      <c r="F1587" t="inlineStr">
        <is>
          <t>2026_Marzec_W3</t>
        </is>
      </c>
      <c r="G1587" t="inlineStr">
        <is>
          <t>Pt</t>
        </is>
      </c>
      <c r="H1587" t="inlineStr">
        <is>
          <t>ZNOJEK, GABRIELA</t>
        </is>
      </c>
      <c r="I1587" t="inlineStr">
        <is>
          <t>Instructor</t>
        </is>
      </c>
      <c r="J1587" t="inlineStr">
        <is>
          <t>Standard 0,75|30h</t>
        </is>
      </c>
      <c r="K1587" t="n">
        <v>8</v>
      </c>
      <c r="L1587" t="inlineStr">
        <is>
          <t>384</t>
        </is>
      </c>
      <c r="M1587" t="inlineStr">
        <is>
          <t>108120 SBX Warszawa Janki</t>
        </is>
      </c>
      <c r="N1587" t="inlineStr">
        <is>
          <t>2026-09-11 19:06</t>
        </is>
      </c>
    </row>
    <row r="1588">
      <c r="A1588" t="n">
        <v>1587</v>
      </c>
      <c r="B1588" t="inlineStr">
        <is>
          <t>2026-03-15</t>
        </is>
      </c>
      <c r="C1588" t="n">
        <v>2026</v>
      </c>
      <c r="D1588" t="inlineStr">
        <is>
          <t>Marzec</t>
        </is>
      </c>
      <c r="E1588" t="inlineStr">
        <is>
          <t>W3</t>
        </is>
      </c>
      <c r="F1588" t="inlineStr">
        <is>
          <t>2026_Marzec_W3</t>
        </is>
      </c>
      <c r="G1588" t="inlineStr">
        <is>
          <t>Nd</t>
        </is>
      </c>
      <c r="H1588" t="inlineStr">
        <is>
          <t>ZNOJEK, GABRIELA</t>
        </is>
      </c>
      <c r="I1588" t="inlineStr">
        <is>
          <t>Instructor</t>
        </is>
      </c>
      <c r="J1588" t="inlineStr">
        <is>
          <t>Standard 0,75|30h</t>
        </is>
      </c>
      <c r="K1588" t="n">
        <v>8</v>
      </c>
      <c r="L1588" t="inlineStr">
        <is>
          <t>384</t>
        </is>
      </c>
      <c r="M1588" t="inlineStr">
        <is>
          <t>108120 SBX Warszawa Janki</t>
        </is>
      </c>
      <c r="N1588" t="inlineStr">
        <is>
          <t>2026-09-11 19:06</t>
        </is>
      </c>
    </row>
    <row r="1589">
      <c r="A1589" t="n">
        <v>1588</v>
      </c>
      <c r="B1589" t="inlineStr">
        <is>
          <t>2026-03-16</t>
        </is>
      </c>
      <c r="C1589" t="n">
        <v>2026</v>
      </c>
      <c r="D1589" t="inlineStr">
        <is>
          <t>Marzec</t>
        </is>
      </c>
      <c r="E1589" t="inlineStr">
        <is>
          <t>W3</t>
        </is>
      </c>
      <c r="F1589" t="inlineStr">
        <is>
          <t>2026_Marzec_W3</t>
        </is>
      </c>
      <c r="G1589" t="inlineStr">
        <is>
          <t>Pn</t>
        </is>
      </c>
      <c r="H1589" t="inlineStr">
        <is>
          <t>ZNOJEK, GABRIELA</t>
        </is>
      </c>
      <c r="I1589" t="inlineStr">
        <is>
          <t>Instructor</t>
        </is>
      </c>
      <c r="J1589" t="inlineStr">
        <is>
          <t>Standard 0,75|30h</t>
        </is>
      </c>
      <c r="K1589" t="n">
        <v>7.5</v>
      </c>
      <c r="L1589" t="inlineStr">
        <is>
          <t>384</t>
        </is>
      </c>
      <c r="M1589" t="inlineStr">
        <is>
          <t>108120 SBX Warszawa Janki</t>
        </is>
      </c>
      <c r="N1589" t="inlineStr">
        <is>
          <t>2026-09-11 19:06</t>
        </is>
      </c>
    </row>
    <row r="1590">
      <c r="A1590" t="n">
        <v>1589</v>
      </c>
      <c r="B1590" t="inlineStr">
        <is>
          <t>2026-03-17</t>
        </is>
      </c>
      <c r="C1590" t="n">
        <v>2026</v>
      </c>
      <c r="D1590" t="inlineStr">
        <is>
          <t>Marzec</t>
        </is>
      </c>
      <c r="E1590" t="inlineStr">
        <is>
          <t>W4</t>
        </is>
      </c>
      <c r="F1590" t="inlineStr">
        <is>
          <t>2026_Marzec_W4</t>
        </is>
      </c>
      <c r="G1590" t="inlineStr">
        <is>
          <t>Wt</t>
        </is>
      </c>
      <c r="H1590" t="inlineStr">
        <is>
          <t>ZNOJEK, GABRIELA</t>
        </is>
      </c>
      <c r="I1590" t="inlineStr">
        <is>
          <t>Instructor</t>
        </is>
      </c>
      <c r="J1590" t="inlineStr">
        <is>
          <t>Standard 0,75|30h</t>
        </is>
      </c>
      <c r="K1590" t="n">
        <v>7</v>
      </c>
      <c r="L1590" t="inlineStr">
        <is>
          <t>384</t>
        </is>
      </c>
      <c r="M1590" t="inlineStr">
        <is>
          <t>108120 SBX Warszawa Janki</t>
        </is>
      </c>
      <c r="N1590" t="inlineStr">
        <is>
          <t>2026-09-11 19:06</t>
        </is>
      </c>
    </row>
    <row r="1591">
      <c r="A1591" t="n">
        <v>1590</v>
      </c>
      <c r="B1591" t="inlineStr">
        <is>
          <t>2026-03-18</t>
        </is>
      </c>
      <c r="C1591" t="n">
        <v>2026</v>
      </c>
      <c r="D1591" t="inlineStr">
        <is>
          <t>Marzec</t>
        </is>
      </c>
      <c r="E1591" t="inlineStr">
        <is>
          <t>W4</t>
        </is>
      </c>
      <c r="F1591" t="inlineStr">
        <is>
          <t>2026_Marzec_W4</t>
        </is>
      </c>
      <c r="G1591" t="inlineStr">
        <is>
          <t>Śr</t>
        </is>
      </c>
      <c r="H1591" t="inlineStr">
        <is>
          <t>ZNOJEK, GABRIELA</t>
        </is>
      </c>
      <c r="I1591" t="inlineStr">
        <is>
          <t>Instructor</t>
        </is>
      </c>
      <c r="J1591" t="inlineStr">
        <is>
          <t>Standard 0,75|30h</t>
        </is>
      </c>
      <c r="K1591" t="n">
        <v>7.45</v>
      </c>
      <c r="L1591" t="inlineStr">
        <is>
          <t>384</t>
        </is>
      </c>
      <c r="M1591" t="inlineStr">
        <is>
          <t>108120 SBX Warszawa Janki</t>
        </is>
      </c>
      <c r="N1591" t="inlineStr">
        <is>
          <t>2026-09-11 19:06</t>
        </is>
      </c>
    </row>
    <row r="1592">
      <c r="A1592" t="n">
        <v>1591</v>
      </c>
      <c r="B1592" t="inlineStr">
        <is>
          <t>2026-03-19</t>
        </is>
      </c>
      <c r="C1592" t="n">
        <v>2026</v>
      </c>
      <c r="D1592" t="inlineStr">
        <is>
          <t>Marzec</t>
        </is>
      </c>
      <c r="E1592" t="inlineStr">
        <is>
          <t>W4</t>
        </is>
      </c>
      <c r="F1592" t="inlineStr">
        <is>
          <t>2026_Marzec_W4</t>
        </is>
      </c>
      <c r="G1592" t="inlineStr">
        <is>
          <t>Czw</t>
        </is>
      </c>
      <c r="H1592" t="inlineStr">
        <is>
          <t>ZNOJEK, GABRIELA</t>
        </is>
      </c>
      <c r="I1592" t="inlineStr">
        <is>
          <t>Instructor</t>
        </is>
      </c>
      <c r="J1592" t="inlineStr">
        <is>
          <t>Standard 0,75|30h</t>
        </is>
      </c>
      <c r="K1592" t="n">
        <v>8.99</v>
      </c>
      <c r="L1592" t="inlineStr">
        <is>
          <t>384</t>
        </is>
      </c>
      <c r="M1592" t="inlineStr">
        <is>
          <t>108120 SBX Warszawa Janki</t>
        </is>
      </c>
      <c r="N1592" t="inlineStr">
        <is>
          <t>2026-09-11 19:06</t>
        </is>
      </c>
    </row>
    <row r="1593">
      <c r="A1593" t="n">
        <v>1592</v>
      </c>
      <c r="B1593" t="inlineStr">
        <is>
          <t>2026-03-20</t>
        </is>
      </c>
      <c r="C1593" t="n">
        <v>2026</v>
      </c>
      <c r="D1593" t="inlineStr">
        <is>
          <t>Marzec</t>
        </is>
      </c>
      <c r="E1593" t="inlineStr">
        <is>
          <t>W4</t>
        </is>
      </c>
      <c r="F1593" t="inlineStr">
        <is>
          <t>2026_Marzec_W4</t>
        </is>
      </c>
      <c r="G1593" t="inlineStr">
        <is>
          <t>Pt</t>
        </is>
      </c>
      <c r="H1593" t="inlineStr">
        <is>
          <t>ZNOJEK, GABRIELA</t>
        </is>
      </c>
      <c r="I1593" t="inlineStr">
        <is>
          <t>Instructor</t>
        </is>
      </c>
      <c r="J1593" t="inlineStr">
        <is>
          <t>Standard 0,75|30h</t>
        </is>
      </c>
      <c r="K1593" t="n">
        <v>5.87</v>
      </c>
      <c r="L1593" t="inlineStr">
        <is>
          <t>384</t>
        </is>
      </c>
      <c r="M1593" t="inlineStr">
        <is>
          <t>108120 SBX Warszawa Janki</t>
        </is>
      </c>
      <c r="N1593" t="inlineStr">
        <is>
          <t>2026-09-11 19:06</t>
        </is>
      </c>
    </row>
    <row r="1594">
      <c r="A1594" t="n">
        <v>1593</v>
      </c>
      <c r="B1594" t="inlineStr">
        <is>
          <t>2026-03-23</t>
        </is>
      </c>
      <c r="C1594" t="n">
        <v>2026</v>
      </c>
      <c r="D1594" t="inlineStr">
        <is>
          <t>Marzec</t>
        </is>
      </c>
      <c r="E1594" t="inlineStr">
        <is>
          <t>W4</t>
        </is>
      </c>
      <c r="F1594" t="inlineStr">
        <is>
          <t>2026_Marzec_W4</t>
        </is>
      </c>
      <c r="G1594" t="inlineStr">
        <is>
          <t>Pn</t>
        </is>
      </c>
      <c r="H1594" t="inlineStr">
        <is>
          <t>ZNOJEK, GABRIELA</t>
        </is>
      </c>
      <c r="I1594" t="inlineStr">
        <is>
          <t>Instructor</t>
        </is>
      </c>
      <c r="J1594" t="inlineStr">
        <is>
          <t>Standard 0,75|30h</t>
        </is>
      </c>
      <c r="K1594" t="n">
        <v>6.44</v>
      </c>
      <c r="L1594" t="inlineStr">
        <is>
          <t>384</t>
        </is>
      </c>
      <c r="M1594" t="inlineStr">
        <is>
          <t>108120 SBX Warszawa Janki</t>
        </is>
      </c>
      <c r="N1594" t="inlineStr">
        <is>
          <t>2026-09-11 19:06</t>
        </is>
      </c>
    </row>
    <row r="1595">
      <c r="A1595" t="n">
        <v>1594</v>
      </c>
      <c r="B1595" t="inlineStr">
        <is>
          <t>2026-03-24</t>
        </is>
      </c>
      <c r="C1595" t="n">
        <v>2026</v>
      </c>
      <c r="D1595" t="inlineStr">
        <is>
          <t>Marzec</t>
        </is>
      </c>
      <c r="E1595" t="inlineStr">
        <is>
          <t>W5</t>
        </is>
      </c>
      <c r="F1595" t="inlineStr">
        <is>
          <t>2026_Marzec_W5</t>
        </is>
      </c>
      <c r="G1595" t="inlineStr">
        <is>
          <t>Wt</t>
        </is>
      </c>
      <c r="H1595" t="inlineStr">
        <is>
          <t>ZNOJEK, GABRIELA</t>
        </is>
      </c>
      <c r="I1595" t="inlineStr">
        <is>
          <t>Instructor</t>
        </is>
      </c>
      <c r="J1595" t="inlineStr">
        <is>
          <t>Standard 0,75|30h</t>
        </is>
      </c>
      <c r="K1595" t="n">
        <v>7.94</v>
      </c>
      <c r="L1595" t="inlineStr">
        <is>
          <t>384</t>
        </is>
      </c>
      <c r="M1595" t="inlineStr">
        <is>
          <t>108120 SBX Warszawa Janki</t>
        </is>
      </c>
      <c r="N1595" t="inlineStr">
        <is>
          <t>2026-09-11 19:06</t>
        </is>
      </c>
    </row>
    <row r="1596">
      <c r="A1596" t="n">
        <v>1595</v>
      </c>
      <c r="B1596" t="inlineStr">
        <is>
          <t>2026-03-25</t>
        </is>
      </c>
      <c r="C1596" t="n">
        <v>2026</v>
      </c>
      <c r="D1596" t="inlineStr">
        <is>
          <t>Marzec</t>
        </is>
      </c>
      <c r="E1596" t="inlineStr">
        <is>
          <t>W5</t>
        </is>
      </c>
      <c r="F1596" t="inlineStr">
        <is>
          <t>2026_Marzec_W5</t>
        </is>
      </c>
      <c r="G1596" t="inlineStr">
        <is>
          <t>Śr</t>
        </is>
      </c>
      <c r="H1596" t="inlineStr">
        <is>
          <t>ZNOJEK, GABRIELA</t>
        </is>
      </c>
      <c r="I1596" t="inlineStr">
        <is>
          <t>Instructor</t>
        </is>
      </c>
      <c r="J1596" t="inlineStr">
        <is>
          <t>Standard 0,75|30h</t>
        </is>
      </c>
      <c r="K1596" t="n">
        <v>7.62</v>
      </c>
      <c r="L1596" t="inlineStr">
        <is>
          <t>384</t>
        </is>
      </c>
      <c r="M1596" t="inlineStr">
        <is>
          <t>108120 SBX Warszawa Janki</t>
        </is>
      </c>
      <c r="N1596" t="inlineStr">
        <is>
          <t>2026-09-11 19:06</t>
        </is>
      </c>
    </row>
    <row r="1597">
      <c r="A1597" t="n">
        <v>1596</v>
      </c>
      <c r="B1597" t="inlineStr">
        <is>
          <t>2026-03-26</t>
        </is>
      </c>
      <c r="C1597" t="n">
        <v>2026</v>
      </c>
      <c r="D1597" t="inlineStr">
        <is>
          <t>Marzec</t>
        </is>
      </c>
      <c r="E1597" t="inlineStr">
        <is>
          <t>W5</t>
        </is>
      </c>
      <c r="F1597" t="inlineStr">
        <is>
          <t>2026_Marzec_W5</t>
        </is>
      </c>
      <c r="G1597" t="inlineStr">
        <is>
          <t>Czw</t>
        </is>
      </c>
      <c r="H1597" t="inlineStr">
        <is>
          <t>ZNOJEK, GABRIELA</t>
        </is>
      </c>
      <c r="I1597" t="inlineStr">
        <is>
          <t>Instructor</t>
        </is>
      </c>
      <c r="J1597" t="inlineStr">
        <is>
          <t>Standard 0,75|30h</t>
        </is>
      </c>
      <c r="K1597" t="n">
        <v>8.19</v>
      </c>
      <c r="L1597" t="inlineStr">
        <is>
          <t>384</t>
        </is>
      </c>
      <c r="M1597" t="inlineStr">
        <is>
          <t>108120 SBX Warszawa Janki</t>
        </is>
      </c>
      <c r="N1597" t="inlineStr">
        <is>
          <t>2026-09-11 19:06</t>
        </is>
      </c>
    </row>
    <row r="1598">
      <c r="A1598" t="n">
        <v>1597</v>
      </c>
      <c r="B1598" t="inlineStr">
        <is>
          <t>2026-03-30</t>
        </is>
      </c>
      <c r="C1598" t="n">
        <v>2026</v>
      </c>
      <c r="D1598" t="inlineStr">
        <is>
          <t>Marzec</t>
        </is>
      </c>
      <c r="E1598" t="inlineStr">
        <is>
          <t>W5</t>
        </is>
      </c>
      <c r="F1598" t="inlineStr">
        <is>
          <t>2026_Marzec_W5</t>
        </is>
      </c>
      <c r="G1598" t="inlineStr">
        <is>
          <t>Pn</t>
        </is>
      </c>
      <c r="H1598" t="inlineStr">
        <is>
          <t>ZNOJEK, GABRIELA</t>
        </is>
      </c>
      <c r="I1598" t="inlineStr">
        <is>
          <t>Instructor</t>
        </is>
      </c>
      <c r="J1598" t="inlineStr">
        <is>
          <t>Standard 0,75|30h</t>
        </is>
      </c>
      <c r="K1598" t="n">
        <v>6.87</v>
      </c>
      <c r="L1598" t="inlineStr">
        <is>
          <t>384</t>
        </is>
      </c>
      <c r="M1598" t="inlineStr">
        <is>
          <t>108120 SBX Warszawa Janki</t>
        </is>
      </c>
      <c r="N1598" t="inlineStr">
        <is>
          <t>2026-09-11 19:06</t>
        </is>
      </c>
    </row>
    <row r="1599">
      <c r="A1599" t="n">
        <v>1598</v>
      </c>
      <c r="B1599" t="inlineStr">
        <is>
          <t>2026-03-31</t>
        </is>
      </c>
      <c r="C1599" t="n">
        <v>2026</v>
      </c>
      <c r="D1599" t="inlineStr">
        <is>
          <t>Marzec</t>
        </is>
      </c>
      <c r="E1599" t="inlineStr">
        <is>
          <t>W6</t>
        </is>
      </c>
      <c r="F1599" t="inlineStr">
        <is>
          <t>2026_Marzec_W6</t>
        </is>
      </c>
      <c r="G1599" t="inlineStr">
        <is>
          <t>Wt</t>
        </is>
      </c>
      <c r="H1599" t="inlineStr">
        <is>
          <t>ZNOJEK, GABRIELA</t>
        </is>
      </c>
      <c r="I1599" t="inlineStr">
        <is>
          <t>Instructor</t>
        </is>
      </c>
      <c r="J1599" t="inlineStr">
        <is>
          <t>Standard 0,75|30h</t>
        </is>
      </c>
      <c r="K1599" t="n">
        <v>8.210000000000001</v>
      </c>
      <c r="L1599" t="inlineStr">
        <is>
          <t>384</t>
        </is>
      </c>
      <c r="M1599" t="inlineStr">
        <is>
          <t>108120 SBX Warszawa Janki</t>
        </is>
      </c>
      <c r="N1599" t="inlineStr">
        <is>
          <t>2026-09-11 19:06</t>
        </is>
      </c>
    </row>
    <row r="1600">
      <c r="A1600" t="n">
        <v>1599</v>
      </c>
      <c r="B1600" t="inlineStr">
        <is>
          <t>2026-04-01</t>
        </is>
      </c>
      <c r="C1600" t="n">
        <v>2026</v>
      </c>
      <c r="D1600" t="inlineStr">
        <is>
          <t>Kwiecień</t>
        </is>
      </c>
      <c r="E1600" t="inlineStr">
        <is>
          <t>W1</t>
        </is>
      </c>
      <c r="F1600" t="inlineStr">
        <is>
          <t>2026_Kwiecień_W1</t>
        </is>
      </c>
      <c r="G1600" t="inlineStr">
        <is>
          <t>Śr</t>
        </is>
      </c>
      <c r="H1600" t="inlineStr">
        <is>
          <t>ZNOJEK, GABRIELA</t>
        </is>
      </c>
      <c r="I1600" t="inlineStr">
        <is>
          <t>Crew</t>
        </is>
      </c>
      <c r="J1600" t="inlineStr">
        <is>
          <t>Standard 0,75|30h</t>
        </is>
      </c>
      <c r="K1600" t="n">
        <v>8.06</v>
      </c>
      <c r="L1600" t="inlineStr">
        <is>
          <t>384</t>
        </is>
      </c>
      <c r="M1600" t="inlineStr">
        <is>
          <t>108120 SBX Warszawa Janki</t>
        </is>
      </c>
      <c r="N1600" t="inlineStr">
        <is>
          <t>2026-09-11 19:06</t>
        </is>
      </c>
    </row>
    <row r="1601">
      <c r="A1601" t="n">
        <v>1600</v>
      </c>
      <c r="B1601" t="inlineStr">
        <is>
          <t>2026-04-02</t>
        </is>
      </c>
      <c r="C1601" t="n">
        <v>2026</v>
      </c>
      <c r="D1601" t="inlineStr">
        <is>
          <t>Kwiecień</t>
        </is>
      </c>
      <c r="E1601" t="inlineStr">
        <is>
          <t>W1</t>
        </is>
      </c>
      <c r="F1601" t="inlineStr">
        <is>
          <t>2026_Kwiecień_W1</t>
        </is>
      </c>
      <c r="G1601" t="inlineStr">
        <is>
          <t>Czw</t>
        </is>
      </c>
      <c r="H1601" t="inlineStr">
        <is>
          <t>ZNOJEK, GABRIELA</t>
        </is>
      </c>
      <c r="I1601" t="inlineStr">
        <is>
          <t>Crew</t>
        </is>
      </c>
      <c r="J1601" t="inlineStr">
        <is>
          <t>Standard 0,75|30h</t>
        </is>
      </c>
      <c r="K1601" t="n">
        <v>8.49</v>
      </c>
      <c r="L1601" t="inlineStr">
        <is>
          <t>384</t>
        </is>
      </c>
      <c r="M1601" t="inlineStr">
        <is>
          <t>108120 SBX Warszawa Janki</t>
        </is>
      </c>
      <c r="N1601" t="inlineStr">
        <is>
          <t>2026-09-11 19:06</t>
        </is>
      </c>
    </row>
    <row r="1602">
      <c r="A1602" t="n">
        <v>1601</v>
      </c>
      <c r="B1602" t="inlineStr">
        <is>
          <t>2026-04-07</t>
        </is>
      </c>
      <c r="C1602" t="n">
        <v>2026</v>
      </c>
      <c r="D1602" t="inlineStr">
        <is>
          <t>Kwiecień</t>
        </is>
      </c>
      <c r="E1602" t="inlineStr">
        <is>
          <t>W2</t>
        </is>
      </c>
      <c r="F1602" t="inlineStr">
        <is>
          <t>2026_Kwiecień_W2</t>
        </is>
      </c>
      <c r="G1602" t="inlineStr">
        <is>
          <t>Wt</t>
        </is>
      </c>
      <c r="H1602" t="inlineStr">
        <is>
          <t>ZNOJEK, GABRIELA</t>
        </is>
      </c>
      <c r="I1602" t="inlineStr">
        <is>
          <t>Crew</t>
        </is>
      </c>
      <c r="J1602" t="inlineStr">
        <is>
          <t>Standard 0,75|30h</t>
        </is>
      </c>
      <c r="K1602" t="n">
        <v>7.41</v>
      </c>
      <c r="L1602" t="inlineStr">
        <is>
          <t>384</t>
        </is>
      </c>
      <c r="M1602" t="inlineStr">
        <is>
          <t>108120 SBX Warszawa Janki</t>
        </is>
      </c>
      <c r="N1602" t="inlineStr">
        <is>
          <t>2026-09-11 19:06</t>
        </is>
      </c>
    </row>
    <row r="1603">
      <c r="A1603" t="n">
        <v>1602</v>
      </c>
      <c r="B1603" t="inlineStr">
        <is>
          <t>2026-04-08</t>
        </is>
      </c>
      <c r="C1603" t="n">
        <v>2026</v>
      </c>
      <c r="D1603" t="inlineStr">
        <is>
          <t>Kwiecień</t>
        </is>
      </c>
      <c r="E1603" t="inlineStr">
        <is>
          <t>W2</t>
        </is>
      </c>
      <c r="F1603" t="inlineStr">
        <is>
          <t>2026_Kwiecień_W2</t>
        </is>
      </c>
      <c r="G1603" t="inlineStr">
        <is>
          <t>Śr</t>
        </is>
      </c>
      <c r="H1603" t="inlineStr">
        <is>
          <t>ZNOJEK, GABRIELA</t>
        </is>
      </c>
      <c r="I1603" t="inlineStr">
        <is>
          <t>Crew</t>
        </is>
      </c>
      <c r="J1603" t="inlineStr">
        <is>
          <t>Standard 0,75|30h</t>
        </is>
      </c>
      <c r="K1603" t="n">
        <v>6.51</v>
      </c>
      <c r="L1603" t="inlineStr">
        <is>
          <t>384</t>
        </is>
      </c>
      <c r="M1603" t="inlineStr">
        <is>
          <t>108120 SBX Warszawa Janki</t>
        </is>
      </c>
      <c r="N1603" t="inlineStr">
        <is>
          <t>2026-09-11 19:06</t>
        </is>
      </c>
    </row>
    <row r="1604">
      <c r="A1604" t="n">
        <v>1603</v>
      </c>
      <c r="B1604" t="inlineStr">
        <is>
          <t>2026-04-09</t>
        </is>
      </c>
      <c r="C1604" t="n">
        <v>2026</v>
      </c>
      <c r="D1604" t="inlineStr">
        <is>
          <t>Kwiecień</t>
        </is>
      </c>
      <c r="E1604" t="inlineStr">
        <is>
          <t>W2</t>
        </is>
      </c>
      <c r="F1604" t="inlineStr">
        <is>
          <t>2026_Kwiecień_W2</t>
        </is>
      </c>
      <c r="G1604" t="inlineStr">
        <is>
          <t>Czw</t>
        </is>
      </c>
      <c r="H1604" t="inlineStr">
        <is>
          <t>ZNOJEK, GABRIELA</t>
        </is>
      </c>
      <c r="I1604" t="inlineStr">
        <is>
          <t>Crew</t>
        </is>
      </c>
      <c r="J1604" t="inlineStr">
        <is>
          <t>Standard 0,75|30h</t>
        </is>
      </c>
      <c r="K1604" t="n">
        <v>8.130000000000001</v>
      </c>
      <c r="L1604" t="inlineStr">
        <is>
          <t>384</t>
        </is>
      </c>
      <c r="M1604" t="inlineStr">
        <is>
          <t>108120 SBX Warszawa Janki</t>
        </is>
      </c>
      <c r="N1604" t="inlineStr">
        <is>
          <t>2026-09-11 19:06</t>
        </is>
      </c>
    </row>
    <row r="1605">
      <c r="A1605" t="n">
        <v>1604</v>
      </c>
      <c r="B1605" t="inlineStr">
        <is>
          <t>2026-04-13</t>
        </is>
      </c>
      <c r="C1605" t="n">
        <v>2026</v>
      </c>
      <c r="D1605" t="inlineStr">
        <is>
          <t>Kwiecień</t>
        </is>
      </c>
      <c r="E1605" t="inlineStr">
        <is>
          <t>W2</t>
        </is>
      </c>
      <c r="F1605" t="inlineStr">
        <is>
          <t>2026_Kwiecień_W2</t>
        </is>
      </c>
      <c r="G1605" t="inlineStr">
        <is>
          <t>Pn</t>
        </is>
      </c>
      <c r="H1605" t="inlineStr">
        <is>
          <t>ZNOJEK, GABRIELA</t>
        </is>
      </c>
      <c r="I1605" t="inlineStr">
        <is>
          <t>Crew</t>
        </is>
      </c>
      <c r="J1605" t="inlineStr">
        <is>
          <t>Standard 0,75|30h</t>
        </is>
      </c>
      <c r="K1605" t="n">
        <v>7.89</v>
      </c>
      <c r="L1605" t="inlineStr">
        <is>
          <t>384</t>
        </is>
      </c>
      <c r="M1605" t="inlineStr">
        <is>
          <t>108120 SBX Warszawa Janki</t>
        </is>
      </c>
      <c r="N1605" t="inlineStr">
        <is>
          <t>2026-09-11 19:06</t>
        </is>
      </c>
    </row>
    <row r="1606">
      <c r="A1606" t="n">
        <v>1605</v>
      </c>
      <c r="B1606" t="inlineStr">
        <is>
          <t>2026-04-16</t>
        </is>
      </c>
      <c r="C1606" t="n">
        <v>2026</v>
      </c>
      <c r="D1606" t="inlineStr">
        <is>
          <t>Kwiecień</t>
        </is>
      </c>
      <c r="E1606" t="inlineStr">
        <is>
          <t>W3</t>
        </is>
      </c>
      <c r="F1606" t="inlineStr">
        <is>
          <t>2026_Kwiecień_W3</t>
        </is>
      </c>
      <c r="G1606" t="inlineStr">
        <is>
          <t>Czw</t>
        </is>
      </c>
      <c r="H1606" t="inlineStr">
        <is>
          <t>ZNOJEK, GABRIELA</t>
        </is>
      </c>
      <c r="I1606" t="inlineStr">
        <is>
          <t>Crew</t>
        </is>
      </c>
      <c r="J1606" t="inlineStr">
        <is>
          <t>Standard 0,75|30h</t>
        </is>
      </c>
      <c r="K1606" t="n">
        <v>5.85</v>
      </c>
      <c r="L1606" t="inlineStr">
        <is>
          <t>384</t>
        </is>
      </c>
      <c r="M1606" t="inlineStr">
        <is>
          <t>108120 SBX Warszawa Janki</t>
        </is>
      </c>
      <c r="N1606" t="inlineStr">
        <is>
          <t>2026-09-11 19:06</t>
        </is>
      </c>
    </row>
    <row r="1607">
      <c r="A1607" t="n">
        <v>1606</v>
      </c>
      <c r="B1607" t="inlineStr">
        <is>
          <t>2026-04-17</t>
        </is>
      </c>
      <c r="C1607" t="n">
        <v>2026</v>
      </c>
      <c r="D1607" t="inlineStr">
        <is>
          <t>Kwiecień</t>
        </is>
      </c>
      <c r="E1607" t="inlineStr">
        <is>
          <t>W3</t>
        </is>
      </c>
      <c r="F1607" t="inlineStr">
        <is>
          <t>2026_Kwiecień_W3</t>
        </is>
      </c>
      <c r="G1607" t="inlineStr">
        <is>
          <t>Pt</t>
        </is>
      </c>
      <c r="H1607" t="inlineStr">
        <is>
          <t>ZNOJEK, GABRIELA</t>
        </is>
      </c>
      <c r="I1607" t="inlineStr">
        <is>
          <t>Crew</t>
        </is>
      </c>
      <c r="J1607" t="inlineStr">
        <is>
          <t>Standard 0,75|30h</t>
        </is>
      </c>
      <c r="K1607" t="n">
        <v>8.19</v>
      </c>
      <c r="L1607" t="inlineStr">
        <is>
          <t>384</t>
        </is>
      </c>
      <c r="M1607" t="inlineStr">
        <is>
          <t>108120 SBX Warszawa Janki</t>
        </is>
      </c>
      <c r="N1607" t="inlineStr">
        <is>
          <t>2026-09-11 19:06</t>
        </is>
      </c>
    </row>
    <row r="1608">
      <c r="A1608" t="n">
        <v>1607</v>
      </c>
      <c r="B1608" t="inlineStr">
        <is>
          <t>2026-04-20</t>
        </is>
      </c>
      <c r="C1608" t="n">
        <v>2026</v>
      </c>
      <c r="D1608" t="inlineStr">
        <is>
          <t>Kwiecień</t>
        </is>
      </c>
      <c r="E1608" t="inlineStr">
        <is>
          <t>W3</t>
        </is>
      </c>
      <c r="F1608" t="inlineStr">
        <is>
          <t>2026_Kwiecień_W3</t>
        </is>
      </c>
      <c r="G1608" t="inlineStr">
        <is>
          <t>Pn</t>
        </is>
      </c>
      <c r="H1608" t="inlineStr">
        <is>
          <t>ZNOJEK, GABRIELA</t>
        </is>
      </c>
      <c r="I1608" t="inlineStr">
        <is>
          <t>Crew</t>
        </is>
      </c>
      <c r="J1608" t="inlineStr">
        <is>
          <t>Standard 0,75|30h</t>
        </is>
      </c>
      <c r="K1608" t="n">
        <v>7.49</v>
      </c>
      <c r="L1608" t="inlineStr">
        <is>
          <t>384</t>
        </is>
      </c>
      <c r="M1608" t="inlineStr">
        <is>
          <t>108120 SBX Warszawa Janki</t>
        </is>
      </c>
      <c r="N1608" t="inlineStr">
        <is>
          <t>2026-09-11 19:06</t>
        </is>
      </c>
    </row>
    <row r="1609">
      <c r="A1609" t="n">
        <v>1608</v>
      </c>
      <c r="B1609" t="inlineStr">
        <is>
          <t>2026-04-21</t>
        </is>
      </c>
      <c r="C1609" t="n">
        <v>2026</v>
      </c>
      <c r="D1609" t="inlineStr">
        <is>
          <t>Kwiecień</t>
        </is>
      </c>
      <c r="E1609" t="inlineStr">
        <is>
          <t>W4</t>
        </is>
      </c>
      <c r="F1609" t="inlineStr">
        <is>
          <t>2026_Kwiecień_W4</t>
        </is>
      </c>
      <c r="G1609" t="inlineStr">
        <is>
          <t>Wt</t>
        </is>
      </c>
      <c r="H1609" t="inlineStr">
        <is>
          <t>ZNOJEK, GABRIELA</t>
        </is>
      </c>
      <c r="I1609" t="inlineStr">
        <is>
          <t>Crew</t>
        </is>
      </c>
      <c r="J1609" t="inlineStr">
        <is>
          <t>Standard 0,75|30h</t>
        </is>
      </c>
      <c r="K1609" t="n">
        <v>7.55</v>
      </c>
      <c r="L1609" t="inlineStr">
        <is>
          <t>384</t>
        </is>
      </c>
      <c r="M1609" t="inlineStr">
        <is>
          <t>108120 SBX Warszawa Janki</t>
        </is>
      </c>
      <c r="N1609" t="inlineStr">
        <is>
          <t>2026-09-11 19:06</t>
        </is>
      </c>
    </row>
    <row r="1610">
      <c r="A1610" t="n">
        <v>1609</v>
      </c>
      <c r="B1610" t="inlineStr">
        <is>
          <t>2026-04-24</t>
        </is>
      </c>
      <c r="C1610" t="n">
        <v>2026</v>
      </c>
      <c r="D1610" t="inlineStr">
        <is>
          <t>Kwiecień</t>
        </is>
      </c>
      <c r="E1610" t="inlineStr">
        <is>
          <t>W4</t>
        </is>
      </c>
      <c r="F1610" t="inlineStr">
        <is>
          <t>2026_Kwiecień_W4</t>
        </is>
      </c>
      <c r="G1610" t="inlineStr">
        <is>
          <t>Pt</t>
        </is>
      </c>
      <c r="H1610" t="inlineStr">
        <is>
          <t>ZNOJEK, GABRIELA</t>
        </is>
      </c>
      <c r="I1610" t="inlineStr">
        <is>
          <t>Crew</t>
        </is>
      </c>
      <c r="J1610" t="inlineStr">
        <is>
          <t>Standard 0,75|30h</t>
        </is>
      </c>
      <c r="K1610" t="n">
        <v>5.76</v>
      </c>
      <c r="L1610" t="inlineStr">
        <is>
          <t>384</t>
        </is>
      </c>
      <c r="M1610" t="inlineStr">
        <is>
          <t>108120 SBX Warszawa Janki</t>
        </is>
      </c>
      <c r="N1610" t="inlineStr">
        <is>
          <t>2026-09-11 19:06</t>
        </is>
      </c>
    </row>
    <row r="1611">
      <c r="A1611" t="n">
        <v>1610</v>
      </c>
      <c r="B1611" t="inlineStr">
        <is>
          <t>2026-04-25</t>
        </is>
      </c>
      <c r="C1611" t="n">
        <v>2026</v>
      </c>
      <c r="D1611" t="inlineStr">
        <is>
          <t>Kwiecień</t>
        </is>
      </c>
      <c r="E1611" t="inlineStr">
        <is>
          <t>W4</t>
        </is>
      </c>
      <c r="F1611" t="inlineStr">
        <is>
          <t>2026_Kwiecień_W4</t>
        </is>
      </c>
      <c r="G1611" t="inlineStr">
        <is>
          <t>Sob</t>
        </is>
      </c>
      <c r="H1611" t="inlineStr">
        <is>
          <t>ZNOJEK, GABRIELA</t>
        </is>
      </c>
      <c r="I1611" t="inlineStr">
        <is>
          <t>Crew</t>
        </is>
      </c>
      <c r="J1611" t="inlineStr">
        <is>
          <t>Standard 0,75|30h</t>
        </is>
      </c>
      <c r="K1611" t="n">
        <v>5.53</v>
      </c>
      <c r="L1611" t="inlineStr">
        <is>
          <t>384</t>
        </is>
      </c>
      <c r="M1611" t="inlineStr">
        <is>
          <t>108120 SBX Warszawa Janki</t>
        </is>
      </c>
      <c r="N1611" t="inlineStr">
        <is>
          <t>2026-09-11 19:06</t>
        </is>
      </c>
    </row>
    <row r="1612">
      <c r="A1612" t="n">
        <v>1611</v>
      </c>
      <c r="B1612" t="inlineStr">
        <is>
          <t>2026-04-26</t>
        </is>
      </c>
      <c r="C1612" t="n">
        <v>2026</v>
      </c>
      <c r="D1612" t="inlineStr">
        <is>
          <t>Kwiecień</t>
        </is>
      </c>
      <c r="E1612" t="inlineStr">
        <is>
          <t>W4</t>
        </is>
      </c>
      <c r="F1612" t="inlineStr">
        <is>
          <t>2026_Kwiecień_W4</t>
        </is>
      </c>
      <c r="G1612" t="inlineStr">
        <is>
          <t>Nd</t>
        </is>
      </c>
      <c r="H1612" t="inlineStr">
        <is>
          <t>ZNOJEK, GABRIELA</t>
        </is>
      </c>
      <c r="I1612" t="inlineStr">
        <is>
          <t>Crew</t>
        </is>
      </c>
      <c r="J1612" t="inlineStr">
        <is>
          <t>Standard 0,75|30h</t>
        </is>
      </c>
      <c r="K1612" t="n">
        <v>4.63</v>
      </c>
      <c r="L1612" t="inlineStr">
        <is>
          <t>384</t>
        </is>
      </c>
      <c r="M1612" t="inlineStr">
        <is>
          <t>108120 SBX Warszawa Janki</t>
        </is>
      </c>
      <c r="N1612" t="inlineStr">
        <is>
          <t>2026-09-11 19:06</t>
        </is>
      </c>
    </row>
    <row r="1613">
      <c r="A1613" t="n">
        <v>1612</v>
      </c>
      <c r="B1613" t="inlineStr">
        <is>
          <t>2026-04-27</t>
        </is>
      </c>
      <c r="C1613" t="n">
        <v>2026</v>
      </c>
      <c r="D1613" t="inlineStr">
        <is>
          <t>Kwiecień</t>
        </is>
      </c>
      <c r="E1613" t="inlineStr">
        <is>
          <t>W4</t>
        </is>
      </c>
      <c r="F1613" t="inlineStr">
        <is>
          <t>2026_Kwiecień_W4</t>
        </is>
      </c>
      <c r="G1613" t="inlineStr">
        <is>
          <t>Pn</t>
        </is>
      </c>
      <c r="H1613" t="inlineStr">
        <is>
          <t>ZNOJEK, GABRIELA</t>
        </is>
      </c>
      <c r="I1613" t="inlineStr">
        <is>
          <t>Crew</t>
        </is>
      </c>
      <c r="J1613" t="inlineStr">
        <is>
          <t>Standard 0,75|30h</t>
        </is>
      </c>
      <c r="K1613" t="n">
        <v>8.23</v>
      </c>
      <c r="L1613" t="inlineStr">
        <is>
          <t>384</t>
        </is>
      </c>
      <c r="M1613" t="inlineStr">
        <is>
          <t>108120 SBX Warszawa Janki</t>
        </is>
      </c>
      <c r="N1613" t="inlineStr">
        <is>
          <t>2026-09-11 19:06</t>
        </is>
      </c>
    </row>
    <row r="1614">
      <c r="A1614" t="n">
        <v>1613</v>
      </c>
      <c r="B1614" t="inlineStr">
        <is>
          <t>2026-04-28</t>
        </is>
      </c>
      <c r="C1614" t="n">
        <v>2026</v>
      </c>
      <c r="D1614" t="inlineStr">
        <is>
          <t>Kwiecień</t>
        </is>
      </c>
      <c r="E1614" t="inlineStr">
        <is>
          <t>W5</t>
        </is>
      </c>
      <c r="F1614" t="inlineStr">
        <is>
          <t>2026_Kwiecień_W5</t>
        </is>
      </c>
      <c r="G1614" t="inlineStr">
        <is>
          <t>Wt</t>
        </is>
      </c>
      <c r="H1614" t="inlineStr">
        <is>
          <t>ZNOJEK, GABRIELA</t>
        </is>
      </c>
      <c r="I1614" t="inlineStr">
        <is>
          <t>Crew</t>
        </is>
      </c>
      <c r="J1614" t="inlineStr">
        <is>
          <t>Standard 0,75|30h</t>
        </is>
      </c>
      <c r="K1614" t="n">
        <v>9.050000000000001</v>
      </c>
      <c r="L1614" t="inlineStr">
        <is>
          <t>384</t>
        </is>
      </c>
      <c r="M1614" t="inlineStr">
        <is>
          <t>108120 SBX Warszawa Janki</t>
        </is>
      </c>
      <c r="N1614" t="inlineStr">
        <is>
          <t>2026-09-11 19:06</t>
        </is>
      </c>
    </row>
    <row r="1615">
      <c r="A1615" t="n">
        <v>1614</v>
      </c>
      <c r="B1615" t="inlineStr">
        <is>
          <t>2026-04-30</t>
        </is>
      </c>
      <c r="C1615" t="n">
        <v>2026</v>
      </c>
      <c r="D1615" t="inlineStr">
        <is>
          <t>Kwiecień</t>
        </is>
      </c>
      <c r="E1615" t="inlineStr">
        <is>
          <t>W5</t>
        </is>
      </c>
      <c r="F1615" t="inlineStr">
        <is>
          <t>2026_Kwiecień_W5</t>
        </is>
      </c>
      <c r="G1615" t="inlineStr">
        <is>
          <t>Czw</t>
        </is>
      </c>
      <c r="H1615" t="inlineStr">
        <is>
          <t>ZNOJEK, GABRIELA</t>
        </is>
      </c>
      <c r="I1615" t="inlineStr">
        <is>
          <t>Crew</t>
        </is>
      </c>
      <c r="J1615" t="inlineStr">
        <is>
          <t>Standard 0,75|30h</t>
        </is>
      </c>
      <c r="K1615" t="n">
        <v>7.65</v>
      </c>
      <c r="L1615" t="inlineStr">
        <is>
          <t>384</t>
        </is>
      </c>
      <c r="M1615" t="inlineStr">
        <is>
          <t>108120 SBX Warszawa Janki</t>
        </is>
      </c>
      <c r="N1615" t="inlineStr">
        <is>
          <t>2026-09-11 19:06</t>
        </is>
      </c>
    </row>
    <row r="1616">
      <c r="A1616" t="n">
        <v>1615</v>
      </c>
      <c r="B1616" t="inlineStr">
        <is>
          <t>2026-05-01</t>
        </is>
      </c>
      <c r="C1616" t="n">
        <v>2026</v>
      </c>
      <c r="D1616" t="inlineStr">
        <is>
          <t>Maj</t>
        </is>
      </c>
      <c r="E1616" t="inlineStr">
        <is>
          <t>W1</t>
        </is>
      </c>
      <c r="F1616" t="inlineStr">
        <is>
          <t>2026_Maj_W1</t>
        </is>
      </c>
      <c r="G1616" t="inlineStr">
        <is>
          <t>Pt</t>
        </is>
      </c>
      <c r="H1616" t="inlineStr">
        <is>
          <t>ZNOJEK, GABRIELA</t>
        </is>
      </c>
      <c r="I1616" t="inlineStr">
        <is>
          <t>Crew</t>
        </is>
      </c>
      <c r="J1616" t="inlineStr">
        <is>
          <t>Standard 0,75|30h</t>
        </is>
      </c>
      <c r="K1616" t="n">
        <v>8.029999999999999</v>
      </c>
      <c r="L1616" t="inlineStr">
        <is>
          <t>384</t>
        </is>
      </c>
      <c r="M1616" t="inlineStr">
        <is>
          <t>108120 SBX Warszawa Janki</t>
        </is>
      </c>
      <c r="N1616" t="inlineStr">
        <is>
          <t>2026-09-11 19:06</t>
        </is>
      </c>
    </row>
    <row r="1617">
      <c r="A1617" t="n">
        <v>1616</v>
      </c>
      <c r="B1617" t="inlineStr">
        <is>
          <t>2026-05-02</t>
        </is>
      </c>
      <c r="C1617" t="n">
        <v>2026</v>
      </c>
      <c r="D1617" t="inlineStr">
        <is>
          <t>Maj</t>
        </is>
      </c>
      <c r="E1617" t="inlineStr">
        <is>
          <t>W1</t>
        </is>
      </c>
      <c r="F1617" t="inlineStr">
        <is>
          <t>2026_Maj_W1</t>
        </is>
      </c>
      <c r="G1617" t="inlineStr">
        <is>
          <t>Sob</t>
        </is>
      </c>
      <c r="H1617" t="inlineStr">
        <is>
          <t>ZNOJEK, GABRIELA</t>
        </is>
      </c>
      <c r="I1617" t="inlineStr">
        <is>
          <t>Crew</t>
        </is>
      </c>
      <c r="J1617" t="inlineStr">
        <is>
          <t>Standard 0,75|30h</t>
        </is>
      </c>
      <c r="K1617" t="n">
        <v>8.08</v>
      </c>
      <c r="L1617" t="inlineStr">
        <is>
          <t>384</t>
        </is>
      </c>
      <c r="M1617" t="inlineStr">
        <is>
          <t>108120 SBX Warszawa Janki</t>
        </is>
      </c>
      <c r="N1617" t="inlineStr">
        <is>
          <t>2026-09-11 19:06</t>
        </is>
      </c>
    </row>
    <row r="1618">
      <c r="A1618" t="n">
        <v>1617</v>
      </c>
      <c r="B1618" t="inlineStr">
        <is>
          <t>2026-05-05</t>
        </is>
      </c>
      <c r="C1618" t="n">
        <v>2026</v>
      </c>
      <c r="D1618" t="inlineStr">
        <is>
          <t>Maj</t>
        </is>
      </c>
      <c r="E1618" t="inlineStr">
        <is>
          <t>W2</t>
        </is>
      </c>
      <c r="F1618" t="inlineStr">
        <is>
          <t>2026_Maj_W2</t>
        </is>
      </c>
      <c r="G1618" t="inlineStr">
        <is>
          <t>Wt</t>
        </is>
      </c>
      <c r="H1618" t="inlineStr">
        <is>
          <t>ZNOJEK, GABRIELA</t>
        </is>
      </c>
      <c r="I1618" t="inlineStr">
        <is>
          <t>Crew</t>
        </is>
      </c>
      <c r="J1618" t="inlineStr">
        <is>
          <t>Standard 0,75|30h</t>
        </is>
      </c>
      <c r="K1618" t="n">
        <v>7.95</v>
      </c>
      <c r="L1618" t="inlineStr">
        <is>
          <t>384</t>
        </is>
      </c>
      <c r="M1618" t="inlineStr">
        <is>
          <t>108120 SBX Warszawa Janki</t>
        </is>
      </c>
      <c r="N1618" t="inlineStr">
        <is>
          <t>2026-09-11 19:06</t>
        </is>
      </c>
    </row>
    <row r="1619">
      <c r="A1619" t="n">
        <v>1618</v>
      </c>
      <c r="B1619" t="inlineStr">
        <is>
          <t>2026-05-06</t>
        </is>
      </c>
      <c r="C1619" t="n">
        <v>2026</v>
      </c>
      <c r="D1619" t="inlineStr">
        <is>
          <t>Maj</t>
        </is>
      </c>
      <c r="E1619" t="inlineStr">
        <is>
          <t>W2</t>
        </is>
      </c>
      <c r="F1619" t="inlineStr">
        <is>
          <t>2026_Maj_W2</t>
        </is>
      </c>
      <c r="G1619" t="inlineStr">
        <is>
          <t>Śr</t>
        </is>
      </c>
      <c r="H1619" t="inlineStr">
        <is>
          <t>ZNOJEK, GABRIELA</t>
        </is>
      </c>
      <c r="I1619" t="inlineStr">
        <is>
          <t>Crew</t>
        </is>
      </c>
      <c r="J1619" t="inlineStr">
        <is>
          <t>Standard 0,75|30h</t>
        </is>
      </c>
      <c r="K1619" t="n">
        <v>8.52</v>
      </c>
      <c r="L1619" t="inlineStr">
        <is>
          <t>384</t>
        </is>
      </c>
      <c r="M1619" t="inlineStr">
        <is>
          <t>108120 SBX Warszawa Janki</t>
        </is>
      </c>
      <c r="N1619" t="inlineStr">
        <is>
          <t>2026-09-11 19:06</t>
        </is>
      </c>
    </row>
    <row r="1620">
      <c r="A1620" t="n">
        <v>1619</v>
      </c>
      <c r="B1620" t="inlineStr">
        <is>
          <t>2026-05-07</t>
        </is>
      </c>
      <c r="C1620" t="n">
        <v>2026</v>
      </c>
      <c r="D1620" t="inlineStr">
        <is>
          <t>Maj</t>
        </is>
      </c>
      <c r="E1620" t="inlineStr">
        <is>
          <t>W2</t>
        </is>
      </c>
      <c r="F1620" t="inlineStr">
        <is>
          <t>2026_Maj_W2</t>
        </is>
      </c>
      <c r="G1620" t="inlineStr">
        <is>
          <t>Czw</t>
        </is>
      </c>
      <c r="H1620" t="inlineStr">
        <is>
          <t>ZNOJEK, GABRIELA</t>
        </is>
      </c>
      <c r="I1620" t="inlineStr">
        <is>
          <t>Crew</t>
        </is>
      </c>
      <c r="J1620" t="inlineStr">
        <is>
          <t>Standard 0,75|30h</t>
        </is>
      </c>
      <c r="K1620" t="n">
        <v>9.699999999999999</v>
      </c>
      <c r="L1620" t="inlineStr">
        <is>
          <t>384</t>
        </is>
      </c>
      <c r="M1620" t="inlineStr">
        <is>
          <t>108120 SBX Warszawa Janki</t>
        </is>
      </c>
      <c r="N1620" t="inlineStr">
        <is>
          <t>2026-09-11 19:06</t>
        </is>
      </c>
    </row>
    <row r="1621">
      <c r="A1621" t="n">
        <v>1620</v>
      </c>
      <c r="B1621" t="inlineStr">
        <is>
          <t>2026-05-11</t>
        </is>
      </c>
      <c r="C1621" t="n">
        <v>2026</v>
      </c>
      <c r="D1621" t="inlineStr">
        <is>
          <t>Maj</t>
        </is>
      </c>
      <c r="E1621" t="inlineStr">
        <is>
          <t>W2</t>
        </is>
      </c>
      <c r="F1621" t="inlineStr">
        <is>
          <t>2026_Maj_W2</t>
        </is>
      </c>
      <c r="G1621" t="inlineStr">
        <is>
          <t>Pn</t>
        </is>
      </c>
      <c r="H1621" t="inlineStr">
        <is>
          <t>ZNOJEK, GABRIELA</t>
        </is>
      </c>
      <c r="I1621" t="inlineStr">
        <is>
          <t>Crew</t>
        </is>
      </c>
      <c r="J1621" t="inlineStr">
        <is>
          <t>Standard 0,75|30h</t>
        </is>
      </c>
      <c r="K1621" t="n">
        <v>7.85</v>
      </c>
      <c r="L1621" t="inlineStr">
        <is>
          <t>384</t>
        </is>
      </c>
      <c r="M1621" t="inlineStr">
        <is>
          <t>108120 SBX Warszawa Janki</t>
        </is>
      </c>
      <c r="N1621" t="inlineStr">
        <is>
          <t>2026-09-11 19:06</t>
        </is>
      </c>
    </row>
    <row r="1622">
      <c r="A1622" t="n">
        <v>1621</v>
      </c>
      <c r="B1622" t="inlineStr">
        <is>
          <t>2026-05-12</t>
        </is>
      </c>
      <c r="C1622" t="n">
        <v>2026</v>
      </c>
      <c r="D1622" t="inlineStr">
        <is>
          <t>Maj</t>
        </is>
      </c>
      <c r="E1622" t="inlineStr">
        <is>
          <t>W3</t>
        </is>
      </c>
      <c r="F1622" t="inlineStr">
        <is>
          <t>2026_Maj_W3</t>
        </is>
      </c>
      <c r="G1622" t="inlineStr">
        <is>
          <t>Wt</t>
        </is>
      </c>
      <c r="H1622" t="inlineStr">
        <is>
          <t>ZNOJEK, GABRIELA</t>
        </is>
      </c>
      <c r="I1622" t="inlineStr">
        <is>
          <t>Crew</t>
        </is>
      </c>
      <c r="J1622" t="inlineStr">
        <is>
          <t>Standard 0,75|30h</t>
        </is>
      </c>
      <c r="K1622" t="n">
        <v>7.99</v>
      </c>
      <c r="L1622" t="inlineStr">
        <is>
          <t>384</t>
        </is>
      </c>
      <c r="M1622" t="inlineStr">
        <is>
          <t>108120 SBX Warszawa Janki</t>
        </is>
      </c>
      <c r="N1622" t="inlineStr">
        <is>
          <t>2026-09-11 19:06</t>
        </is>
      </c>
    </row>
    <row r="1623">
      <c r="A1623" t="n">
        <v>1622</v>
      </c>
      <c r="B1623" t="inlineStr">
        <is>
          <t>2026-05-13</t>
        </is>
      </c>
      <c r="C1623" t="n">
        <v>2026</v>
      </c>
      <c r="D1623" t="inlineStr">
        <is>
          <t>Maj</t>
        </is>
      </c>
      <c r="E1623" t="inlineStr">
        <is>
          <t>W3</t>
        </is>
      </c>
      <c r="F1623" t="inlineStr">
        <is>
          <t>2026_Maj_W3</t>
        </is>
      </c>
      <c r="G1623" t="inlineStr">
        <is>
          <t>Śr</t>
        </is>
      </c>
      <c r="H1623" t="inlineStr">
        <is>
          <t>ZNOJEK, GABRIELA</t>
        </is>
      </c>
      <c r="I1623" t="inlineStr">
        <is>
          <t>Crew</t>
        </is>
      </c>
      <c r="J1623" t="inlineStr">
        <is>
          <t>Standard 0,75|30h</t>
        </is>
      </c>
      <c r="K1623" t="n">
        <v>8</v>
      </c>
      <c r="L1623" t="inlineStr">
        <is>
          <t>384</t>
        </is>
      </c>
      <c r="M1623" t="inlineStr">
        <is>
          <t>108120 SBX Warszawa Janki</t>
        </is>
      </c>
      <c r="N1623" t="inlineStr">
        <is>
          <t>2026-09-11 19:06</t>
        </is>
      </c>
    </row>
    <row r="1624">
      <c r="A1624" t="n">
        <v>1623</v>
      </c>
      <c r="B1624" t="inlineStr">
        <is>
          <t>2026-05-14</t>
        </is>
      </c>
      <c r="C1624" t="n">
        <v>2026</v>
      </c>
      <c r="D1624" t="inlineStr">
        <is>
          <t>Maj</t>
        </is>
      </c>
      <c r="E1624" t="inlineStr">
        <is>
          <t>W3</t>
        </is>
      </c>
      <c r="F1624" t="inlineStr">
        <is>
          <t>2026_Maj_W3</t>
        </is>
      </c>
      <c r="G1624" t="inlineStr">
        <is>
          <t>Czw</t>
        </is>
      </c>
      <c r="H1624" t="inlineStr">
        <is>
          <t>ZNOJEK, GABRIELA</t>
        </is>
      </c>
      <c r="I1624" t="inlineStr">
        <is>
          <t>Crew</t>
        </is>
      </c>
      <c r="J1624" t="inlineStr">
        <is>
          <t>Standard 0,75|30h</t>
        </is>
      </c>
      <c r="K1624" t="n">
        <v>8.109999999999999</v>
      </c>
      <c r="L1624" t="inlineStr">
        <is>
          <t>384</t>
        </is>
      </c>
      <c r="M1624" t="inlineStr">
        <is>
          <t>108120 SBX Warszawa Janki</t>
        </is>
      </c>
      <c r="N1624" t="inlineStr">
        <is>
          <t>2026-09-11 19:06</t>
        </is>
      </c>
    </row>
    <row r="1625">
      <c r="A1625" t="n">
        <v>1624</v>
      </c>
      <c r="B1625" t="inlineStr">
        <is>
          <t>2026-05-15</t>
        </is>
      </c>
      <c r="C1625" t="n">
        <v>2026</v>
      </c>
      <c r="D1625" t="inlineStr">
        <is>
          <t>Maj</t>
        </is>
      </c>
      <c r="E1625" t="inlineStr">
        <is>
          <t>W3</t>
        </is>
      </c>
      <c r="F1625" t="inlineStr">
        <is>
          <t>2026_Maj_W3</t>
        </is>
      </c>
      <c r="G1625" t="inlineStr">
        <is>
          <t>Pt</t>
        </is>
      </c>
      <c r="H1625" t="inlineStr">
        <is>
          <t>ZNOJEK, GABRIELA</t>
        </is>
      </c>
      <c r="I1625" t="inlineStr">
        <is>
          <t>Crew</t>
        </is>
      </c>
      <c r="J1625" t="inlineStr">
        <is>
          <t>Standard 0,75|30h</t>
        </is>
      </c>
      <c r="K1625" t="n">
        <v>8.27</v>
      </c>
      <c r="L1625" t="inlineStr">
        <is>
          <t>384</t>
        </is>
      </c>
      <c r="M1625" t="inlineStr">
        <is>
          <t>108120 SBX Warszawa Janki</t>
        </is>
      </c>
      <c r="N1625" t="inlineStr">
        <is>
          <t>2026-09-11 19:06</t>
        </is>
      </c>
    </row>
    <row r="1626">
      <c r="A1626" t="n">
        <v>1625</v>
      </c>
      <c r="B1626" t="inlineStr">
        <is>
          <t>2026-05-18</t>
        </is>
      </c>
      <c r="C1626" t="n">
        <v>2026</v>
      </c>
      <c r="D1626" t="inlineStr">
        <is>
          <t>Maj</t>
        </is>
      </c>
      <c r="E1626" t="inlineStr">
        <is>
          <t>W3</t>
        </is>
      </c>
      <c r="F1626" t="inlineStr">
        <is>
          <t>2026_Maj_W3</t>
        </is>
      </c>
      <c r="G1626" t="inlineStr">
        <is>
          <t>Pn</t>
        </is>
      </c>
      <c r="H1626" t="inlineStr">
        <is>
          <t>ZNOJEK, GABRIELA</t>
        </is>
      </c>
      <c r="I1626" t="inlineStr">
        <is>
          <t>Crew</t>
        </is>
      </c>
      <c r="J1626" t="inlineStr">
        <is>
          <t>Standard 0,75|30h</t>
        </is>
      </c>
      <c r="K1626" t="n">
        <v>6.68</v>
      </c>
      <c r="L1626" t="inlineStr">
        <is>
          <t>384</t>
        </is>
      </c>
      <c r="M1626" t="inlineStr">
        <is>
          <t>108120 SBX Warszawa Janki</t>
        </is>
      </c>
      <c r="N1626" t="inlineStr">
        <is>
          <t>2026-09-11 19:06</t>
        </is>
      </c>
    </row>
    <row r="1627">
      <c r="A1627" t="n">
        <v>1626</v>
      </c>
      <c r="B1627" t="inlineStr">
        <is>
          <t>2026-05-21</t>
        </is>
      </c>
      <c r="C1627" t="n">
        <v>2026</v>
      </c>
      <c r="D1627" t="inlineStr">
        <is>
          <t>Maj</t>
        </is>
      </c>
      <c r="E1627" t="inlineStr">
        <is>
          <t>W4</t>
        </is>
      </c>
      <c r="F1627" t="inlineStr">
        <is>
          <t>2026_Maj_W4</t>
        </is>
      </c>
      <c r="G1627" t="inlineStr">
        <is>
          <t>Czw</t>
        </is>
      </c>
      <c r="H1627" t="inlineStr">
        <is>
          <t>ZNOJEK, GABRIELA</t>
        </is>
      </c>
      <c r="I1627" t="inlineStr">
        <is>
          <t>Crew</t>
        </is>
      </c>
      <c r="J1627" t="inlineStr">
        <is>
          <t>Standard 0,75|30h</t>
        </is>
      </c>
      <c r="K1627" t="n">
        <v>8.039999999999999</v>
      </c>
      <c r="L1627" t="inlineStr">
        <is>
          <t>384</t>
        </is>
      </c>
      <c r="M1627" t="inlineStr">
        <is>
          <t>108120 SBX Warszawa Janki</t>
        </is>
      </c>
      <c r="N1627" t="inlineStr">
        <is>
          <t>2026-09-11 19:06</t>
        </is>
      </c>
    </row>
    <row r="1628">
      <c r="A1628" t="n">
        <v>1627</v>
      </c>
      <c r="B1628" t="inlineStr">
        <is>
          <t>2026-05-22</t>
        </is>
      </c>
      <c r="C1628" t="n">
        <v>2026</v>
      </c>
      <c r="D1628" t="inlineStr">
        <is>
          <t>Maj</t>
        </is>
      </c>
      <c r="E1628" t="inlineStr">
        <is>
          <t>W4</t>
        </is>
      </c>
      <c r="F1628" t="inlineStr">
        <is>
          <t>2026_Maj_W4</t>
        </is>
      </c>
      <c r="G1628" t="inlineStr">
        <is>
          <t>Pt</t>
        </is>
      </c>
      <c r="H1628" t="inlineStr">
        <is>
          <t>ZNOJEK, GABRIELA</t>
        </is>
      </c>
      <c r="I1628" t="inlineStr">
        <is>
          <t>Crew</t>
        </is>
      </c>
      <c r="J1628" t="inlineStr">
        <is>
          <t>Standard 0,75|30h</t>
        </is>
      </c>
      <c r="K1628" t="n">
        <v>8</v>
      </c>
      <c r="L1628" t="inlineStr">
        <is>
          <t>384</t>
        </is>
      </c>
      <c r="M1628" t="inlineStr">
        <is>
          <t>108120 SBX Warszawa Janki</t>
        </is>
      </c>
      <c r="N1628" t="inlineStr">
        <is>
          <t>2026-09-11 19:06</t>
        </is>
      </c>
    </row>
    <row r="1629">
      <c r="A1629" t="n">
        <v>1628</v>
      </c>
      <c r="B1629" t="inlineStr">
        <is>
          <t>2026-05-26</t>
        </is>
      </c>
      <c r="C1629" t="n">
        <v>2026</v>
      </c>
      <c r="D1629" t="inlineStr">
        <is>
          <t>Maj</t>
        </is>
      </c>
      <c r="E1629" t="inlineStr">
        <is>
          <t>W5</t>
        </is>
      </c>
      <c r="F1629" t="inlineStr">
        <is>
          <t>2026_Maj_W5</t>
        </is>
      </c>
      <c r="G1629" t="inlineStr">
        <is>
          <t>Wt</t>
        </is>
      </c>
      <c r="H1629" t="inlineStr">
        <is>
          <t>ZNOJEK, GABRIELA</t>
        </is>
      </c>
      <c r="I1629" t="inlineStr">
        <is>
          <t>Crew</t>
        </is>
      </c>
      <c r="J1629" t="inlineStr">
        <is>
          <t>Standard 0,75|30h</t>
        </is>
      </c>
      <c r="K1629" t="n">
        <v>7.65</v>
      </c>
      <c r="L1629" t="inlineStr">
        <is>
          <t>384</t>
        </is>
      </c>
      <c r="M1629" t="inlineStr">
        <is>
          <t>108120 SBX Warszawa Janki</t>
        </is>
      </c>
      <c r="N1629" t="inlineStr">
        <is>
          <t>2026-09-11 19:06</t>
        </is>
      </c>
    </row>
    <row r="1630">
      <c r="A1630" t="n">
        <v>1629</v>
      </c>
      <c r="B1630" t="inlineStr">
        <is>
          <t>2026-05-28</t>
        </is>
      </c>
      <c r="C1630" t="n">
        <v>2026</v>
      </c>
      <c r="D1630" t="inlineStr">
        <is>
          <t>Maj</t>
        </is>
      </c>
      <c r="E1630" t="inlineStr">
        <is>
          <t>W5</t>
        </is>
      </c>
      <c r="F1630" t="inlineStr">
        <is>
          <t>2026_Maj_W5</t>
        </is>
      </c>
      <c r="G1630" t="inlineStr">
        <is>
          <t>Czw</t>
        </is>
      </c>
      <c r="H1630" t="inlineStr">
        <is>
          <t>ZNOJEK, GABRIELA</t>
        </is>
      </c>
      <c r="I1630" t="inlineStr">
        <is>
          <t>Crew</t>
        </is>
      </c>
      <c r="J1630" t="inlineStr">
        <is>
          <t>Standard 0,75|30h</t>
        </is>
      </c>
      <c r="K1630" t="n">
        <v>7.98</v>
      </c>
      <c r="L1630" t="inlineStr">
        <is>
          <t>384</t>
        </is>
      </c>
      <c r="M1630" t="inlineStr">
        <is>
          <t>108120 SBX Warszawa Janki</t>
        </is>
      </c>
      <c r="N1630" t="inlineStr">
        <is>
          <t>2026-09-11 19:06</t>
        </is>
      </c>
    </row>
    <row r="1631">
      <c r="A1631" t="n">
        <v>1630</v>
      </c>
      <c r="B1631" t="inlineStr">
        <is>
          <t>2026-05-29</t>
        </is>
      </c>
      <c r="C1631" t="n">
        <v>2026</v>
      </c>
      <c r="D1631" t="inlineStr">
        <is>
          <t>Maj</t>
        </is>
      </c>
      <c r="E1631" t="inlineStr">
        <is>
          <t>W5</t>
        </is>
      </c>
      <c r="F1631" t="inlineStr">
        <is>
          <t>2026_Maj_W5</t>
        </is>
      </c>
      <c r="G1631" t="inlineStr">
        <is>
          <t>Pt</t>
        </is>
      </c>
      <c r="H1631" t="inlineStr">
        <is>
          <t>ZNOJEK, GABRIELA</t>
        </is>
      </c>
      <c r="I1631" t="inlineStr">
        <is>
          <t>Crew</t>
        </is>
      </c>
      <c r="J1631" t="inlineStr">
        <is>
          <t>Standard 0,75|30h</t>
        </is>
      </c>
      <c r="K1631" t="n">
        <v>5.93</v>
      </c>
      <c r="L1631" t="inlineStr">
        <is>
          <t>384</t>
        </is>
      </c>
      <c r="M1631" t="inlineStr">
        <is>
          <t>108120 SBX Warszawa Janki</t>
        </is>
      </c>
      <c r="N1631" t="inlineStr">
        <is>
          <t>2026-09-11 19:06</t>
        </is>
      </c>
    </row>
    <row r="1632">
      <c r="A1632" t="n">
        <v>1631</v>
      </c>
      <c r="B1632" t="inlineStr">
        <is>
          <t>2026-06-01</t>
        </is>
      </c>
      <c r="C1632" t="n">
        <v>2026</v>
      </c>
      <c r="D1632" t="inlineStr">
        <is>
          <t>Czerwiec</t>
        </is>
      </c>
      <c r="E1632" t="inlineStr">
        <is>
          <t>W1</t>
        </is>
      </c>
      <c r="F1632" t="inlineStr">
        <is>
          <t>2026_Czerwiec_W1</t>
        </is>
      </c>
      <c r="G1632" t="inlineStr">
        <is>
          <t>Pn</t>
        </is>
      </c>
      <c r="H1632" t="inlineStr">
        <is>
          <t>ZNOJEK, GABRIELA</t>
        </is>
      </c>
      <c r="I1632" t="inlineStr">
        <is>
          <t>Crew</t>
        </is>
      </c>
      <c r="J1632" t="inlineStr">
        <is>
          <t>Standard 0,75|30h</t>
        </is>
      </c>
      <c r="K1632" t="n">
        <v>7.96</v>
      </c>
      <c r="L1632" t="inlineStr">
        <is>
          <t>384</t>
        </is>
      </c>
      <c r="M1632" t="inlineStr">
        <is>
          <t>108120 SBX Warszawa Janki</t>
        </is>
      </c>
      <c r="N1632" t="inlineStr">
        <is>
          <t>2026-09-11 19:06</t>
        </is>
      </c>
    </row>
    <row r="1633">
      <c r="A1633" t="n">
        <v>1632</v>
      </c>
      <c r="B1633" t="inlineStr">
        <is>
          <t>2026-06-02</t>
        </is>
      </c>
      <c r="C1633" t="n">
        <v>2026</v>
      </c>
      <c r="D1633" t="inlineStr">
        <is>
          <t>Czerwiec</t>
        </is>
      </c>
      <c r="E1633" t="inlineStr">
        <is>
          <t>W2</t>
        </is>
      </c>
      <c r="F1633" t="inlineStr">
        <is>
          <t>2026_Czerwiec_W2</t>
        </is>
      </c>
      <c r="G1633" t="inlineStr">
        <is>
          <t>Wt</t>
        </is>
      </c>
      <c r="H1633" t="inlineStr">
        <is>
          <t>ZNOJEK, GABRIELA</t>
        </is>
      </c>
      <c r="I1633" t="inlineStr">
        <is>
          <t>Crew</t>
        </is>
      </c>
      <c r="J1633" t="inlineStr">
        <is>
          <t>Standard 0,75|30h</t>
        </is>
      </c>
      <c r="K1633" t="n">
        <v>8.130000000000001</v>
      </c>
      <c r="L1633" t="inlineStr">
        <is>
          <t>384</t>
        </is>
      </c>
      <c r="M1633" t="inlineStr">
        <is>
          <t>108120 SBX Warszawa Janki</t>
        </is>
      </c>
      <c r="N1633" t="inlineStr">
        <is>
          <t>2026-09-11 19:06</t>
        </is>
      </c>
    </row>
    <row r="1634">
      <c r="A1634" t="n">
        <v>1633</v>
      </c>
      <c r="B1634" t="inlineStr">
        <is>
          <t>2026-06-03</t>
        </is>
      </c>
      <c r="C1634" t="n">
        <v>2026</v>
      </c>
      <c r="D1634" t="inlineStr">
        <is>
          <t>Czerwiec</t>
        </is>
      </c>
      <c r="E1634" t="inlineStr">
        <is>
          <t>W2</t>
        </is>
      </c>
      <c r="F1634" t="inlineStr">
        <is>
          <t>2026_Czerwiec_W2</t>
        </is>
      </c>
      <c r="G1634" t="inlineStr">
        <is>
          <t>Śr</t>
        </is>
      </c>
      <c r="H1634" t="inlineStr">
        <is>
          <t>ZNOJEK, GABRIELA</t>
        </is>
      </c>
      <c r="I1634" t="inlineStr">
        <is>
          <t>Crew</t>
        </is>
      </c>
      <c r="J1634" t="inlineStr">
        <is>
          <t>Standard 0,75|30h</t>
        </is>
      </c>
      <c r="K1634" t="n">
        <v>8.880000000000001</v>
      </c>
      <c r="L1634" t="inlineStr">
        <is>
          <t>384</t>
        </is>
      </c>
      <c r="M1634" t="inlineStr">
        <is>
          <t>108120 SBX Warszawa Janki</t>
        </is>
      </c>
      <c r="N1634" t="inlineStr">
        <is>
          <t>2026-09-11 19:06</t>
        </is>
      </c>
    </row>
    <row r="1635">
      <c r="A1635" t="n">
        <v>1634</v>
      </c>
      <c r="B1635" t="inlineStr">
        <is>
          <t>2026-06-05</t>
        </is>
      </c>
      <c r="C1635" t="n">
        <v>2026</v>
      </c>
      <c r="D1635" t="inlineStr">
        <is>
          <t>Czerwiec</t>
        </is>
      </c>
      <c r="E1635" t="inlineStr">
        <is>
          <t>W2</t>
        </is>
      </c>
      <c r="F1635" t="inlineStr">
        <is>
          <t>2026_Czerwiec_W2</t>
        </is>
      </c>
      <c r="G1635" t="inlineStr">
        <is>
          <t>Pt</t>
        </is>
      </c>
      <c r="H1635" t="inlineStr">
        <is>
          <t>ZNOJEK, GABRIELA</t>
        </is>
      </c>
      <c r="I1635" t="inlineStr">
        <is>
          <t>Crew</t>
        </is>
      </c>
      <c r="J1635" t="inlineStr">
        <is>
          <t>Standard 0,75|30h</t>
        </is>
      </c>
      <c r="K1635" t="n">
        <v>9.640000000000001</v>
      </c>
      <c r="L1635" t="inlineStr">
        <is>
          <t>384</t>
        </is>
      </c>
      <c r="M1635" t="inlineStr">
        <is>
          <t>108120 SBX Warszawa Janki</t>
        </is>
      </c>
      <c r="N1635" t="inlineStr">
        <is>
          <t>2026-09-11 19:06</t>
        </is>
      </c>
    </row>
    <row r="1636">
      <c r="A1636" t="n">
        <v>1635</v>
      </c>
      <c r="B1636" t="inlineStr">
        <is>
          <t>2026-06-06</t>
        </is>
      </c>
      <c r="C1636" t="n">
        <v>2026</v>
      </c>
      <c r="D1636" t="inlineStr">
        <is>
          <t>Czerwiec</t>
        </is>
      </c>
      <c r="E1636" t="inlineStr">
        <is>
          <t>W2</t>
        </is>
      </c>
      <c r="F1636" t="inlineStr">
        <is>
          <t>2026_Czerwiec_W2</t>
        </is>
      </c>
      <c r="G1636" t="inlineStr">
        <is>
          <t>Sob</t>
        </is>
      </c>
      <c r="H1636" t="inlineStr">
        <is>
          <t>ZNOJEK, GABRIELA</t>
        </is>
      </c>
      <c r="I1636" t="inlineStr">
        <is>
          <t>Crew</t>
        </is>
      </c>
      <c r="J1636" t="inlineStr">
        <is>
          <t>Standard 0,75|30h</t>
        </is>
      </c>
      <c r="K1636" t="n">
        <v>8.17</v>
      </c>
      <c r="L1636" t="inlineStr">
        <is>
          <t>384</t>
        </is>
      </c>
      <c r="M1636" t="inlineStr">
        <is>
          <t>108120 SBX Warszawa Janki</t>
        </is>
      </c>
      <c r="N1636" t="inlineStr">
        <is>
          <t>2026-09-11 19:06</t>
        </is>
      </c>
    </row>
    <row r="1637">
      <c r="A1637" t="n">
        <v>1636</v>
      </c>
      <c r="B1637" t="inlineStr">
        <is>
          <t>2026-06-08</t>
        </is>
      </c>
      <c r="C1637" t="n">
        <v>2026</v>
      </c>
      <c r="D1637" t="inlineStr">
        <is>
          <t>Czerwiec</t>
        </is>
      </c>
      <c r="E1637" t="inlineStr">
        <is>
          <t>W2</t>
        </is>
      </c>
      <c r="F1637" t="inlineStr">
        <is>
          <t>2026_Czerwiec_W2</t>
        </is>
      </c>
      <c r="G1637" t="inlineStr">
        <is>
          <t>Pn</t>
        </is>
      </c>
      <c r="H1637" t="inlineStr">
        <is>
          <t>ZNOJEK, GABRIELA</t>
        </is>
      </c>
      <c r="I1637" t="inlineStr">
        <is>
          <t>Crew</t>
        </is>
      </c>
      <c r="J1637" t="inlineStr">
        <is>
          <t>Standard 0,75|30h</t>
        </is>
      </c>
      <c r="K1637" t="n">
        <v>7.4</v>
      </c>
      <c r="L1637" t="inlineStr">
        <is>
          <t>384</t>
        </is>
      </c>
      <c r="M1637" t="inlineStr">
        <is>
          <t>108120 SBX Warszawa Janki</t>
        </is>
      </c>
      <c r="N1637" t="inlineStr">
        <is>
          <t>2026-09-11 19:06</t>
        </is>
      </c>
    </row>
    <row r="1638">
      <c r="A1638" t="n">
        <v>1637</v>
      </c>
      <c r="B1638" t="inlineStr">
        <is>
          <t>2026-06-09</t>
        </is>
      </c>
      <c r="C1638" t="n">
        <v>2026</v>
      </c>
      <c r="D1638" t="inlineStr">
        <is>
          <t>Czerwiec</t>
        </is>
      </c>
      <c r="E1638" t="inlineStr">
        <is>
          <t>W3</t>
        </is>
      </c>
      <c r="F1638" t="inlineStr">
        <is>
          <t>2026_Czerwiec_W3</t>
        </is>
      </c>
      <c r="G1638" t="inlineStr">
        <is>
          <t>Wt</t>
        </is>
      </c>
      <c r="H1638" t="inlineStr">
        <is>
          <t>ZNOJEK, GABRIELA</t>
        </is>
      </c>
      <c r="I1638" t="inlineStr">
        <is>
          <t>Crew</t>
        </is>
      </c>
      <c r="J1638" t="inlineStr">
        <is>
          <t>Standard 0,75|30h</t>
        </is>
      </c>
      <c r="K1638" t="n">
        <v>8.16</v>
      </c>
      <c r="L1638" t="inlineStr">
        <is>
          <t>384</t>
        </is>
      </c>
      <c r="M1638" t="inlineStr">
        <is>
          <t>108120 SBX Warszawa Janki</t>
        </is>
      </c>
      <c r="N1638" t="inlineStr">
        <is>
          <t>2026-09-11 19:06</t>
        </is>
      </c>
    </row>
    <row r="1639">
      <c r="A1639" t="n">
        <v>1638</v>
      </c>
      <c r="B1639" t="inlineStr">
        <is>
          <t>2026-06-11</t>
        </is>
      </c>
      <c r="C1639" t="n">
        <v>2026</v>
      </c>
      <c r="D1639" t="inlineStr">
        <is>
          <t>Czerwiec</t>
        </is>
      </c>
      <c r="E1639" t="inlineStr">
        <is>
          <t>W3</t>
        </is>
      </c>
      <c r="F1639" t="inlineStr">
        <is>
          <t>2026_Czerwiec_W3</t>
        </is>
      </c>
      <c r="G1639" t="inlineStr">
        <is>
          <t>Czw</t>
        </is>
      </c>
      <c r="H1639" t="inlineStr">
        <is>
          <t>ZNOJEK, GABRIELA</t>
        </is>
      </c>
      <c r="I1639" t="inlineStr">
        <is>
          <t>Crew</t>
        </is>
      </c>
      <c r="J1639" t="inlineStr">
        <is>
          <t>Standard 0,75|30h</t>
        </is>
      </c>
      <c r="K1639" t="n">
        <v>8.69</v>
      </c>
      <c r="L1639" t="inlineStr">
        <is>
          <t>384</t>
        </is>
      </c>
      <c r="M1639" t="inlineStr">
        <is>
          <t>108120 SBX Warszawa Janki</t>
        </is>
      </c>
      <c r="N1639" t="inlineStr">
        <is>
          <t>2026-09-11 19:06</t>
        </is>
      </c>
    </row>
    <row r="1640">
      <c r="A1640" t="n">
        <v>1639</v>
      </c>
      <c r="B1640" t="inlineStr">
        <is>
          <t>2026-06-15</t>
        </is>
      </c>
      <c r="C1640" t="n">
        <v>2026</v>
      </c>
      <c r="D1640" t="inlineStr">
        <is>
          <t>Czerwiec</t>
        </is>
      </c>
      <c r="E1640" t="inlineStr">
        <is>
          <t>W3</t>
        </is>
      </c>
      <c r="F1640" t="inlineStr">
        <is>
          <t>2026_Czerwiec_W3</t>
        </is>
      </c>
      <c r="G1640" t="inlineStr">
        <is>
          <t>Pn</t>
        </is>
      </c>
      <c r="H1640" t="inlineStr">
        <is>
          <t>ZNOJEK, GABRIELA</t>
        </is>
      </c>
      <c r="I1640" t="inlineStr">
        <is>
          <t>Crew</t>
        </is>
      </c>
      <c r="J1640" t="inlineStr">
        <is>
          <t>Standard 0,75|30h</t>
        </is>
      </c>
      <c r="K1640" t="n">
        <v>8.16</v>
      </c>
      <c r="L1640" t="inlineStr">
        <is>
          <t>384</t>
        </is>
      </c>
      <c r="M1640" t="inlineStr">
        <is>
          <t>108120 SBX Warszawa Janki</t>
        </is>
      </c>
      <c r="N1640" t="inlineStr">
        <is>
          <t>2026-09-11 19:06</t>
        </is>
      </c>
    </row>
    <row r="1641">
      <c r="A1641" t="n">
        <v>1640</v>
      </c>
      <c r="B1641" t="inlineStr">
        <is>
          <t>2026-06-17</t>
        </is>
      </c>
      <c r="C1641" t="n">
        <v>2026</v>
      </c>
      <c r="D1641" t="inlineStr">
        <is>
          <t>Czerwiec</t>
        </is>
      </c>
      <c r="E1641" t="inlineStr">
        <is>
          <t>W4</t>
        </is>
      </c>
      <c r="F1641" t="inlineStr">
        <is>
          <t>2026_Czerwiec_W4</t>
        </is>
      </c>
      <c r="G1641" t="inlineStr">
        <is>
          <t>Śr</t>
        </is>
      </c>
      <c r="H1641" t="inlineStr">
        <is>
          <t>ZNOJEK, GABRIELA</t>
        </is>
      </c>
      <c r="I1641" t="inlineStr">
        <is>
          <t>Crew</t>
        </is>
      </c>
      <c r="J1641" t="inlineStr">
        <is>
          <t>Standard 0,75|30h</t>
        </is>
      </c>
      <c r="K1641" t="n">
        <v>8.75</v>
      </c>
      <c r="L1641" t="inlineStr">
        <is>
          <t>384</t>
        </is>
      </c>
      <c r="M1641" t="inlineStr">
        <is>
          <t>108120 SBX Warszawa Janki</t>
        </is>
      </c>
      <c r="N1641" t="inlineStr">
        <is>
          <t>2026-09-11 19:06</t>
        </is>
      </c>
    </row>
    <row r="1642">
      <c r="A1642" t="n">
        <v>1641</v>
      </c>
      <c r="B1642" t="inlineStr">
        <is>
          <t>2026-06-18</t>
        </is>
      </c>
      <c r="C1642" t="n">
        <v>2026</v>
      </c>
      <c r="D1642" t="inlineStr">
        <is>
          <t>Czerwiec</t>
        </is>
      </c>
      <c r="E1642" t="inlineStr">
        <is>
          <t>W4</t>
        </is>
      </c>
      <c r="F1642" t="inlineStr">
        <is>
          <t>2026_Czerwiec_W4</t>
        </is>
      </c>
      <c r="G1642" t="inlineStr">
        <is>
          <t>Czw</t>
        </is>
      </c>
      <c r="H1642" t="inlineStr">
        <is>
          <t>ZNOJEK, GABRIELA</t>
        </is>
      </c>
      <c r="I1642" t="inlineStr">
        <is>
          <t>Crew</t>
        </is>
      </c>
      <c r="J1642" t="inlineStr">
        <is>
          <t>Standard 0,75|30h</t>
        </is>
      </c>
      <c r="K1642" t="n">
        <v>9.300000000000001</v>
      </c>
      <c r="L1642" t="inlineStr">
        <is>
          <t>384</t>
        </is>
      </c>
      <c r="M1642" t="inlineStr">
        <is>
          <t>108120 SBX Warszawa Janki</t>
        </is>
      </c>
      <c r="N1642" t="inlineStr">
        <is>
          <t>2026-09-11 19:06</t>
        </is>
      </c>
    </row>
    <row r="1643">
      <c r="A1643" t="n">
        <v>1642</v>
      </c>
      <c r="B1643" t="inlineStr">
        <is>
          <t>2026-06-19</t>
        </is>
      </c>
      <c r="C1643" t="n">
        <v>2026</v>
      </c>
      <c r="D1643" t="inlineStr">
        <is>
          <t>Czerwiec</t>
        </is>
      </c>
      <c r="E1643" t="inlineStr">
        <is>
          <t>W4</t>
        </is>
      </c>
      <c r="F1643" t="inlineStr">
        <is>
          <t>2026_Czerwiec_W4</t>
        </is>
      </c>
      <c r="G1643" t="inlineStr">
        <is>
          <t>Pt</t>
        </is>
      </c>
      <c r="H1643" t="inlineStr">
        <is>
          <t>ZNOJEK, GABRIELA</t>
        </is>
      </c>
      <c r="I1643" t="inlineStr">
        <is>
          <t>Crew</t>
        </is>
      </c>
      <c r="J1643" t="inlineStr">
        <is>
          <t>Standard 0,75|30h</t>
        </is>
      </c>
      <c r="K1643" t="n">
        <v>6.49</v>
      </c>
      <c r="L1643" t="inlineStr">
        <is>
          <t>384</t>
        </is>
      </c>
      <c r="M1643" t="inlineStr">
        <is>
          <t>108120 SBX Warszawa Janki</t>
        </is>
      </c>
      <c r="N1643" t="inlineStr">
        <is>
          <t>2026-09-11 19:06</t>
        </is>
      </c>
    </row>
    <row r="1644">
      <c r="A1644" t="n">
        <v>1643</v>
      </c>
      <c r="B1644" t="inlineStr">
        <is>
          <t>2026-06-22</t>
        </is>
      </c>
      <c r="C1644" t="n">
        <v>2026</v>
      </c>
      <c r="D1644" t="inlineStr">
        <is>
          <t>Czerwiec</t>
        </is>
      </c>
      <c r="E1644" t="inlineStr">
        <is>
          <t>W4</t>
        </is>
      </c>
      <c r="F1644" t="inlineStr">
        <is>
          <t>2026_Czerwiec_W4</t>
        </is>
      </c>
      <c r="G1644" t="inlineStr">
        <is>
          <t>Pn</t>
        </is>
      </c>
      <c r="H1644" t="inlineStr">
        <is>
          <t>ZNOJEK, GABRIELA</t>
        </is>
      </c>
      <c r="I1644" t="inlineStr">
        <is>
          <t>Crew</t>
        </is>
      </c>
      <c r="J1644" t="inlineStr">
        <is>
          <t>Standard 0,75|30h</t>
        </is>
      </c>
      <c r="K1644" t="n">
        <v>7.77</v>
      </c>
      <c r="L1644" t="inlineStr">
        <is>
          <t>384</t>
        </is>
      </c>
      <c r="M1644" t="inlineStr">
        <is>
          <t>108120 SBX Warszawa Janki</t>
        </is>
      </c>
      <c r="N1644" t="inlineStr">
        <is>
          <t>2026-09-11 19:06</t>
        </is>
      </c>
    </row>
    <row r="1645">
      <c r="A1645" t="n">
        <v>1644</v>
      </c>
      <c r="B1645" t="inlineStr">
        <is>
          <t>2026-06-23</t>
        </is>
      </c>
      <c r="C1645" t="n">
        <v>2026</v>
      </c>
      <c r="D1645" t="inlineStr">
        <is>
          <t>Czerwiec</t>
        </is>
      </c>
      <c r="E1645" t="inlineStr">
        <is>
          <t>W5</t>
        </is>
      </c>
      <c r="F1645" t="inlineStr">
        <is>
          <t>2026_Czerwiec_W5</t>
        </is>
      </c>
      <c r="G1645" t="inlineStr">
        <is>
          <t>Wt</t>
        </is>
      </c>
      <c r="H1645" t="inlineStr">
        <is>
          <t>ZNOJEK, GABRIELA</t>
        </is>
      </c>
      <c r="I1645" t="inlineStr">
        <is>
          <t>Crew</t>
        </is>
      </c>
      <c r="J1645" t="inlineStr">
        <is>
          <t>Standard 0,75|30h</t>
        </is>
      </c>
      <c r="K1645" t="n">
        <v>7.82</v>
      </c>
      <c r="L1645" t="inlineStr">
        <is>
          <t>384</t>
        </is>
      </c>
      <c r="M1645" t="inlineStr">
        <is>
          <t>108120 SBX Warszawa Janki</t>
        </is>
      </c>
      <c r="N1645" t="inlineStr">
        <is>
          <t>2026-09-11 19:06</t>
        </is>
      </c>
    </row>
    <row r="1646">
      <c r="A1646" t="n">
        <v>1645</v>
      </c>
      <c r="B1646" t="inlineStr">
        <is>
          <t>2026-06-24</t>
        </is>
      </c>
      <c r="C1646" t="n">
        <v>2026</v>
      </c>
      <c r="D1646" t="inlineStr">
        <is>
          <t>Czerwiec</t>
        </is>
      </c>
      <c r="E1646" t="inlineStr">
        <is>
          <t>W5</t>
        </is>
      </c>
      <c r="F1646" t="inlineStr">
        <is>
          <t>2026_Czerwiec_W5</t>
        </is>
      </c>
      <c r="G1646" t="inlineStr">
        <is>
          <t>Śr</t>
        </is>
      </c>
      <c r="H1646" t="inlineStr">
        <is>
          <t>ZNOJEK, GABRIELA</t>
        </is>
      </c>
      <c r="I1646" t="inlineStr">
        <is>
          <t>Crew</t>
        </is>
      </c>
      <c r="J1646" t="inlineStr">
        <is>
          <t>Standard 0,75|30h</t>
        </is>
      </c>
      <c r="K1646" t="n">
        <v>8</v>
      </c>
      <c r="L1646" t="inlineStr">
        <is>
          <t>384</t>
        </is>
      </c>
      <c r="M1646" t="inlineStr">
        <is>
          <t>108120 SBX Warszawa Janki</t>
        </is>
      </c>
      <c r="N1646" t="inlineStr">
        <is>
          <t>2026-09-11 19:06</t>
        </is>
      </c>
    </row>
    <row r="1647">
      <c r="A1647" t="n">
        <v>1646</v>
      </c>
      <c r="B1647" t="inlineStr">
        <is>
          <t>2026-06-29</t>
        </is>
      </c>
      <c r="C1647" t="n">
        <v>2026</v>
      </c>
      <c r="D1647" t="inlineStr">
        <is>
          <t>Czerwiec</t>
        </is>
      </c>
      <c r="E1647" t="inlineStr">
        <is>
          <t>W5</t>
        </is>
      </c>
      <c r="F1647" t="inlineStr">
        <is>
          <t>2026_Czerwiec_W5</t>
        </is>
      </c>
      <c r="G1647" t="inlineStr">
        <is>
          <t>Pn</t>
        </is>
      </c>
      <c r="H1647" t="inlineStr">
        <is>
          <t>ZNOJEK, GABRIELA</t>
        </is>
      </c>
      <c r="I1647" t="inlineStr">
        <is>
          <t>Crew</t>
        </is>
      </c>
      <c r="J1647" t="inlineStr">
        <is>
          <t>Standard 0,75|30h</t>
        </is>
      </c>
      <c r="K1647" t="n">
        <v>7.82</v>
      </c>
      <c r="L1647" t="inlineStr">
        <is>
          <t>384</t>
        </is>
      </c>
      <c r="M1647" t="inlineStr">
        <is>
          <t>108120 SBX Warszawa Janki</t>
        </is>
      </c>
      <c r="N1647" t="inlineStr">
        <is>
          <t>2026-09-11 19:06</t>
        </is>
      </c>
    </row>
    <row r="1648">
      <c r="A1648" t="n">
        <v>1647</v>
      </c>
      <c r="B1648" t="inlineStr">
        <is>
          <t>2026-06-30</t>
        </is>
      </c>
      <c r="C1648" t="n">
        <v>2026</v>
      </c>
      <c r="D1648" t="inlineStr">
        <is>
          <t>Czerwiec</t>
        </is>
      </c>
      <c r="E1648" t="inlineStr">
        <is>
          <t>W6</t>
        </is>
      </c>
      <c r="F1648" t="inlineStr">
        <is>
          <t>2026_Czerwiec_W6</t>
        </is>
      </c>
      <c r="G1648" t="inlineStr">
        <is>
          <t>Wt</t>
        </is>
      </c>
      <c r="H1648" t="inlineStr">
        <is>
          <t>ZNOJEK, GABRIELA</t>
        </is>
      </c>
      <c r="I1648" t="inlineStr">
        <is>
          <t>Crew</t>
        </is>
      </c>
      <c r="J1648" t="inlineStr">
        <is>
          <t>Standard 0,75|30h</t>
        </is>
      </c>
      <c r="K1648" t="n">
        <v>8.66</v>
      </c>
      <c r="L1648" t="inlineStr">
        <is>
          <t>384</t>
        </is>
      </c>
      <c r="M1648" t="inlineStr">
        <is>
          <t>108120 SBX Warszawa Janki</t>
        </is>
      </c>
      <c r="N1648" t="inlineStr">
        <is>
          <t>2026-09-11 19:06</t>
        </is>
      </c>
    </row>
    <row r="1649">
      <c r="A1649" t="n">
        <v>1648</v>
      </c>
      <c r="B1649" t="inlineStr">
        <is>
          <t>2026-07-01</t>
        </is>
      </c>
      <c r="C1649" t="n">
        <v>2026</v>
      </c>
      <c r="D1649" t="inlineStr">
        <is>
          <t>Lipiec</t>
        </is>
      </c>
      <c r="E1649" t="inlineStr">
        <is>
          <t>W1</t>
        </is>
      </c>
      <c r="F1649" t="inlineStr">
        <is>
          <t>2026_Lipiec_W1</t>
        </is>
      </c>
      <c r="G1649" t="inlineStr">
        <is>
          <t>Śr</t>
        </is>
      </c>
      <c r="H1649" t="inlineStr">
        <is>
          <t>ZNOJEK, GABRIELA</t>
        </is>
      </c>
      <c r="I1649" t="inlineStr">
        <is>
          <t>Shift manager/Supervisor</t>
        </is>
      </c>
      <c r="J1649" t="inlineStr">
        <is>
          <t>Standard 1,0|40h</t>
        </is>
      </c>
      <c r="K1649" t="n">
        <v>8</v>
      </c>
      <c r="L1649" t="inlineStr">
        <is>
          <t>384</t>
        </is>
      </c>
      <c r="M1649" t="inlineStr">
        <is>
          <t>108120 SBX Warszawa Janki</t>
        </is>
      </c>
      <c r="N1649" t="inlineStr">
        <is>
          <t>2026-09-11 19:06</t>
        </is>
      </c>
    </row>
    <row r="1650">
      <c r="A1650" t="n">
        <v>1649</v>
      </c>
      <c r="B1650" t="inlineStr">
        <is>
          <t>2026-07-03</t>
        </is>
      </c>
      <c r="C1650" t="n">
        <v>2026</v>
      </c>
      <c r="D1650" t="inlineStr">
        <is>
          <t>Lipiec</t>
        </is>
      </c>
      <c r="E1650" t="inlineStr">
        <is>
          <t>W1</t>
        </is>
      </c>
      <c r="F1650" t="inlineStr">
        <is>
          <t>2026_Lipiec_W1</t>
        </is>
      </c>
      <c r="G1650" t="inlineStr">
        <is>
          <t>Pt</t>
        </is>
      </c>
      <c r="H1650" t="inlineStr">
        <is>
          <t>ZNOJEK, GABRIELA</t>
        </is>
      </c>
      <c r="I1650" t="inlineStr">
        <is>
          <t>Shift manager/Supervisor</t>
        </is>
      </c>
      <c r="J1650" t="inlineStr">
        <is>
          <t>Standard 1,0|40h</t>
        </is>
      </c>
      <c r="K1650" t="n">
        <v>8.17</v>
      </c>
      <c r="L1650" t="inlineStr">
        <is>
          <t>384</t>
        </is>
      </c>
      <c r="M1650" t="inlineStr">
        <is>
          <t>108120 SBX Warszawa Janki</t>
        </is>
      </c>
      <c r="N1650" t="inlineStr">
        <is>
          <t>2026-09-11 19:06</t>
        </is>
      </c>
    </row>
    <row r="1651">
      <c r="A1651" t="n">
        <v>1650</v>
      </c>
      <c r="B1651" t="inlineStr">
        <is>
          <t>2026-07-04</t>
        </is>
      </c>
      <c r="C1651" t="n">
        <v>2026</v>
      </c>
      <c r="D1651" t="inlineStr">
        <is>
          <t>Lipiec</t>
        </is>
      </c>
      <c r="E1651" t="inlineStr">
        <is>
          <t>W1</t>
        </is>
      </c>
      <c r="F1651" t="inlineStr">
        <is>
          <t>2026_Lipiec_W1</t>
        </is>
      </c>
      <c r="G1651" t="inlineStr">
        <is>
          <t>Sob</t>
        </is>
      </c>
      <c r="H1651" t="inlineStr">
        <is>
          <t>ZNOJEK, GABRIELA</t>
        </is>
      </c>
      <c r="I1651" t="inlineStr">
        <is>
          <t>Shift manager/Supervisor</t>
        </is>
      </c>
      <c r="J1651" t="inlineStr">
        <is>
          <t>Standard 1,0|40h</t>
        </is>
      </c>
      <c r="K1651" t="n">
        <v>7.99</v>
      </c>
      <c r="L1651" t="inlineStr">
        <is>
          <t>384</t>
        </is>
      </c>
      <c r="M1651" t="inlineStr">
        <is>
          <t>108120 SBX Warszawa Janki</t>
        </is>
      </c>
      <c r="N1651" t="inlineStr">
        <is>
          <t>2026-09-11 19:06</t>
        </is>
      </c>
    </row>
    <row r="1652">
      <c r="A1652" t="n">
        <v>1651</v>
      </c>
      <c r="B1652" t="inlineStr">
        <is>
          <t>2026-07-05</t>
        </is>
      </c>
      <c r="C1652" t="n">
        <v>2026</v>
      </c>
      <c r="D1652" t="inlineStr">
        <is>
          <t>Lipiec</t>
        </is>
      </c>
      <c r="E1652" t="inlineStr">
        <is>
          <t>W1</t>
        </is>
      </c>
      <c r="F1652" t="inlineStr">
        <is>
          <t>2026_Lipiec_W1</t>
        </is>
      </c>
      <c r="G1652" t="inlineStr">
        <is>
          <t>Nd</t>
        </is>
      </c>
      <c r="H1652" t="inlineStr">
        <is>
          <t>ZNOJEK, GABRIELA</t>
        </is>
      </c>
      <c r="I1652" t="inlineStr">
        <is>
          <t>Shift manager/Supervisor</t>
        </is>
      </c>
      <c r="J1652" t="inlineStr">
        <is>
          <t>Standard 1,0|40h</t>
        </is>
      </c>
      <c r="K1652" t="n">
        <v>8.470000000000001</v>
      </c>
      <c r="L1652" t="inlineStr">
        <is>
          <t>384</t>
        </is>
      </c>
      <c r="M1652" t="inlineStr">
        <is>
          <t>108120 SBX Warszawa Janki</t>
        </is>
      </c>
      <c r="N1652" t="inlineStr">
        <is>
          <t>2026-09-11 19:06</t>
        </is>
      </c>
    </row>
    <row r="1653">
      <c r="A1653" t="n">
        <v>1652</v>
      </c>
      <c r="B1653" t="inlineStr">
        <is>
          <t>2026-07-06</t>
        </is>
      </c>
      <c r="C1653" t="n">
        <v>2026</v>
      </c>
      <c r="D1653" t="inlineStr">
        <is>
          <t>Lipiec</t>
        </is>
      </c>
      <c r="E1653" t="inlineStr">
        <is>
          <t>W1</t>
        </is>
      </c>
      <c r="F1653" t="inlineStr">
        <is>
          <t>2026_Lipiec_W1</t>
        </is>
      </c>
      <c r="G1653" t="inlineStr">
        <is>
          <t>Pn</t>
        </is>
      </c>
      <c r="H1653" t="inlineStr">
        <is>
          <t>ZNOJEK, GABRIELA</t>
        </is>
      </c>
      <c r="I1653" t="inlineStr">
        <is>
          <t>Shift manager/Supervisor</t>
        </is>
      </c>
      <c r="J1653" t="inlineStr">
        <is>
          <t>Standard 1,0|40h</t>
        </is>
      </c>
      <c r="K1653" t="n">
        <v>8.98</v>
      </c>
      <c r="L1653" t="inlineStr">
        <is>
          <t>384</t>
        </is>
      </c>
      <c r="M1653" t="inlineStr">
        <is>
          <t>108120 SBX Warszawa Janki</t>
        </is>
      </c>
      <c r="N1653" t="inlineStr">
        <is>
          <t>2026-09-11 19:06</t>
        </is>
      </c>
    </row>
    <row r="1654">
      <c r="A1654" t="n">
        <v>1653</v>
      </c>
      <c r="B1654" t="inlineStr">
        <is>
          <t>2026-07-08</t>
        </is>
      </c>
      <c r="C1654" t="n">
        <v>2026</v>
      </c>
      <c r="D1654" t="inlineStr">
        <is>
          <t>Lipiec</t>
        </is>
      </c>
      <c r="E1654" t="inlineStr">
        <is>
          <t>W2</t>
        </is>
      </c>
      <c r="F1654" t="inlineStr">
        <is>
          <t>2026_Lipiec_W2</t>
        </is>
      </c>
      <c r="G1654" t="inlineStr">
        <is>
          <t>Śr</t>
        </is>
      </c>
      <c r="H1654" t="inlineStr">
        <is>
          <t>ZNOJEK, GABRIELA</t>
        </is>
      </c>
      <c r="I1654" t="inlineStr">
        <is>
          <t>Shift manager/Supervisor</t>
        </is>
      </c>
      <c r="J1654" t="inlineStr">
        <is>
          <t>Standard 1,0|40h</t>
        </is>
      </c>
      <c r="K1654" t="n">
        <v>8.56</v>
      </c>
      <c r="L1654" t="inlineStr">
        <is>
          <t>384</t>
        </is>
      </c>
      <c r="M1654" t="inlineStr">
        <is>
          <t>108120 SBX Warszawa Janki</t>
        </is>
      </c>
      <c r="N1654" t="inlineStr">
        <is>
          <t>2026-09-11 19:06</t>
        </is>
      </c>
    </row>
    <row r="1655">
      <c r="A1655" t="n">
        <v>1654</v>
      </c>
      <c r="B1655" t="inlineStr">
        <is>
          <t>2026-07-10</t>
        </is>
      </c>
      <c r="C1655" t="n">
        <v>2026</v>
      </c>
      <c r="D1655" t="inlineStr">
        <is>
          <t>Lipiec</t>
        </is>
      </c>
      <c r="E1655" t="inlineStr">
        <is>
          <t>W2</t>
        </is>
      </c>
      <c r="F1655" t="inlineStr">
        <is>
          <t>2026_Lipiec_W2</t>
        </is>
      </c>
      <c r="G1655" t="inlineStr">
        <is>
          <t>Pt</t>
        </is>
      </c>
      <c r="H1655" t="inlineStr">
        <is>
          <t>ZNOJEK, GABRIELA</t>
        </is>
      </c>
      <c r="I1655" t="inlineStr">
        <is>
          <t>Shift manager/Supervisor</t>
        </is>
      </c>
      <c r="J1655" t="inlineStr">
        <is>
          <t>Standard 1,0|40h</t>
        </is>
      </c>
      <c r="K1655" t="n">
        <v>8.140000000000001</v>
      </c>
      <c r="L1655" t="inlineStr">
        <is>
          <t>384</t>
        </is>
      </c>
      <c r="M1655" t="inlineStr">
        <is>
          <t>108120 SBX Warszawa Janki</t>
        </is>
      </c>
      <c r="N1655" t="inlineStr">
        <is>
          <t>2026-09-11 19:06</t>
        </is>
      </c>
    </row>
    <row r="1656">
      <c r="A1656" t="n">
        <v>1655</v>
      </c>
      <c r="B1656" t="inlineStr">
        <is>
          <t>2026-07-11</t>
        </is>
      </c>
      <c r="C1656" t="n">
        <v>2026</v>
      </c>
      <c r="D1656" t="inlineStr">
        <is>
          <t>Lipiec</t>
        </is>
      </c>
      <c r="E1656" t="inlineStr">
        <is>
          <t>W2</t>
        </is>
      </c>
      <c r="F1656" t="inlineStr">
        <is>
          <t>2026_Lipiec_W2</t>
        </is>
      </c>
      <c r="G1656" t="inlineStr">
        <is>
          <t>Sob</t>
        </is>
      </c>
      <c r="H1656" t="inlineStr">
        <is>
          <t>ZNOJEK, GABRIELA</t>
        </is>
      </c>
      <c r="I1656" t="inlineStr">
        <is>
          <t>Shift manager/Supervisor</t>
        </is>
      </c>
      <c r="J1656" t="inlineStr">
        <is>
          <t>Standard 1,0|40h</t>
        </is>
      </c>
      <c r="K1656" t="n">
        <v>7.73</v>
      </c>
      <c r="L1656" t="inlineStr">
        <is>
          <t>384</t>
        </is>
      </c>
      <c r="M1656" t="inlineStr">
        <is>
          <t>108120 SBX Warszawa Janki</t>
        </is>
      </c>
      <c r="N1656" t="inlineStr">
        <is>
          <t>2026-09-11 19:06</t>
        </is>
      </c>
    </row>
    <row r="1657">
      <c r="A1657" t="n">
        <v>1656</v>
      </c>
      <c r="B1657" t="inlineStr">
        <is>
          <t>2026-07-13</t>
        </is>
      </c>
      <c r="C1657" t="n">
        <v>2026</v>
      </c>
      <c r="D1657" t="inlineStr">
        <is>
          <t>Lipiec</t>
        </is>
      </c>
      <c r="E1657" t="inlineStr">
        <is>
          <t>W2</t>
        </is>
      </c>
      <c r="F1657" t="inlineStr">
        <is>
          <t>2026_Lipiec_W2</t>
        </is>
      </c>
      <c r="G1657" t="inlineStr">
        <is>
          <t>Pn</t>
        </is>
      </c>
      <c r="H1657" t="inlineStr">
        <is>
          <t>ZNOJEK, GABRIELA</t>
        </is>
      </c>
      <c r="I1657" t="inlineStr">
        <is>
          <t>Shift manager/Supervisor</t>
        </is>
      </c>
      <c r="J1657" t="inlineStr">
        <is>
          <t>Standard 1,0|40h</t>
        </is>
      </c>
      <c r="K1657" t="n">
        <v>8</v>
      </c>
      <c r="L1657" t="inlineStr">
        <is>
          <t>384</t>
        </is>
      </c>
      <c r="M1657" t="inlineStr">
        <is>
          <t>108120 SBX Warszawa Janki</t>
        </is>
      </c>
      <c r="N1657" t="inlineStr">
        <is>
          <t>2026-09-11 19:06</t>
        </is>
      </c>
    </row>
    <row r="1658">
      <c r="A1658" t="n">
        <v>1657</v>
      </c>
      <c r="B1658" t="inlineStr">
        <is>
          <t>2026-07-14</t>
        </is>
      </c>
      <c r="C1658" t="n">
        <v>2026</v>
      </c>
      <c r="D1658" t="inlineStr">
        <is>
          <t>Lipiec</t>
        </is>
      </c>
      <c r="E1658" t="inlineStr">
        <is>
          <t>W3</t>
        </is>
      </c>
      <c r="F1658" t="inlineStr">
        <is>
          <t>2026_Lipiec_W3</t>
        </is>
      </c>
      <c r="G1658" t="inlineStr">
        <is>
          <t>Wt</t>
        </is>
      </c>
      <c r="H1658" t="inlineStr">
        <is>
          <t>ZNOJEK, GABRIELA</t>
        </is>
      </c>
      <c r="I1658" t="inlineStr">
        <is>
          <t>Shift manager/Supervisor</t>
        </is>
      </c>
      <c r="J1658" t="inlineStr">
        <is>
          <t>Standard 1,0|40h</t>
        </is>
      </c>
      <c r="K1658" t="n">
        <v>8.49</v>
      </c>
      <c r="L1658" t="inlineStr">
        <is>
          <t>384</t>
        </is>
      </c>
      <c r="M1658" t="inlineStr">
        <is>
          <t>108120 SBX Warszawa Janki</t>
        </is>
      </c>
      <c r="N1658" t="inlineStr">
        <is>
          <t>2026-09-11 19:06</t>
        </is>
      </c>
    </row>
    <row r="1659">
      <c r="A1659" t="n">
        <v>1658</v>
      </c>
      <c r="B1659" t="inlineStr">
        <is>
          <t>2026-07-15</t>
        </is>
      </c>
      <c r="C1659" t="n">
        <v>2026</v>
      </c>
      <c r="D1659" t="inlineStr">
        <is>
          <t>Lipiec</t>
        </is>
      </c>
      <c r="E1659" t="inlineStr">
        <is>
          <t>W3</t>
        </is>
      </c>
      <c r="F1659" t="inlineStr">
        <is>
          <t>2026_Lipiec_W3</t>
        </is>
      </c>
      <c r="G1659" t="inlineStr">
        <is>
          <t>Śr</t>
        </is>
      </c>
      <c r="H1659" t="inlineStr">
        <is>
          <t>ZNOJEK, GABRIELA</t>
        </is>
      </c>
      <c r="I1659" t="inlineStr">
        <is>
          <t>Shift manager/Supervisor</t>
        </is>
      </c>
      <c r="J1659" t="inlineStr">
        <is>
          <t>Standard 1,0|40h</t>
        </is>
      </c>
      <c r="K1659" t="n">
        <v>8</v>
      </c>
      <c r="L1659" t="inlineStr">
        <is>
          <t>384</t>
        </is>
      </c>
      <c r="M1659" t="inlineStr">
        <is>
          <t>108120 SBX Warszawa Janki</t>
        </is>
      </c>
      <c r="N1659" t="inlineStr">
        <is>
          <t>2026-09-11 19:06</t>
        </is>
      </c>
    </row>
    <row r="1660">
      <c r="A1660" t="n">
        <v>1659</v>
      </c>
      <c r="B1660" t="inlineStr">
        <is>
          <t>2026-07-16</t>
        </is>
      </c>
      <c r="C1660" t="n">
        <v>2026</v>
      </c>
      <c r="D1660" t="inlineStr">
        <is>
          <t>Lipiec</t>
        </is>
      </c>
      <c r="E1660" t="inlineStr">
        <is>
          <t>W3</t>
        </is>
      </c>
      <c r="F1660" t="inlineStr">
        <is>
          <t>2026_Lipiec_W3</t>
        </is>
      </c>
      <c r="G1660" t="inlineStr">
        <is>
          <t>Czw</t>
        </is>
      </c>
      <c r="H1660" t="inlineStr">
        <is>
          <t>ZNOJEK, GABRIELA</t>
        </is>
      </c>
      <c r="I1660" t="inlineStr">
        <is>
          <t>Shift manager/Supervisor</t>
        </is>
      </c>
      <c r="J1660" t="inlineStr">
        <is>
          <t>Standard 1,0|40h</t>
        </is>
      </c>
      <c r="K1660" t="n">
        <v>7.55</v>
      </c>
      <c r="L1660" t="inlineStr">
        <is>
          <t>384</t>
        </is>
      </c>
      <c r="M1660" t="inlineStr">
        <is>
          <t>108120 SBX Warszawa Janki</t>
        </is>
      </c>
      <c r="N1660" t="inlineStr">
        <is>
          <t>2026-09-11 19:06</t>
        </is>
      </c>
    </row>
    <row r="1661">
      <c r="A1661" t="n">
        <v>1660</v>
      </c>
      <c r="B1661" t="inlineStr">
        <is>
          <t>2026-07-26</t>
        </is>
      </c>
      <c r="C1661" t="n">
        <v>2026</v>
      </c>
      <c r="D1661" t="inlineStr">
        <is>
          <t>Lipiec</t>
        </is>
      </c>
      <c r="E1661" t="inlineStr">
        <is>
          <t>W4</t>
        </is>
      </c>
      <c r="F1661" t="inlineStr">
        <is>
          <t>2026_Lipiec_W4</t>
        </is>
      </c>
      <c r="G1661" t="inlineStr">
        <is>
          <t>Nd</t>
        </is>
      </c>
      <c r="H1661" t="inlineStr">
        <is>
          <t>ZNOJEK, GABRIELA</t>
        </is>
      </c>
      <c r="I1661" t="inlineStr">
        <is>
          <t>Shift manager/Supervisor</t>
        </is>
      </c>
      <c r="J1661" t="inlineStr">
        <is>
          <t>Standard 1,0|40h</t>
        </is>
      </c>
      <c r="K1661" t="n">
        <v>7</v>
      </c>
      <c r="L1661" t="inlineStr">
        <is>
          <t>384</t>
        </is>
      </c>
      <c r="M1661" t="inlineStr">
        <is>
          <t>108120 SBX Warszawa Janki</t>
        </is>
      </c>
      <c r="N1661" t="inlineStr">
        <is>
          <t>2026-09-11 19:06</t>
        </is>
      </c>
    </row>
    <row r="1662">
      <c r="A1662" t="n">
        <v>1661</v>
      </c>
      <c r="B1662" t="inlineStr">
        <is>
          <t>2026-07-27</t>
        </is>
      </c>
      <c r="C1662" t="n">
        <v>2026</v>
      </c>
      <c r="D1662" t="inlineStr">
        <is>
          <t>Lipiec</t>
        </is>
      </c>
      <c r="E1662" t="inlineStr">
        <is>
          <t>W4</t>
        </is>
      </c>
      <c r="F1662" t="inlineStr">
        <is>
          <t>2026_Lipiec_W4</t>
        </is>
      </c>
      <c r="G1662" t="inlineStr">
        <is>
          <t>Pn</t>
        </is>
      </c>
      <c r="H1662" t="inlineStr">
        <is>
          <t>ZNOJEK, GABRIELA</t>
        </is>
      </c>
      <c r="I1662" t="inlineStr">
        <is>
          <t>Shift manager/Supervisor</t>
        </is>
      </c>
      <c r="J1662" t="inlineStr">
        <is>
          <t>Standard 1,0|40h</t>
        </is>
      </c>
      <c r="K1662" t="n">
        <v>8.06</v>
      </c>
      <c r="L1662" t="inlineStr">
        <is>
          <t>384</t>
        </is>
      </c>
      <c r="M1662" t="inlineStr">
        <is>
          <t>108120 SBX Warszawa Janki</t>
        </is>
      </c>
      <c r="N1662" t="inlineStr">
        <is>
          <t>2026-09-11 19:06</t>
        </is>
      </c>
    </row>
    <row r="1663">
      <c r="A1663" t="n">
        <v>1662</v>
      </c>
      <c r="B1663" t="inlineStr">
        <is>
          <t>2026-07-28</t>
        </is>
      </c>
      <c r="C1663" t="n">
        <v>2026</v>
      </c>
      <c r="D1663" t="inlineStr">
        <is>
          <t>Lipiec</t>
        </is>
      </c>
      <c r="E1663" t="inlineStr">
        <is>
          <t>W5</t>
        </is>
      </c>
      <c r="F1663" t="inlineStr">
        <is>
          <t>2026_Lipiec_W5</t>
        </is>
      </c>
      <c r="G1663" t="inlineStr">
        <is>
          <t>Wt</t>
        </is>
      </c>
      <c r="H1663" t="inlineStr">
        <is>
          <t>ZNOJEK, GABRIELA</t>
        </is>
      </c>
      <c r="I1663" t="inlineStr">
        <is>
          <t>Shift manager/Supervisor</t>
        </is>
      </c>
      <c r="J1663" t="inlineStr">
        <is>
          <t>Standard 1,0|40h</t>
        </is>
      </c>
      <c r="K1663" t="n">
        <v>8.32</v>
      </c>
      <c r="L1663" t="inlineStr">
        <is>
          <t>384</t>
        </is>
      </c>
      <c r="M1663" t="inlineStr">
        <is>
          <t>108120 SBX Warszawa Janki</t>
        </is>
      </c>
      <c r="N1663" t="inlineStr">
        <is>
          <t>2026-09-11 19:06</t>
        </is>
      </c>
    </row>
    <row r="1664">
      <c r="A1664" t="n">
        <v>1663</v>
      </c>
      <c r="B1664" t="inlineStr">
        <is>
          <t>2026-07-29</t>
        </is>
      </c>
      <c r="C1664" t="n">
        <v>2026</v>
      </c>
      <c r="D1664" t="inlineStr">
        <is>
          <t>Lipiec</t>
        </is>
      </c>
      <c r="E1664" t="inlineStr">
        <is>
          <t>W5</t>
        </is>
      </c>
      <c r="F1664" t="inlineStr">
        <is>
          <t>2026_Lipiec_W5</t>
        </is>
      </c>
      <c r="G1664" t="inlineStr">
        <is>
          <t>Śr</t>
        </is>
      </c>
      <c r="H1664" t="inlineStr">
        <is>
          <t>ZNOJEK, GABRIELA</t>
        </is>
      </c>
      <c r="I1664" t="inlineStr">
        <is>
          <t>Shift manager/Supervisor</t>
        </is>
      </c>
      <c r="J1664" t="inlineStr">
        <is>
          <t>Standard 1,0|40h</t>
        </is>
      </c>
      <c r="K1664" t="n">
        <v>7.98</v>
      </c>
      <c r="L1664" t="inlineStr">
        <is>
          <t>384</t>
        </is>
      </c>
      <c r="M1664" t="inlineStr">
        <is>
          <t>108120 SBX Warszawa Janki</t>
        </is>
      </c>
      <c r="N1664" t="inlineStr">
        <is>
          <t>2026-09-11 19:06</t>
        </is>
      </c>
    </row>
    <row r="1665">
      <c r="A1665" t="n">
        <v>1664</v>
      </c>
      <c r="B1665" t="inlineStr">
        <is>
          <t>2026-07-31</t>
        </is>
      </c>
      <c r="C1665" t="n">
        <v>2026</v>
      </c>
      <c r="D1665" t="inlineStr">
        <is>
          <t>Lipiec</t>
        </is>
      </c>
      <c r="E1665" t="inlineStr">
        <is>
          <t>W5</t>
        </is>
      </c>
      <c r="F1665" t="inlineStr">
        <is>
          <t>2026_Lipiec_W5</t>
        </is>
      </c>
      <c r="G1665" t="inlineStr">
        <is>
          <t>Pt</t>
        </is>
      </c>
      <c r="H1665" t="inlineStr">
        <is>
          <t>ZNOJEK, GABRIELA</t>
        </is>
      </c>
      <c r="I1665" t="inlineStr">
        <is>
          <t>Shift manager/Supervisor</t>
        </is>
      </c>
      <c r="J1665" t="inlineStr">
        <is>
          <t>Standard 1,0|40h</t>
        </is>
      </c>
      <c r="K1665" t="n">
        <v>7.57</v>
      </c>
      <c r="L1665" t="inlineStr">
        <is>
          <t>384</t>
        </is>
      </c>
      <c r="M1665" t="inlineStr">
        <is>
          <t>108120 SBX Warszawa Janki</t>
        </is>
      </c>
      <c r="N1665" t="inlineStr">
        <is>
          <t>2026-09-11 19:06</t>
        </is>
      </c>
    </row>
    <row r="1666">
      <c r="A1666" t="n">
        <v>1665</v>
      </c>
      <c r="B1666" t="inlineStr">
        <is>
          <t>2026-08-03</t>
        </is>
      </c>
      <c r="C1666" t="n">
        <v>2026</v>
      </c>
      <c r="D1666" t="inlineStr">
        <is>
          <t>Sierpień</t>
        </is>
      </c>
      <c r="E1666" t="inlineStr">
        <is>
          <t>W1</t>
        </is>
      </c>
      <c r="F1666" t="inlineStr">
        <is>
          <t>2026_Sierpień_W1</t>
        </is>
      </c>
      <c r="G1666" t="inlineStr">
        <is>
          <t>Pn</t>
        </is>
      </c>
      <c r="H1666" t="inlineStr">
        <is>
          <t>ZNOJEK, GABRIELA</t>
        </is>
      </c>
      <c r="I1666" t="inlineStr">
        <is>
          <t>Shift manager/Supervisor</t>
        </is>
      </c>
      <c r="J1666" t="inlineStr">
        <is>
          <t>Standard 1,0|40h</t>
        </is>
      </c>
      <c r="K1666" t="n">
        <v>8.26</v>
      </c>
      <c r="L1666" t="inlineStr">
        <is>
          <t>384</t>
        </is>
      </c>
      <c r="M1666" t="inlineStr">
        <is>
          <t>108120 SBX Warszawa Janki</t>
        </is>
      </c>
      <c r="N1666" t="inlineStr">
        <is>
          <t>2026-09-11 19:06</t>
        </is>
      </c>
    </row>
    <row r="1667">
      <c r="A1667" t="n">
        <v>1666</v>
      </c>
      <c r="B1667" t="inlineStr">
        <is>
          <t>2026-08-04</t>
        </is>
      </c>
      <c r="C1667" t="n">
        <v>2026</v>
      </c>
      <c r="D1667" t="inlineStr">
        <is>
          <t>Sierpień</t>
        </is>
      </c>
      <c r="E1667" t="inlineStr">
        <is>
          <t>W2</t>
        </is>
      </c>
      <c r="F1667" t="inlineStr">
        <is>
          <t>2026_Sierpień_W2</t>
        </is>
      </c>
      <c r="G1667" t="inlineStr">
        <is>
          <t>Wt</t>
        </is>
      </c>
      <c r="H1667" t="inlineStr">
        <is>
          <t>ZNOJEK, GABRIELA</t>
        </is>
      </c>
      <c r="I1667" t="inlineStr">
        <is>
          <t>Shift manager/Supervisor</t>
        </is>
      </c>
      <c r="J1667" t="inlineStr">
        <is>
          <t>Standard 1,0|40h</t>
        </is>
      </c>
      <c r="K1667" t="n">
        <v>8.58</v>
      </c>
      <c r="L1667" t="inlineStr">
        <is>
          <t>384</t>
        </is>
      </c>
      <c r="M1667" t="inlineStr">
        <is>
          <t>108120 SBX Warszawa Janki</t>
        </is>
      </c>
      <c r="N1667" t="inlineStr">
        <is>
          <t>2026-09-11 19:06</t>
        </is>
      </c>
    </row>
    <row r="1668">
      <c r="A1668" t="n">
        <v>1667</v>
      </c>
      <c r="B1668" t="inlineStr">
        <is>
          <t>2026-08-05</t>
        </is>
      </c>
      <c r="C1668" t="n">
        <v>2026</v>
      </c>
      <c r="D1668" t="inlineStr">
        <is>
          <t>Sierpień</t>
        </is>
      </c>
      <c r="E1668" t="inlineStr">
        <is>
          <t>W2</t>
        </is>
      </c>
      <c r="F1668" t="inlineStr">
        <is>
          <t>2026_Sierpień_W2</t>
        </is>
      </c>
      <c r="G1668" t="inlineStr">
        <is>
          <t>Śr</t>
        </is>
      </c>
      <c r="H1668" t="inlineStr">
        <is>
          <t>ZNOJEK, GABRIELA</t>
        </is>
      </c>
      <c r="I1668" t="inlineStr">
        <is>
          <t>Shift manager/Supervisor</t>
        </is>
      </c>
      <c r="J1668" t="inlineStr">
        <is>
          <t>Standard 1,0|40h</t>
        </is>
      </c>
      <c r="K1668" t="n">
        <v>8.43</v>
      </c>
      <c r="L1668" t="inlineStr">
        <is>
          <t>384</t>
        </is>
      </c>
      <c r="M1668" t="inlineStr">
        <is>
          <t>108120 SBX Warszawa Janki</t>
        </is>
      </c>
      <c r="N1668" t="inlineStr">
        <is>
          <t>2026-09-11 19:06</t>
        </is>
      </c>
    </row>
    <row r="1669">
      <c r="A1669" t="n">
        <v>1668</v>
      </c>
      <c r="B1669" t="inlineStr">
        <is>
          <t>2026-08-07</t>
        </is>
      </c>
      <c r="C1669" t="n">
        <v>2026</v>
      </c>
      <c r="D1669" t="inlineStr">
        <is>
          <t>Sierpień</t>
        </is>
      </c>
      <c r="E1669" t="inlineStr">
        <is>
          <t>W2</t>
        </is>
      </c>
      <c r="F1669" t="inlineStr">
        <is>
          <t>2026_Sierpień_W2</t>
        </is>
      </c>
      <c r="G1669" t="inlineStr">
        <is>
          <t>Pt</t>
        </is>
      </c>
      <c r="H1669" t="inlineStr">
        <is>
          <t>ZNOJEK, GABRIELA</t>
        </is>
      </c>
      <c r="I1669" t="inlineStr">
        <is>
          <t>Shift manager/Supervisor</t>
        </is>
      </c>
      <c r="J1669" t="inlineStr">
        <is>
          <t>Standard 1,0|40h</t>
        </is>
      </c>
      <c r="K1669" t="n">
        <v>7.93</v>
      </c>
      <c r="L1669" t="inlineStr">
        <is>
          <t>384</t>
        </is>
      </c>
      <c r="M1669" t="inlineStr">
        <is>
          <t>108120 SBX Warszawa Janki</t>
        </is>
      </c>
      <c r="N1669" t="inlineStr">
        <is>
          <t>2026-09-11 19:06</t>
        </is>
      </c>
    </row>
    <row r="1670">
      <c r="A1670" t="n">
        <v>1669</v>
      </c>
      <c r="B1670" t="inlineStr">
        <is>
          <t>2026-08-08</t>
        </is>
      </c>
      <c r="C1670" t="n">
        <v>2026</v>
      </c>
      <c r="D1670" t="inlineStr">
        <is>
          <t>Sierpień</t>
        </is>
      </c>
      <c r="E1670" t="inlineStr">
        <is>
          <t>W2</t>
        </is>
      </c>
      <c r="F1670" t="inlineStr">
        <is>
          <t>2026_Sierpień_W2</t>
        </is>
      </c>
      <c r="G1670" t="inlineStr">
        <is>
          <t>Sob</t>
        </is>
      </c>
      <c r="H1670" t="inlineStr">
        <is>
          <t>ZNOJEK, GABRIELA</t>
        </is>
      </c>
      <c r="I1670" t="inlineStr">
        <is>
          <t>Shift manager/Supervisor</t>
        </is>
      </c>
      <c r="J1670" t="inlineStr">
        <is>
          <t>Standard 1,0|40h</t>
        </is>
      </c>
      <c r="K1670" t="n">
        <v>7.97</v>
      </c>
      <c r="L1670" t="inlineStr">
        <is>
          <t>384</t>
        </is>
      </c>
      <c r="M1670" t="inlineStr">
        <is>
          <t>108120 SBX Warszawa Janki</t>
        </is>
      </c>
      <c r="N1670" t="inlineStr">
        <is>
          <t>2026-09-11 19:06</t>
        </is>
      </c>
    </row>
    <row r="1671">
      <c r="A1671" t="n">
        <v>1670</v>
      </c>
      <c r="B1671" t="inlineStr">
        <is>
          <t>2026-08-10</t>
        </is>
      </c>
      <c r="C1671" t="n">
        <v>2026</v>
      </c>
      <c r="D1671" t="inlineStr">
        <is>
          <t>Sierpień</t>
        </is>
      </c>
      <c r="E1671" t="inlineStr">
        <is>
          <t>W2</t>
        </is>
      </c>
      <c r="F1671" t="inlineStr">
        <is>
          <t>2026_Sierpień_W2</t>
        </is>
      </c>
      <c r="G1671" t="inlineStr">
        <is>
          <t>Pn</t>
        </is>
      </c>
      <c r="H1671" t="inlineStr">
        <is>
          <t>ZNOJEK, GABRIELA</t>
        </is>
      </c>
      <c r="I1671" t="inlineStr">
        <is>
          <t>Shift manager/Supervisor</t>
        </is>
      </c>
      <c r="J1671" t="inlineStr">
        <is>
          <t>Standard 1,0|40h</t>
        </is>
      </c>
      <c r="K1671" t="n">
        <v>8.34</v>
      </c>
      <c r="L1671" t="inlineStr">
        <is>
          <t>384</t>
        </is>
      </c>
      <c r="M1671" t="inlineStr">
        <is>
          <t>108120 SBX Warszawa Janki</t>
        </is>
      </c>
      <c r="N1671" t="inlineStr">
        <is>
          <t>2026-09-11 19:06</t>
        </is>
      </c>
    </row>
    <row r="1672">
      <c r="A1672" t="n">
        <v>1671</v>
      </c>
      <c r="B1672" t="inlineStr">
        <is>
          <t>2026-08-11</t>
        </is>
      </c>
      <c r="C1672" t="n">
        <v>2026</v>
      </c>
      <c r="D1672" t="inlineStr">
        <is>
          <t>Sierpień</t>
        </is>
      </c>
      <c r="E1672" t="inlineStr">
        <is>
          <t>W3</t>
        </is>
      </c>
      <c r="F1672" t="inlineStr">
        <is>
          <t>2026_Sierpień_W3</t>
        </is>
      </c>
      <c r="G1672" t="inlineStr">
        <is>
          <t>Wt</t>
        </is>
      </c>
      <c r="H1672" t="inlineStr">
        <is>
          <t>ZNOJEK, GABRIELA</t>
        </is>
      </c>
      <c r="I1672" t="inlineStr">
        <is>
          <t>Shift manager/Supervisor</t>
        </is>
      </c>
      <c r="J1672" t="inlineStr">
        <is>
          <t>Standard 1,0|40h</t>
        </is>
      </c>
      <c r="K1672" t="n">
        <v>7.51</v>
      </c>
      <c r="L1672" t="inlineStr">
        <is>
          <t>384</t>
        </is>
      </c>
      <c r="M1672" t="inlineStr">
        <is>
          <t>108120 SBX Warszawa Janki</t>
        </is>
      </c>
      <c r="N1672" t="inlineStr">
        <is>
          <t>2026-09-11 19:06</t>
        </is>
      </c>
    </row>
    <row r="1673">
      <c r="A1673" t="n">
        <v>1672</v>
      </c>
      <c r="B1673" t="inlineStr">
        <is>
          <t>2026-08-13</t>
        </is>
      </c>
      <c r="C1673" t="n">
        <v>2026</v>
      </c>
      <c r="D1673" t="inlineStr">
        <is>
          <t>Sierpień</t>
        </is>
      </c>
      <c r="E1673" t="inlineStr">
        <is>
          <t>W3</t>
        </is>
      </c>
      <c r="F1673" t="inlineStr">
        <is>
          <t>2026_Sierpień_W3</t>
        </is>
      </c>
      <c r="G1673" t="inlineStr">
        <is>
          <t>Czw</t>
        </is>
      </c>
      <c r="H1673" t="inlineStr">
        <is>
          <t>ZNOJEK, GABRIELA</t>
        </is>
      </c>
      <c r="I1673" t="inlineStr">
        <is>
          <t>Shift manager/Supervisor</t>
        </is>
      </c>
      <c r="J1673" t="inlineStr">
        <is>
          <t>Standard 1,0|40h</t>
        </is>
      </c>
      <c r="K1673" t="n">
        <v>8.19</v>
      </c>
      <c r="L1673" t="inlineStr">
        <is>
          <t>384</t>
        </is>
      </c>
      <c r="M1673" t="inlineStr">
        <is>
          <t>108120 SBX Warszawa Janki</t>
        </is>
      </c>
      <c r="N1673" t="inlineStr">
        <is>
          <t>2026-09-11 19:06</t>
        </is>
      </c>
    </row>
    <row r="1674">
      <c r="A1674" t="n">
        <v>1673</v>
      </c>
      <c r="B1674" t="inlineStr">
        <is>
          <t>2026-08-14</t>
        </is>
      </c>
      <c r="C1674" t="n">
        <v>2026</v>
      </c>
      <c r="D1674" t="inlineStr">
        <is>
          <t>Sierpień</t>
        </is>
      </c>
      <c r="E1674" t="inlineStr">
        <is>
          <t>W3</t>
        </is>
      </c>
      <c r="F1674" t="inlineStr">
        <is>
          <t>2026_Sierpień_W3</t>
        </is>
      </c>
      <c r="G1674" t="inlineStr">
        <is>
          <t>Pt</t>
        </is>
      </c>
      <c r="H1674" t="inlineStr">
        <is>
          <t>ZNOJEK, GABRIELA</t>
        </is>
      </c>
      <c r="I1674" t="inlineStr">
        <is>
          <t>Shift manager/Supervisor</t>
        </is>
      </c>
      <c r="J1674" t="inlineStr">
        <is>
          <t>Standard 1,0|40h</t>
        </is>
      </c>
      <c r="K1674" t="n">
        <v>8.31</v>
      </c>
      <c r="L1674" t="inlineStr">
        <is>
          <t>384</t>
        </is>
      </c>
      <c r="M1674" t="inlineStr">
        <is>
          <t>108120 SBX Warszawa Janki</t>
        </is>
      </c>
      <c r="N1674" t="inlineStr">
        <is>
          <t>2026-09-11 19:06</t>
        </is>
      </c>
    </row>
    <row r="1675">
      <c r="A1675" t="n">
        <v>1674</v>
      </c>
      <c r="B1675" t="inlineStr">
        <is>
          <t>2026-08-15</t>
        </is>
      </c>
      <c r="C1675" t="n">
        <v>2026</v>
      </c>
      <c r="D1675" t="inlineStr">
        <is>
          <t>Sierpień</t>
        </is>
      </c>
      <c r="E1675" t="inlineStr">
        <is>
          <t>W3</t>
        </is>
      </c>
      <c r="F1675" t="inlineStr">
        <is>
          <t>2026_Sierpień_W3</t>
        </is>
      </c>
      <c r="G1675" t="inlineStr">
        <is>
          <t>Sob</t>
        </is>
      </c>
      <c r="H1675" t="inlineStr">
        <is>
          <t>ZNOJEK, GABRIELA</t>
        </is>
      </c>
      <c r="I1675" t="inlineStr">
        <is>
          <t>Shift manager/Supervisor</t>
        </is>
      </c>
      <c r="J1675" t="inlineStr">
        <is>
          <t>Standard 1,0|40h</t>
        </is>
      </c>
      <c r="K1675" t="n">
        <v>6.16</v>
      </c>
      <c r="L1675" t="inlineStr">
        <is>
          <t>384</t>
        </is>
      </c>
      <c r="M1675" t="inlineStr">
        <is>
          <t>108120 SBX Warszawa Janki</t>
        </is>
      </c>
      <c r="N1675" t="inlineStr">
        <is>
          <t>2026-09-11 19:06</t>
        </is>
      </c>
    </row>
    <row r="1676">
      <c r="A1676" t="n">
        <v>1675</v>
      </c>
      <c r="B1676" t="inlineStr">
        <is>
          <t>2026-08-16</t>
        </is>
      </c>
      <c r="C1676" t="n">
        <v>2026</v>
      </c>
      <c r="D1676" t="inlineStr">
        <is>
          <t>Sierpień</t>
        </is>
      </c>
      <c r="E1676" t="inlineStr">
        <is>
          <t>W3</t>
        </is>
      </c>
      <c r="F1676" t="inlineStr">
        <is>
          <t>2026_Sierpień_W3</t>
        </is>
      </c>
      <c r="G1676" t="inlineStr">
        <is>
          <t>Nd</t>
        </is>
      </c>
      <c r="H1676" t="inlineStr">
        <is>
          <t>ZNOJEK, GABRIELA</t>
        </is>
      </c>
      <c r="I1676" t="inlineStr">
        <is>
          <t>Shift manager/Supervisor</t>
        </is>
      </c>
      <c r="J1676" t="inlineStr">
        <is>
          <t>Standard 1,0|40h</t>
        </is>
      </c>
      <c r="K1676" t="n">
        <v>7.89</v>
      </c>
      <c r="L1676" t="inlineStr">
        <is>
          <t>384</t>
        </is>
      </c>
      <c r="M1676" t="inlineStr">
        <is>
          <t>108120 SBX Warszawa Janki</t>
        </is>
      </c>
      <c r="N1676" t="inlineStr">
        <is>
          <t>2026-09-11 19:06</t>
        </is>
      </c>
    </row>
    <row r="1677">
      <c r="A1677" t="n">
        <v>1676</v>
      </c>
      <c r="B1677" t="inlineStr">
        <is>
          <t>2026-08-17</t>
        </is>
      </c>
      <c r="C1677" t="n">
        <v>2026</v>
      </c>
      <c r="D1677" t="inlineStr">
        <is>
          <t>Sierpień</t>
        </is>
      </c>
      <c r="E1677" t="inlineStr">
        <is>
          <t>W3</t>
        </is>
      </c>
      <c r="F1677" t="inlineStr">
        <is>
          <t>2026_Sierpień_W3</t>
        </is>
      </c>
      <c r="G1677" t="inlineStr">
        <is>
          <t>Pn</t>
        </is>
      </c>
      <c r="H1677" t="inlineStr">
        <is>
          <t>ZNOJEK, GABRIELA</t>
        </is>
      </c>
      <c r="I1677" t="inlineStr">
        <is>
          <t>Shift manager/Supervisor</t>
        </is>
      </c>
      <c r="J1677" t="inlineStr">
        <is>
          <t>Standard 1,0|40h</t>
        </is>
      </c>
      <c r="K1677" t="n">
        <v>8.35</v>
      </c>
      <c r="L1677" t="inlineStr">
        <is>
          <t>384</t>
        </is>
      </c>
      <c r="M1677" t="inlineStr">
        <is>
          <t>108120 SBX Warszawa Janki</t>
        </is>
      </c>
      <c r="N1677" t="inlineStr">
        <is>
          <t>2026-09-11 19:06</t>
        </is>
      </c>
    </row>
    <row r="1678">
      <c r="A1678" t="n">
        <v>1677</v>
      </c>
      <c r="B1678" t="inlineStr">
        <is>
          <t>2026-08-19</t>
        </is>
      </c>
      <c r="C1678" t="n">
        <v>2026</v>
      </c>
      <c r="D1678" t="inlineStr">
        <is>
          <t>Sierpień</t>
        </is>
      </c>
      <c r="E1678" t="inlineStr">
        <is>
          <t>W4</t>
        </is>
      </c>
      <c r="F1678" t="inlineStr">
        <is>
          <t>2026_Sierpień_W4</t>
        </is>
      </c>
      <c r="G1678" t="inlineStr">
        <is>
          <t>Śr</t>
        </is>
      </c>
      <c r="H1678" t="inlineStr">
        <is>
          <t>ZNOJEK, GABRIELA</t>
        </is>
      </c>
      <c r="I1678" t="inlineStr">
        <is>
          <t>Shift manager/Supervisor</t>
        </is>
      </c>
      <c r="J1678" t="inlineStr">
        <is>
          <t>Standard 1,0|40h</t>
        </is>
      </c>
      <c r="K1678" t="n">
        <v>7.88</v>
      </c>
      <c r="L1678" t="inlineStr">
        <is>
          <t>384</t>
        </is>
      </c>
      <c r="M1678" t="inlineStr">
        <is>
          <t>108120 SBX Warszawa Janki</t>
        </is>
      </c>
      <c r="N1678" t="inlineStr">
        <is>
          <t>2026-09-11 19:06</t>
        </is>
      </c>
    </row>
    <row r="1679">
      <c r="A1679" t="n">
        <v>1678</v>
      </c>
      <c r="B1679" t="inlineStr">
        <is>
          <t>2026-08-20</t>
        </is>
      </c>
      <c r="C1679" t="n">
        <v>2026</v>
      </c>
      <c r="D1679" t="inlineStr">
        <is>
          <t>Sierpień</t>
        </is>
      </c>
      <c r="E1679" t="inlineStr">
        <is>
          <t>W4</t>
        </is>
      </c>
      <c r="F1679" t="inlineStr">
        <is>
          <t>2026_Sierpień_W4</t>
        </is>
      </c>
      <c r="G1679" t="inlineStr">
        <is>
          <t>Czw</t>
        </is>
      </c>
      <c r="H1679" t="inlineStr">
        <is>
          <t>ZNOJEK, GABRIELA</t>
        </is>
      </c>
      <c r="I1679" t="inlineStr">
        <is>
          <t>Shift manager/Supervisor</t>
        </is>
      </c>
      <c r="J1679" t="inlineStr">
        <is>
          <t>Standard 1,0|40h</t>
        </is>
      </c>
      <c r="K1679" t="n">
        <v>8.33</v>
      </c>
      <c r="L1679" t="inlineStr">
        <is>
          <t>384</t>
        </is>
      </c>
      <c r="M1679" t="inlineStr">
        <is>
          <t>108120 SBX Warszawa Janki</t>
        </is>
      </c>
      <c r="N1679" t="inlineStr">
        <is>
          <t>2026-09-11 19:06</t>
        </is>
      </c>
    </row>
    <row r="1680">
      <c r="A1680" t="n">
        <v>1679</v>
      </c>
      <c r="B1680" t="inlineStr">
        <is>
          <t>2026-08-22</t>
        </is>
      </c>
      <c r="C1680" t="n">
        <v>2026</v>
      </c>
      <c r="D1680" t="inlineStr">
        <is>
          <t>Sierpień</t>
        </is>
      </c>
      <c r="E1680" t="inlineStr">
        <is>
          <t>W4</t>
        </is>
      </c>
      <c r="F1680" t="inlineStr">
        <is>
          <t>2026_Sierpień_W4</t>
        </is>
      </c>
      <c r="G1680" t="inlineStr">
        <is>
          <t>Sob</t>
        </is>
      </c>
      <c r="H1680" t="inlineStr">
        <is>
          <t>ZNOJEK, GABRIELA</t>
        </is>
      </c>
      <c r="I1680" t="inlineStr">
        <is>
          <t>Shift manager/Supervisor</t>
        </is>
      </c>
      <c r="J1680" t="inlineStr">
        <is>
          <t>Standard 1,0|40h</t>
        </is>
      </c>
      <c r="K1680" t="n">
        <v>8.42</v>
      </c>
      <c r="L1680" t="inlineStr">
        <is>
          <t>384</t>
        </is>
      </c>
      <c r="M1680" t="inlineStr">
        <is>
          <t>108120 SBX Warszawa Janki</t>
        </is>
      </c>
      <c r="N1680" t="inlineStr">
        <is>
          <t>2026-09-11 19:06</t>
        </is>
      </c>
    </row>
    <row r="1681">
      <c r="A1681" t="n">
        <v>1680</v>
      </c>
      <c r="B1681" t="inlineStr">
        <is>
          <t>2026-08-23</t>
        </is>
      </c>
      <c r="C1681" t="n">
        <v>2026</v>
      </c>
      <c r="D1681" t="inlineStr">
        <is>
          <t>Sierpień</t>
        </is>
      </c>
      <c r="E1681" t="inlineStr">
        <is>
          <t>W4</t>
        </is>
      </c>
      <c r="F1681" t="inlineStr">
        <is>
          <t>2026_Sierpień_W4</t>
        </is>
      </c>
      <c r="G1681" t="inlineStr">
        <is>
          <t>Nd</t>
        </is>
      </c>
      <c r="H1681" t="inlineStr">
        <is>
          <t>ZNOJEK, GABRIELA</t>
        </is>
      </c>
      <c r="I1681" t="inlineStr">
        <is>
          <t>Shift manager/Supervisor</t>
        </is>
      </c>
      <c r="J1681" t="inlineStr">
        <is>
          <t>Standard 1,0|40h</t>
        </is>
      </c>
      <c r="K1681" t="n">
        <v>8.5</v>
      </c>
      <c r="L1681" t="inlineStr">
        <is>
          <t>384</t>
        </is>
      </c>
      <c r="M1681" t="inlineStr">
        <is>
          <t>108120 SBX Warszawa Janki</t>
        </is>
      </c>
      <c r="N1681" t="inlineStr">
        <is>
          <t>2026-09-11 19:06</t>
        </is>
      </c>
    </row>
    <row r="1682">
      <c r="A1682" t="n">
        <v>1681</v>
      </c>
      <c r="B1682" t="inlineStr">
        <is>
          <t>2026-08-27</t>
        </is>
      </c>
      <c r="C1682" t="n">
        <v>2026</v>
      </c>
      <c r="D1682" t="inlineStr">
        <is>
          <t>Sierpień</t>
        </is>
      </c>
      <c r="E1682" t="inlineStr">
        <is>
          <t>W5</t>
        </is>
      </c>
      <c r="F1682" t="inlineStr">
        <is>
          <t>2026_Sierpień_W5</t>
        </is>
      </c>
      <c r="G1682" t="inlineStr">
        <is>
          <t>Czw</t>
        </is>
      </c>
      <c r="H1682" t="inlineStr">
        <is>
          <t>ZNOJEK, GABRIELA</t>
        </is>
      </c>
      <c r="I1682" t="inlineStr">
        <is>
          <t>Shift manager/Supervisor</t>
        </is>
      </c>
      <c r="J1682" t="inlineStr">
        <is>
          <t>Standard 1,0|40h</t>
        </is>
      </c>
      <c r="K1682" t="n">
        <v>8.039999999999999</v>
      </c>
      <c r="L1682" t="inlineStr">
        <is>
          <t>384</t>
        </is>
      </c>
      <c r="M1682" t="inlineStr">
        <is>
          <t>108120 SBX Warszawa Janki</t>
        </is>
      </c>
      <c r="N1682" t="inlineStr">
        <is>
          <t>2026-09-11 19:06</t>
        </is>
      </c>
    </row>
    <row r="1683">
      <c r="A1683" t="n">
        <v>1682</v>
      </c>
      <c r="B1683" t="inlineStr">
        <is>
          <t>2026-08-28</t>
        </is>
      </c>
      <c r="C1683" t="n">
        <v>2026</v>
      </c>
      <c r="D1683" t="inlineStr">
        <is>
          <t>Sierpień</t>
        </is>
      </c>
      <c r="E1683" t="inlineStr">
        <is>
          <t>W5</t>
        </is>
      </c>
      <c r="F1683" t="inlineStr">
        <is>
          <t>2026_Sierpień_W5</t>
        </is>
      </c>
      <c r="G1683" t="inlineStr">
        <is>
          <t>Pt</t>
        </is>
      </c>
      <c r="H1683" t="inlineStr">
        <is>
          <t>ZNOJEK, GABRIELA</t>
        </is>
      </c>
      <c r="I1683" t="inlineStr">
        <is>
          <t>Shift manager/Supervisor</t>
        </is>
      </c>
      <c r="J1683" t="inlineStr">
        <is>
          <t>Standard 1,0|40h</t>
        </is>
      </c>
      <c r="K1683" t="n">
        <v>7.96</v>
      </c>
      <c r="L1683" t="inlineStr">
        <is>
          <t>384</t>
        </is>
      </c>
      <c r="M1683" t="inlineStr">
        <is>
          <t>108120 SBX Warszawa Janki</t>
        </is>
      </c>
      <c r="N1683" t="inlineStr">
        <is>
          <t>2026-09-11 19:06</t>
        </is>
      </c>
    </row>
    <row r="1684">
      <c r="A1684" t="n">
        <v>1683</v>
      </c>
      <c r="B1684" t="inlineStr">
        <is>
          <t>2026-08-29</t>
        </is>
      </c>
      <c r="C1684" t="n">
        <v>2026</v>
      </c>
      <c r="D1684" t="inlineStr">
        <is>
          <t>Sierpień</t>
        </is>
      </c>
      <c r="E1684" t="inlineStr">
        <is>
          <t>W5</t>
        </is>
      </c>
      <c r="F1684" t="inlineStr">
        <is>
          <t>2026_Sierpień_W5</t>
        </is>
      </c>
      <c r="G1684" t="inlineStr">
        <is>
          <t>Sob</t>
        </is>
      </c>
      <c r="H1684" t="inlineStr">
        <is>
          <t>ZNOJEK, GABRIELA</t>
        </is>
      </c>
      <c r="I1684" t="inlineStr">
        <is>
          <t>Shift manager/Supervisor</t>
        </is>
      </c>
      <c r="J1684" t="inlineStr">
        <is>
          <t>Standard 1,0|40h</t>
        </is>
      </c>
      <c r="K1684" t="n">
        <v>8.1</v>
      </c>
      <c r="L1684" t="inlineStr">
        <is>
          <t>384</t>
        </is>
      </c>
      <c r="M1684" t="inlineStr">
        <is>
          <t>108120 SBX Warszawa Janki</t>
        </is>
      </c>
      <c r="N1684" t="inlineStr">
        <is>
          <t>2026-09-11 19:06</t>
        </is>
      </c>
    </row>
    <row r="1685">
      <c r="A1685" t="n">
        <v>1684</v>
      </c>
      <c r="B1685" t="inlineStr">
        <is>
          <t>2026-08-30</t>
        </is>
      </c>
      <c r="C1685" t="n">
        <v>2026</v>
      </c>
      <c r="D1685" t="inlineStr">
        <is>
          <t>Sierpień</t>
        </is>
      </c>
      <c r="E1685" t="inlineStr">
        <is>
          <t>W5</t>
        </is>
      </c>
      <c r="F1685" t="inlineStr">
        <is>
          <t>2026_Sierpień_W5</t>
        </is>
      </c>
      <c r="G1685" t="inlineStr">
        <is>
          <t>Nd</t>
        </is>
      </c>
      <c r="H1685" t="inlineStr">
        <is>
          <t>ZNOJEK, GABRIELA</t>
        </is>
      </c>
      <c r="I1685" t="inlineStr">
        <is>
          <t>Shift manager/Supervisor</t>
        </is>
      </c>
      <c r="J1685" t="inlineStr">
        <is>
          <t>Standard 1,0|40h</t>
        </is>
      </c>
      <c r="K1685" t="n">
        <v>8.31</v>
      </c>
      <c r="L1685" t="inlineStr">
        <is>
          <t>384</t>
        </is>
      </c>
      <c r="M1685" t="inlineStr">
        <is>
          <t>108120 SBX Warszawa Janki</t>
        </is>
      </c>
      <c r="N1685" t="inlineStr">
        <is>
          <t>2026-09-11 19:06</t>
        </is>
      </c>
    </row>
    <row r="1686">
      <c r="A1686" t="n">
        <v>1685</v>
      </c>
      <c r="B1686" t="inlineStr">
        <is>
          <t>2026-08-31</t>
        </is>
      </c>
      <c r="C1686" t="n">
        <v>2026</v>
      </c>
      <c r="D1686" t="inlineStr">
        <is>
          <t>Sierpień</t>
        </is>
      </c>
      <c r="E1686" t="inlineStr">
        <is>
          <t>W5</t>
        </is>
      </c>
      <c r="F1686" t="inlineStr">
        <is>
          <t>2026_Sierpień_W5</t>
        </is>
      </c>
      <c r="G1686" t="inlineStr">
        <is>
          <t>Pn</t>
        </is>
      </c>
      <c r="H1686" t="inlineStr">
        <is>
          <t>ZNOJEK, GABRIELA</t>
        </is>
      </c>
      <c r="I1686" t="inlineStr">
        <is>
          <t>Shift manager/Supervisor</t>
        </is>
      </c>
      <c r="J1686" t="inlineStr">
        <is>
          <t>Standard 1,0|40h</t>
        </is>
      </c>
      <c r="K1686" t="n">
        <v>8.26</v>
      </c>
      <c r="L1686" t="inlineStr">
        <is>
          <t>384</t>
        </is>
      </c>
      <c r="M1686" t="inlineStr">
        <is>
          <t>108120 SBX Warszawa Janki</t>
        </is>
      </c>
      <c r="N1686" t="inlineStr">
        <is>
          <t>2026-09-11 19:06</t>
        </is>
      </c>
    </row>
    <row r="1687">
      <c r="A1687" t="n">
        <v>1686</v>
      </c>
      <c r="B1687" t="inlineStr">
        <is>
          <t>2026-09-02</t>
        </is>
      </c>
      <c r="C1687" t="n">
        <v>2026</v>
      </c>
      <c r="D1687" t="inlineStr">
        <is>
          <t>Wrzesień</t>
        </is>
      </c>
      <c r="E1687" t="inlineStr">
        <is>
          <t>W1</t>
        </is>
      </c>
      <c r="F1687" t="inlineStr">
        <is>
          <t>2026_Wrzesień_W1</t>
        </is>
      </c>
      <c r="G1687" t="inlineStr">
        <is>
          <t>Śr</t>
        </is>
      </c>
      <c r="H1687" t="inlineStr">
        <is>
          <t>ZNOJEK, GABRIELA</t>
        </is>
      </c>
      <c r="I1687" t="inlineStr">
        <is>
          <t>Shift manager/Supervisor</t>
        </is>
      </c>
      <c r="J1687" t="inlineStr">
        <is>
          <t>Standard 1,0|40h</t>
        </is>
      </c>
      <c r="K1687" t="n">
        <v>8.01</v>
      </c>
      <c r="L1687" t="inlineStr">
        <is>
          <t>384</t>
        </is>
      </c>
      <c r="M1687" t="inlineStr">
        <is>
          <t>108120 SBX Warszawa Janki</t>
        </is>
      </c>
      <c r="N1687" t="inlineStr">
        <is>
          <t>2026-09-11 19:06</t>
        </is>
      </c>
    </row>
    <row r="1688">
      <c r="A1688" t="n">
        <v>1687</v>
      </c>
      <c r="B1688" t="inlineStr">
        <is>
          <t>2026-09-03</t>
        </is>
      </c>
      <c r="C1688" t="n">
        <v>2026</v>
      </c>
      <c r="D1688" t="inlineStr">
        <is>
          <t>Wrzesień</t>
        </is>
      </c>
      <c r="E1688" t="inlineStr">
        <is>
          <t>W1</t>
        </is>
      </c>
      <c r="F1688" t="inlineStr">
        <is>
          <t>2026_Wrzesień_W1</t>
        </is>
      </c>
      <c r="G1688" t="inlineStr">
        <is>
          <t>Czw</t>
        </is>
      </c>
      <c r="H1688" t="inlineStr">
        <is>
          <t>ZNOJEK, GABRIELA</t>
        </is>
      </c>
      <c r="I1688" t="inlineStr">
        <is>
          <t>Shift manager/Supervisor</t>
        </is>
      </c>
      <c r="J1688" t="inlineStr">
        <is>
          <t>Standard 1,0|40h</t>
        </is>
      </c>
      <c r="K1688" t="n">
        <v>6.65</v>
      </c>
      <c r="L1688" t="inlineStr">
        <is>
          <t>384</t>
        </is>
      </c>
      <c r="M1688" t="inlineStr">
        <is>
          <t>108120 SBX Warszawa Janki</t>
        </is>
      </c>
      <c r="N1688" t="inlineStr">
        <is>
          <t>2026-09-11 19:06</t>
        </is>
      </c>
    </row>
  </sheetData>
  <autoFilter ref="A1:N16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2026-09-11T15:59:06Z</dcterms:created>
  <dcterms:modified xsi:type="dcterms:W3CDTF">2026-09-11T17:23:31Z</dcterms:modified>
</cp:coreProperties>
</file>